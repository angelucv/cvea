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orielys\Documents\Universidad\Tesis\Proyeccion de la Mortalidad\"/>
    </mc:Choice>
  </mc:AlternateContent>
  <bookViews>
    <workbookView xWindow="0" yWindow="0" windowWidth="20490" windowHeight="7755" activeTab="4"/>
  </bookViews>
  <sheets>
    <sheet name="Validacion 3" sheetId="5" r:id="rId1"/>
    <sheet name="Validacion 4" sheetId="7" r:id="rId2"/>
    <sheet name="Validacion 2" sheetId="4" r:id="rId3"/>
    <sheet name="Validacion 1" sheetId="3" r:id="rId4"/>
    <sheet name="Mortalidad General" sheetId="1" r:id="rId5"/>
  </sheets>
  <definedNames>
    <definedName name="_xlnm._FilterDatabase" localSheetId="4" hidden="1">'Mortalidad General'!$A$3:$F$555</definedName>
  </definedNames>
  <calcPr calcId="152511"/>
  <pivotCaches>
    <pivotCache cacheId="0" r:id="rId6"/>
    <pivotCache cacheId="31" r:id="rId7"/>
    <pivotCache cacheId="35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7" l="1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27" i="4" l="1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7" i="3" l="1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6" i="3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348" i="1"/>
  <c r="A349" i="1"/>
  <c r="A350" i="1"/>
  <c r="A351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203" i="1" l="1"/>
  <c r="A204" i="1"/>
  <c r="A205" i="1"/>
  <c r="A206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4" i="1"/>
  <c r="A175" i="1"/>
  <c r="A176" i="1"/>
  <c r="A177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45" i="1"/>
  <c r="A146" i="1"/>
  <c r="A147" i="1"/>
  <c r="A148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91" i="1" l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4" i="1"/>
</calcChain>
</file>

<file path=xl/sharedStrings.xml><?xml version="1.0" encoding="utf-8"?>
<sst xmlns="http://schemas.openxmlformats.org/spreadsheetml/2006/main" count="725" uniqueCount="148">
  <si>
    <t>Causa</t>
  </si>
  <si>
    <t>Mortalidad</t>
  </si>
  <si>
    <t>Enfermedades del corazón (I05-I09, I11, I13, I21-I51)</t>
  </si>
  <si>
    <t>Cáncer. (C00-C97)</t>
  </si>
  <si>
    <t>Diabetes. (E10-E14)</t>
  </si>
  <si>
    <t>Enfermedades Cerebrovasculares. (I60-I69)</t>
  </si>
  <si>
    <t>Suicidios y Homicidios. (X60-Y09). (2)</t>
  </si>
  <si>
    <t>Accidentes de Todo Tipo. (V01-X59). (2)</t>
  </si>
  <si>
    <t>Ciertas afecciones originadas en el período perinatal. (P00-P96) (3)</t>
  </si>
  <si>
    <t>Enfermedades crónicas de las vías respiratorias inferiores. (J40-J47)</t>
  </si>
  <si>
    <t>Influenza y neumonía. (J09-J18)</t>
  </si>
  <si>
    <t>Enfermedades del hígado. (K70-K77)</t>
  </si>
  <si>
    <t>Otras enfermedades hipertensivas. (I10, I12)</t>
  </si>
  <si>
    <t>Malformaciones congénitas, deformidades y anomalias cromosómicas (Q00-Q99)</t>
  </si>
  <si>
    <t>Nefritis y Nefrosis. (N00-N19, N25-N29)</t>
  </si>
  <si>
    <t>Tumores benignos y de comportamiento incierto o desconocido. (D10-D48)</t>
  </si>
  <si>
    <t>Enfermedad por virus de la inmunodeficiencia humana [VIH]. (B20-B24)</t>
  </si>
  <si>
    <t>Enfermedades infecciosas intestinales. (A00-A09)</t>
  </si>
  <si>
    <t>Septicemia. (A40-A41)</t>
  </si>
  <si>
    <t>Infección aguda no especificada de las vías respiratorias inferiores (J22)</t>
  </si>
  <si>
    <t>Enfermedades debidas a protozoarios. (B50-B64)</t>
  </si>
  <si>
    <t>Íleo paralitico y obstrucción intestinal, sin hernia (K56)</t>
  </si>
  <si>
    <t>Enfermedades de las arterias, de las arteriolas y de los vasos capilares. (I70-I79)</t>
  </si>
  <si>
    <t>Tuberculosis. (A15-A19, B90)</t>
  </si>
  <si>
    <t>Trastornos episódicos y paroxísticos. (G40-G47)</t>
  </si>
  <si>
    <t>Enfermedades del esófago, del estómago y del duodeno. (K20-K31)</t>
  </si>
  <si>
    <t>Trastornos de la vesícula biliar, de las vías biliares y del páncreas. (K80-K87)</t>
  </si>
  <si>
    <t>Total 25 Primeras Causas</t>
  </si>
  <si>
    <t>Causas de mortalidad mal definidas, desconocidas o sin diagnostico medico tratante. (R95-R99). (2)</t>
  </si>
  <si>
    <t>Resto de Muertes Violentas. (Y10-Y34, Y35-Y36). (2)</t>
  </si>
  <si>
    <t>Anomalías congénitas. (Q00-Q99)</t>
  </si>
  <si>
    <t>Enfermedad de Alzheimer (G30)</t>
  </si>
  <si>
    <t>Total Todas las Causas (A00-Y89)</t>
  </si>
  <si>
    <t>Desc</t>
  </si>
  <si>
    <t>MV</t>
  </si>
  <si>
    <t>TC</t>
  </si>
  <si>
    <t>TP25C</t>
  </si>
  <si>
    <t>Key</t>
  </si>
  <si>
    <t>Deficiencias de Nutrición. (E40-E64)</t>
  </si>
  <si>
    <t>Año</t>
  </si>
  <si>
    <t>Indicador</t>
  </si>
  <si>
    <t>Trastornos vasculares de los intestinos (K55)</t>
  </si>
  <si>
    <t>Otras septicemias (A41)</t>
  </si>
  <si>
    <t>Etiquetas de fila</t>
  </si>
  <si>
    <t>Total general</t>
  </si>
  <si>
    <t>Suma de Mortalidad</t>
  </si>
  <si>
    <t>2008-TP25C</t>
  </si>
  <si>
    <t>2009-TP25C</t>
  </si>
  <si>
    <t>2010-TP25C</t>
  </si>
  <si>
    <t>2011-TP25C</t>
  </si>
  <si>
    <t>2012-TP25C</t>
  </si>
  <si>
    <t>2013-TP25C</t>
  </si>
  <si>
    <t>2014-TP25C</t>
  </si>
  <si>
    <t>(Varios elementos)</t>
  </si>
  <si>
    <t>Influenza y neumonía. (J10-J18)</t>
  </si>
  <si>
    <t>Cáncer. (C00 - C97)</t>
  </si>
  <si>
    <t>Accidentes de Todo Tipo. (V01 - X59). (2)</t>
  </si>
  <si>
    <t>Aneurisma y disección aórticos (I71)</t>
  </si>
  <si>
    <t>Enfermedades del corazon (I05-I09, I11, I13, I21-I51)</t>
  </si>
  <si>
    <t>Enfermedades inflamatorias del sistema nervioso central. (G00-G09)</t>
  </si>
  <si>
    <t>Trastornos sistémicos del tejido conjuntivo (M30-M36)</t>
  </si>
  <si>
    <t>2007-TP25C</t>
  </si>
  <si>
    <t>2006-TP25C</t>
  </si>
  <si>
    <t>2005-TP25C</t>
  </si>
  <si>
    <t>2004-TP25C</t>
  </si>
  <si>
    <t>Enfermedades del corazón. (I05-I09, I11, I13, I21-I51)</t>
  </si>
  <si>
    <t>Cancer . (C00 - C97)</t>
  </si>
  <si>
    <t>Suicidios y Homicidios . (X60-Y09) . (2)</t>
  </si>
  <si>
    <t>Accidentes de Todo Tipo . (V01 - X59) . (2)</t>
  </si>
  <si>
    <t>Diabetes . (E10-E14)</t>
  </si>
  <si>
    <t>Enfermedades crónicas de las vías respiratorias inferiores . (J40-J47)</t>
  </si>
  <si>
    <t>Enfermedades del hígado.. (K70-K77)</t>
  </si>
  <si>
    <t>Anomalias congénitas . (Q00-Q99)</t>
  </si>
  <si>
    <t>Nefritis y Nefrosis . (N00-N19, N25-N29)</t>
  </si>
  <si>
    <t>Tumores benignos y de comportamiento incierto o desconocido. . (D10-D48)</t>
  </si>
  <si>
    <t>Deficiencias de Nutrición . (E40-E64)</t>
  </si>
  <si>
    <t>Enfermedades debidas a protozoarios. . (B50-B64)</t>
  </si>
  <si>
    <t>Tuberculosis . (A15-A19, B90)</t>
  </si>
  <si>
    <t>Septicemia . (A40-A41)</t>
  </si>
  <si>
    <t>Ileo paralitico y obstrucción intestinal, sin hernia (K56)</t>
  </si>
  <si>
    <t>Otras enfermedades del sistema digestivo (K92)</t>
  </si>
  <si>
    <t>Cancer (C00 - C97)</t>
  </si>
  <si>
    <t>Accidentes de Todo Tipo (V01 - X59) (2)</t>
  </si>
  <si>
    <t>Enfermedades Cerebrovasculares(I60-I69)</t>
  </si>
  <si>
    <t>Ciertas afecciones originadas en el período perinatal.(P00-P96) (3)</t>
  </si>
  <si>
    <t>Diabetes (E10-E14)</t>
  </si>
  <si>
    <t>Suicidios y Homicidios (X60-Y09) (2)</t>
  </si>
  <si>
    <t>Influenza y neumonía(J10-J18)</t>
  </si>
  <si>
    <t>Enfermedades crónicas de las vías respiratorias inferiores (J40-J47)</t>
  </si>
  <si>
    <t>Enfermedades infecciosas intestinales(A00-A09)</t>
  </si>
  <si>
    <t>Enfermedades del hígado.(K70-K77)</t>
  </si>
  <si>
    <t>Anomalias congénitas (Q00-Q99)</t>
  </si>
  <si>
    <t>Nefritis y Nefrosis (N00-N19, N25-N29)</t>
  </si>
  <si>
    <t>Otras enfermedades hipertensivas(I10, I12)</t>
  </si>
  <si>
    <t>Deficiencias de Nutrición (E40-E64)</t>
  </si>
  <si>
    <t>Enfermedad por virus de la inmunodeficiencia humana [VIH](B20-B24)</t>
  </si>
  <si>
    <t>Tuberculosis (A15-A19, B90)</t>
  </si>
  <si>
    <t>Septicemia (A40-A41)</t>
  </si>
  <si>
    <t>Enfermedades del esófago, del estómago y del duodeno(K20-K31)</t>
  </si>
  <si>
    <t>Enfermedades inflamatorias del sistema nervioso central(G00-G09)</t>
  </si>
  <si>
    <t>Trastornos episódicos y paroxísticos(G40-G47)</t>
  </si>
  <si>
    <t>Trastornos metabólicos.(E70-E90)</t>
  </si>
  <si>
    <t>Disparo de otras armas de fuego y las no especificadas, de intención  no determinada (Y24) (2)</t>
  </si>
  <si>
    <t>Evento no especificado, de intención no determinada (Y34) (2)</t>
  </si>
  <si>
    <t>Meningitis (G00-G03)</t>
  </si>
  <si>
    <t>1 Enfermedades del Corazón (I05-I09, I11, I13, I21-I51)</t>
  </si>
  <si>
    <t>2 Cancer (C00-C97)</t>
  </si>
  <si>
    <t>3 Enfermedad Cerebrovascular (I60-I69)</t>
  </si>
  <si>
    <t>4 Accidentes (de Todo Tipo)  (V01-X59) (2)</t>
  </si>
  <si>
    <t>5 Ciertas afecciones originadas en el período perinatal (P00-P96) (3)</t>
  </si>
  <si>
    <t>6 Diabetes (E10-E14)</t>
  </si>
  <si>
    <t>7 Suicidios y Homicidios (X60-Y09)</t>
  </si>
  <si>
    <t>8 Enteritis y otras enfermedades Diarreicas (A08-A09)</t>
  </si>
  <si>
    <t>9 Neumonía (J12-J18)</t>
  </si>
  <si>
    <t>10 Anomalias congenitas (Q00-Q99)</t>
  </si>
  <si>
    <t>11 Disparo de otras armas de fuego y las no especificadas, de intención  no</t>
  </si>
  <si>
    <t>12 Enfermedad pulmonar obstructiva crónica, no espeficicada (J449)</t>
  </si>
  <si>
    <t>13 Deficiencias de la Nutrición (E40-E64)</t>
  </si>
  <si>
    <t>14 Nefritis y Nefrosis (N00-N19, N25-N29))</t>
  </si>
  <si>
    <t>15 Cirrosis y fibrosis Hepatica (K70.2, K70.3,K74)</t>
  </si>
  <si>
    <t>16 Enfermedad por virus de la inmunodeficiencia humana [VIH]</t>
  </si>
  <si>
    <t>17 Tripanosomiasis  (B56-B57)</t>
  </si>
  <si>
    <t>18 Bronquitis crónica y la no especificada,  Enfisema y Asma (J40-J43,J45-J46)</t>
  </si>
  <si>
    <t>19 Tuberculosis (A15-A19,B90)</t>
  </si>
  <si>
    <t>20 Otras enfermedades Hipertensivas (I10-I12)</t>
  </si>
  <si>
    <t>21 Tumores benignos y de comportamiento incierto o desconocido (D10-D48)</t>
  </si>
  <si>
    <t>22 Evento no especificado, de intención no determinada ( (Y34))</t>
  </si>
  <si>
    <t>23 Septicemias (A40-A41)</t>
  </si>
  <si>
    <t>24 Ulcera gastrica, Doudenal y Gastroyeyunal (K25-K28)</t>
  </si>
  <si>
    <t>25  Meningitis (G00-G03)</t>
  </si>
  <si>
    <t>2003-TP25C</t>
  </si>
  <si>
    <t>2002-TP25C</t>
  </si>
  <si>
    <t>2001-TP25C</t>
  </si>
  <si>
    <t>2000-TP25C</t>
  </si>
  <si>
    <t>1999-TP25C</t>
  </si>
  <si>
    <t>1998-TP25C</t>
  </si>
  <si>
    <t>1997-TP25C</t>
  </si>
  <si>
    <t>1996-TP25C</t>
  </si>
  <si>
    <t>Porcentaje</t>
  </si>
  <si>
    <t>Diferencia en el anuario de mortalidad</t>
  </si>
  <si>
    <t>Causas de Mortalidad</t>
  </si>
  <si>
    <t>Suma de Causas por año</t>
  </si>
  <si>
    <t>Diferencias</t>
  </si>
  <si>
    <t>Total de Causas</t>
  </si>
  <si>
    <t>Suma de porcentaje</t>
  </si>
  <si>
    <t>diferencias porcentuales</t>
  </si>
  <si>
    <t>Suma de Porcentaje</t>
  </si>
  <si>
    <t>Total de Causas porcentuales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</si>
</sst>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0.000000%"/>
    <numFmt numFmtId="165" formatCode="_ * #,##0_ ;_ * \-#,##0_ ;_ * &quot;-&quot;??_ ;_ @_ "/>
    <numFmt numFmtId="166" formatCode="#.##0"/>
    <numFmt numFmtId="167" formatCode="0,000"/>
    <numFmt numFmtId="168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49" fontId="2" fillId="0" borderId="0" xfId="0" applyNumberFormat="1" applyFont="1" applyAlignment="1"/>
    <xf numFmtId="0" fontId="3" fillId="0" borderId="0" xfId="0" applyFont="1"/>
    <xf numFmtId="0" fontId="4" fillId="0" borderId="0" xfId="0" applyFont="1"/>
    <xf numFmtId="165" fontId="4" fillId="0" borderId="0" xfId="1" applyNumberFormat="1" applyFont="1"/>
    <xf numFmtId="164" fontId="4" fillId="0" borderId="0" xfId="2" applyNumberFormat="1" applyFont="1"/>
    <xf numFmtId="1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/>
    <xf numFmtId="9" fontId="4" fillId="0" borderId="0" xfId="2" applyFont="1"/>
    <xf numFmtId="43" fontId="0" fillId="0" borderId="0" xfId="1" applyFont="1"/>
    <xf numFmtId="167" fontId="4" fillId="0" borderId="0" xfId="0" applyNumberFormat="1" applyFont="1"/>
    <xf numFmtId="43" fontId="0" fillId="0" borderId="0" xfId="0" applyNumberFormat="1"/>
    <xf numFmtId="0" fontId="6" fillId="3" borderId="1" xfId="0" applyFont="1" applyFill="1" applyBorder="1" applyAlignment="1">
      <alignment horizontal="center" vertical="center"/>
    </xf>
    <xf numFmtId="165" fontId="6" fillId="3" borderId="1" xfId="1" applyNumberFormat="1" applyFont="1" applyFill="1" applyBorder="1" applyAlignment="1">
      <alignment horizontal="center" vertical="center"/>
    </xf>
    <xf numFmtId="9" fontId="6" fillId="3" borderId="1" xfId="2" applyFont="1" applyFill="1" applyBorder="1" applyAlignment="1">
      <alignment horizontal="center" vertical="center"/>
    </xf>
    <xf numFmtId="0" fontId="4" fillId="0" borderId="1" xfId="0" applyFont="1" applyBorder="1"/>
    <xf numFmtId="49" fontId="2" fillId="0" borderId="1" xfId="0" applyNumberFormat="1" applyFont="1" applyBorder="1" applyAlignment="1"/>
    <xf numFmtId="4" fontId="2" fillId="0" borderId="1" xfId="0" applyNumberFormat="1" applyFont="1" applyBorder="1" applyAlignment="1"/>
    <xf numFmtId="9" fontId="2" fillId="0" borderId="1" xfId="2" applyFont="1" applyBorder="1" applyAlignment="1"/>
    <xf numFmtId="166" fontId="2" fillId="0" borderId="1" xfId="0" applyNumberFormat="1" applyFont="1" applyBorder="1" applyAlignment="1"/>
    <xf numFmtId="1" fontId="5" fillId="0" borderId="1" xfId="0" applyNumberFormat="1" applyFont="1" applyBorder="1" applyAlignment="1"/>
    <xf numFmtId="1" fontId="2" fillId="0" borderId="1" xfId="0" applyNumberFormat="1" applyFont="1" applyBorder="1" applyAlignment="1"/>
    <xf numFmtId="43" fontId="2" fillId="0" borderId="1" xfId="1" applyFont="1" applyBorder="1" applyAlignment="1"/>
    <xf numFmtId="0" fontId="2" fillId="0" borderId="1" xfId="0" applyFont="1" applyBorder="1" applyAlignment="1"/>
    <xf numFmtId="167" fontId="2" fillId="0" borderId="1" xfId="0" applyNumberFormat="1" applyFont="1" applyBorder="1" applyAlignment="1"/>
    <xf numFmtId="9" fontId="4" fillId="0" borderId="1" xfId="2" applyFont="1" applyBorder="1"/>
    <xf numFmtId="10" fontId="2" fillId="0" borderId="1" xfId="0" applyNumberFormat="1" applyFont="1" applyBorder="1" applyAlignment="1"/>
    <xf numFmtId="9" fontId="2" fillId="0" borderId="1" xfId="0" applyNumberFormat="1" applyFont="1" applyBorder="1" applyAlignment="1"/>
    <xf numFmtId="165" fontId="2" fillId="0" borderId="1" xfId="1" applyNumberFormat="1" applyFont="1" applyBorder="1" applyAlignment="1"/>
    <xf numFmtId="0" fontId="4" fillId="2" borderId="1" xfId="0" applyFont="1" applyFill="1" applyBorder="1"/>
    <xf numFmtId="1" fontId="2" fillId="2" borderId="1" xfId="0" applyNumberFormat="1" applyFont="1" applyFill="1" applyBorder="1" applyAlignment="1"/>
    <xf numFmtId="49" fontId="2" fillId="2" borderId="1" xfId="0" applyNumberFormat="1" applyFont="1" applyFill="1" applyBorder="1" applyAlignment="1"/>
    <xf numFmtId="165" fontId="2" fillId="2" borderId="1" xfId="1" applyNumberFormat="1" applyFont="1" applyFill="1" applyBorder="1" applyAlignment="1"/>
    <xf numFmtId="0" fontId="4" fillId="0" borderId="1" xfId="0" applyFont="1" applyFill="1" applyBorder="1"/>
    <xf numFmtId="167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165" fontId="4" fillId="0" borderId="1" xfId="1" applyNumberFormat="1" applyFont="1" applyFill="1" applyBorder="1"/>
    <xf numFmtId="9" fontId="4" fillId="0" borderId="1" xfId="2" applyFont="1" applyFill="1" applyBorder="1"/>
    <xf numFmtId="0" fontId="9" fillId="4" borderId="0" xfId="0" applyFont="1" applyFill="1"/>
    <xf numFmtId="0" fontId="8" fillId="0" borderId="0" xfId="0" applyFont="1"/>
    <xf numFmtId="9" fontId="0" fillId="0" borderId="0" xfId="2" applyFont="1"/>
    <xf numFmtId="168" fontId="0" fillId="0" borderId="0" xfId="2" applyNumberFormat="1" applyFont="1"/>
    <xf numFmtId="9" fontId="9" fillId="4" borderId="0" xfId="2" applyFont="1" applyFill="1"/>
    <xf numFmtId="10" fontId="0" fillId="0" borderId="0" xfId="2" applyNumberFormat="1" applyFont="1"/>
    <xf numFmtId="168" fontId="0" fillId="0" borderId="0" xfId="0" applyNumberFormat="1"/>
    <xf numFmtId="9" fontId="2" fillId="0" borderId="0" xfId="2" applyFont="1" applyAlignment="1"/>
    <xf numFmtId="10" fontId="0" fillId="0" borderId="0" xfId="0" applyNumberFormat="1"/>
    <xf numFmtId="10" fontId="2" fillId="2" borderId="1" xfId="0" applyNumberFormat="1" applyFont="1" applyFill="1" applyBorder="1" applyAlignment="1"/>
    <xf numFmtId="10" fontId="2" fillId="0" borderId="1" xfId="0" applyNumberFormat="1" applyFont="1" applyFill="1" applyBorder="1" applyAlignment="1"/>
    <xf numFmtId="10" fontId="7" fillId="5" borderId="0" xfId="2" applyNumberFormat="1" applyFont="1" applyFill="1"/>
  </cellXfs>
  <cellStyles count="3">
    <cellStyle name="Millares" xfId="1" builtinId="3"/>
    <cellStyle name="Normal" xfId="0" builtinId="0"/>
    <cellStyle name="Porcentaje" xfId="2" builtinId="5"/>
  </cellStyles>
  <dxfs count="12">
    <dxf>
      <numFmt numFmtId="14" formatCode="0.00%"/>
    </dxf>
    <dxf>
      <numFmt numFmtId="14" formatCode="0.00%"/>
    </dxf>
    <dxf>
      <numFmt numFmtId="14" formatCode="0.00%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4" formatCode="0.00%"/>
    </dxf>
    <dxf>
      <numFmt numFmtId="14" formatCode="0.00%"/>
    </dxf>
    <dxf>
      <numFmt numFmtId="168" formatCode="0.0%"/>
    </dxf>
    <dxf>
      <numFmt numFmtId="168" formatCode="0.0%"/>
    </dxf>
    <dxf>
      <numFmt numFmtId="168" formatCode="0.0%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scribiente1" refreshedDate="44941.752821180555" createdVersion="5" refreshedVersion="5" minRefreshableVersion="3" recordCount="554">
  <cacheSource type="worksheet">
    <worksheetSource ref="A1:F1048576" sheet="Mortalidad General"/>
  </cacheSource>
  <cacheFields count="6">
    <cacheField name="Key" numFmtId="0">
      <sharedItems containsBlank="1" count="553">
        <s v="2014-1"/>
        <s v="2014-2"/>
        <s v="2014-3"/>
        <s v="2014-4"/>
        <s v="2014-5"/>
        <s v="2014-6"/>
        <s v="2014-7"/>
        <s v="2014-8"/>
        <s v="2014-9"/>
        <s v="2014-10"/>
        <s v="2014-11"/>
        <s v="2014-12"/>
        <s v="2014-13"/>
        <s v="2014-14"/>
        <s v="2014-15"/>
        <s v="2014-16"/>
        <s v="2014-17"/>
        <s v="2014-18"/>
        <s v="2014-19"/>
        <s v="2014-20"/>
        <s v="2014-21"/>
        <s v="2014-22"/>
        <s v="2014-23"/>
        <s v="2014-24"/>
        <s v="2014-25"/>
        <s v="2014-TP25C"/>
        <s v="2014-Desc"/>
        <s v="2014-MV"/>
        <s v="2014-TC"/>
        <s v="2013-1"/>
        <s v="2013-2"/>
        <s v="2013-3"/>
        <s v="2013-4"/>
        <s v="2013-5"/>
        <s v="2013-6"/>
        <s v="2013-7"/>
        <s v="2013-8"/>
        <s v="2013-9"/>
        <s v="2013-10"/>
        <s v="2013-11"/>
        <s v="2013-12"/>
        <s v="2013-13"/>
        <s v="2013-14"/>
        <s v="2013-15"/>
        <s v="2013-16"/>
        <s v="2013-17"/>
        <s v="2013-18"/>
        <s v="2013-19"/>
        <s v="2013-20"/>
        <s v="2013-21"/>
        <s v="2013-22"/>
        <s v="2013-23"/>
        <s v="2013-24"/>
        <s v="2013-25"/>
        <s v="2013-TP25C"/>
        <s v="2013-Desc"/>
        <s v="2013-MV"/>
        <s v="2013-TC"/>
        <s v="2012-1"/>
        <s v="2012-2"/>
        <s v="2012-3"/>
        <s v="2012-4"/>
        <s v="2012-5"/>
        <s v="2012-6"/>
        <s v="2012-7"/>
        <s v="2012-8"/>
        <s v="2012-9"/>
        <s v="2012-10"/>
        <s v="2012-11"/>
        <s v="2012-12"/>
        <s v="2012-13"/>
        <s v="2012-14"/>
        <s v="2012-15"/>
        <s v="2012-16"/>
        <s v="2012-17"/>
        <s v="2012-18"/>
        <s v="2012-19"/>
        <s v="2012-20"/>
        <s v="2012-21"/>
        <s v="2012-22"/>
        <s v="2012-23"/>
        <s v="2012-24"/>
        <s v="2012-25"/>
        <s v="2012-TP25C"/>
        <s v="2012-Desc"/>
        <s v="2012-MV"/>
        <s v="2012-TC"/>
        <s v="2011-1"/>
        <s v="2011-2"/>
        <s v="2011-3"/>
        <s v="2011-4"/>
        <s v="2011-5"/>
        <s v="2011-6"/>
        <s v="2011-7"/>
        <s v="2011-8"/>
        <s v="2011-9"/>
        <s v="2011-10"/>
        <s v="2011-11"/>
        <s v="2011-12"/>
        <s v="2011-13"/>
        <s v="2011-14"/>
        <s v="2011-15"/>
        <s v="2011-16"/>
        <s v="2011-17"/>
        <s v="2011-18"/>
        <s v="2011-19"/>
        <s v="2011-20"/>
        <s v="2011-21"/>
        <s v="2011-22"/>
        <s v="2011-23"/>
        <s v="2011-24"/>
        <s v="2011-25"/>
        <s v="2011-TP25C"/>
        <s v="2011-Desc"/>
        <s v="2011-MV"/>
        <s v="2011-TC"/>
        <s v="2010-1"/>
        <s v="2010-2"/>
        <s v="2010-3"/>
        <s v="2010-4"/>
        <s v="2010-5"/>
        <s v="2010-6"/>
        <s v="2010-7"/>
        <s v="2010-8"/>
        <s v="2010-9"/>
        <s v="2010-10"/>
        <s v="2010-11"/>
        <s v="2010-12"/>
        <s v="2010-13"/>
        <s v="2010-14"/>
        <s v="2010-15"/>
        <s v="2010-16"/>
        <s v="2010-17"/>
        <s v="2010-18"/>
        <s v="2010-19"/>
        <s v="2010-20"/>
        <s v="2010-21"/>
        <s v="2010-22"/>
        <s v="2010-23"/>
        <s v="2010-24"/>
        <s v="2010-25"/>
        <s v="2010-TP25C"/>
        <s v="2010-Desc"/>
        <s v="2010-MV"/>
        <s v="2010-TC"/>
        <s v="2009-1"/>
        <s v="2009-2"/>
        <s v="2009-3"/>
        <s v="2009-4"/>
        <s v="2009-5"/>
        <s v="2009-6"/>
        <s v="2009-7"/>
        <s v="2009-8"/>
        <s v="2009-9"/>
        <s v="2009-10"/>
        <s v="2009-11"/>
        <s v="2009-12"/>
        <s v="2009-13"/>
        <s v="2009-14"/>
        <s v="2009-15"/>
        <s v="2009-16"/>
        <s v="2009-17"/>
        <s v="2009-18"/>
        <s v="2009-19"/>
        <s v="2009-20"/>
        <s v="2009-21"/>
        <s v="2009-22"/>
        <s v="2009-23"/>
        <s v="2009-24"/>
        <s v="2009-25"/>
        <s v="2009-TP25C"/>
        <s v="2009-Desc"/>
        <s v="2009-MV"/>
        <s v="2009-TC"/>
        <s v="2008-1"/>
        <s v="2008-2"/>
        <s v="2008-3"/>
        <s v="2008-4"/>
        <s v="2008-5"/>
        <s v="2008-6"/>
        <s v="2008-7"/>
        <s v="2008-8"/>
        <s v="2008-9"/>
        <s v="2008-10"/>
        <s v="2008-11"/>
        <s v="2008-12"/>
        <s v="2008-13"/>
        <s v="2008-14"/>
        <s v="2008-15"/>
        <s v="2008-16"/>
        <s v="2008-17"/>
        <s v="2008-18"/>
        <s v="2008-19"/>
        <s v="2008-20"/>
        <s v="2008-21"/>
        <s v="2008-22"/>
        <s v="2008-23"/>
        <s v="2008-24"/>
        <s v="2008-25"/>
        <s v="2008-TP25C"/>
        <s v="2008-Desc"/>
        <s v="2008-MV"/>
        <s v="2008-TC"/>
        <s v="2007-1"/>
        <s v="2007-2"/>
        <s v="2007-3"/>
        <s v="2007-4"/>
        <s v="2007-5"/>
        <s v="2007-6"/>
        <s v="2007-7"/>
        <s v="2007-8"/>
        <s v="2007-9"/>
        <s v="2007-10"/>
        <s v="2007-11"/>
        <s v="2007-12"/>
        <s v="2007-13"/>
        <s v="2007-14"/>
        <s v="2007-15"/>
        <s v="2007-16"/>
        <s v="2007-17"/>
        <s v="2007-18"/>
        <s v="2007-19"/>
        <s v="2007-20"/>
        <s v="2007-21"/>
        <s v="2007-22"/>
        <s v="2007-23"/>
        <s v="2007-24"/>
        <s v="2007-25"/>
        <s v="2007-TP25C"/>
        <s v="2007-Desc"/>
        <s v="2007-MV"/>
        <s v="2007-TC"/>
        <s v="2006-1"/>
        <s v="2006-2"/>
        <s v="2006-3"/>
        <s v="2006-4"/>
        <s v="2006-5"/>
        <s v="2006-6"/>
        <s v="2006-7"/>
        <s v="2006-8"/>
        <s v="2006-9"/>
        <s v="2006-10"/>
        <s v="2006-11"/>
        <s v="2006-12"/>
        <s v="2006-13"/>
        <s v="2006-14"/>
        <s v="2006-15"/>
        <s v="2006-16"/>
        <s v="2006-17"/>
        <s v="2006-18"/>
        <s v="2006-19"/>
        <s v="2006-20"/>
        <s v="2006-21"/>
        <s v="2006-22"/>
        <s v="2006-23"/>
        <s v="2006-24"/>
        <s v="2006-25"/>
        <s v="2006-TP25C"/>
        <s v="2006-Desc"/>
        <s v="2006-MV"/>
        <s v="2006-TC"/>
        <s v="2005-1"/>
        <s v="2005-2"/>
        <s v="2005-3"/>
        <s v="2005-4"/>
        <s v="2005-5"/>
        <s v="2005-6"/>
        <s v="2005-7"/>
        <s v="2005-8"/>
        <s v="2005-9"/>
        <s v="2005-10"/>
        <s v="2005-11"/>
        <s v="2005-12"/>
        <s v="2005-13"/>
        <s v="2005-14"/>
        <s v="2005-15"/>
        <s v="2005-16"/>
        <s v="2005-17"/>
        <s v="2005-18"/>
        <s v="2005-19"/>
        <s v="2005-20"/>
        <s v="2005-21"/>
        <s v="2005-22"/>
        <s v="2005-23"/>
        <s v="2005-24"/>
        <s v="2005-25"/>
        <s v="2005-TP25C"/>
        <s v="2005-Desc"/>
        <s v="2005-MV"/>
        <s v="2005-TC"/>
        <s v="2004-1"/>
        <s v="2004-2"/>
        <s v="2004-3"/>
        <s v="2004-4"/>
        <s v="2004-5"/>
        <s v="2004-6"/>
        <s v="2004-7"/>
        <s v="2004-8"/>
        <s v="2004-9"/>
        <s v="2004-10"/>
        <s v="2004-11"/>
        <s v="2004-12"/>
        <s v="2004-13"/>
        <s v="2004-14"/>
        <s v="2004-15"/>
        <s v="2004-16"/>
        <s v="2004-17"/>
        <s v="2004-18"/>
        <s v="2004-19"/>
        <s v="2004-20"/>
        <s v="2004-21"/>
        <s v="2004-22"/>
        <s v="2004-23"/>
        <s v="2004-24"/>
        <s v="2004-25"/>
        <s v="2004-TP25C"/>
        <s v="2004-Desc"/>
        <s v="2004-MV"/>
        <s v="2004-TC"/>
        <s v="2003-1"/>
        <s v="2003-2"/>
        <s v="2003-3"/>
        <s v="2003-4"/>
        <s v="2003-5"/>
        <s v="2003-6"/>
        <s v="2003-7"/>
        <s v="2003-8"/>
        <s v="2003-9"/>
        <s v="2003-10"/>
        <s v="2003-11"/>
        <s v="2003-12"/>
        <s v="2003-13"/>
        <s v="2003-14"/>
        <s v="2003-15"/>
        <s v="2003-16"/>
        <s v="2003-17"/>
        <s v="2003-18"/>
        <s v="2003-19"/>
        <s v="2003-20"/>
        <s v="2003-21"/>
        <s v="2003-22"/>
        <s v="2003-23"/>
        <s v="2003-24"/>
        <s v="2003-25"/>
        <s v="2003-TP25C"/>
        <s v="2003-Desc"/>
        <s v="2003-MV"/>
        <s v="2003-TC"/>
        <s v="2002-1"/>
        <s v="2002-2"/>
        <s v="2002-3"/>
        <s v="2002-4"/>
        <s v="2002-5"/>
        <s v="2002-6"/>
        <s v="2002-7"/>
        <s v="2002-8"/>
        <s v="2002-9"/>
        <s v="2002-10"/>
        <s v="2002-11"/>
        <s v="2002-12"/>
        <s v="2002-13"/>
        <s v="2002-14"/>
        <s v="2002-15"/>
        <s v="2002-16"/>
        <s v="2002-17"/>
        <s v="2002-18"/>
        <s v="2002-19"/>
        <s v="2002-20"/>
        <s v="2002-21"/>
        <s v="2002-22"/>
        <s v="2002-23"/>
        <s v="2002-24"/>
        <s v="2002-25"/>
        <s v="2002-TP25C"/>
        <s v="2002-Desc"/>
        <s v="2002-MV"/>
        <s v="2002-TC"/>
        <s v="2001-1"/>
        <s v="2001-2"/>
        <s v="2001-3"/>
        <s v="2001-4"/>
        <s v="2001-5"/>
        <s v="2001-6"/>
        <s v="2001-7"/>
        <s v="2001-8"/>
        <s v="2001-9"/>
        <s v="2001-10"/>
        <s v="2001-11"/>
        <s v="2001-12"/>
        <s v="2001-13"/>
        <s v="2001-14"/>
        <s v="2001-15"/>
        <s v="2001-16"/>
        <s v="2001-17"/>
        <s v="2001-18"/>
        <s v="2001-19"/>
        <s v="2001-20"/>
        <s v="2001-21"/>
        <s v="2001-22"/>
        <s v="2001-23"/>
        <s v="2001-24"/>
        <s v="2001-25"/>
        <s v="2001-TP25C"/>
        <s v="2001-Desc"/>
        <s v="2001-MV"/>
        <s v="2001-TC"/>
        <s v="2000-1"/>
        <s v="2000-2"/>
        <s v="2000-3"/>
        <s v="2000-4"/>
        <s v="2000-5"/>
        <s v="2000-6"/>
        <s v="2000-7"/>
        <s v="2000-8"/>
        <s v="2000-9"/>
        <s v="2000-10"/>
        <s v="2000-11"/>
        <s v="2000-12"/>
        <s v="2000-13"/>
        <s v="2000-14"/>
        <s v="2000-15"/>
        <s v="2000-16"/>
        <s v="2000-17"/>
        <s v="2000-18"/>
        <s v="2000-19"/>
        <s v="2000-20"/>
        <s v="2000-21"/>
        <s v="2000-22"/>
        <s v="2000-23"/>
        <s v="2000-24"/>
        <s v="2000-25"/>
        <s v="2000-TP25C"/>
        <s v="2000-Desc"/>
        <s v="2000-MV"/>
        <s v="2000-TC"/>
        <s v="1999-1"/>
        <s v="1999-2"/>
        <s v="1999-3"/>
        <s v="1999-4"/>
        <s v="1999-5"/>
        <s v="1999-6"/>
        <s v="1999-7"/>
        <s v="1999-8"/>
        <s v="1999-9"/>
        <s v="1999-10"/>
        <s v="1999-11"/>
        <s v="1999-12"/>
        <s v="1999-13"/>
        <s v="1999-14"/>
        <s v="1999-15"/>
        <s v="1999-16"/>
        <s v="1999-17"/>
        <s v="1999-18"/>
        <s v="1999-19"/>
        <s v="1999-20"/>
        <s v="1999-21"/>
        <s v="1999-22"/>
        <s v="1999-23"/>
        <s v="1999-24"/>
        <s v="1999-25"/>
        <s v="1999-TP25C"/>
        <s v="1999-Desc"/>
        <s v="1999-MV"/>
        <s v="1999-TC"/>
        <s v="1998-1"/>
        <s v="1998-2"/>
        <s v="1998-3"/>
        <s v="1998-4"/>
        <s v="1998-5"/>
        <s v="1998-6"/>
        <s v="1998-7"/>
        <s v="1998-8"/>
        <s v="1998-9"/>
        <s v="1998-10"/>
        <s v="1998-11"/>
        <s v="1998-12"/>
        <s v="1998-13"/>
        <s v="1998-14"/>
        <s v="1998-15"/>
        <s v="1998-16"/>
        <s v="1998-17"/>
        <s v="1998-18"/>
        <s v="1998-19"/>
        <s v="1998-20"/>
        <s v="1998-21"/>
        <s v="1998-22"/>
        <s v="1998-23"/>
        <s v="1998-24"/>
        <s v="1998-25"/>
        <s v="1998-TP25C"/>
        <s v="1998-Desc"/>
        <s v="1998-MV"/>
        <s v="1998-TC"/>
        <s v="1997-1"/>
        <s v="1997-2"/>
        <s v="1997-3"/>
        <s v="1997-4"/>
        <s v="1997-5"/>
        <s v="1997-6"/>
        <s v="1997-7"/>
        <s v="1997-8"/>
        <s v="1997-9"/>
        <s v="1997-10"/>
        <s v="1997-11"/>
        <s v="1997-12"/>
        <s v="1997-13"/>
        <s v="1997-14"/>
        <s v="1997-15"/>
        <s v="1997-16"/>
        <s v="1997-17"/>
        <s v="1997-18"/>
        <s v="1997-19"/>
        <s v="1997-20"/>
        <s v="1997-21"/>
        <s v="1997-22"/>
        <s v="1997-23"/>
        <s v="1997-24"/>
        <s v="1997-25"/>
        <s v="1997-TP25C"/>
        <s v="1997-Desc"/>
        <s v="1997-MV"/>
        <s v="1997-TC"/>
        <s v="1996-1"/>
        <s v="1996-2"/>
        <s v="1996-3"/>
        <s v="1996-4"/>
        <s v="1996-5"/>
        <s v="1996-6"/>
        <s v="1996-7"/>
        <s v="1996-8"/>
        <s v="1996-9"/>
        <s v="1996-10"/>
        <s v="1996-11"/>
        <s v="1996-12"/>
        <s v="1996-13"/>
        <s v="1996-14"/>
        <s v="1996-15"/>
        <s v="1996-16"/>
        <s v="1996-17"/>
        <s v="1996-18"/>
        <s v="1996-19"/>
        <s v="1996-20"/>
        <s v="1996-21"/>
        <s v="1996-22"/>
        <s v="1996-23"/>
        <s v="1996-24"/>
        <s v="1996-25"/>
        <s v="1996-TP25C"/>
        <s v="1996-Desc"/>
        <s v="1996-MV"/>
        <s v="1996-TC"/>
        <m/>
        <s v="1995-" u="1"/>
      </sharedItems>
    </cacheField>
    <cacheField name="Año" numFmtId="0">
      <sharedItems containsString="0" containsBlank="1" containsNumber="1" containsInteger="1" minValue="1995" maxValue="2014" count="21"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m/>
        <n v="1995" u="1"/>
      </sharedItems>
    </cacheField>
    <cacheField name="Indicador" numFmtId="0">
      <sharedItems containsBlank="1" containsMixedTypes="1" containsNumber="1" containsInteger="1" minValue="1" maxValue="25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s v="TP25C"/>
        <s v="Desc"/>
        <s v="MV"/>
        <s v="TC"/>
        <m/>
      </sharedItems>
    </cacheField>
    <cacheField name="Causa" numFmtId="0">
      <sharedItems containsBlank="1"/>
    </cacheField>
    <cacheField name="Mortalidad" numFmtId="0">
      <sharedItems containsString="0" containsBlank="1" containsNumber="1" minValue="6.9480000000000004" maxValue="162125"/>
    </cacheField>
    <cacheField name="porcentaje" numFmtId="0">
      <sharedItems containsBlank="1" containsMixedTypes="1" containsNumber="1" minValue="2.8E-3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orielys" refreshedDate="44957.910349999998" createdVersion="5" refreshedVersion="5" minRefreshableVersion="3" recordCount="554">
  <cacheSource type="worksheet">
    <worksheetSource ref="A3:F1048576" sheet="Mortalidad General"/>
  </cacheSource>
  <cacheFields count="6">
    <cacheField name="Key" numFmtId="0">
      <sharedItems containsBlank="1" count="552">
        <s v="2014-1"/>
        <s v="2014-2"/>
        <s v="2014-3"/>
        <s v="2014-4"/>
        <s v="2014-5"/>
        <s v="2014-6"/>
        <s v="2014-7"/>
        <s v="2014-8"/>
        <s v="2014-9"/>
        <s v="2014-10"/>
        <s v="2014-11"/>
        <s v="2014-12"/>
        <s v="2014-13"/>
        <s v="2014-14"/>
        <s v="2014-15"/>
        <s v="2014-16"/>
        <s v="2014-17"/>
        <s v="2014-18"/>
        <s v="2014-19"/>
        <s v="2014-20"/>
        <s v="2014-21"/>
        <s v="2014-22"/>
        <s v="2014-23"/>
        <s v="2014-24"/>
        <s v="2014-25"/>
        <s v="2014-TP25C"/>
        <s v="2014-Desc"/>
        <s v="2014-MV"/>
        <s v="2014-TC"/>
        <s v="2013-1"/>
        <s v="2013-2"/>
        <s v="2013-3"/>
        <s v="2013-4"/>
        <s v="2013-5"/>
        <s v="2013-6"/>
        <s v="2013-7"/>
        <s v="2013-8"/>
        <s v="2013-9"/>
        <s v="2013-10"/>
        <s v="2013-11"/>
        <s v="2013-12"/>
        <s v="2013-13"/>
        <s v="2013-14"/>
        <s v="2013-15"/>
        <s v="2013-16"/>
        <s v="2013-17"/>
        <s v="2013-18"/>
        <s v="2013-19"/>
        <s v="2013-20"/>
        <s v="2013-21"/>
        <s v="2013-22"/>
        <s v="2013-23"/>
        <s v="2013-24"/>
        <s v="2013-25"/>
        <s v="2013-TP25C"/>
        <s v="2013-Desc"/>
        <s v="2013-MV"/>
        <s v="2013-TC"/>
        <s v="2012-1"/>
        <s v="2012-2"/>
        <s v="2012-3"/>
        <s v="2012-4"/>
        <s v="2012-5"/>
        <s v="2012-6"/>
        <s v="2012-7"/>
        <s v="2012-8"/>
        <s v="2012-9"/>
        <s v="2012-10"/>
        <s v="2012-11"/>
        <s v="2012-12"/>
        <s v="2012-13"/>
        <s v="2012-14"/>
        <s v="2012-15"/>
        <s v="2012-16"/>
        <s v="2012-17"/>
        <s v="2012-18"/>
        <s v="2012-19"/>
        <s v="2012-20"/>
        <s v="2012-21"/>
        <s v="2012-22"/>
        <s v="2012-23"/>
        <s v="2012-24"/>
        <s v="2012-25"/>
        <s v="2012-TP25C"/>
        <s v="2012-Desc"/>
        <s v="2012-MV"/>
        <s v="2012-TC"/>
        <s v="2011-1"/>
        <s v="2011-2"/>
        <s v="2011-3"/>
        <s v="2011-4"/>
        <s v="2011-5"/>
        <s v="2011-6"/>
        <s v="2011-7"/>
        <s v="2011-8"/>
        <s v="2011-9"/>
        <s v="2011-10"/>
        <s v="2011-11"/>
        <s v="2011-12"/>
        <s v="2011-13"/>
        <s v="2011-14"/>
        <s v="2011-15"/>
        <s v="2011-16"/>
        <s v="2011-17"/>
        <s v="2011-18"/>
        <s v="2011-19"/>
        <s v="2011-20"/>
        <s v="2011-21"/>
        <s v="2011-22"/>
        <s v="2011-23"/>
        <s v="2011-24"/>
        <s v="2011-25"/>
        <s v="2011-TP25C"/>
        <s v="2011-Desc"/>
        <s v="2011-MV"/>
        <s v="2011-TC"/>
        <s v="2010-1"/>
        <s v="2010-2"/>
        <s v="2010-3"/>
        <s v="2010-4"/>
        <s v="2010-5"/>
        <s v="2010-6"/>
        <s v="2010-7"/>
        <s v="2010-8"/>
        <s v="2010-9"/>
        <s v="2010-10"/>
        <s v="2010-11"/>
        <s v="2010-12"/>
        <s v="2010-13"/>
        <s v="2010-14"/>
        <s v="2010-15"/>
        <s v="2010-16"/>
        <s v="2010-17"/>
        <s v="2010-18"/>
        <s v="2010-19"/>
        <s v="2010-20"/>
        <s v="2010-21"/>
        <s v="2010-22"/>
        <s v="2010-23"/>
        <s v="2010-24"/>
        <s v="2010-25"/>
        <s v="2010-TP25C"/>
        <s v="2010-Desc"/>
        <s v="2010-MV"/>
        <s v="2010-TC"/>
        <s v="2009-1"/>
        <s v="2009-2"/>
        <s v="2009-3"/>
        <s v="2009-4"/>
        <s v="2009-5"/>
        <s v="2009-6"/>
        <s v="2009-7"/>
        <s v="2009-8"/>
        <s v="2009-9"/>
        <s v="2009-10"/>
        <s v="2009-11"/>
        <s v="2009-12"/>
        <s v="2009-13"/>
        <s v="2009-14"/>
        <s v="2009-15"/>
        <s v="2009-16"/>
        <s v="2009-17"/>
        <s v="2009-18"/>
        <s v="2009-19"/>
        <s v="2009-20"/>
        <s v="2009-21"/>
        <s v="2009-22"/>
        <s v="2009-23"/>
        <s v="2009-24"/>
        <s v="2009-25"/>
        <s v="2009-TP25C"/>
        <s v="2009-Desc"/>
        <s v="2009-MV"/>
        <s v="2009-TC"/>
        <s v="2008-1"/>
        <s v="2008-2"/>
        <s v="2008-3"/>
        <s v="2008-4"/>
        <s v="2008-5"/>
        <s v="2008-6"/>
        <s v="2008-7"/>
        <s v="2008-8"/>
        <s v="2008-9"/>
        <s v="2008-10"/>
        <s v="2008-11"/>
        <s v="2008-12"/>
        <s v="2008-13"/>
        <s v="2008-14"/>
        <s v="2008-15"/>
        <s v="2008-16"/>
        <s v="2008-17"/>
        <s v="2008-18"/>
        <s v="2008-19"/>
        <s v="2008-20"/>
        <s v="2008-21"/>
        <s v="2008-22"/>
        <s v="2008-23"/>
        <s v="2008-24"/>
        <s v="2008-25"/>
        <s v="2008-TP25C"/>
        <s v="2008-Desc"/>
        <s v="2008-MV"/>
        <s v="2008-TC"/>
        <s v="2007-1"/>
        <s v="2007-2"/>
        <s v="2007-3"/>
        <s v="2007-4"/>
        <s v="2007-5"/>
        <s v="2007-6"/>
        <s v="2007-7"/>
        <s v="2007-8"/>
        <s v="2007-9"/>
        <s v="2007-10"/>
        <s v="2007-11"/>
        <s v="2007-12"/>
        <s v="2007-13"/>
        <s v="2007-14"/>
        <s v="2007-15"/>
        <s v="2007-16"/>
        <s v="2007-17"/>
        <s v="2007-18"/>
        <s v="2007-19"/>
        <s v="2007-20"/>
        <s v="2007-21"/>
        <s v="2007-22"/>
        <s v="2007-23"/>
        <s v="2007-24"/>
        <s v="2007-25"/>
        <s v="2007-TP25C"/>
        <s v="2007-Desc"/>
        <s v="2007-MV"/>
        <s v="2007-TC"/>
        <s v="2006-1"/>
        <s v="2006-2"/>
        <s v="2006-3"/>
        <s v="2006-4"/>
        <s v="2006-5"/>
        <s v="2006-6"/>
        <s v="2006-7"/>
        <s v="2006-8"/>
        <s v="2006-9"/>
        <s v="2006-10"/>
        <s v="2006-11"/>
        <s v="2006-12"/>
        <s v="2006-13"/>
        <s v="2006-14"/>
        <s v="2006-15"/>
        <s v="2006-16"/>
        <s v="2006-17"/>
        <s v="2006-18"/>
        <s v="2006-19"/>
        <s v="2006-20"/>
        <s v="2006-21"/>
        <s v="2006-22"/>
        <s v="2006-23"/>
        <s v="2006-24"/>
        <s v="2006-25"/>
        <s v="2006-TP25C"/>
        <s v="2006-Desc"/>
        <s v="2006-MV"/>
        <s v="2006-TC"/>
        <s v="2005-1"/>
        <s v="2005-2"/>
        <s v="2005-3"/>
        <s v="2005-4"/>
        <s v="2005-5"/>
        <s v="2005-6"/>
        <s v="2005-7"/>
        <s v="2005-8"/>
        <s v="2005-9"/>
        <s v="2005-10"/>
        <s v="2005-11"/>
        <s v="2005-12"/>
        <s v="2005-13"/>
        <s v="2005-14"/>
        <s v="2005-15"/>
        <s v="2005-16"/>
        <s v="2005-17"/>
        <s v="2005-18"/>
        <s v="2005-19"/>
        <s v="2005-20"/>
        <s v="2005-21"/>
        <s v="2005-22"/>
        <s v="2005-23"/>
        <s v="2005-24"/>
        <s v="2005-25"/>
        <s v="2005-TP25C"/>
        <s v="2005-Desc"/>
        <s v="2005-MV"/>
        <s v="2005-TC"/>
        <s v="2004-1"/>
        <s v="2004-2"/>
        <s v="2004-3"/>
        <s v="2004-4"/>
        <s v="2004-5"/>
        <s v="2004-6"/>
        <s v="2004-7"/>
        <s v="2004-8"/>
        <s v="2004-9"/>
        <s v="2004-10"/>
        <s v="2004-11"/>
        <s v="2004-12"/>
        <s v="2004-13"/>
        <s v="2004-14"/>
        <s v="2004-15"/>
        <s v="2004-16"/>
        <s v="2004-17"/>
        <s v="2004-18"/>
        <s v="2004-19"/>
        <s v="2004-20"/>
        <s v="2004-21"/>
        <s v="2004-22"/>
        <s v="2004-23"/>
        <s v="2004-24"/>
        <s v="2004-25"/>
        <s v="2004-TP25C"/>
        <s v="2004-Desc"/>
        <s v="2004-MV"/>
        <s v="2004-TC"/>
        <s v="2003-1"/>
        <s v="2003-2"/>
        <s v="2003-3"/>
        <s v="2003-4"/>
        <s v="2003-5"/>
        <s v="2003-6"/>
        <s v="2003-7"/>
        <s v="2003-8"/>
        <s v="2003-9"/>
        <s v="2003-10"/>
        <s v="2003-11"/>
        <s v="2003-12"/>
        <s v="2003-13"/>
        <s v="2003-14"/>
        <s v="2003-15"/>
        <s v="2003-16"/>
        <s v="2003-17"/>
        <s v="2003-18"/>
        <s v="2003-19"/>
        <s v="2003-20"/>
        <s v="2003-21"/>
        <s v="2003-22"/>
        <s v="2003-23"/>
        <s v="2003-24"/>
        <s v="2003-25"/>
        <s v="2003-TP25C"/>
        <s v="2003-Desc"/>
        <s v="2003-MV"/>
        <s v="2003-TC"/>
        <s v="2002-1"/>
        <s v="2002-2"/>
        <s v="2002-3"/>
        <s v="2002-4"/>
        <s v="2002-5"/>
        <s v="2002-6"/>
        <s v="2002-7"/>
        <s v="2002-8"/>
        <s v="2002-9"/>
        <s v="2002-10"/>
        <s v="2002-11"/>
        <s v="2002-12"/>
        <s v="2002-13"/>
        <s v="2002-14"/>
        <s v="2002-15"/>
        <s v="2002-16"/>
        <s v="2002-17"/>
        <s v="2002-18"/>
        <s v="2002-19"/>
        <s v="2002-20"/>
        <s v="2002-21"/>
        <s v="2002-22"/>
        <s v="2002-23"/>
        <s v="2002-24"/>
        <s v="2002-25"/>
        <s v="2002-TP25C"/>
        <s v="2002-Desc"/>
        <s v="2002-MV"/>
        <s v="2002-TC"/>
        <s v="2001-1"/>
        <s v="2001-2"/>
        <s v="2001-3"/>
        <s v="2001-4"/>
        <s v="2001-5"/>
        <s v="2001-6"/>
        <s v="2001-7"/>
        <s v="2001-8"/>
        <s v="2001-9"/>
        <s v="2001-10"/>
        <s v="2001-11"/>
        <s v="2001-12"/>
        <s v="2001-13"/>
        <s v="2001-14"/>
        <s v="2001-15"/>
        <s v="2001-16"/>
        <s v="2001-17"/>
        <s v="2001-18"/>
        <s v="2001-19"/>
        <s v="2001-20"/>
        <s v="2001-21"/>
        <s v="2001-22"/>
        <s v="2001-23"/>
        <s v="2001-24"/>
        <s v="2001-25"/>
        <s v="2001-TP25C"/>
        <s v="2001-Desc"/>
        <s v="2001-MV"/>
        <s v="2001-TC"/>
        <s v="2000-1"/>
        <s v="2000-2"/>
        <s v="2000-3"/>
        <s v="2000-4"/>
        <s v="2000-5"/>
        <s v="2000-6"/>
        <s v="2000-7"/>
        <s v="2000-8"/>
        <s v="2000-9"/>
        <s v="2000-10"/>
        <s v="2000-11"/>
        <s v="2000-12"/>
        <s v="2000-13"/>
        <s v="2000-14"/>
        <s v="2000-15"/>
        <s v="2000-16"/>
        <s v="2000-17"/>
        <s v="2000-18"/>
        <s v="2000-19"/>
        <s v="2000-20"/>
        <s v="2000-21"/>
        <s v="2000-22"/>
        <s v="2000-23"/>
        <s v="2000-24"/>
        <s v="2000-25"/>
        <s v="2000-TP25C"/>
        <s v="2000-Desc"/>
        <s v="2000-MV"/>
        <s v="2000-TC"/>
        <s v="1999-1"/>
        <s v="1999-2"/>
        <s v="1999-3"/>
        <s v="1999-4"/>
        <s v="1999-5"/>
        <s v="1999-6"/>
        <s v="1999-7"/>
        <s v="1999-8"/>
        <s v="1999-9"/>
        <s v="1999-10"/>
        <s v="1999-11"/>
        <s v="1999-12"/>
        <s v="1999-13"/>
        <s v="1999-14"/>
        <s v="1999-15"/>
        <s v="1999-16"/>
        <s v="1999-17"/>
        <s v="1999-18"/>
        <s v="1999-19"/>
        <s v="1999-20"/>
        <s v="1999-21"/>
        <s v="1999-22"/>
        <s v="1999-23"/>
        <s v="1999-24"/>
        <s v="1999-25"/>
        <s v="1999-TP25C"/>
        <s v="1999-Desc"/>
        <s v="1999-MV"/>
        <s v="1999-TC"/>
        <s v="1998-1"/>
        <s v="1998-2"/>
        <s v="1998-3"/>
        <s v="1998-4"/>
        <s v="1998-5"/>
        <s v="1998-6"/>
        <s v="1998-7"/>
        <s v="1998-8"/>
        <s v="1998-9"/>
        <s v="1998-10"/>
        <s v="1998-11"/>
        <s v="1998-12"/>
        <s v="1998-13"/>
        <s v="1998-14"/>
        <s v="1998-15"/>
        <s v="1998-16"/>
        <s v="1998-17"/>
        <s v="1998-18"/>
        <s v="1998-19"/>
        <s v="1998-20"/>
        <s v="1998-21"/>
        <s v="1998-22"/>
        <s v="1998-23"/>
        <s v="1998-24"/>
        <s v="1998-25"/>
        <s v="1998-TP25C"/>
        <s v="1998-Desc"/>
        <s v="1998-MV"/>
        <s v="1998-TC"/>
        <s v="1997-1"/>
        <s v="1997-2"/>
        <s v="1997-3"/>
        <s v="1997-4"/>
        <s v="1997-5"/>
        <s v="1997-6"/>
        <s v="1997-7"/>
        <s v="1997-8"/>
        <s v="1997-9"/>
        <s v="1997-10"/>
        <s v="1997-11"/>
        <s v="1997-12"/>
        <s v="1997-13"/>
        <s v="1997-14"/>
        <s v="1997-15"/>
        <s v="1997-16"/>
        <s v="1997-17"/>
        <s v="1997-18"/>
        <s v="1997-19"/>
        <s v="1997-20"/>
        <s v="1997-21"/>
        <s v="1997-22"/>
        <s v="1997-23"/>
        <s v="1997-24"/>
        <s v="1997-25"/>
        <s v="1997-TP25C"/>
        <s v="1997-Desc"/>
        <s v="1997-MV"/>
        <s v="1997-TC"/>
        <s v="1996-1"/>
        <s v="1996-2"/>
        <s v="1996-3"/>
        <s v="1996-4"/>
        <s v="1996-5"/>
        <s v="1996-6"/>
        <s v="1996-7"/>
        <s v="1996-8"/>
        <s v="1996-9"/>
        <s v="1996-10"/>
        <s v="1996-11"/>
        <s v="1996-12"/>
        <s v="1996-13"/>
        <s v="1996-14"/>
        <s v="1996-15"/>
        <s v="1996-16"/>
        <s v="1996-17"/>
        <s v="1996-18"/>
        <s v="1996-19"/>
        <s v="1996-20"/>
        <s v="1996-21"/>
        <s v="1996-22"/>
        <s v="1996-23"/>
        <s v="1996-24"/>
        <s v="1996-25"/>
        <s v="1996-TP25C"/>
        <s v="1996-Desc"/>
        <s v="1996-MV"/>
        <s v="1996-TC"/>
        <m/>
      </sharedItems>
    </cacheField>
    <cacheField name="Año" numFmtId="0">
      <sharedItems containsString="0" containsBlank="1" containsNumber="1" containsInteger="1" minValue="1996" maxValue="2014" count="20"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m/>
      </sharedItems>
    </cacheField>
    <cacheField name="Indicador" numFmtId="0">
      <sharedItems containsBlank="1" containsMixedTypes="1" containsNumber="1" containsInteger="1" minValue="1" maxValue="25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s v="TP25C"/>
        <s v="Desc"/>
        <s v="MV"/>
        <s v="TC"/>
        <m/>
      </sharedItems>
    </cacheField>
    <cacheField name="Causa" numFmtId="0">
      <sharedItems containsBlank="1"/>
    </cacheField>
    <cacheField name="Mortalidad" numFmtId="0">
      <sharedItems containsString="0" containsBlank="1" containsNumber="1" containsInteger="1" minValue="334" maxValue="162125"/>
    </cacheField>
    <cacheField name="Porcentaje" numFmtId="0">
      <sharedItems containsString="0" containsBlank="1" containsNumber="1" minValue="2.8E-3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orielys" refreshedDate="44957.911757291666" createdVersion="5" refreshedVersion="5" minRefreshableVersion="3" recordCount="552">
  <cacheSource type="worksheet">
    <worksheetSource ref="A3:F555" sheet="Mortalidad General"/>
  </cacheSource>
  <cacheFields count="6">
    <cacheField name="Key" numFmtId="0">
      <sharedItems count="551">
        <s v="2014-1"/>
        <s v="2014-2"/>
        <s v="2014-3"/>
        <s v="2014-4"/>
        <s v="2014-5"/>
        <s v="2014-6"/>
        <s v="2014-7"/>
        <s v="2014-8"/>
        <s v="2014-9"/>
        <s v="2014-10"/>
        <s v="2014-11"/>
        <s v="2014-12"/>
        <s v="2014-13"/>
        <s v="2014-14"/>
        <s v="2014-15"/>
        <s v="2014-16"/>
        <s v="2014-17"/>
        <s v="2014-18"/>
        <s v="2014-19"/>
        <s v="2014-20"/>
        <s v="2014-21"/>
        <s v="2014-22"/>
        <s v="2014-23"/>
        <s v="2014-24"/>
        <s v="2014-25"/>
        <s v="2014-TP25C"/>
        <s v="2014-Desc"/>
        <s v="2014-MV"/>
        <s v="2014-TC"/>
        <s v="2013-1"/>
        <s v="2013-2"/>
        <s v="2013-3"/>
        <s v="2013-4"/>
        <s v="2013-5"/>
        <s v="2013-6"/>
        <s v="2013-7"/>
        <s v="2013-8"/>
        <s v="2013-9"/>
        <s v="2013-10"/>
        <s v="2013-11"/>
        <s v="2013-12"/>
        <s v="2013-13"/>
        <s v="2013-14"/>
        <s v="2013-15"/>
        <s v="2013-16"/>
        <s v="2013-17"/>
        <s v="2013-18"/>
        <s v="2013-19"/>
        <s v="2013-20"/>
        <s v="2013-21"/>
        <s v="2013-22"/>
        <s v="2013-23"/>
        <s v="2013-24"/>
        <s v="2013-25"/>
        <s v="2013-TP25C"/>
        <s v="2013-Desc"/>
        <s v="2013-MV"/>
        <s v="2013-TC"/>
        <s v="2012-1"/>
        <s v="2012-2"/>
        <s v="2012-3"/>
        <s v="2012-4"/>
        <s v="2012-5"/>
        <s v="2012-6"/>
        <s v="2012-7"/>
        <s v="2012-8"/>
        <s v="2012-9"/>
        <s v="2012-10"/>
        <s v="2012-11"/>
        <s v="2012-12"/>
        <s v="2012-13"/>
        <s v="2012-14"/>
        <s v="2012-15"/>
        <s v="2012-16"/>
        <s v="2012-17"/>
        <s v="2012-18"/>
        <s v="2012-19"/>
        <s v="2012-20"/>
        <s v="2012-21"/>
        <s v="2012-22"/>
        <s v="2012-23"/>
        <s v="2012-24"/>
        <s v="2012-25"/>
        <s v="2012-TP25C"/>
        <s v="2012-Desc"/>
        <s v="2012-MV"/>
        <s v="2012-TC"/>
        <s v="2011-1"/>
        <s v="2011-2"/>
        <s v="2011-3"/>
        <s v="2011-4"/>
        <s v="2011-5"/>
        <s v="2011-6"/>
        <s v="2011-7"/>
        <s v="2011-8"/>
        <s v="2011-9"/>
        <s v="2011-10"/>
        <s v="2011-11"/>
        <s v="2011-12"/>
        <s v="2011-13"/>
        <s v="2011-14"/>
        <s v="2011-15"/>
        <s v="2011-16"/>
        <s v="2011-17"/>
        <s v="2011-18"/>
        <s v="2011-19"/>
        <s v="2011-20"/>
        <s v="2011-21"/>
        <s v="2011-22"/>
        <s v="2011-23"/>
        <s v="2011-24"/>
        <s v="2011-25"/>
        <s v="2011-TP25C"/>
        <s v="2011-Desc"/>
        <s v="2011-MV"/>
        <s v="2011-TC"/>
        <s v="2010-1"/>
        <s v="2010-2"/>
        <s v="2010-3"/>
        <s v="2010-4"/>
        <s v="2010-5"/>
        <s v="2010-6"/>
        <s v="2010-7"/>
        <s v="2010-8"/>
        <s v="2010-9"/>
        <s v="2010-10"/>
        <s v="2010-11"/>
        <s v="2010-12"/>
        <s v="2010-13"/>
        <s v="2010-14"/>
        <s v="2010-15"/>
        <s v="2010-16"/>
        <s v="2010-17"/>
        <s v="2010-18"/>
        <s v="2010-19"/>
        <s v="2010-20"/>
        <s v="2010-21"/>
        <s v="2010-22"/>
        <s v="2010-23"/>
        <s v="2010-24"/>
        <s v="2010-25"/>
        <s v="2010-TP25C"/>
        <s v="2010-Desc"/>
        <s v="2010-MV"/>
        <s v="2010-TC"/>
        <s v="2009-1"/>
        <s v="2009-2"/>
        <s v="2009-3"/>
        <s v="2009-4"/>
        <s v="2009-5"/>
        <s v="2009-6"/>
        <s v="2009-7"/>
        <s v="2009-8"/>
        <s v="2009-9"/>
        <s v="2009-10"/>
        <s v="2009-11"/>
        <s v="2009-12"/>
        <s v="2009-13"/>
        <s v="2009-14"/>
        <s v="2009-15"/>
        <s v="2009-16"/>
        <s v="2009-17"/>
        <s v="2009-18"/>
        <s v="2009-19"/>
        <s v="2009-20"/>
        <s v="2009-21"/>
        <s v="2009-22"/>
        <s v="2009-23"/>
        <s v="2009-24"/>
        <s v="2009-25"/>
        <s v="2009-TP25C"/>
        <s v="2009-Desc"/>
        <s v="2009-MV"/>
        <s v="2009-TC"/>
        <s v="2008-1"/>
        <s v="2008-2"/>
        <s v="2008-3"/>
        <s v="2008-4"/>
        <s v="2008-5"/>
        <s v="2008-6"/>
        <s v="2008-7"/>
        <s v="2008-8"/>
        <s v="2008-9"/>
        <s v="2008-10"/>
        <s v="2008-11"/>
        <s v="2008-12"/>
        <s v="2008-13"/>
        <s v="2008-14"/>
        <s v="2008-15"/>
        <s v="2008-16"/>
        <s v="2008-17"/>
        <s v="2008-18"/>
        <s v="2008-19"/>
        <s v="2008-20"/>
        <s v="2008-21"/>
        <s v="2008-22"/>
        <s v="2008-23"/>
        <s v="2008-24"/>
        <s v="2008-25"/>
        <s v="2008-TP25C"/>
        <s v="2008-Desc"/>
        <s v="2008-MV"/>
        <s v="2008-TC"/>
        <s v="2007-1"/>
        <s v="2007-2"/>
        <s v="2007-3"/>
        <s v="2007-4"/>
        <s v="2007-5"/>
        <s v="2007-6"/>
        <s v="2007-7"/>
        <s v="2007-8"/>
        <s v="2007-9"/>
        <s v="2007-10"/>
        <s v="2007-11"/>
        <s v="2007-12"/>
        <s v="2007-13"/>
        <s v="2007-14"/>
        <s v="2007-15"/>
        <s v="2007-16"/>
        <s v="2007-17"/>
        <s v="2007-18"/>
        <s v="2007-19"/>
        <s v="2007-20"/>
        <s v="2007-21"/>
        <s v="2007-22"/>
        <s v="2007-23"/>
        <s v="2007-24"/>
        <s v="2007-25"/>
        <s v="2007-TP25C"/>
        <s v="2007-Desc"/>
        <s v="2007-MV"/>
        <s v="2007-TC"/>
        <s v="2006-1"/>
        <s v="2006-2"/>
        <s v="2006-3"/>
        <s v="2006-4"/>
        <s v="2006-5"/>
        <s v="2006-6"/>
        <s v="2006-7"/>
        <s v="2006-8"/>
        <s v="2006-9"/>
        <s v="2006-10"/>
        <s v="2006-11"/>
        <s v="2006-12"/>
        <s v="2006-13"/>
        <s v="2006-14"/>
        <s v="2006-15"/>
        <s v="2006-16"/>
        <s v="2006-17"/>
        <s v="2006-18"/>
        <s v="2006-19"/>
        <s v="2006-20"/>
        <s v="2006-21"/>
        <s v="2006-22"/>
        <s v="2006-23"/>
        <s v="2006-24"/>
        <s v="2006-25"/>
        <s v="2006-TP25C"/>
        <s v="2006-Desc"/>
        <s v="2006-MV"/>
        <s v="2006-TC"/>
        <s v="2005-1"/>
        <s v="2005-2"/>
        <s v="2005-3"/>
        <s v="2005-4"/>
        <s v="2005-5"/>
        <s v="2005-6"/>
        <s v="2005-7"/>
        <s v="2005-8"/>
        <s v="2005-9"/>
        <s v="2005-10"/>
        <s v="2005-11"/>
        <s v="2005-12"/>
        <s v="2005-13"/>
        <s v="2005-14"/>
        <s v="2005-15"/>
        <s v="2005-16"/>
        <s v="2005-17"/>
        <s v="2005-18"/>
        <s v="2005-19"/>
        <s v="2005-20"/>
        <s v="2005-21"/>
        <s v="2005-22"/>
        <s v="2005-23"/>
        <s v="2005-24"/>
        <s v="2005-25"/>
        <s v="2005-TP25C"/>
        <s v="2005-Desc"/>
        <s v="2005-MV"/>
        <s v="2005-TC"/>
        <s v="2004-1"/>
        <s v="2004-2"/>
        <s v="2004-3"/>
        <s v="2004-4"/>
        <s v="2004-5"/>
        <s v="2004-6"/>
        <s v="2004-7"/>
        <s v="2004-8"/>
        <s v="2004-9"/>
        <s v="2004-10"/>
        <s v="2004-11"/>
        <s v="2004-12"/>
        <s v="2004-13"/>
        <s v="2004-14"/>
        <s v="2004-15"/>
        <s v="2004-16"/>
        <s v="2004-17"/>
        <s v="2004-18"/>
        <s v="2004-19"/>
        <s v="2004-20"/>
        <s v="2004-21"/>
        <s v="2004-22"/>
        <s v="2004-23"/>
        <s v="2004-24"/>
        <s v="2004-25"/>
        <s v="2004-TP25C"/>
        <s v="2004-Desc"/>
        <s v="2004-MV"/>
        <s v="2004-TC"/>
        <s v="2003-1"/>
        <s v="2003-2"/>
        <s v="2003-3"/>
        <s v="2003-4"/>
        <s v="2003-5"/>
        <s v="2003-6"/>
        <s v="2003-7"/>
        <s v="2003-8"/>
        <s v="2003-9"/>
        <s v="2003-10"/>
        <s v="2003-11"/>
        <s v="2003-12"/>
        <s v="2003-13"/>
        <s v="2003-14"/>
        <s v="2003-15"/>
        <s v="2003-16"/>
        <s v="2003-17"/>
        <s v="2003-18"/>
        <s v="2003-19"/>
        <s v="2003-20"/>
        <s v="2003-21"/>
        <s v="2003-22"/>
        <s v="2003-23"/>
        <s v="2003-24"/>
        <s v="2003-25"/>
        <s v="2003-TP25C"/>
        <s v="2003-Desc"/>
        <s v="2003-MV"/>
        <s v="2003-TC"/>
        <s v="2002-1"/>
        <s v="2002-2"/>
        <s v="2002-3"/>
        <s v="2002-4"/>
        <s v="2002-5"/>
        <s v="2002-6"/>
        <s v="2002-7"/>
        <s v="2002-8"/>
        <s v="2002-9"/>
        <s v="2002-10"/>
        <s v="2002-11"/>
        <s v="2002-12"/>
        <s v="2002-13"/>
        <s v="2002-14"/>
        <s v="2002-15"/>
        <s v="2002-16"/>
        <s v="2002-17"/>
        <s v="2002-18"/>
        <s v="2002-19"/>
        <s v="2002-20"/>
        <s v="2002-21"/>
        <s v="2002-22"/>
        <s v="2002-23"/>
        <s v="2002-24"/>
        <s v="2002-25"/>
        <s v="2002-TP25C"/>
        <s v="2002-Desc"/>
        <s v="2002-MV"/>
        <s v="2002-TC"/>
        <s v="2001-1"/>
        <s v="2001-2"/>
        <s v="2001-3"/>
        <s v="2001-4"/>
        <s v="2001-5"/>
        <s v="2001-6"/>
        <s v="2001-7"/>
        <s v="2001-8"/>
        <s v="2001-9"/>
        <s v="2001-10"/>
        <s v="2001-11"/>
        <s v="2001-12"/>
        <s v="2001-13"/>
        <s v="2001-14"/>
        <s v="2001-15"/>
        <s v="2001-16"/>
        <s v="2001-17"/>
        <s v="2001-18"/>
        <s v="2001-19"/>
        <s v="2001-20"/>
        <s v="2001-21"/>
        <s v="2001-22"/>
        <s v="2001-23"/>
        <s v="2001-24"/>
        <s v="2001-25"/>
        <s v="2001-TP25C"/>
        <s v="2001-Desc"/>
        <s v="2001-MV"/>
        <s v="2001-TC"/>
        <s v="2000-1"/>
        <s v="2000-2"/>
        <s v="2000-3"/>
        <s v="2000-4"/>
        <s v="2000-5"/>
        <s v="2000-6"/>
        <s v="2000-7"/>
        <s v="2000-8"/>
        <s v="2000-9"/>
        <s v="2000-10"/>
        <s v="2000-11"/>
        <s v="2000-12"/>
        <s v="2000-13"/>
        <s v="2000-14"/>
        <s v="2000-15"/>
        <s v="2000-16"/>
        <s v="2000-17"/>
        <s v="2000-18"/>
        <s v="2000-19"/>
        <s v="2000-20"/>
        <s v="2000-21"/>
        <s v="2000-22"/>
        <s v="2000-23"/>
        <s v="2000-24"/>
        <s v="2000-25"/>
        <s v="2000-TP25C"/>
        <s v="2000-Desc"/>
        <s v="2000-MV"/>
        <s v="2000-TC"/>
        <s v="1999-1"/>
        <s v="1999-2"/>
        <s v="1999-3"/>
        <s v="1999-4"/>
        <s v="1999-5"/>
        <s v="1999-6"/>
        <s v="1999-7"/>
        <s v="1999-8"/>
        <s v="1999-9"/>
        <s v="1999-10"/>
        <s v="1999-11"/>
        <s v="1999-12"/>
        <s v="1999-13"/>
        <s v="1999-14"/>
        <s v="1999-15"/>
        <s v="1999-16"/>
        <s v="1999-17"/>
        <s v="1999-18"/>
        <s v="1999-19"/>
        <s v="1999-20"/>
        <s v="1999-21"/>
        <s v="1999-22"/>
        <s v="1999-23"/>
        <s v="1999-24"/>
        <s v="1999-25"/>
        <s v="1999-TP25C"/>
        <s v="1999-Desc"/>
        <s v="1999-MV"/>
        <s v="1999-TC"/>
        <s v="1998-1"/>
        <s v="1998-2"/>
        <s v="1998-3"/>
        <s v="1998-4"/>
        <s v="1998-5"/>
        <s v="1998-6"/>
        <s v="1998-7"/>
        <s v="1998-8"/>
        <s v="1998-9"/>
        <s v="1998-10"/>
        <s v="1998-11"/>
        <s v="1998-12"/>
        <s v="1998-13"/>
        <s v="1998-14"/>
        <s v="1998-15"/>
        <s v="1998-16"/>
        <s v="1998-17"/>
        <s v="1998-18"/>
        <s v="1998-19"/>
        <s v="1998-20"/>
        <s v="1998-21"/>
        <s v="1998-22"/>
        <s v="1998-23"/>
        <s v="1998-24"/>
        <s v="1998-25"/>
        <s v="1998-TP25C"/>
        <s v="1998-Desc"/>
        <s v="1998-MV"/>
        <s v="1998-TC"/>
        <s v="1997-1"/>
        <s v="1997-2"/>
        <s v="1997-3"/>
        <s v="1997-4"/>
        <s v="1997-5"/>
        <s v="1997-6"/>
        <s v="1997-7"/>
        <s v="1997-8"/>
        <s v="1997-9"/>
        <s v="1997-10"/>
        <s v="1997-11"/>
        <s v="1997-12"/>
        <s v="1997-13"/>
        <s v="1997-14"/>
        <s v="1997-15"/>
        <s v="1997-16"/>
        <s v="1997-17"/>
        <s v="1997-18"/>
        <s v="1997-19"/>
        <s v="1997-20"/>
        <s v="1997-21"/>
        <s v="1997-22"/>
        <s v="1997-23"/>
        <s v="1997-24"/>
        <s v="1997-25"/>
        <s v="1997-TP25C"/>
        <s v="1997-Desc"/>
        <s v="1997-MV"/>
        <s v="1997-TC"/>
        <s v="1996-1"/>
        <s v="1996-2"/>
        <s v="1996-3"/>
        <s v="1996-4"/>
        <s v="1996-5"/>
        <s v="1996-6"/>
        <s v="1996-7"/>
        <s v="1996-8"/>
        <s v="1996-9"/>
        <s v="1996-10"/>
        <s v="1996-11"/>
        <s v="1996-12"/>
        <s v="1996-13"/>
        <s v="1996-14"/>
        <s v="1996-15"/>
        <s v="1996-16"/>
        <s v="1996-17"/>
        <s v="1996-18"/>
        <s v="1996-19"/>
        <s v="1996-20"/>
        <s v="1996-21"/>
        <s v="1996-22"/>
        <s v="1996-23"/>
        <s v="1996-24"/>
        <s v="1996-25"/>
        <s v="1996-TP25C"/>
        <s v="1996-Desc"/>
        <s v="1996-MV"/>
        <s v="1996-TC"/>
      </sharedItems>
    </cacheField>
    <cacheField name="Año" numFmtId="0">
      <sharedItems containsSemiMixedTypes="0" containsString="0" containsNumber="1" containsInteger="1" minValue="1996" maxValue="2014" count="19"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</sharedItems>
    </cacheField>
    <cacheField name="Indicador" numFmtId="0">
      <sharedItems containsMixedTypes="1" containsNumber="1" containsInteger="1" minValue="1" maxValue="25"/>
    </cacheField>
    <cacheField name="Causa" numFmtId="49">
      <sharedItems/>
    </cacheField>
    <cacheField name="Mortalidad" numFmtId="0">
      <sharedItems containsSemiMixedTypes="0" containsString="0" containsNumber="1" containsInteger="1" minValue="334" maxValue="162125"/>
    </cacheField>
    <cacheField name="Porcentaje" numFmtId="0">
      <sharedItems containsSemiMixedTypes="0" containsString="0" containsNumber="1" minValue="2.8E-3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4">
  <r>
    <x v="0"/>
    <x v="0"/>
    <x v="0"/>
    <s v="Enfermedades del corazón (I05-I09, I11, I13, I21-I51)"/>
    <n v="34672"/>
    <n v="0.21390000000000001"/>
  </r>
  <r>
    <x v="1"/>
    <x v="0"/>
    <x v="1"/>
    <s v="Cáncer. (C00-C97)"/>
    <n v="24199"/>
    <n v="0.14929999999999999"/>
  </r>
  <r>
    <x v="2"/>
    <x v="0"/>
    <x v="2"/>
    <s v="Diabetes. (E10-E14)"/>
    <n v="13422"/>
    <n v="8.2799999999999999E-2"/>
  </r>
  <r>
    <x v="3"/>
    <x v="0"/>
    <x v="3"/>
    <s v="Enfermedades Cerebrovasculares. (I60-I69)"/>
    <n v="11926"/>
    <n v="7.3599999999999999E-2"/>
  </r>
  <r>
    <x v="4"/>
    <x v="0"/>
    <x v="4"/>
    <s v="Suicidios y Homicidios. (X60-Y09). (2)"/>
    <n v="9818"/>
    <n v="6.0900000000000003E-2"/>
  </r>
  <r>
    <x v="5"/>
    <x v="0"/>
    <x v="5"/>
    <s v="Accidentes de Todo Tipo. (V01-X59). (2)"/>
    <n v="9209"/>
    <n v="5.7099999999999998E-2"/>
  </r>
  <r>
    <x v="6"/>
    <x v="0"/>
    <x v="6"/>
    <s v="Ciertas afecciones originadas en el período perinatal. (P00-P96) (3)"/>
    <n v="5605"/>
    <n v="3.4599999999999999E-2"/>
  </r>
  <r>
    <x v="7"/>
    <x v="0"/>
    <x v="7"/>
    <s v="Enfermedades crónicas de las vías respiratorias inferiores. (J40-J47)"/>
    <n v="4901"/>
    <n v="3.0200000000000001E-2"/>
  </r>
  <r>
    <x v="8"/>
    <x v="0"/>
    <x v="8"/>
    <s v="Influenza y neumonía. (J09-J18)"/>
    <n v="4779"/>
    <n v="2.9499999999999998E-2"/>
  </r>
  <r>
    <x v="9"/>
    <x v="0"/>
    <x v="9"/>
    <s v="Enfermedades del hígado. (K70-K77)"/>
    <n v="3456"/>
    <n v="2.1299999999999999E-2"/>
  </r>
  <r>
    <x v="10"/>
    <x v="0"/>
    <x v="10"/>
    <s v="Otras enfermedades hipertensivas. (I10, I12)"/>
    <n v="2769"/>
    <n v="1.7100000000000001E-2"/>
  </r>
  <r>
    <x v="11"/>
    <x v="0"/>
    <x v="11"/>
    <s v="Malformaciones congénitas, deformidades y anomalias cromosómicas (Q00-Q99)"/>
    <n v="2474"/>
    <n v="1.5299999999999999E-2"/>
  </r>
  <r>
    <x v="12"/>
    <x v="0"/>
    <x v="12"/>
    <s v="Nefritis y Nefrosis. (N00-N19, N25-N29)"/>
    <n v="2446"/>
    <n v="1.5100000000000001E-2"/>
  </r>
  <r>
    <x v="13"/>
    <x v="0"/>
    <x v="13"/>
    <s v="Tumores benignos y de comportamiento incierto o desconocido. (D10-D48)"/>
    <n v="2278"/>
    <n v="1.41E-2"/>
  </r>
  <r>
    <x v="14"/>
    <x v="0"/>
    <x v="14"/>
    <s v="Enfermedad por virus de la inmunodeficiencia humana [VIH]. (B20-B24)"/>
    <n v="2218"/>
    <n v="1.37E-2"/>
  </r>
  <r>
    <x v="15"/>
    <x v="0"/>
    <x v="15"/>
    <s v="Enfermedades infecciosas intestinales. (A00-A09)"/>
    <n v="1390"/>
    <n v="8.6E-3"/>
  </r>
  <r>
    <x v="16"/>
    <x v="0"/>
    <x v="16"/>
    <s v="Septicemia. (A40-A41)"/>
    <n v="1156"/>
    <n v="7.1000000000000004E-3"/>
  </r>
  <r>
    <x v="17"/>
    <x v="0"/>
    <x v="17"/>
    <s v="Infección aguda no especificada de las vías respiratorias inferiores (J22)"/>
    <n v="1018"/>
    <n v="6.3E-3"/>
  </r>
  <r>
    <x v="18"/>
    <x v="0"/>
    <x v="18"/>
    <s v="Enfermedades debidas a protozoarios. (B50-B64)"/>
    <n v="826"/>
    <n v="5.1000000000000004E-3"/>
  </r>
  <r>
    <x v="19"/>
    <x v="0"/>
    <x v="19"/>
    <s v="Íleo paralitico y obstrucción intestinal, sin hernia (K56)"/>
    <n v="750"/>
    <n v="4.5999999999999999E-3"/>
  </r>
  <r>
    <x v="20"/>
    <x v="0"/>
    <x v="20"/>
    <s v="Enfermedades de las arterias, de las arteriolas y de los vasos capilares. (I70-I79)"/>
    <n v="723"/>
    <n v="4.4999999999999997E-3"/>
  </r>
  <r>
    <x v="21"/>
    <x v="0"/>
    <x v="21"/>
    <s v="Tuberculosis. (A15-A19, B90)"/>
    <n v="712"/>
    <n v="4.4000000000000003E-3"/>
  </r>
  <r>
    <x v="22"/>
    <x v="0"/>
    <x v="22"/>
    <s v="Trastornos episódicos y paroxísticos. (G40-G47)"/>
    <n v="612"/>
    <n v="3.8E-3"/>
  </r>
  <r>
    <x v="23"/>
    <x v="0"/>
    <x v="23"/>
    <s v="Enfermedades del esófago, del estómago y del duodeno. (K20-K31)"/>
    <n v="601"/>
    <n v="3.7000000000000002E-3"/>
  </r>
  <r>
    <x v="24"/>
    <x v="0"/>
    <x v="24"/>
    <s v="Trastornos de la vesícula biliar, de las vías biliares y del páncreas. (K80-K87)"/>
    <n v="571"/>
    <n v="3.5000000000000001E-3"/>
  </r>
  <r>
    <x v="25"/>
    <x v="0"/>
    <x v="25"/>
    <s v="Total 25 Primeras Causas"/>
    <n v="142531"/>
    <n v="0.87909999999999999"/>
  </r>
  <r>
    <x v="26"/>
    <x v="0"/>
    <x v="26"/>
    <s v="Causas de mortalidad mal definidas, desconocidas o sin diagnostico medico tratante. (R95-R99). (2)"/>
    <n v="617"/>
    <n v="3.8E-3"/>
  </r>
  <r>
    <x v="27"/>
    <x v="0"/>
    <x v="27"/>
    <s v="Resto de Muertes Violentas. (Y10-Y34, Y35-Y36). (2)"/>
    <n v="9082"/>
    <n v="5.6300000000000003E-2"/>
  </r>
  <r>
    <x v="28"/>
    <x v="0"/>
    <x v="28"/>
    <s v="Total Todas las Causas (A00-Y89)"/>
    <n v="162125"/>
    <n v="1"/>
  </r>
  <r>
    <x v="29"/>
    <x v="1"/>
    <x v="0"/>
    <s v="Enfermedades del corazón (I05-I09, I11, I13, I21-I51)"/>
    <n v="30899"/>
    <n v="0.20610000000000001"/>
  </r>
  <r>
    <x v="30"/>
    <x v="1"/>
    <x v="1"/>
    <s v="Cáncer. (C00-C97)"/>
    <n v="23121"/>
    <n v="0.1542"/>
  </r>
  <r>
    <x v="31"/>
    <x v="1"/>
    <x v="2"/>
    <s v="Diabetes. (E10-E14)"/>
    <n v="11459"/>
    <n v="7.6399999999999996E-2"/>
  </r>
  <r>
    <x v="32"/>
    <x v="1"/>
    <x v="3"/>
    <s v="Enfermedades Cerebrovasculares. (I60-I69)"/>
    <n v="11164"/>
    <n v="7.4499999999999997E-2"/>
  </r>
  <r>
    <x v="33"/>
    <x v="1"/>
    <x v="4"/>
    <s v="Accidentes de Todo Tipo. (V01-X59). (2)"/>
    <n v="9720"/>
    <n v="6.5100000000000005E-2"/>
  </r>
  <r>
    <x v="34"/>
    <x v="1"/>
    <x v="5"/>
    <s v="Suicidios y Homicidios. (X60-Y09). (2)"/>
    <n v="9458"/>
    <n v="6.3399999999999998E-2"/>
  </r>
  <r>
    <x v="35"/>
    <x v="1"/>
    <x v="6"/>
    <s v="Ciertas afecciones originadas en el período perinatal. (P00-P96) (3)"/>
    <n v="5280"/>
    <n v="3.5200000000000002E-2"/>
  </r>
  <r>
    <x v="36"/>
    <x v="1"/>
    <x v="7"/>
    <s v="Influenza y neumonía. (J09-J18)"/>
    <n v="4553"/>
    <n v="3.04E-2"/>
  </r>
  <r>
    <x v="37"/>
    <x v="1"/>
    <x v="8"/>
    <s v="Enfermedades crónicas de las vías respiratorias inferiores. (J40-J47)"/>
    <n v="4333"/>
    <n v="2.8899999999999999E-2"/>
  </r>
  <r>
    <x v="38"/>
    <x v="1"/>
    <x v="9"/>
    <s v="Enfermedades del hígado. (K70-K77)"/>
    <n v="3098"/>
    <n v="2.07E-2"/>
  </r>
  <r>
    <x v="39"/>
    <x v="1"/>
    <x v="10"/>
    <s v="Anomalías congénitas. (Q00-Q99)"/>
    <n v="2428"/>
    <n v="1.6199999999999999E-2"/>
  </r>
  <r>
    <x v="40"/>
    <x v="1"/>
    <x v="11"/>
    <s v="Tumores benignos y de comportamiento incierto o desconocido. (D10-D48)"/>
    <n v="2339"/>
    <n v="1.5599999999999999E-2"/>
  </r>
  <r>
    <x v="41"/>
    <x v="1"/>
    <x v="12"/>
    <s v="Nefritis y Nefrosis. (N00-N19, N25-N29)"/>
    <n v="2139"/>
    <n v="1.43E-2"/>
  </r>
  <r>
    <x v="42"/>
    <x v="1"/>
    <x v="13"/>
    <s v="Otras enfermedades hipertensivas. (I10, I12)"/>
    <n v="2063"/>
    <n v="1.38E-2"/>
  </r>
  <r>
    <x v="43"/>
    <x v="1"/>
    <x v="14"/>
    <s v="Enfermedad por virus de la inmunodeficiencia humana [VIH]. (B20-B24)"/>
    <n v="2054"/>
    <n v="1.37E-2"/>
  </r>
  <r>
    <x v="44"/>
    <x v="1"/>
    <x v="15"/>
    <s v="Enfermedades infecciosas intestinales. (A00-A09)"/>
    <n v="1017"/>
    <n v="6.7999999999999996E-3"/>
  </r>
  <r>
    <x v="45"/>
    <x v="1"/>
    <x v="16"/>
    <s v="Septicemia. (A40-A41)"/>
    <n v="935"/>
    <n v="6.1999999999999998E-3"/>
  </r>
  <r>
    <x v="46"/>
    <x v="1"/>
    <x v="17"/>
    <s v="Infección aguda no especificada de las vías respiratorias inferiores (J22)"/>
    <n v="769"/>
    <n v="5.1000000000000004E-3"/>
  </r>
  <r>
    <x v="47"/>
    <x v="1"/>
    <x v="18"/>
    <s v="Tuberculosis. (A15-A19, B90)"/>
    <n v="695"/>
    <n v="4.5999999999999999E-3"/>
  </r>
  <r>
    <x v="48"/>
    <x v="1"/>
    <x v="19"/>
    <s v="Enfermedades debidas a protozoarios. (B50-B64)"/>
    <n v="685"/>
    <n v="4.5999999999999999E-3"/>
  </r>
  <r>
    <x v="49"/>
    <x v="1"/>
    <x v="20"/>
    <s v="Íleo paralitico y obstrucción intestinal, sin hernia (K56)"/>
    <n v="637"/>
    <n v="4.1999999999999997E-3"/>
  </r>
  <r>
    <x v="50"/>
    <x v="1"/>
    <x v="21"/>
    <s v="Trastornos de la vesícula biliar, de las vías biliares y del páncreas. (K80-K87)"/>
    <n v="538"/>
    <n v="3.5999999999999999E-3"/>
  </r>
  <r>
    <x v="51"/>
    <x v="1"/>
    <x v="22"/>
    <s v="Enfermedades del esófago, del estómago y del duodeno. (K20-K31)"/>
    <n v="524"/>
    <n v="3.5000000000000001E-3"/>
  </r>
  <r>
    <x v="52"/>
    <x v="1"/>
    <x v="23"/>
    <s v="Enfermedad de Alzheimer (G30)"/>
    <n v="515"/>
    <n v="3.3999999999999998E-3"/>
  </r>
  <r>
    <x v="53"/>
    <x v="1"/>
    <x v="24"/>
    <s v="Trastornos episódicos y paroxísticos. (G40-G47)"/>
    <n v="502"/>
    <n v="3.3E-3"/>
  </r>
  <r>
    <x v="54"/>
    <x v="1"/>
    <x v="25"/>
    <s v="Total 25 Primeras Causas"/>
    <n v="130925"/>
    <n v="0.87339999999999995"/>
  </r>
  <r>
    <x v="55"/>
    <x v="1"/>
    <x v="26"/>
    <s v="Causas de mortalidad mal definidas, desconocidas o sin diagnostico medico tratante. (R95-R99). (2)"/>
    <n v="430"/>
    <n v="2.8999999999999998E-3"/>
  </r>
  <r>
    <x v="56"/>
    <x v="1"/>
    <x v="27"/>
    <s v="Resto de Muertes Violentas. (Y10-Y34, Y35-Y36). (2)"/>
    <n v="9717"/>
    <n v="6.5100000000000005E-2"/>
  </r>
  <r>
    <x v="57"/>
    <x v="1"/>
    <x v="28"/>
    <s v="Total Todas las Causas (A00-Y89)"/>
    <n v="149903"/>
    <n v="1"/>
  </r>
  <r>
    <x v="58"/>
    <x v="2"/>
    <x v="0"/>
    <s v="Enfermedades del corazón (I05-I09, I11, I13, I21-I51)"/>
    <n v="30467"/>
    <n v="0.20580000000000001"/>
  </r>
  <r>
    <x v="59"/>
    <x v="2"/>
    <x v="1"/>
    <s v="Cáncer. (C00-C97)"/>
    <n v="22815"/>
    <n v="0.15409999999999999"/>
  </r>
  <r>
    <x v="60"/>
    <x v="2"/>
    <x v="2"/>
    <s v="Enfermedades Cerebrovasculares. (I60-I69)"/>
    <n v="11308"/>
    <n v="7.6399999999999996E-2"/>
  </r>
  <r>
    <x v="61"/>
    <x v="2"/>
    <x v="3"/>
    <s v="Suicidios y Homicidios. (X60-Y09). (2)"/>
    <n v="10671"/>
    <n v="7.2400000000000006E-2"/>
  </r>
  <r>
    <x v="62"/>
    <x v="2"/>
    <x v="4"/>
    <s v="Diabetes. (E10-E14)"/>
    <n v="10528"/>
    <n v="7.1099999999999997E-2"/>
  </r>
  <r>
    <x v="63"/>
    <x v="2"/>
    <x v="5"/>
    <s v="Accidentes de Todo Tipo. (V01-X59). (2)"/>
    <n v="9861"/>
    <n v="6.6900000000000001E-2"/>
  </r>
  <r>
    <x v="64"/>
    <x v="2"/>
    <x v="6"/>
    <s v="Ciertas afecciones originadas en el período perinatal. (P00-P96) (3)"/>
    <n v="5445"/>
    <n v="3.6799999999999999E-2"/>
  </r>
  <r>
    <x v="65"/>
    <x v="2"/>
    <x v="7"/>
    <s v="Enfermedades crónicas de las vías respiratorias inferiores. (J40-J47)"/>
    <n v="4116"/>
    <n v="2.7799999999999998E-2"/>
  </r>
  <r>
    <x v="66"/>
    <x v="2"/>
    <x v="8"/>
    <s v="Influenza y neumonía. (J09-J18)"/>
    <n v="3779"/>
    <n v="2.5499999999999998E-2"/>
  </r>
  <r>
    <x v="67"/>
    <x v="2"/>
    <x v="9"/>
    <s v="Enfermedades del hígado. (K70-K77)"/>
    <n v="2908"/>
    <n v="1.9599999999999999E-2"/>
  </r>
  <r>
    <x v="68"/>
    <x v="2"/>
    <x v="10"/>
    <s v="Anomalías congénitas. (Q00-Q99)"/>
    <n v="2472"/>
    <n v="1.67E-2"/>
  </r>
  <r>
    <x v="69"/>
    <x v="2"/>
    <x v="11"/>
    <s v="Tumores benignos y de comportamiento incierto o desconocido. (D10-D48)"/>
    <n v="2292"/>
    <n v="1.55E-2"/>
  </r>
  <r>
    <x v="70"/>
    <x v="2"/>
    <x v="12"/>
    <s v="Enfermedad por virus de la inmunodeficiencia humana [VIH]. (B20-B24)"/>
    <n v="2161"/>
    <n v="1.46E-2"/>
  </r>
  <r>
    <x v="71"/>
    <x v="2"/>
    <x v="13"/>
    <s v="Nefritis y Nefrosis. (N00-N19, N25-N29)"/>
    <n v="1923"/>
    <n v="1.2999999999999999E-2"/>
  </r>
  <r>
    <x v="72"/>
    <x v="2"/>
    <x v="14"/>
    <s v="Otras enfermedades hipertensivas. (I10, I12)"/>
    <n v="1848"/>
    <n v="1.2500000000000001E-2"/>
  </r>
  <r>
    <x v="73"/>
    <x v="2"/>
    <x v="15"/>
    <s v="Enfermedades infecciosas intestinales. (A00-A09)"/>
    <n v="1010"/>
    <n v="6.7999999999999996E-3"/>
  </r>
  <r>
    <x v="74"/>
    <x v="2"/>
    <x v="16"/>
    <s v="Septicemia. (A40-A41)"/>
    <n v="777"/>
    <n v="5.1999999999999998E-3"/>
  </r>
  <r>
    <x v="75"/>
    <x v="2"/>
    <x v="17"/>
    <s v="Enfermedades debidas a protozoarios. (B50-B64)"/>
    <n v="774"/>
    <n v="5.1999999999999998E-3"/>
  </r>
  <r>
    <x v="76"/>
    <x v="2"/>
    <x v="18"/>
    <s v="Infección aguda no especificada de las vías respiratorias inferiores (J22)"/>
    <n v="758"/>
    <n v="5.1000000000000004E-3"/>
  </r>
  <r>
    <x v="77"/>
    <x v="2"/>
    <x v="19"/>
    <s v="Tuberculosis. (A15-A19, B90)"/>
    <n v="647"/>
    <n v="4.4000000000000003E-3"/>
  </r>
  <r>
    <x v="78"/>
    <x v="2"/>
    <x v="20"/>
    <s v="Íleo paralitico y obstrucción intestinal, sin hernia (K56)"/>
    <n v="596"/>
    <n v="4.0000000000000001E-3"/>
  </r>
  <r>
    <x v="79"/>
    <x v="2"/>
    <x v="21"/>
    <s v="Enfermedades del esófago, del estómago y del duodeno. (K20-K31)"/>
    <n v="544"/>
    <n v="3.7000000000000002E-3"/>
  </r>
  <r>
    <x v="80"/>
    <x v="2"/>
    <x v="22"/>
    <s v="Trastornos episódicos y paroxísticos. (G40-G47)"/>
    <n v="496"/>
    <n v="3.3999999999999998E-3"/>
  </r>
  <r>
    <x v="81"/>
    <x v="2"/>
    <x v="23"/>
    <s v="Trastornos de la vesícula biliar, de las vías biliares y del páncreas. (K80-K87)"/>
    <n v="471"/>
    <n v="3.2000000000000002E-3"/>
  </r>
  <r>
    <x v="82"/>
    <x v="2"/>
    <x v="24"/>
    <s v="Enfermedad de Alzheimer (G30)"/>
    <n v="464"/>
    <n v="3.0999999999999999E-3"/>
  </r>
  <r>
    <x v="83"/>
    <x v="2"/>
    <x v="25"/>
    <s v="Total 25 Primeras Causas"/>
    <n v="129131"/>
    <n v="0.87219999999999998"/>
  </r>
  <r>
    <x v="84"/>
    <x v="2"/>
    <x v="26"/>
    <s v="Causas de mortalidad mal definidas, desconocidas o sin diagnostico medico tratante. (R95-R99). (2)"/>
    <n v="518"/>
    <n v="3.5000000000000001E-3"/>
  </r>
  <r>
    <x v="85"/>
    <x v="2"/>
    <x v="27"/>
    <s v="Resto de Muertes Violentas. (Y10-Y34, Y35-Y36). (2)"/>
    <n v="9549"/>
    <n v="6.4799999999999996E-2"/>
  </r>
  <r>
    <x v="86"/>
    <x v="2"/>
    <x v="28"/>
    <s v="Total Todas las Causas (A00-Y89)"/>
    <n v="148058"/>
    <n v="1"/>
  </r>
  <r>
    <x v="87"/>
    <x v="3"/>
    <x v="0"/>
    <s v="Enfermedades del corazón (I05-I09, I11, I13, I21-I51)"/>
    <n v="30548"/>
    <n v="0.21360000000000001"/>
  </r>
  <r>
    <x v="88"/>
    <x v="3"/>
    <x v="1"/>
    <s v="Cáncer. (C00-C97)"/>
    <n v="22327"/>
    <n v="0.15609999999999999"/>
  </r>
  <r>
    <x v="89"/>
    <x v="3"/>
    <x v="2"/>
    <s v="Enfermedades Cerebrovasculares. (I60-I69)"/>
    <n v="11052"/>
    <n v="7.7299999999999994E-2"/>
  </r>
  <r>
    <x v="90"/>
    <x v="3"/>
    <x v="3"/>
    <s v="Diabetes. (E10-E14)"/>
    <n v="9854"/>
    <n v="6.8900000000000003E-2"/>
  </r>
  <r>
    <x v="91"/>
    <x v="3"/>
    <x v="4"/>
    <s v="Suicidios y Homicidios. (X60-Y09). (2)"/>
    <n v="9638"/>
    <n v="6.7699999999999996E-2"/>
  </r>
  <r>
    <x v="92"/>
    <x v="3"/>
    <x v="5"/>
    <s v="Accidentes de Todo Tipo. (V01-X59). (2)"/>
    <n v="8970"/>
    <n v="6.3E-2"/>
  </r>
  <r>
    <x v="93"/>
    <x v="3"/>
    <x v="6"/>
    <s v="Ciertas afecciones originadas en el período perinatal. (P00-P96) (3)"/>
    <n v="5530"/>
    <n v="3.8699999999999998E-2"/>
  </r>
  <r>
    <x v="94"/>
    <x v="3"/>
    <x v="7"/>
    <s v="Enfermedades crónicas de las vías respiratorias inferiores. (J40-J47)"/>
    <n v="4104"/>
    <n v="2.87E-2"/>
  </r>
  <r>
    <x v="95"/>
    <x v="3"/>
    <x v="8"/>
    <s v="Influenza y neumonía. (J09-J18)"/>
    <n v="3828"/>
    <n v="2.6800000000000001E-2"/>
  </r>
  <r>
    <x v="96"/>
    <x v="3"/>
    <x v="9"/>
    <s v="Enfermedades del hígado. (K70-K77)"/>
    <n v="2812"/>
    <n v="1.9699999999999999E-2"/>
  </r>
  <r>
    <x v="97"/>
    <x v="3"/>
    <x v="10"/>
    <s v="Anomalías congénitas. (Q00-Q99)"/>
    <n v="2301"/>
    <n v="1.61E-2"/>
  </r>
  <r>
    <x v="98"/>
    <x v="3"/>
    <x v="11"/>
    <s v="Enfermedad por virus de la inmunodeficiencia humana [VIH]. (B20-B24)"/>
    <n v="2166"/>
    <n v="1.5100000000000001E-2"/>
  </r>
  <r>
    <x v="99"/>
    <x v="3"/>
    <x v="12"/>
    <s v="Tumores benignos y de comportamiento incierto o desconocido. (D10-D48)"/>
    <n v="2045"/>
    <n v="1.43E-2"/>
  </r>
  <r>
    <x v="100"/>
    <x v="3"/>
    <x v="13"/>
    <s v="Nefritis y Nefrosis. (N00-N19, N25-N29)"/>
    <n v="1961"/>
    <n v="1.37E-2"/>
  </r>
  <r>
    <x v="101"/>
    <x v="3"/>
    <x v="14"/>
    <s v="Otras enfermedades hipertensivas. (I10, I12)"/>
    <n v="1844"/>
    <n v="1.29E-2"/>
  </r>
  <r>
    <x v="102"/>
    <x v="3"/>
    <x v="15"/>
    <s v="Enfermedades infecciosas intestinales. (A00-A09)"/>
    <n v="1050"/>
    <n v="7.3000000000000001E-3"/>
  </r>
  <r>
    <x v="103"/>
    <x v="3"/>
    <x v="16"/>
    <s v="Septicemia. (A40-A41)"/>
    <n v="953"/>
    <n v="6.7000000000000002E-3"/>
  </r>
  <r>
    <x v="104"/>
    <x v="3"/>
    <x v="17"/>
    <s v="Enfermedades debidas a protozoarios. (B50-B64)"/>
    <n v="844"/>
    <n v="5.8999999999999999E-3"/>
  </r>
  <r>
    <x v="105"/>
    <x v="3"/>
    <x v="18"/>
    <s v="Infección aguda no especificada de las vías respiratorias inferiores (J22)"/>
    <n v="600"/>
    <n v="4.1999999999999997E-3"/>
  </r>
  <r>
    <x v="106"/>
    <x v="3"/>
    <x v="19"/>
    <s v="Tuberculosis. (A15-A19, B90)"/>
    <n v="588"/>
    <n v="4.1000000000000003E-3"/>
  </r>
  <r>
    <x v="107"/>
    <x v="3"/>
    <x v="20"/>
    <s v="Íleo paralitico y obstrucción intestinal, sin hernia (K56)"/>
    <n v="587"/>
    <n v="4.1000000000000003E-3"/>
  </r>
  <r>
    <x v="108"/>
    <x v="3"/>
    <x v="21"/>
    <s v="Enfermedades del esófago, del estómago y del duodeno. (K20-K31)"/>
    <n v="542"/>
    <n v="3.8E-3"/>
  </r>
  <r>
    <x v="109"/>
    <x v="3"/>
    <x v="22"/>
    <s v="Deficiencias de Nutrición. (E40-E64)"/>
    <n v="531"/>
    <n v="3.7000000000000002E-3"/>
  </r>
  <r>
    <x v="110"/>
    <x v="3"/>
    <x v="23"/>
    <s v="Trastornos de la vesícula biliar, de las vías biliares y del páncreas. (K80-K87)"/>
    <n v="508"/>
    <n v="3.5999999999999999E-3"/>
  </r>
  <r>
    <x v="111"/>
    <x v="3"/>
    <x v="24"/>
    <s v="Enfermedad de Alzheimer (G30)"/>
    <n v="487"/>
    <n v="3.3999999999999998E-3"/>
  </r>
  <r>
    <x v="112"/>
    <x v="3"/>
    <x v="25"/>
    <s v="Total 25 Primeras Causas"/>
    <n v="125670"/>
    <n v="0.87870000000000004"/>
  </r>
  <r>
    <x v="113"/>
    <x v="3"/>
    <x v="26"/>
    <s v="Causas de mortalidad mal definidas, desconocidas o sin diagnostico medico tratante. (R95-R99). (2)"/>
    <n v="483"/>
    <n v="3.3999999999999998E-3"/>
  </r>
  <r>
    <x v="114"/>
    <x v="3"/>
    <x v="27"/>
    <s v="Resto de Muertes Violentas. (Y10-Y34, Y35-Y36). (2)"/>
    <n v="8522"/>
    <n v="5.9900000000000002E-2"/>
  </r>
  <r>
    <x v="115"/>
    <x v="3"/>
    <x v="28"/>
    <s v="Total Todas las Causas (A00-Y89)"/>
    <n v="143020"/>
    <n v="1"/>
  </r>
  <r>
    <x v="116"/>
    <x v="4"/>
    <x v="0"/>
    <s v="Enfermedades del corazón (I05-I09, I11, I13, I21-I51)"/>
    <n v="29078"/>
    <n v="0.2099"/>
  </r>
  <r>
    <x v="117"/>
    <x v="4"/>
    <x v="1"/>
    <s v="Cáncer. (C00-C97)"/>
    <n v="21185"/>
    <n v="0.153"/>
  </r>
  <r>
    <x v="118"/>
    <x v="4"/>
    <x v="2"/>
    <s v="Enfermedades Cerebrovasculares. (I60-I69)"/>
    <n v="10642"/>
    <n v="7.6799999999999993E-2"/>
  </r>
  <r>
    <x v="119"/>
    <x v="4"/>
    <x v="3"/>
    <s v="Suicidios y Homicidios. (X60-Y09). (2)"/>
    <n v="9817"/>
    <n v="7.1199999999999999E-2"/>
  </r>
  <r>
    <x v="120"/>
    <x v="4"/>
    <x v="4"/>
    <s v="Diabetes. (E10-E14)"/>
    <n v="9537"/>
    <n v="6.8900000000000003E-2"/>
  </r>
  <r>
    <x v="121"/>
    <x v="4"/>
    <x v="5"/>
    <s v="Accidentes de Todo Tipo. (V01-X59). (2)"/>
    <n v="9155"/>
    <n v="6.6400000000000001E-2"/>
  </r>
  <r>
    <x v="122"/>
    <x v="4"/>
    <x v="6"/>
    <s v="Ciertas afecciones originadas en el período perinatal. (P00-P96) (3)"/>
    <n v="5427"/>
    <n v="3.9199999999999999E-2"/>
  </r>
  <r>
    <x v="123"/>
    <x v="4"/>
    <x v="7"/>
    <s v="Enfermedades crónicas de las vías respiratorias inferiores. (J40-J47)"/>
    <n v="3761"/>
    <n v="2.7199999999999998E-2"/>
  </r>
  <r>
    <x v="124"/>
    <x v="4"/>
    <x v="8"/>
    <s v="Influenza y neumonía. (J09-J18)"/>
    <n v="3593"/>
    <n v="2.5899999999999999E-2"/>
  </r>
  <r>
    <x v="125"/>
    <x v="4"/>
    <x v="9"/>
    <s v="Enfermedades del hígado. (K70-K77)"/>
    <n v="2692"/>
    <n v="1.9400000000000001E-2"/>
  </r>
  <r>
    <x v="126"/>
    <x v="4"/>
    <x v="10"/>
    <s v="Anomalías congénitas. (Q00-Q99)"/>
    <n v="2392"/>
    <n v="1.7299999999999999E-2"/>
  </r>
  <r>
    <x v="127"/>
    <x v="4"/>
    <x v="11"/>
    <s v="Nefritis y Nefrosis. (N00-N19, N25-N29)"/>
    <n v="2193"/>
    <n v="1.5800000000000002E-2"/>
  </r>
  <r>
    <x v="128"/>
    <x v="4"/>
    <x v="12"/>
    <s v="Tumores benignos y de comportamiento incierto o desconocido. (D10-D48)"/>
    <n v="1981"/>
    <n v="1.43E-2"/>
  </r>
  <r>
    <x v="129"/>
    <x v="4"/>
    <x v="13"/>
    <s v="Enfermedad por virus de la inmunodeficiencia humana [VIH]. (B20-B24)"/>
    <n v="1830"/>
    <n v="1.32E-2"/>
  </r>
  <r>
    <x v="130"/>
    <x v="4"/>
    <x v="14"/>
    <s v="Otras enfermedades hipertensivas. (I10, I12)"/>
    <n v="1661"/>
    <n v="1.2E-2"/>
  </r>
  <r>
    <x v="131"/>
    <x v="4"/>
    <x v="15"/>
    <s v="Enfermedades infecciosas intestinales. (A00-A09)"/>
    <n v="1088"/>
    <n v="7.9000000000000008E-3"/>
  </r>
  <r>
    <x v="132"/>
    <x v="4"/>
    <x v="16"/>
    <s v="Septicemia. (A40-A41)"/>
    <n v="891"/>
    <n v="6.4000000000000003E-3"/>
  </r>
  <r>
    <x v="133"/>
    <x v="4"/>
    <x v="17"/>
    <s v="Enfermedades debidas a protozoarios. (B50-B64)"/>
    <n v="778"/>
    <n v="5.5999999999999999E-3"/>
  </r>
  <r>
    <x v="134"/>
    <x v="4"/>
    <x v="18"/>
    <s v="Tuberculosis. (A15-A19, B90)"/>
    <n v="697"/>
    <n v="5.0000000000000001E-3"/>
  </r>
  <r>
    <x v="135"/>
    <x v="4"/>
    <x v="19"/>
    <s v="Infección aguda no especificada de las vías respiratorias inferiores (J22)"/>
    <n v="589"/>
    <n v="4.3E-3"/>
  </r>
  <r>
    <x v="136"/>
    <x v="4"/>
    <x v="20"/>
    <s v="Deficiencias de Nutrición. (E40-E64)"/>
    <n v="577"/>
    <n v="4.1999999999999997E-3"/>
  </r>
  <r>
    <x v="137"/>
    <x v="4"/>
    <x v="21"/>
    <s v="Íleo paralitico y obstrucción intestinal, sin hernia (K56)"/>
    <n v="535"/>
    <n v="3.8999999999999998E-3"/>
  </r>
  <r>
    <x v="138"/>
    <x v="4"/>
    <x v="22"/>
    <s v="Enfermedades del esófago, del estómago y del duodeno. (K20-K31)"/>
    <n v="523"/>
    <n v="3.8E-3"/>
  </r>
  <r>
    <x v="139"/>
    <x v="4"/>
    <x v="23"/>
    <s v="Trastornos vasculares de los intestinos (K55)"/>
    <n v="459"/>
    <n v="3.3E-3"/>
  </r>
  <r>
    <x v="140"/>
    <x v="4"/>
    <x v="24"/>
    <s v="Trastornos de la vesícula biliar, de las vías biliares y del páncreas. (K80-K87)"/>
    <n v="444"/>
    <n v="3.2000000000000002E-3"/>
  </r>
  <r>
    <x v="141"/>
    <x v="4"/>
    <x v="25"/>
    <s v="Total 25 Primeras Causas"/>
    <n v="121525"/>
    <n v="0.87739999999999996"/>
  </r>
  <r>
    <x v="142"/>
    <x v="4"/>
    <x v="26"/>
    <s v="Causas de mortalidad mal definidas, desconocidas o sin diagnostico medico tratante. (R95-R99). (2)"/>
    <n v="486"/>
    <n v="3.5000000000000001E-3"/>
  </r>
  <r>
    <x v="143"/>
    <x v="4"/>
    <x v="27"/>
    <s v="Resto de Muertes Violentas. (Y10-Y34, Y35-Y36). (2)"/>
    <n v="8312"/>
    <n v="6.0299999999999999E-2"/>
  </r>
  <r>
    <x v="144"/>
    <x v="4"/>
    <x v="28"/>
    <s v="Total Todas las Causas (A00-Y89)"/>
    <n v="138504"/>
    <n v="1"/>
  </r>
  <r>
    <x v="145"/>
    <x v="5"/>
    <x v="0"/>
    <s v="Enfermedades del corazón (I05-I09, I11, I13, I21-I51)"/>
    <n v="27353"/>
    <n v="0.20300000000000001"/>
  </r>
  <r>
    <x v="146"/>
    <x v="5"/>
    <x v="1"/>
    <s v="Cáncer. (C00-C97)"/>
    <n v="20288"/>
    <n v="0.15060000000000001"/>
  </r>
  <r>
    <x v="147"/>
    <x v="5"/>
    <x v="2"/>
    <s v="Suicidios y Homicidios. (X60-Y09). (2)"/>
    <n v="10342"/>
    <n v="7.7200000000000005E-2"/>
  </r>
  <r>
    <x v="148"/>
    <x v="5"/>
    <x v="3"/>
    <s v="Accidentes de Todo Tipo. (V01-X59). (2)"/>
    <n v="10146"/>
    <n v="7.5700000000000003E-2"/>
  </r>
  <r>
    <x v="149"/>
    <x v="5"/>
    <x v="4"/>
    <s v="Enfermedades Cerebrovasculares. (I60-I69)"/>
    <n v="10034"/>
    <n v="7.4499999999999997E-2"/>
  </r>
  <r>
    <x v="150"/>
    <x v="5"/>
    <x v="5"/>
    <s v="Diabetes. (E10-E14)"/>
    <n v="8822"/>
    <n v="6.5500000000000003E-2"/>
  </r>
  <r>
    <x v="151"/>
    <x v="5"/>
    <x v="6"/>
    <s v="Ciertas afecciones originadas en el período perinatal. (P00-P96) (3)"/>
    <n v="5303"/>
    <n v="3.9399999999999998E-2"/>
  </r>
  <r>
    <x v="152"/>
    <x v="5"/>
    <x v="7"/>
    <s v="Enfermedades crónicas de las vías respiratorias inferiores. (J40-J47)"/>
    <n v="3447"/>
    <n v="2.5600000000000001E-2"/>
  </r>
  <r>
    <x v="153"/>
    <x v="5"/>
    <x v="8"/>
    <s v="Influenza y neumonía. (J09-J18)"/>
    <n v="3376"/>
    <n v="2.5100000000000001E-2"/>
  </r>
  <r>
    <x v="154"/>
    <x v="5"/>
    <x v="9"/>
    <s v="Enfermedades del hígado. (K70-K77)"/>
    <n v="2895"/>
    <n v="2.1499999999999998E-2"/>
  </r>
  <r>
    <x v="155"/>
    <x v="5"/>
    <x v="10"/>
    <s v="Nefritis y Nefrosis. (N00-N19, N25-N29)"/>
    <n v="2231"/>
    <n v="1.66E-2"/>
  </r>
  <r>
    <x v="156"/>
    <x v="5"/>
    <x v="11"/>
    <s v="Anomalías congénitas. (Q00-Q99)"/>
    <n v="2145"/>
    <n v="1.5900000000000001E-2"/>
  </r>
  <r>
    <x v="157"/>
    <x v="5"/>
    <x v="12"/>
    <s v="Tumores benignos y de comportamiento incierto o desconocido. (D10-D48)"/>
    <n v="1810"/>
    <n v="1.34E-2"/>
  </r>
  <r>
    <x v="158"/>
    <x v="5"/>
    <x v="13"/>
    <s v="Enfermedad por virus de la inmunodeficiencia humana [VIH]. (B20-B24)"/>
    <n v="1735"/>
    <n v="1.29E-2"/>
  </r>
  <r>
    <x v="159"/>
    <x v="5"/>
    <x v="14"/>
    <s v="Otras enfermedades hipertensivas. (I10, I12)"/>
    <n v="1683"/>
    <n v="1.2500000000000001E-2"/>
  </r>
  <r>
    <x v="160"/>
    <x v="5"/>
    <x v="15"/>
    <s v="Enfermedades infecciosas intestinales. (A00-A09)"/>
    <n v="993"/>
    <n v="7.4000000000000003E-3"/>
  </r>
  <r>
    <x v="161"/>
    <x v="5"/>
    <x v="16"/>
    <s v="Septicemia. (A40-A41)"/>
    <n v="976"/>
    <n v="7.1999999999999998E-3"/>
  </r>
  <r>
    <x v="162"/>
    <x v="5"/>
    <x v="17"/>
    <s v="Enfermedades debidas a protozoarios. (B50-B64)"/>
    <n v="720"/>
    <n v="5.3E-3"/>
  </r>
  <r>
    <x v="163"/>
    <x v="5"/>
    <x v="18"/>
    <s v="Tuberculosis. (A15-A19, B90)"/>
    <n v="582"/>
    <n v="4.3E-3"/>
  </r>
  <r>
    <x v="164"/>
    <x v="5"/>
    <x v="19"/>
    <s v="Enfermedades del esófago, del estómago y del duodeno. (K20-K31)"/>
    <n v="543"/>
    <n v="4.0000000000000001E-3"/>
  </r>
  <r>
    <x v="165"/>
    <x v="5"/>
    <x v="20"/>
    <s v="Deficiencias de Nutrición. (E40-E64)"/>
    <n v="500"/>
    <n v="3.7000000000000002E-3"/>
  </r>
  <r>
    <x v="166"/>
    <x v="5"/>
    <x v="21"/>
    <s v="Íleo paralitico y obstrucción intestinal, sin hernia (K56)"/>
    <n v="487"/>
    <n v="3.5999999999999999E-3"/>
  </r>
  <r>
    <x v="167"/>
    <x v="5"/>
    <x v="22"/>
    <s v="Trastornos episódicos y paroxísticos. (G40-G47)"/>
    <n v="453"/>
    <n v="3.3999999999999998E-3"/>
  </r>
  <r>
    <x v="168"/>
    <x v="5"/>
    <x v="23"/>
    <s v="Infección aguda no especificada de las vías respiratorias inferiores (J22)"/>
    <n v="452"/>
    <n v="3.3999999999999998E-3"/>
  </r>
  <r>
    <x v="169"/>
    <x v="5"/>
    <x v="24"/>
    <s v="Trastornos de la vesícula biliar, de las vías biliares y del páncreas. (K80-K87)"/>
    <n v="423"/>
    <n v="3.0999999999999999E-3"/>
  </r>
  <r>
    <x v="170"/>
    <x v="5"/>
    <x v="25"/>
    <s v="Total 25 Primeras Causas"/>
    <n v="117739"/>
    <n v="0.87390000000000001"/>
  </r>
  <r>
    <x v="171"/>
    <x v="5"/>
    <x v="26"/>
    <s v="Causas de mortalidad mal definidas, desconocidas o sin diagnostico medico tratante. (R95-R99). (2)"/>
    <n v="529"/>
    <n v="3.8999999999999998E-3"/>
  </r>
  <r>
    <x v="172"/>
    <x v="5"/>
    <x v="27"/>
    <s v="Resto de Muertes Violentas. (Y10-Y34, Y35-Y36). (2)"/>
    <n v="8771"/>
    <n v="6.5500000000000003E-2"/>
  </r>
  <r>
    <x v="173"/>
    <x v="5"/>
    <x v="28"/>
    <s v="Total Todas las Causas (A00-Y89)"/>
    <n v="134731"/>
    <n v="1"/>
  </r>
  <r>
    <x v="174"/>
    <x v="6"/>
    <x v="0"/>
    <s v="Enfermedades del corazón (I05-I09, I11, I13, I21-I51)"/>
    <n v="27542"/>
    <n v="0.20610000000000001"/>
  </r>
  <r>
    <x v="175"/>
    <x v="6"/>
    <x v="1"/>
    <s v="Cáncer. (C00-C97)"/>
    <n v="19796"/>
    <n v="0.14810000000000001"/>
  </r>
  <r>
    <x v="176"/>
    <x v="6"/>
    <x v="2"/>
    <s v="Suicidios y Homicidios. (X60-Y09). (2)"/>
    <n v="11357"/>
    <n v="8.5400000000000004E-2"/>
  </r>
  <r>
    <x v="177"/>
    <x v="6"/>
    <x v="3"/>
    <s v="Accidentes de Todo Tipo. (V01-X59). (2)"/>
    <n v="10885"/>
    <n v="8.1900000000000001E-2"/>
  </r>
  <r>
    <x v="178"/>
    <x v="6"/>
    <x v="4"/>
    <s v="Enfermedades Cerebrovasculares. (I60-I69)"/>
    <n v="10007"/>
    <n v="7.4899999999999994E-2"/>
  </r>
  <r>
    <x v="179"/>
    <x v="6"/>
    <x v="5"/>
    <s v="Diabetes. (E10-E14)"/>
    <n v="8387"/>
    <n v="6.2799999999999995E-2"/>
  </r>
  <r>
    <x v="180"/>
    <x v="6"/>
    <x v="6"/>
    <s v="Ciertas afecciones originadas en el período perinatal. (P00-P96) (3)"/>
    <n v="5027"/>
    <n v="3.7600000000000001E-2"/>
  </r>
  <r>
    <x v="181"/>
    <x v="6"/>
    <x v="7"/>
    <s v="Enfermedades crónicas de las vías respiratorias inferiores. (J40-J47)"/>
    <n v="3585"/>
    <n v="2.6800000000000001E-2"/>
  </r>
  <r>
    <x v="182"/>
    <x v="6"/>
    <x v="8"/>
    <s v="Influenza y neumonía. (J09-J18)"/>
    <n v="3136"/>
    <n v="2.35E-2"/>
  </r>
  <r>
    <x v="183"/>
    <x v="6"/>
    <x v="9"/>
    <s v="Enfermedades del hígado. (K70-K77)"/>
    <n v="2869"/>
    <n v="2.1499999999999998E-2"/>
  </r>
  <r>
    <x v="184"/>
    <x v="6"/>
    <x v="10"/>
    <s v="Anomalías congénitas. (Q00-Q99)"/>
    <n v="2158"/>
    <n v="1.61E-2"/>
  </r>
  <r>
    <x v="185"/>
    <x v="6"/>
    <x v="11"/>
    <s v="Nefritis y Nefrosis. (N00-N19, N25-N29)"/>
    <n v="1923"/>
    <n v="1.44E-2"/>
  </r>
  <r>
    <x v="186"/>
    <x v="6"/>
    <x v="12"/>
    <s v="Tumores benignos y de comportamiento incierto o desconocido. (D10-D48)"/>
    <n v="1714"/>
    <n v="1.2800000000000001E-2"/>
  </r>
  <r>
    <x v="187"/>
    <x v="6"/>
    <x v="13"/>
    <s v="Otras enfermedades hipertensivas. (I10, I12)"/>
    <n v="1637"/>
    <n v="1.2200000000000001E-2"/>
  </r>
  <r>
    <x v="188"/>
    <x v="6"/>
    <x v="14"/>
    <s v="Enfermedad por virus de la inmunodeficiencia humana [VIH]. (B20-B24)"/>
    <n v="1632"/>
    <n v="1.2200000000000001E-2"/>
  </r>
  <r>
    <x v="189"/>
    <x v="6"/>
    <x v="15"/>
    <s v="Enfermedades infecciosas intestinales. (A00-A09)"/>
    <n v="1100"/>
    <n v="8.2000000000000007E-3"/>
  </r>
  <r>
    <x v="190"/>
    <x v="6"/>
    <x v="16"/>
    <s v="Otras septicemias (A41)"/>
    <n v="918"/>
    <n v="6.8999999999999999E-3"/>
  </r>
  <r>
    <x v="191"/>
    <x v="6"/>
    <x v="17"/>
    <s v="Enfermedades debidas a protozoarios. (B50-B64)"/>
    <n v="782"/>
    <n v="5.8999999999999999E-3"/>
  </r>
  <r>
    <x v="192"/>
    <x v="6"/>
    <x v="18"/>
    <s v="Tuberculosis. (A15-A19, B90)"/>
    <n v="660"/>
    <n v="4.8999999999999998E-3"/>
  </r>
  <r>
    <x v="193"/>
    <x v="6"/>
    <x v="19"/>
    <s v="Enfermedades del esófago, del estómago y del duodeno. (K20-K31)"/>
    <n v="585"/>
    <n v="4.4000000000000003E-3"/>
  </r>
  <r>
    <x v="194"/>
    <x v="6"/>
    <x v="20"/>
    <s v="Deficiencias de Nutrición. (E40-E64)"/>
    <n v="570"/>
    <n v="4.3E-3"/>
  </r>
  <r>
    <x v="195"/>
    <x v="6"/>
    <x v="21"/>
    <s v="Infección aguda no especificada de las vías respiratorias inferiores (J22)"/>
    <n v="498"/>
    <n v="3.7000000000000002E-3"/>
  </r>
  <r>
    <x v="196"/>
    <x v="6"/>
    <x v="22"/>
    <s v="Trastornos de la vesícula biliar, de las vías biliares y del páncreas. (K80-K87)"/>
    <n v="495"/>
    <n v="3.7000000000000002E-3"/>
  </r>
  <r>
    <x v="197"/>
    <x v="6"/>
    <x v="23"/>
    <s v="Trastornos episódicos y paroxísticos. (G40-G47)"/>
    <n v="446"/>
    <n v="3.3E-3"/>
  </r>
  <r>
    <x v="198"/>
    <x v="6"/>
    <x v="24"/>
    <s v="Íleo paralitico y obstrucción intestinal, sin hernia (K56)"/>
    <n v="428"/>
    <n v="3.2000000000000002E-3"/>
  </r>
  <r>
    <x v="199"/>
    <x v="6"/>
    <x v="25"/>
    <s v="Total 25 Primeras Causas"/>
    <n v="118137"/>
    <n v="0.88390000000000002"/>
  </r>
  <r>
    <x v="200"/>
    <x v="6"/>
    <x v="26"/>
    <s v="Causas de mortalidad mal definidas, desconocidas o sin diagnostico medico tratante. (R95-R99). (2)"/>
    <n v="530"/>
    <n v="4.0000000000000001E-3"/>
  </r>
  <r>
    <x v="201"/>
    <x v="6"/>
    <x v="27"/>
    <s v="Resto de Muertes Violentas. (Y10-Y34, Y35-Y36). (2)"/>
    <n v="7637"/>
    <n v="5.74E-2"/>
  </r>
  <r>
    <x v="202"/>
    <x v="6"/>
    <x v="28"/>
    <s v="Total Todas las Causas (A00-Y89)"/>
    <n v="133651"/>
    <n v="1"/>
  </r>
  <r>
    <x v="203"/>
    <x v="7"/>
    <x v="0"/>
    <s v="Enfermedades del corazón (I05-I09, I11, I13, I21-I51)"/>
    <n v="25600"/>
    <n v="0.20180000000000001"/>
  </r>
  <r>
    <x v="204"/>
    <x v="7"/>
    <x v="1"/>
    <s v="Cáncer. (C00-C97)"/>
    <n v="19254"/>
    <n v="0.1517"/>
  </r>
  <r>
    <x v="205"/>
    <x v="7"/>
    <x v="2"/>
    <s v="Accidentes de Todo Tipo. (V01-X59). (2)"/>
    <n v="10465"/>
    <n v="8.2500000000000004E-2"/>
  </r>
  <r>
    <x v="206"/>
    <x v="7"/>
    <x v="3"/>
    <s v="Suicidios y Homicidios. (X60-Y09). (2)"/>
    <n v="10366"/>
    <n v="8.1699999999999995E-2"/>
  </r>
  <r>
    <x v="207"/>
    <x v="7"/>
    <x v="4"/>
    <s v="Enfermedades Cerebrovasculares. (I60-I69)"/>
    <n v="9699"/>
    <n v="7.6399999999999996E-2"/>
  </r>
  <r>
    <x v="208"/>
    <x v="7"/>
    <x v="5"/>
    <s v="Diabetes. (E10-E14)"/>
    <n v="7829"/>
    <n v="6.1699999999999998E-2"/>
  </r>
  <r>
    <x v="209"/>
    <x v="7"/>
    <x v="6"/>
    <s v="Ciertas afecciones originadas en el período perinatal. (P00-P96) (3)"/>
    <n v="4979"/>
    <n v="3.9199999999999999E-2"/>
  </r>
  <r>
    <x v="210"/>
    <x v="7"/>
    <x v="7"/>
    <s v="Enfermedades crónicas de las vías respiratorias inferiores. (J40-J47)"/>
    <n v="3442"/>
    <n v="2.7099999999999999E-2"/>
  </r>
  <r>
    <x v="211"/>
    <x v="7"/>
    <x v="8"/>
    <s v="Influenza y neumonía. (J09-J18)"/>
    <n v="3065"/>
    <n v="2.4199999999999999E-2"/>
  </r>
  <r>
    <x v="212"/>
    <x v="7"/>
    <x v="9"/>
    <s v="Enfermedades del hígado. (K70-K77)"/>
    <n v="2785"/>
    <n v="2.1899999999999999E-2"/>
  </r>
  <r>
    <x v="213"/>
    <x v="7"/>
    <x v="10"/>
    <s v="Anomalías congénitas. (Q00-Q99)"/>
    <n v="2210"/>
    <n v="1.7399999999999999E-2"/>
  </r>
  <r>
    <x v="214"/>
    <x v="7"/>
    <x v="11"/>
    <s v="Enfermedad por virus de la inmunodeficiencia humana [VIH]. (B20-B24)"/>
    <n v="1670"/>
    <n v="1.32E-2"/>
  </r>
  <r>
    <x v="215"/>
    <x v="7"/>
    <x v="12"/>
    <s v="Nefritis y Nefrosis. (N00-N19, N25-N29)"/>
    <n v="1610"/>
    <n v="1.2699999999999999E-2"/>
  </r>
  <r>
    <x v="216"/>
    <x v="7"/>
    <x v="13"/>
    <s v="Tumores benignos y de comportamiento incierto o desconocido. (D10-D48)"/>
    <n v="1585"/>
    <n v="1.2500000000000001E-2"/>
  </r>
  <r>
    <x v="217"/>
    <x v="7"/>
    <x v="14"/>
    <s v="Enfermedades infecciosas intestinales. (A00-A09)"/>
    <n v="1294"/>
    <n v="1.0200000000000001E-2"/>
  </r>
  <r>
    <x v="218"/>
    <x v="7"/>
    <x v="15"/>
    <s v="Septicemia. (A40-A41)"/>
    <n v="881"/>
    <n v="6.8999999999999999E-3"/>
  </r>
  <r>
    <x v="219"/>
    <x v="7"/>
    <x v="16"/>
    <s v="Enfermedades debidas a protozoarios. (B50-B64)"/>
    <n v="722"/>
    <n v="5.7000000000000002E-3"/>
  </r>
  <r>
    <x v="220"/>
    <x v="7"/>
    <x v="17"/>
    <s v="Tuberculosis. (A15-A19, B90)"/>
    <n v="692"/>
    <n v="5.4999999999999997E-3"/>
  </r>
  <r>
    <x v="221"/>
    <x v="7"/>
    <x v="18"/>
    <s v="Enfermedades del esófago, del estómago y del duodeno. (K20-K31)"/>
    <n v="625"/>
    <n v="4.8999999999999998E-3"/>
  </r>
  <r>
    <x v="222"/>
    <x v="7"/>
    <x v="19"/>
    <s v="Deficiencias de Nutrición. (E40-E64)"/>
    <n v="612"/>
    <n v="4.7999999999999996E-3"/>
  </r>
  <r>
    <x v="223"/>
    <x v="7"/>
    <x v="20"/>
    <s v="Trastornos de la vesícula biliar, de las vías biliares y del páncreas. (K80-K87)"/>
    <n v="413"/>
    <n v="3.3E-3"/>
  </r>
  <r>
    <x v="224"/>
    <x v="7"/>
    <x v="21"/>
    <s v="Trastornos episódicos y paroxísticos. (G40-G47)"/>
    <n v="393"/>
    <n v="3.0999999999999999E-3"/>
  </r>
  <r>
    <x v="225"/>
    <x v="7"/>
    <x v="22"/>
    <s v="Infección aguda no especificada de las vías respiratorias inferiores (J22)"/>
    <n v="392"/>
    <n v="3.0999999999999999E-3"/>
  </r>
  <r>
    <x v="226"/>
    <x v="7"/>
    <x v="23"/>
    <s v="Íleo paralitico y obstrucción intestinal, sin hernia (K56)"/>
    <n v="387"/>
    <n v="3.0000000000000001E-3"/>
  </r>
  <r>
    <x v="227"/>
    <x v="7"/>
    <x v="24"/>
    <s v="Trastornos vasculares de los intestinos (K55)"/>
    <n v="352"/>
    <n v="2.8E-3"/>
  </r>
  <r>
    <x v="228"/>
    <x v="7"/>
    <x v="25"/>
    <s v="Total 25 Primeras Causas"/>
    <n v="111322"/>
    <n v="0.87729999999999997"/>
  </r>
  <r>
    <x v="229"/>
    <x v="7"/>
    <x v="26"/>
    <s v="Causas de mortalidad mal definidas, desconocidas o sin diagnostico medico tratante. (R95-R99). (2)"/>
    <n v="576"/>
    <n v="4.4999999999999997E-3"/>
  </r>
  <r>
    <x v="230"/>
    <x v="7"/>
    <x v="27"/>
    <s v="Resto de Muertes Violentas. (Y10-Y34, Y35-Y36). (2)"/>
    <n v="7116"/>
    <n v="5.6099999999999997E-2"/>
  </r>
  <r>
    <x v="231"/>
    <x v="7"/>
    <x v="28"/>
    <s v="Total Todas las Causas (A00-Y89)"/>
    <n v="127463"/>
    <n v="1"/>
  </r>
  <r>
    <x v="232"/>
    <x v="8"/>
    <x v="0"/>
    <s v="Enfermedades del corazón (I05-I09, I11, I13, I21-I51)"/>
    <n v="24977"/>
    <n v="0.20630000000000001"/>
  </r>
  <r>
    <x v="233"/>
    <x v="8"/>
    <x v="1"/>
    <s v="Cáncer. (C00-C97)"/>
    <n v="18543"/>
    <n v="0.1532"/>
  </r>
  <r>
    <x v="234"/>
    <x v="8"/>
    <x v="2"/>
    <s v="Suicidios y Homicidios. (X60-Y09). (2)"/>
    <n v="9748"/>
    <n v="8.0500000000000002E-2"/>
  </r>
  <r>
    <x v="235"/>
    <x v="8"/>
    <x v="3"/>
    <s v="Enfermedades Cerebrovasculares. (I60-I69)"/>
    <n v="9391"/>
    <n v="7.7600000000000002E-2"/>
  </r>
  <r>
    <x v="236"/>
    <x v="8"/>
    <x v="4"/>
    <s v="Accidentes de Todo Tipo. (V01-X59). (2)"/>
    <n v="9353"/>
    <n v="7.6899999999999996E-2"/>
  </r>
  <r>
    <x v="237"/>
    <x v="8"/>
    <x v="5"/>
    <s v="Diabetes. (E10-E14)"/>
    <n v="7181"/>
    <n v="5.91E-2"/>
  </r>
  <r>
    <x v="238"/>
    <x v="8"/>
    <x v="6"/>
    <s v="Ciertas afecciones originadas en el período perinatal. (P00-P96) (3)"/>
    <n v="4959"/>
    <n v="4.1000000000000002E-2"/>
  </r>
  <r>
    <x v="239"/>
    <x v="8"/>
    <x v="7"/>
    <s v="Enfermedades crónicas de las vías respiratorias inferiores. (J40-J47)"/>
    <n v="3225"/>
    <n v="2.6599999999999999E-2"/>
  </r>
  <r>
    <x v="240"/>
    <x v="8"/>
    <x v="8"/>
    <s v="Influenza y neumonía. (J10-J18)"/>
    <n v="2856"/>
    <n v="2.3599999999999999E-2"/>
  </r>
  <r>
    <x v="241"/>
    <x v="8"/>
    <x v="9"/>
    <s v="Enfermedades del hígado. (K70-K77)"/>
    <n v="2483"/>
    <n v="2.0500000000000001E-2"/>
  </r>
  <r>
    <x v="242"/>
    <x v="8"/>
    <x v="10"/>
    <s v="Anomalías congénitas. (Q00-Q99)"/>
    <n v="2212"/>
    <n v="1.83E-2"/>
  </r>
  <r>
    <x v="243"/>
    <x v="8"/>
    <x v="11"/>
    <s v="Enfermedad por virus de la inmunodeficiencia humana [VIH]. (B20-B24)"/>
    <n v="1567"/>
    <n v="1.29E-2"/>
  </r>
  <r>
    <x v="244"/>
    <x v="8"/>
    <x v="12"/>
    <s v="Tumores benignos y de comportamiento incierto o desconocido. (D10-D48)"/>
    <n v="1519"/>
    <n v="1.2500000000000001E-2"/>
  </r>
  <r>
    <x v="245"/>
    <x v="8"/>
    <x v="13"/>
    <s v="Nefritis y Nefrosis. (N00-N19, N25-N29)"/>
    <n v="1480"/>
    <n v="1.2200000000000001E-2"/>
  </r>
  <r>
    <x v="246"/>
    <x v="8"/>
    <x v="14"/>
    <s v="Enfermedades infecciosas intestinales. (A00-A09)"/>
    <n v="1450"/>
    <n v="1.2E-2"/>
  </r>
  <r>
    <x v="247"/>
    <x v="8"/>
    <x v="15"/>
    <s v="Enfermedades debidas a protozoarios. (B50-B64)"/>
    <n v="707"/>
    <n v="5.7999999999999996E-3"/>
  </r>
  <r>
    <x v="248"/>
    <x v="8"/>
    <x v="16"/>
    <s v="Septicemia. (A40-A41)"/>
    <n v="705"/>
    <n v="5.7999999999999996E-3"/>
  </r>
  <r>
    <x v="249"/>
    <x v="8"/>
    <x v="17"/>
    <s v="Tuberculosis. (A15-A19, B90)"/>
    <n v="674"/>
    <n v="5.5999999999999999E-3"/>
  </r>
  <r>
    <x v="250"/>
    <x v="8"/>
    <x v="18"/>
    <s v="Deficiencias de Nutrición. (E40-E64)"/>
    <n v="627"/>
    <n v="5.1999999999999998E-3"/>
  </r>
  <r>
    <x v="251"/>
    <x v="8"/>
    <x v="19"/>
    <s v="Enfermedades del esófago, del estómago y del duodeno. (K20-K31)"/>
    <n v="592"/>
    <n v="4.8999999999999998E-3"/>
  </r>
  <r>
    <x v="252"/>
    <x v="8"/>
    <x v="20"/>
    <s v="Infección aguda no especificada de las vías respiratorias inferiores (J22)"/>
    <n v="460"/>
    <n v="3.8E-3"/>
  </r>
  <r>
    <x v="253"/>
    <x v="8"/>
    <x v="21"/>
    <s v="Trastornos vasculares de los intestinos (K55)"/>
    <n v="429"/>
    <n v="3.5000000000000001E-3"/>
  </r>
  <r>
    <x v="254"/>
    <x v="8"/>
    <x v="22"/>
    <s v="Trastornos de la vesícula biliar, de las vías biliares y del páncreas. (K80-K87)"/>
    <n v="418"/>
    <n v="3.5000000000000001E-3"/>
  </r>
  <r>
    <x v="255"/>
    <x v="8"/>
    <x v="23"/>
    <s v="Trastornos episódicos y paroxísticos. (G40-G47)"/>
    <n v="410"/>
    <n v="3.3999999999999998E-3"/>
  </r>
  <r>
    <x v="256"/>
    <x v="8"/>
    <x v="24"/>
    <s v="Íleo paralitico y obstrucción intestinal, sin hernia (K56)"/>
    <n v="368"/>
    <n v="3.0000000000000001E-3"/>
  </r>
  <r>
    <x v="257"/>
    <x v="8"/>
    <x v="25"/>
    <s v="Total 25 Primeras Causas"/>
    <n v="106334"/>
    <n v="0.87839999999999996"/>
  </r>
  <r>
    <x v="258"/>
    <x v="8"/>
    <x v="26"/>
    <s v="Causas de mortalidad mal definidas, desconocidas o sin diagnostico medico tratante. (R95-R99). (2"/>
    <n v="526"/>
    <n v="4.3E-3"/>
  </r>
  <r>
    <x v="259"/>
    <x v="8"/>
    <x v="27"/>
    <s v="Resto de Muertes Violentas. (Y10-Y34, Y35-Y36). (2)"/>
    <n v="6214"/>
    <n v="5.11E-2"/>
  </r>
  <r>
    <x v="260"/>
    <x v="8"/>
    <x v="28"/>
    <s v="Total Todas las Causas (A00-Y89)"/>
    <n v="121586"/>
    <n v="1"/>
  </r>
  <r>
    <x v="261"/>
    <x v="9"/>
    <x v="0"/>
    <s v="Enfermedades del corazón (I05-I09, I11, I13, I21-I51)"/>
    <n v="24353"/>
    <n v="0.20730000000000001"/>
  </r>
  <r>
    <x v="262"/>
    <x v="9"/>
    <x v="1"/>
    <s v="Cáncer. (C00 - C97)"/>
    <n v="18155"/>
    <n v="0.1545"/>
  </r>
  <r>
    <x v="263"/>
    <x v="9"/>
    <x v="2"/>
    <s v="Enfermedades Cerebrovasculares. (I60-I69)"/>
    <n v="8695"/>
    <n v="7.3999999999999996E-2"/>
  </r>
  <r>
    <x v="264"/>
    <x v="9"/>
    <x v="3"/>
    <s v="Suicidios y Homicidios. (X60-Y09). (2)"/>
    <n v="8614"/>
    <n v="7.3099999999999998E-2"/>
  </r>
  <r>
    <x v="265"/>
    <x v="9"/>
    <x v="4"/>
    <s v="Accidentes de Todo Tipo. (V01 - X59). (2)"/>
    <n v="8471"/>
    <n v="7.1900000000000006E-2"/>
  </r>
  <r>
    <x v="266"/>
    <x v="9"/>
    <x v="5"/>
    <s v="Diabetes. (E10-E14)"/>
    <n v="7312"/>
    <n v="6.5199999999999994E-2"/>
  </r>
  <r>
    <x v="267"/>
    <x v="9"/>
    <x v="6"/>
    <s v="Ciertas afecciones originadas en el período perinatal. (P00-P96) (3)"/>
    <n v="5457"/>
    <n v="4.6399999999999997E-2"/>
  </r>
  <r>
    <x v="268"/>
    <x v="9"/>
    <x v="7"/>
    <s v="Enfermedades crónicas de las vías respiratorias inferiores. (J40-J47)"/>
    <n v="3397"/>
    <n v="2.8899999999999999E-2"/>
  </r>
  <r>
    <x v="269"/>
    <x v="9"/>
    <x v="8"/>
    <s v="Influenza y neumonía. (J10-J18)"/>
    <n v="2659"/>
    <n v="2.2599999999999999E-2"/>
  </r>
  <r>
    <x v="270"/>
    <x v="9"/>
    <x v="9"/>
    <s v="Enfermedades del hígado. (K70-K77)"/>
    <n v="2449"/>
    <n v="2.0799999999999999E-2"/>
  </r>
  <r>
    <x v="271"/>
    <x v="9"/>
    <x v="10"/>
    <s v="Anomalías congénitas. (Q00-Q99)"/>
    <n v="2184"/>
    <n v="1.8599999999999998E-2"/>
  </r>
  <r>
    <x v="272"/>
    <x v="9"/>
    <x v="11"/>
    <s v="Enfermedades infecciosas intestinales. (A00-A09)"/>
    <n v="1675"/>
    <n v="1.43E-2"/>
  </r>
  <r>
    <x v="273"/>
    <x v="9"/>
    <x v="12"/>
    <s v="Enfermedad por virus de la inmunodeficiencia humana [VIH]. (B20-B24)"/>
    <n v="1478"/>
    <n v="1.26E-2"/>
  </r>
  <r>
    <x v="274"/>
    <x v="9"/>
    <x v="13"/>
    <s v="Otras enfermedades hipertensivas. (I10, I12)"/>
    <n v="1460"/>
    <n v="1.24E-2"/>
  </r>
  <r>
    <x v="275"/>
    <x v="9"/>
    <x v="14"/>
    <s v="Nefritis y Nefrosis. (N00-N19, N25-N29)"/>
    <n v="1434"/>
    <n v="1.2200000000000001E-2"/>
  </r>
  <r>
    <x v="276"/>
    <x v="9"/>
    <x v="15"/>
    <s v="Tumores benignos y de comportamiento incierto o desconocido. (D10-D48)"/>
    <n v="1404"/>
    <n v="1.2E-2"/>
  </r>
  <r>
    <x v="277"/>
    <x v="9"/>
    <x v="16"/>
    <s v="Enfermedades debidas a protozoarios. (B50-B64)"/>
    <n v="773"/>
    <n v="6.6E-3"/>
  </r>
  <r>
    <x v="278"/>
    <x v="9"/>
    <x v="17"/>
    <s v="Tuberculosis. (A15-A19, B90)"/>
    <n v="679"/>
    <n v="5.7999999999999996E-3"/>
  </r>
  <r>
    <x v="279"/>
    <x v="9"/>
    <x v="18"/>
    <s v="Deficiencias de Nutrición. (E40-E64)"/>
    <n v="648"/>
    <n v="5.4999999999999997E-3"/>
  </r>
  <r>
    <x v="280"/>
    <x v="9"/>
    <x v="19"/>
    <s v="Enfermedades del esófago, del estómago y del duodeno. (K20-K31)"/>
    <n v="579"/>
    <n v="4.8999999999999998E-3"/>
  </r>
  <r>
    <x v="281"/>
    <x v="9"/>
    <x v="20"/>
    <s v="Septicemia. (A40-A41)"/>
    <n v="577"/>
    <n v="4.8999999999999998E-3"/>
  </r>
  <r>
    <x v="282"/>
    <x v="9"/>
    <x v="21"/>
    <s v="Infección aguda no especificada de las vías respiratorias inferiores (J22)"/>
    <n v="465"/>
    <n v="4.0000000000000001E-3"/>
  </r>
  <r>
    <x v="283"/>
    <x v="9"/>
    <x v="22"/>
    <s v="Trastornos de la vesícula biliar, de las vías biliares y del páncreas. (K80-K87)"/>
    <n v="404"/>
    <n v="3.3999999999999998E-3"/>
  </r>
  <r>
    <x v="284"/>
    <x v="9"/>
    <x v="23"/>
    <s v="Trastornos episódicos y paroxísticos. (G40-G47)"/>
    <n v="379"/>
    <n v="3.2000000000000002E-3"/>
  </r>
  <r>
    <x v="285"/>
    <x v="9"/>
    <x v="24"/>
    <s v="Aneurisma y disección aórticos (I71)"/>
    <n v="342"/>
    <n v="2.8999999999999998E-3"/>
  </r>
  <r>
    <x v="286"/>
    <x v="9"/>
    <x v="25"/>
    <s v="Total Principales Causas de Muerte"/>
    <n v="104043"/>
    <n v="0.88300000000000001"/>
  </r>
  <r>
    <x v="287"/>
    <x v="9"/>
    <x v="26"/>
    <s v="Causas de mortalidad mal definidas, desconocidas o sin diagnostico medico tratante. (R95-R99). (2)"/>
    <n v="343"/>
    <n v="2.8999999999999998E-3"/>
  </r>
  <r>
    <x v="288"/>
    <x v="9"/>
    <x v="27"/>
    <s v="Resto de Muertes Violentas. (Y10-Y34, Y35-Y36). (2)"/>
    <n v="5648"/>
    <n v="4.7899999999999998E-2"/>
  </r>
  <r>
    <x v="289"/>
    <x v="9"/>
    <x v="28"/>
    <s v="Total Todas las Causas (A00-Y89)"/>
    <n v="117831"/>
    <n v="1"/>
  </r>
  <r>
    <x v="290"/>
    <x v="10"/>
    <x v="0"/>
    <s v="Enfermedades del corazon (I05-I09, I11, I13, I21-I51)"/>
    <n v="24281"/>
    <s v="20,80%"/>
  </r>
  <r>
    <x v="291"/>
    <x v="10"/>
    <x v="1"/>
    <s v="Cáncer. (C00 - C97)"/>
    <n v="17507"/>
    <s v="15,00%"/>
  </r>
  <r>
    <x v="292"/>
    <x v="10"/>
    <x v="2"/>
    <s v="Accidentes de Todo Tipo. (V01 - X59). (2)"/>
    <n v="8386"/>
    <s v="7,15%"/>
  </r>
  <r>
    <x v="293"/>
    <x v="10"/>
    <x v="3"/>
    <s v="Suicidios y Homicidios. (X60-Y09). (2)"/>
    <n v="8382"/>
    <s v="7,15%"/>
  </r>
  <r>
    <x v="294"/>
    <x v="10"/>
    <x v="4"/>
    <s v="Enfermedades Cerebrovasculares. (I60-I69)"/>
    <n v="8286"/>
    <s v="7,10%"/>
  </r>
  <r>
    <x v="295"/>
    <x v="10"/>
    <x v="5"/>
    <s v="Diabetes. (E10-E14)"/>
    <n v="7123"/>
    <s v="6,10%"/>
  </r>
  <r>
    <x v="296"/>
    <x v="10"/>
    <x v="6"/>
    <s v="Ciertas afecciones originadas en el período perinatal. (P00-P96) (3)"/>
    <n v="5253"/>
    <s v="4,50%"/>
  </r>
  <r>
    <x v="297"/>
    <x v="10"/>
    <x v="7"/>
    <s v="Enfermedades crónicas de las vías respiratorias inferiores. (J40-J47)"/>
    <n v="3166"/>
    <s v="2,71%"/>
  </r>
  <r>
    <x v="298"/>
    <x v="10"/>
    <x v="8"/>
    <s v="Influenza y neumonía. (J10-J18)"/>
    <n v="2883"/>
    <s v="2,47%"/>
  </r>
  <r>
    <x v="299"/>
    <x v="10"/>
    <x v="9"/>
    <s v="Enfermedades del hígado. (K70-K77)"/>
    <n v="2209"/>
    <s v="1,89%"/>
  </r>
  <r>
    <x v="300"/>
    <x v="10"/>
    <x v="10"/>
    <s v="Anomalías congénitas. (Q00-Q99)"/>
    <n v="2132"/>
    <s v="1,83%"/>
  </r>
  <r>
    <x v="301"/>
    <x v="10"/>
    <x v="11"/>
    <s v="Enfermedades infecciosas intestinales. (A00-A09)"/>
    <n v="1865"/>
    <s v="1,60%"/>
  </r>
  <r>
    <x v="302"/>
    <x v="10"/>
    <x v="12"/>
    <s v="Nefritis y Nefrosis. (N00-N19, N25-N29)"/>
    <n v="1429"/>
    <s v="1,22%"/>
  </r>
  <r>
    <x v="303"/>
    <x v="10"/>
    <x v="13"/>
    <s v="Otras enfermedades hipertensivas. (I10, I12)"/>
    <n v="1410"/>
    <s v="1,21%"/>
  </r>
  <r>
    <x v="304"/>
    <x v="10"/>
    <x v="14"/>
    <s v="Enfermedad por virus de la inmunodeficiencia humana [VIH]. (B20-B24)"/>
    <n v="1396"/>
    <s v="1,20%"/>
  </r>
  <r>
    <x v="305"/>
    <x v="10"/>
    <x v="15"/>
    <s v="Tumores benignos y de comportamiento incierto o desconocido. (D10-D48)"/>
    <n v="1244"/>
    <s v="1,07%"/>
  </r>
  <r>
    <x v="306"/>
    <x v="10"/>
    <x v="16"/>
    <s v="Deficiencias de Nutrición. (E40-E64)"/>
    <n v="963"/>
    <s v="0,82%"/>
  </r>
  <r>
    <x v="307"/>
    <x v="10"/>
    <x v="17"/>
    <s v="Enfermedades debidas a protozoarios. (B50-B64)"/>
    <n v="767"/>
    <s v="0,66%"/>
  </r>
  <r>
    <x v="308"/>
    <x v="10"/>
    <x v="18"/>
    <s v="Tuberculosis. (A15-A19, B90)"/>
    <n v="738"/>
    <s v="0,63%"/>
  </r>
  <r>
    <x v="309"/>
    <x v="10"/>
    <x v="19"/>
    <s v="Septicemia. (A40-A41)"/>
    <n v="653"/>
    <s v="0,56%"/>
  </r>
  <r>
    <x v="310"/>
    <x v="10"/>
    <x v="20"/>
    <s v="Enfermedades del esófago, del estómago y del duodeno. (K20-K31)"/>
    <n v="612"/>
    <s v="0,52%"/>
  </r>
  <r>
    <x v="311"/>
    <x v="10"/>
    <x v="21"/>
    <s v="Infección aguda no especificada de las vías respiratorias inferiores (J22)"/>
    <n v="440"/>
    <s v="0,38%"/>
  </r>
  <r>
    <x v="312"/>
    <x v="10"/>
    <x v="22"/>
    <s v="Trastornos episódicos y paroxísticos. (G40-G47)"/>
    <n v="390"/>
    <s v="0,33%"/>
  </r>
  <r>
    <x v="313"/>
    <x v="10"/>
    <x v="23"/>
    <s v="Enfermedades inflamatorias del sistema nervioso central. (G00-G09)"/>
    <n v="388"/>
    <s v="0,33%"/>
  </r>
  <r>
    <x v="314"/>
    <x v="10"/>
    <x v="24"/>
    <s v="Trastornos sistémicos del tejido conjuntivo (M30-M36)"/>
    <n v="376"/>
    <s v="0,32%"/>
  </r>
  <r>
    <x v="315"/>
    <x v="10"/>
    <x v="25"/>
    <s v="Total Principales Causas de Muerte"/>
    <n v="102279"/>
    <s v="87,25%"/>
  </r>
  <r>
    <x v="316"/>
    <x v="10"/>
    <x v="26"/>
    <s v="Causas de mortalidad mal definidas, desconocidas o sin diagnostico medico tratante. (R95-R99). (2)"/>
    <n v="477"/>
    <s v="0,41%"/>
  </r>
  <r>
    <x v="317"/>
    <x v="10"/>
    <x v="27"/>
    <s v="Resto de Muertes Violentas. (Y10-Y34, Y35-Y36). (2)"/>
    <n v="6572"/>
    <s v="5,61%"/>
  </r>
  <r>
    <x v="318"/>
    <x v="10"/>
    <x v="28"/>
    <s v="Total Todas las Causas (A00-Y89)"/>
    <n v="117227"/>
    <n v="1"/>
  </r>
  <r>
    <x v="319"/>
    <x v="11"/>
    <x v="0"/>
    <s v="Enfermedades del corazón. (I05-I09, I11, I13, I21-I51)"/>
    <n v="24564"/>
    <s v="20,25%"/>
  </r>
  <r>
    <x v="320"/>
    <x v="11"/>
    <x v="1"/>
    <s v="Cáncer. (C00 - C97)"/>
    <n v="17234"/>
    <s v="14,21%"/>
  </r>
  <r>
    <x v="321"/>
    <x v="11"/>
    <x v="2"/>
    <s v="Suicidios y Homicidios. (X60-Y09). (2)"/>
    <n v="9940"/>
    <s v="8,16%"/>
  </r>
  <r>
    <x v="322"/>
    <x v="11"/>
    <x v="3"/>
    <s v="Enfermedades Cerebrovasculares. (I60-I69)"/>
    <n v="8782"/>
    <s v="7,24%"/>
  </r>
  <r>
    <x v="323"/>
    <x v="11"/>
    <x v="4"/>
    <s v="Accidentes de Todo Tipo. (V01-X59). (2)"/>
    <n v="8298"/>
    <s v="6,81%"/>
  </r>
  <r>
    <x v="324"/>
    <x v="11"/>
    <x v="5"/>
    <s v="Diabetes. (E10-E14)"/>
    <n v="7060"/>
    <s v="5,82%"/>
  </r>
  <r>
    <x v="325"/>
    <x v="11"/>
    <x v="6"/>
    <s v="Ciertas afecciones originadas en el período perinatal. (P00-P96) (3)"/>
    <n v="5417"/>
    <s v="4,47%"/>
  </r>
  <r>
    <x v="326"/>
    <x v="11"/>
    <x v="7"/>
    <s v="Enfermedades crónicas de las vías respiratorias inferiores. (J40-J47)"/>
    <n v="3355"/>
    <s v="2,77%"/>
  </r>
  <r>
    <x v="327"/>
    <x v="11"/>
    <x v="8"/>
    <s v="Influenza y neumonía. (J10-J18)"/>
    <n v="3296"/>
    <s v="2,72%"/>
  </r>
  <r>
    <x v="328"/>
    <x v="11"/>
    <x v="9"/>
    <s v="Enfermedades infecciosas intestinales. (A00-A09)"/>
    <n v="2568"/>
    <s v="2,12%"/>
  </r>
  <r>
    <x v="329"/>
    <x v="11"/>
    <x v="10"/>
    <s v="Enfermedades del hígado. (K70-K77)"/>
    <n v="2237"/>
    <s v="1,84%"/>
  </r>
  <r>
    <x v="330"/>
    <x v="11"/>
    <x v="11"/>
    <s v="Anomalías congénitas. (Q00-Q99)"/>
    <n v="2120"/>
    <s v="1,75%"/>
  </r>
  <r>
    <x v="331"/>
    <x v="11"/>
    <x v="12"/>
    <s v="Nefritis y Nefrosis. (N00-N19, N25-N29)"/>
    <n v="1408"/>
    <s v="1,16%"/>
  </r>
  <r>
    <x v="332"/>
    <x v="11"/>
    <x v="13"/>
    <s v="Otras enfermedades hipertensivas. (I10, I12)"/>
    <n v="1348"/>
    <s v="1,11%"/>
  </r>
  <r>
    <x v="333"/>
    <x v="11"/>
    <x v="14"/>
    <s v="Deficiencias de Nutrición. (E40-E64)"/>
    <n v="1342"/>
    <s v="1,11%"/>
  </r>
  <r>
    <x v="334"/>
    <x v="11"/>
    <x v="15"/>
    <s v="Enfermedad por virus de la inmunodeficiencia humana [VIH]. (B20-B24)"/>
    <n v="1267"/>
    <s v="1,04%"/>
  </r>
  <r>
    <x v="335"/>
    <x v="11"/>
    <x v="16"/>
    <s v="Tumores benignos y de comportamiento incierto o desconocido. (D10-D48)"/>
    <n v="1151"/>
    <s v="0,95%"/>
  </r>
  <r>
    <x v="336"/>
    <x v="11"/>
    <x v="17"/>
    <s v="Enfermedades debidas a protozoarios. (B50-B64)"/>
    <n v="925"/>
    <s v="0,76%"/>
  </r>
  <r>
    <x v="337"/>
    <x v="11"/>
    <x v="18"/>
    <s v="Tuberculosis. (A15-A19, B90)"/>
    <n v="764"/>
    <s v="0,63%"/>
  </r>
  <r>
    <x v="338"/>
    <x v="11"/>
    <x v="19"/>
    <s v="Enfermedades del esófago, del estómago y del duodeno. (K20-K31)"/>
    <n v="672"/>
    <s v="0,55%"/>
  </r>
  <r>
    <x v="339"/>
    <x v="11"/>
    <x v="20"/>
    <s v="Septicemia. (A40-A41)"/>
    <n v="653"/>
    <s v="0,54%"/>
  </r>
  <r>
    <x v="340"/>
    <x v="11"/>
    <x v="21"/>
    <s v="Trastornos episódicos y paroxísticos. (G40-G47)"/>
    <n v="504"/>
    <s v="0,42%"/>
  </r>
  <r>
    <x v="341"/>
    <x v="11"/>
    <x v="22"/>
    <s v="Infección aguda no especificada de las vías respiratorias inferiores (J22)"/>
    <n v="454"/>
    <s v="0,37%"/>
  </r>
  <r>
    <x v="342"/>
    <x v="11"/>
    <x v="23"/>
    <s v="Enfermedades inflamatorias del sistema nervioso central. (G00-G09)"/>
    <n v="408"/>
    <s v="0,34%"/>
  </r>
  <r>
    <x v="343"/>
    <x v="11"/>
    <x v="24"/>
    <s v="Trastornos de la vesícula biliar, de las vías biliares y del páncreas. (K80-K87)"/>
    <n v="369"/>
    <s v="0,30%"/>
  </r>
  <r>
    <x v="344"/>
    <x v="11"/>
    <x v="25"/>
    <s v="Total Principales Causas de Muerte"/>
    <n v="106136"/>
    <s v="87,09%"/>
  </r>
  <r>
    <x v="345"/>
    <x v="11"/>
    <x v="26"/>
    <s v="Causas de mortalidad mal definidas, desconocidas o sin diagnostico de Medico Tratante. (R95-R99)"/>
    <n v="581"/>
    <s v="0,48%"/>
  </r>
  <r>
    <x v="346"/>
    <x v="11"/>
    <x v="27"/>
    <s v="Resto de Muertes Violentas. (Y10-Y34, Y35-Y36)"/>
    <n v="6.9480000000000004"/>
    <s v="5,70%"/>
  </r>
  <r>
    <x v="347"/>
    <x v="11"/>
    <x v="28"/>
    <s v="Total Todas las Causas (A00-Y89)"/>
    <n v="121864"/>
    <n v="1"/>
  </r>
  <r>
    <x v="348"/>
    <x v="12"/>
    <x v="0"/>
    <s v="Enfermedades del corazon (I05-I09, I11, I13, I21-I51)"/>
    <n v="22349"/>
    <s v="21,33%"/>
  </r>
  <r>
    <x v="349"/>
    <x v="12"/>
    <x v="1"/>
    <s v="Cancer . (C00 - C97)"/>
    <n v="16391"/>
    <s v="15,65%"/>
  </r>
  <r>
    <x v="350"/>
    <x v="12"/>
    <x v="2"/>
    <s v="Suicidios y Homicidios . (X60-Y09) . (2)"/>
    <n v="8781"/>
    <s v="7,96%"/>
  </r>
  <r>
    <x v="351"/>
    <x v="12"/>
    <x v="3"/>
    <s v="Accidentes de Todo Tipo . (V01 - X59) . (2)"/>
    <n v="8680"/>
    <s v="7,87%"/>
  </r>
  <r>
    <x v="352"/>
    <x v="12"/>
    <x v="4"/>
    <s v="Enfermedades Cerebrovasculares. (I60-I69)"/>
    <n v="8131"/>
    <s v="7,76%"/>
  </r>
  <r>
    <x v="353"/>
    <x v="12"/>
    <x v="5"/>
    <s v="Diabetes . (E10-E14)"/>
    <n v="6234"/>
    <s v="5,95%"/>
  </r>
  <r>
    <x v="354"/>
    <x v="12"/>
    <x v="6"/>
    <s v="Ciertas afecciones originadas en el período perinatal. (P00-P96) (3)"/>
    <n v="4982"/>
    <s v="4,76%"/>
  </r>
  <r>
    <x v="355"/>
    <x v="12"/>
    <x v="7"/>
    <s v="Enfermedades crónicas de las vías respiratorias inferiores . (J40-J47)"/>
    <n v="2845"/>
    <s v="2,72%"/>
  </r>
  <r>
    <x v="356"/>
    <x v="12"/>
    <x v="8"/>
    <s v="Influenza y neumonía. (J10-J18)"/>
    <n v="2451"/>
    <s v="2,34%"/>
  </r>
  <r>
    <x v="357"/>
    <x v="12"/>
    <x v="9"/>
    <s v="Enfermedades del hígado.. (K70-K77)"/>
    <n v="2342"/>
    <s v="2,24%"/>
  </r>
  <r>
    <x v="358"/>
    <x v="12"/>
    <x v="10"/>
    <s v="Anomalias congénitas . (Q00-Q99)"/>
    <n v="2114"/>
    <s v="2,02%"/>
  </r>
  <r>
    <x v="359"/>
    <x v="12"/>
    <x v="11"/>
    <s v="Enfermedades infecciosas intestinales. (A00-A09)"/>
    <n v="1713"/>
    <s v="1,64%"/>
  </r>
  <r>
    <x v="360"/>
    <x v="12"/>
    <x v="12"/>
    <s v="Nefritis y Nefrosis . (N00-N19, N25-N29)"/>
    <n v="1313"/>
    <s v="1,25%"/>
  </r>
  <r>
    <x v="361"/>
    <x v="12"/>
    <x v="13"/>
    <s v="Otras enfermedades hipertensivas. (I10, I12)"/>
    <n v="1217"/>
    <s v="1,16%"/>
  </r>
  <r>
    <x v="362"/>
    <x v="12"/>
    <x v="14"/>
    <s v="Enfermedad por virus de la inmunodeficiencia humana [VIH]. (B20-B24)"/>
    <n v="1173"/>
    <s v="1,12%"/>
  </r>
  <r>
    <x v="363"/>
    <x v="12"/>
    <x v="15"/>
    <s v="Tumores benignos y de comportamiento incierto o desconocido. . (D10-D48)"/>
    <n v="1059"/>
    <s v="1,01%"/>
  </r>
  <r>
    <x v="364"/>
    <x v="12"/>
    <x v="16"/>
    <s v="Deficiencias de Nutrición . (E40-E64)"/>
    <n v="954"/>
    <s v="0,91%"/>
  </r>
  <r>
    <x v="365"/>
    <x v="12"/>
    <x v="17"/>
    <s v="Enfermedades debidas a protozoarios. . (B50-B64)"/>
    <n v="808"/>
    <s v="0,77%"/>
  </r>
  <r>
    <x v="366"/>
    <x v="12"/>
    <x v="18"/>
    <s v="Tuberculosis . (A15-A19, B90)"/>
    <n v="700"/>
    <s v="0,67%"/>
  </r>
  <r>
    <x v="367"/>
    <x v="12"/>
    <x v="19"/>
    <s v="Enfermedades del esófago, del estómago y del duodeno. (K20-K31)"/>
    <n v="591"/>
    <s v="0,56%"/>
  </r>
  <r>
    <x v="368"/>
    <x v="12"/>
    <x v="20"/>
    <s v="Septicemia . (A40-A41)"/>
    <n v="507"/>
    <s v="0,48%"/>
  </r>
  <r>
    <x v="369"/>
    <x v="12"/>
    <x v="21"/>
    <s v="Trastornos de la vesícula biliar, de las vías biliares y del páncreas. (K80-K87)"/>
    <n v="388"/>
    <s v="0,37%"/>
  </r>
  <r>
    <x v="370"/>
    <x v="12"/>
    <x v="22"/>
    <s v="Trastornos episódicos y paroxísticos. (G40-G47)"/>
    <n v="380"/>
    <s v="0,36%"/>
  </r>
  <r>
    <x v="371"/>
    <x v="12"/>
    <x v="23"/>
    <s v="Enfermedades inflamatorias del sistema nervioso central. (G00-G09)"/>
    <n v="356"/>
    <s v="0,34%"/>
  </r>
  <r>
    <x v="372"/>
    <x v="12"/>
    <x v="24"/>
    <s v="Ileo paralitico y obstrucción intestinal, sin hernia (K56)"/>
    <n v="345"/>
    <s v="0,33%"/>
  </r>
  <r>
    <x v="373"/>
    <x v="12"/>
    <x v="25"/>
    <s v="Total Principales Causas de Muerte"/>
    <n v="96804"/>
    <s v="87,77%"/>
  </r>
  <r>
    <x v="374"/>
    <x v="12"/>
    <x v="26"/>
    <s v="Causas de mortalidad mal definidas, desconocidas o sin diagnostico medico tratante. (R95-R99). (2)"/>
    <n v="484"/>
    <s v="0,44%"/>
  </r>
  <r>
    <x v="375"/>
    <x v="12"/>
    <x v="27"/>
    <s v="Resto de Muertes Violentas. (Y10-Y34, Y35-Y36). (2)"/>
    <n v="5538"/>
    <s v="5,02%"/>
  </r>
  <r>
    <x v="376"/>
    <x v="12"/>
    <x v="28"/>
    <s v="Total de Muertes"/>
    <n v="110293"/>
    <n v="1"/>
  </r>
  <r>
    <x v="377"/>
    <x v="13"/>
    <x v="0"/>
    <s v="Enfermedades del corazón (I05-I09, I11, I13, I21-I51)"/>
    <n v="23251"/>
    <n v="0.2112"/>
  </r>
  <r>
    <x v="378"/>
    <x v="13"/>
    <x v="1"/>
    <s v="Cáncer. (C00 - C97)"/>
    <n v="15729"/>
    <n v="0.1429"/>
  </r>
  <r>
    <x v="379"/>
    <x v="13"/>
    <x v="2"/>
    <s v="Accidentes de Todo Tipo. (V01 - X59). (2)"/>
    <n v="8808"/>
    <n v="7.9600000000000004E-2"/>
  </r>
  <r>
    <x v="380"/>
    <x v="13"/>
    <x v="3"/>
    <s v="Enfermedades Cerebrovasculares. (I60-I69)"/>
    <n v="8317"/>
    <n v="7.5600000000000001E-2"/>
  </r>
  <r>
    <x v="381"/>
    <x v="13"/>
    <x v="4"/>
    <s v="Suicidios y Homicidios. (X60-Y09). (2)"/>
    <n v="7951"/>
    <n v="7.1800000000000003E-2"/>
  </r>
  <r>
    <x v="382"/>
    <x v="13"/>
    <x v="5"/>
    <s v="Diabetes. (E10-E14)"/>
    <n v="6297"/>
    <n v="5.7200000000000001E-2"/>
  </r>
  <r>
    <x v="383"/>
    <x v="13"/>
    <x v="6"/>
    <s v="Ciertas afecciones originadas en el período perinatal. (P00-P96) (3)"/>
    <n v="4937"/>
    <n v="4.4900000000000002E-2"/>
  </r>
  <r>
    <x v="384"/>
    <x v="13"/>
    <x v="7"/>
    <s v="Enfermedades crónicas de las vías respiratorias inferiores. (J40-J47)"/>
    <n v="3204"/>
    <n v="2.9100000000000001E-2"/>
  </r>
  <r>
    <x v="385"/>
    <x v="13"/>
    <x v="8"/>
    <s v="Influenza y neumonía. (J10-J18)"/>
    <n v="2938"/>
    <n v="2.6700000000000002E-2"/>
  </r>
  <r>
    <x v="386"/>
    <x v="13"/>
    <x v="9"/>
    <s v="Enfermedades del hígado. (K70-K77)"/>
    <n v="2271"/>
    <n v="2.06E-2"/>
  </r>
  <r>
    <x v="387"/>
    <x v="13"/>
    <x v="10"/>
    <s v="Anomalías congénitas. (Q00-Q99)"/>
    <n v="2108"/>
    <n v="1.9199999999999998E-2"/>
  </r>
  <r>
    <x v="388"/>
    <x v="13"/>
    <x v="11"/>
    <s v="Enfermedades infecciosas intestinales. (A00-A09)"/>
    <n v="1850"/>
    <n v="1.6799999999999999E-2"/>
  </r>
  <r>
    <x v="389"/>
    <x v="13"/>
    <x v="12"/>
    <s v="Nefritis y Nefrosis. (N00-N19, N25-N29)"/>
    <n v="1359"/>
    <n v="1.23E-2"/>
  </r>
  <r>
    <x v="390"/>
    <x v="13"/>
    <x v="13"/>
    <s v="Otras enfermedades hipertensivas. (I10, I12)"/>
    <n v="1213"/>
    <n v="1.0999999999999999E-2"/>
  </r>
  <r>
    <x v="391"/>
    <x v="13"/>
    <x v="14"/>
    <s v="Enfermedad por virus de la inmunodeficiencia humana [VIH]. (B20-B24)"/>
    <n v="1183"/>
    <n v="1.0699999999999999E-2"/>
  </r>
  <r>
    <x v="392"/>
    <x v="13"/>
    <x v="15"/>
    <s v="Tumores benignos y de comportamiento incierto o desconocido. (D10-D48)"/>
    <n v="1111"/>
    <n v="1.01E-2"/>
  </r>
  <r>
    <x v="393"/>
    <x v="13"/>
    <x v="16"/>
    <s v="Deficiencias de Nutrición. (E40-E64)"/>
    <n v="982"/>
    <n v="8.8999999999999999E-3"/>
  </r>
  <r>
    <x v="394"/>
    <x v="13"/>
    <x v="17"/>
    <s v="Enfermedades debidas a protozoarios. (B50-B64)"/>
    <n v="816"/>
    <n v="7.4000000000000003E-3"/>
  </r>
  <r>
    <x v="395"/>
    <x v="13"/>
    <x v="18"/>
    <s v="Tuberculosis. (A15-A19, B90)"/>
    <n v="763"/>
    <n v="6.8999999999999999E-3"/>
  </r>
  <r>
    <x v="396"/>
    <x v="13"/>
    <x v="19"/>
    <s v="Enfermedades del esófago, del estómago y del duodeno. (K20-K31)"/>
    <n v="639"/>
    <n v="5.7999999999999996E-3"/>
  </r>
  <r>
    <x v="397"/>
    <x v="13"/>
    <x v="20"/>
    <s v="Septicemia. (A40-A41)"/>
    <n v="586"/>
    <n v="5.3E-3"/>
  </r>
  <r>
    <x v="398"/>
    <x v="13"/>
    <x v="21"/>
    <s v="Infección aguda no especificada de las vías respiratorias inferiores (J22)"/>
    <n v="431"/>
    <n v="3.8999999999999998E-3"/>
  </r>
  <r>
    <x v="399"/>
    <x v="13"/>
    <x v="22"/>
    <s v="Enfermedades inflamatorias del sistema nervioso central. (G00-G09)"/>
    <n v="431"/>
    <n v="3.8999999999999998E-3"/>
  </r>
  <r>
    <x v="400"/>
    <x v="13"/>
    <x v="23"/>
    <s v="Trastornos episódicos y paroxísticos. (G40-G47)"/>
    <n v="418"/>
    <n v="3.8E-3"/>
  </r>
  <r>
    <x v="401"/>
    <x v="13"/>
    <x v="24"/>
    <s v="Trastornos de la vesícula biliar, de las vías biliares y del páncreas. (K80-K87)"/>
    <n v="359"/>
    <n v="3.3E-3"/>
  </r>
  <r>
    <x v="402"/>
    <x v="13"/>
    <x v="25"/>
    <s v="Total Principales Causas de Muerte"/>
    <n v="97952"/>
    <n v="0.88990000000000002"/>
  </r>
  <r>
    <x v="403"/>
    <x v="13"/>
    <x v="26"/>
    <s v="Causas de mortalidad mal definidas, desconocidas o sin diagnostico medico tratante."/>
    <n v="604"/>
    <n v="5.4999999999999997E-3"/>
  </r>
  <r>
    <x v="404"/>
    <x v="13"/>
    <x v="27"/>
    <s v="Resto de Muertes Violentas. (Y10-Y34, Y35-Y36). (2)"/>
    <n v="4125"/>
    <n v="3.73E-2"/>
  </r>
  <r>
    <x v="405"/>
    <x v="13"/>
    <x v="28"/>
    <s v="Total de Muertes"/>
    <n v="110672"/>
    <n v="1"/>
  </r>
  <r>
    <x v="406"/>
    <x v="14"/>
    <x v="0"/>
    <s v="Enfermedades del corazon (I05-I09, I11, I13, I21-I51)"/>
    <n v="22091"/>
    <n v="0.2097"/>
  </r>
  <r>
    <x v="407"/>
    <x v="14"/>
    <x v="1"/>
    <s v="Cancer . (C00 - C97)"/>
    <n v="15211"/>
    <n v="0.1444"/>
  </r>
  <r>
    <x v="408"/>
    <x v="14"/>
    <x v="2"/>
    <s v="Enfermedades Cerebrovasculares. (I60-I69)"/>
    <n v="8000"/>
    <n v="7.5899999999999995E-2"/>
  </r>
  <r>
    <x v="409"/>
    <x v="14"/>
    <x v="3"/>
    <s v="Accidentes de Todo Tipo . (V01 - X59) . (2)"/>
    <n v="7933"/>
    <n v="7.4899999999999994E-2"/>
  </r>
  <r>
    <x v="410"/>
    <x v="14"/>
    <x v="4"/>
    <s v="Suicidios y Homicidios . (X60-Y09) . (2)"/>
    <n v="7633"/>
    <n v="7.1999999999999995E-2"/>
  </r>
  <r>
    <x v="411"/>
    <x v="14"/>
    <x v="5"/>
    <s v="Diabetes . (E10-E14)"/>
    <n v="5941"/>
    <n v="5.6399999999999999E-2"/>
  </r>
  <r>
    <x v="412"/>
    <x v="14"/>
    <x v="6"/>
    <s v="Ciertas afecciones originadas en el período perinatal. (P00-P96) (3)"/>
    <n v="5279"/>
    <n v="5.0099999999999999E-2"/>
  </r>
  <r>
    <x v="413"/>
    <x v="14"/>
    <x v="7"/>
    <s v="Enfermedades crónicas de las vías respiratorias inferiores . (J40-J47)"/>
    <n v="2634"/>
    <n v="2.5000000000000001E-2"/>
  </r>
  <r>
    <x v="414"/>
    <x v="14"/>
    <x v="8"/>
    <s v="Influenza y neumonía. (J10-J18)"/>
    <n v="2391"/>
    <n v="2.2700000000000001E-2"/>
  </r>
  <r>
    <x v="415"/>
    <x v="14"/>
    <x v="9"/>
    <s v="Enfermedades del hígado.. (K70-K77)"/>
    <n v="2118"/>
    <n v="2.01E-2"/>
  </r>
  <r>
    <x v="416"/>
    <x v="14"/>
    <x v="10"/>
    <s v="Anomalias congénitas . (Q00-Q99)"/>
    <n v="2036"/>
    <n v="1.9300000000000001E-2"/>
  </r>
  <r>
    <x v="417"/>
    <x v="14"/>
    <x v="11"/>
    <s v="Enfermedades infecciosas intestinales. (A00-A09)"/>
    <n v="1784"/>
    <n v="1.6899999999999998E-2"/>
  </r>
  <r>
    <x v="418"/>
    <x v="14"/>
    <x v="12"/>
    <s v="Nefritis y Nefrosis . (N00-N19, N25-N29)"/>
    <n v="1378"/>
    <n v="1.3100000000000001E-2"/>
  </r>
  <r>
    <x v="419"/>
    <x v="14"/>
    <x v="13"/>
    <s v="Enfermedad por virus de la inmunodeficiencia humana [VIH]. (B20-B24)"/>
    <n v="1287"/>
    <n v="1.2200000000000001E-2"/>
  </r>
  <r>
    <x v="420"/>
    <x v="14"/>
    <x v="14"/>
    <s v="Otras enfermedades hipertensivas. (I10, I12)"/>
    <n v="1063"/>
    <n v="1.01E-2"/>
  </r>
  <r>
    <x v="421"/>
    <x v="14"/>
    <x v="15"/>
    <s v="Tumores benignos y de comportamiento incierto o desconocido. . (D10-D48)"/>
    <n v="999"/>
    <n v="9.4999999999999998E-3"/>
  </r>
  <r>
    <x v="422"/>
    <x v="14"/>
    <x v="16"/>
    <s v="Deficiencias de Nutrición . (E40-E64)"/>
    <n v="926"/>
    <n v="8.8000000000000005E-3"/>
  </r>
  <r>
    <x v="423"/>
    <x v="14"/>
    <x v="17"/>
    <s v="Enfermedades debidas a protozoarios. . (B50-B64)"/>
    <n v="924"/>
    <n v="8.8000000000000005E-3"/>
  </r>
  <r>
    <x v="424"/>
    <x v="14"/>
    <x v="18"/>
    <s v="Tuberculosis . (A15-A19, B90)"/>
    <n v="658"/>
    <n v="6.1999999999999998E-3"/>
  </r>
  <r>
    <x v="425"/>
    <x v="14"/>
    <x v="19"/>
    <s v="Septicemia . (A40-A41)"/>
    <n v="630"/>
    <n v="6.0000000000000001E-3"/>
  </r>
  <r>
    <x v="426"/>
    <x v="14"/>
    <x v="20"/>
    <s v="Enfermedades del esófago, del estómago y del duodeno. (K20-K31)"/>
    <n v="569"/>
    <n v="5.4000000000000003E-3"/>
  </r>
  <r>
    <x v="427"/>
    <x v="14"/>
    <x v="21"/>
    <s v="Enfermedades inflamatorias del sistema nervioso central. (G00-G09)"/>
    <n v="427"/>
    <n v="4.1000000000000003E-3"/>
  </r>
  <r>
    <x v="428"/>
    <x v="14"/>
    <x v="22"/>
    <s v="Trastornos de la vesícula biliar, de las vías biliares y del páncreas. (K80-K87)"/>
    <n v="401"/>
    <n v="3.8E-3"/>
  </r>
  <r>
    <x v="429"/>
    <x v="14"/>
    <x v="23"/>
    <s v="Trastornos episódicos y paroxísticos. (G40-G47)"/>
    <n v="365"/>
    <n v="3.5000000000000001E-3"/>
  </r>
  <r>
    <x v="430"/>
    <x v="14"/>
    <x v="24"/>
    <s v="Otras enfermedades del sistema digestivo (K92)"/>
    <n v="334"/>
    <n v="3.2000000000000002E-3"/>
  </r>
  <r>
    <x v="431"/>
    <x v="14"/>
    <x v="25"/>
    <s v="Total Principales Causas de Muerte"/>
    <n v="93012"/>
    <n v="0.87790000000000001"/>
  </r>
  <r>
    <x v="432"/>
    <x v="14"/>
    <x v="26"/>
    <s v="Causas de mortalidad mal definidas, desconocidas o sin diagnostico medico tratante. . (R"/>
    <n v="596"/>
    <n v="5.5999999999999999E-3"/>
  </r>
  <r>
    <x v="433"/>
    <x v="14"/>
    <x v="27"/>
    <s v="Resto de Muertes Violentas . (Y10-Y34, Y35-Y36) . (2)"/>
    <n v="4376"/>
    <n v="4.1300000000000003E-2"/>
  </r>
  <r>
    <x v="434"/>
    <x v="14"/>
    <x v="28"/>
    <s v="Total de Muertes"/>
    <n v="105.94799999999999"/>
    <n v="1"/>
  </r>
  <r>
    <x v="435"/>
    <x v="15"/>
    <x v="0"/>
    <s v="Enfermedades del corazon (I05-I09, I11, I13, I21-I51)"/>
    <n v="21777"/>
    <n v="0.2097"/>
  </r>
  <r>
    <x v="436"/>
    <x v="15"/>
    <x v="1"/>
    <s v="Cancer . (C00 - C97)"/>
    <n v="14892"/>
    <n v="0.1434"/>
  </r>
  <r>
    <x v="437"/>
    <x v="15"/>
    <x v="2"/>
    <s v="Enfermedades Cerebrovasculares. (I60-I69)"/>
    <n v="8165"/>
    <n v="7.8600000000000003E-2"/>
  </r>
  <r>
    <x v="438"/>
    <x v="15"/>
    <x v="3"/>
    <s v="Accidentes de Todo Tipo . (V01 - X59) . (2)"/>
    <n v="7826"/>
    <n v="7.4800000000000005E-2"/>
  </r>
  <r>
    <x v="439"/>
    <x v="15"/>
    <x v="4"/>
    <s v="Diabetes . (E10-E14)"/>
    <n v="5724"/>
    <n v="5.5100000000000003E-2"/>
  </r>
  <r>
    <x v="440"/>
    <x v="15"/>
    <x v="5"/>
    <s v="Ciertas afecciones originadas en el período perinatal. (P00-P96) (3)"/>
    <n v="5309"/>
    <n v="5.11E-2"/>
  </r>
  <r>
    <x v="441"/>
    <x v="15"/>
    <x v="6"/>
    <s v="Suicidios y Homicidios . (X60-Y09) . (2)"/>
    <n v="5262"/>
    <n v="5.0299999999999997E-2"/>
  </r>
  <r>
    <x v="442"/>
    <x v="15"/>
    <x v="7"/>
    <s v="Enfermedades crónicas de las vías respiratorias inferiores . (J40-J47)"/>
    <n v="3004"/>
    <n v="2.8899999999999999E-2"/>
  </r>
  <r>
    <x v="443"/>
    <x v="15"/>
    <x v="8"/>
    <s v="Influenza y neumonía. (J10-J18)"/>
    <n v="2886"/>
    <n v="2.7799999999999998E-2"/>
  </r>
  <r>
    <x v="444"/>
    <x v="15"/>
    <x v="9"/>
    <s v="Enfermedades infecciosas intestinales. (A00-A09)"/>
    <n v="2106"/>
    <n v="2.0299999999999999E-2"/>
  </r>
  <r>
    <x v="445"/>
    <x v="15"/>
    <x v="10"/>
    <s v="Enfermedades del hígado.. (K70-K77)"/>
    <n v="2013"/>
    <n v="1.9400000000000001E-2"/>
  </r>
  <r>
    <x v="446"/>
    <x v="15"/>
    <x v="11"/>
    <s v="Anomalias congénitas . (Q00-Q99)"/>
    <n v="1996"/>
    <n v="1.9199999999999998E-2"/>
  </r>
  <r>
    <x v="447"/>
    <x v="15"/>
    <x v="12"/>
    <s v="Nefritis y Nefrosis . (N00-N19, N25-N29)"/>
    <n v="1559"/>
    <n v="1.4999999999999999E-2"/>
  </r>
  <r>
    <x v="448"/>
    <x v="15"/>
    <x v="13"/>
    <s v="Enfermedad por virus de la inmunodeficiencia humana [VIH]. (B20-B24)"/>
    <n v="1242"/>
    <n v="1.2E-2"/>
  </r>
  <r>
    <x v="449"/>
    <x v="15"/>
    <x v="14"/>
    <s v="Otras enfermedades hipertensivas. (I10, I12)"/>
    <n v="1135"/>
    <n v="1.09E-2"/>
  </r>
  <r>
    <x v="450"/>
    <x v="15"/>
    <x v="15"/>
    <s v="Deficiencias de Nutrición . (E40-E64)"/>
    <n v="1023"/>
    <n v="9.9000000000000008E-3"/>
  </r>
  <r>
    <x v="451"/>
    <x v="15"/>
    <x v="16"/>
    <s v="Tumores benignos y de comportamiento incierto o desconocido. . (D10-D48)"/>
    <n v="878"/>
    <n v="8.5000000000000006E-3"/>
  </r>
  <r>
    <x v="452"/>
    <x v="15"/>
    <x v="17"/>
    <s v="Enfermedades debidas a protozoarios. . (B50-B64)"/>
    <n v="831"/>
    <n v="8.0000000000000002E-3"/>
  </r>
  <r>
    <x v="453"/>
    <x v="15"/>
    <x v="18"/>
    <s v="Tuberculosis . (A15-A19, B90)"/>
    <n v="758"/>
    <n v="7.3000000000000001E-3"/>
  </r>
  <r>
    <x v="454"/>
    <x v="15"/>
    <x v="19"/>
    <s v="Enfermedades del esófago, del estómago y del duodeno. (K20-K31)"/>
    <n v="626"/>
    <n v="6.0000000000000001E-3"/>
  </r>
  <r>
    <x v="455"/>
    <x v="15"/>
    <x v="20"/>
    <s v="Septicemia . (A40-A41)"/>
    <n v="619"/>
    <n v="6.0000000000000001E-3"/>
  </r>
  <r>
    <x v="456"/>
    <x v="15"/>
    <x v="21"/>
    <s v="Enfermedades inflamatorias del sistema nervioso central. (G00-G09)"/>
    <n v="501"/>
    <n v="4.7999999999999996E-3"/>
  </r>
  <r>
    <x v="457"/>
    <x v="15"/>
    <x v="22"/>
    <s v="Infección aguda no especificada de las vías respiratorias inferiores (J22)"/>
    <n v="410"/>
    <n v="3.8999999999999998E-3"/>
  </r>
  <r>
    <x v="458"/>
    <x v="15"/>
    <x v="23"/>
    <s v="Trastornos de la vesícula biliar, de las vías biliares y del páncreas. (K80-K87)"/>
    <n v="369"/>
    <n v="3.5999999999999999E-3"/>
  </r>
  <r>
    <x v="459"/>
    <x v="15"/>
    <x v="24"/>
    <s v="Trastornos episódicos y paroxísticos. (G40-G47)"/>
    <n v="351"/>
    <n v="3.3999999999999998E-3"/>
  </r>
  <r>
    <x v="460"/>
    <x v="15"/>
    <x v="25"/>
    <s v="Total 25 Primeras causas"/>
    <n v="91262"/>
    <n v="0.87229999999999996"/>
  </r>
  <r>
    <x v="461"/>
    <x v="15"/>
    <x v="26"/>
    <s v="Causas de mortalidad mal definidas, desconocidas o sin diagnostico medico tratante. . (R95-R99) . ("/>
    <n v="769"/>
    <n v="7.4000000000000003E-3"/>
  </r>
  <r>
    <x v="462"/>
    <x v="15"/>
    <x v="27"/>
    <s v="Resto de Muertes Violentas . (Y10-Y34, Y35-Y36) . (2)"/>
    <n v="4288"/>
    <n v="4.1000000000000002E-2"/>
  </r>
  <r>
    <x v="463"/>
    <x v="15"/>
    <x v="28"/>
    <s v="Total Muertes"/>
    <n v="104625"/>
    <n v="1"/>
  </r>
  <r>
    <x v="464"/>
    <x v="16"/>
    <x v="0"/>
    <s v="Enfermedades del corazon (I05-I09, I11, I13, I21-I51)"/>
    <n v="21606"/>
    <n v="0.216"/>
  </r>
  <r>
    <x v="465"/>
    <x v="16"/>
    <x v="1"/>
    <s v="Cancer (C00 - C97)"/>
    <n v="14155"/>
    <n v="0.14149999999999999"/>
  </r>
  <r>
    <x v="466"/>
    <x v="16"/>
    <x v="2"/>
    <s v="Accidentes de Todo Tipo (V01 - X59) (2)"/>
    <n v="7784"/>
    <n v="7.7100000000000002E-2"/>
  </r>
  <r>
    <x v="467"/>
    <x v="16"/>
    <x v="3"/>
    <s v="Enfermedades Cerebrovasculares(I60-I69)"/>
    <n v="7607"/>
    <n v="7.6100000000000001E-2"/>
  </r>
  <r>
    <x v="468"/>
    <x v="16"/>
    <x v="4"/>
    <s v="Ciertas afecciones originadas en el período perinatal.(P00-P96) (3)"/>
    <n v="5241"/>
    <n v="5.2400000000000002E-2"/>
  </r>
  <r>
    <x v="469"/>
    <x v="16"/>
    <x v="5"/>
    <s v="Diabetes (E10-E14)"/>
    <n v="4867"/>
    <n v="4.87E-2"/>
  </r>
  <r>
    <x v="470"/>
    <x v="16"/>
    <x v="6"/>
    <s v="Suicidios y Homicidios (X60-Y09) (2)"/>
    <n v="3961"/>
    <n v="3.9199999999999999E-2"/>
  </r>
  <r>
    <x v="471"/>
    <x v="16"/>
    <x v="7"/>
    <s v="Influenza y neumonía(J10-J18)"/>
    <n v="2981"/>
    <n v="2.98E-2"/>
  </r>
  <r>
    <x v="472"/>
    <x v="16"/>
    <x v="8"/>
    <s v="Enfermedades crónicas de las vías respiratorias inferiores (J40-J47)"/>
    <n v="2758"/>
    <n v="2.76E-2"/>
  </r>
  <r>
    <x v="473"/>
    <x v="16"/>
    <x v="9"/>
    <s v="Enfermedades infecciosas intestinales(A00-A09)"/>
    <n v="2593"/>
    <n v="2.5899999999999999E-2"/>
  </r>
  <r>
    <x v="474"/>
    <x v="16"/>
    <x v="10"/>
    <s v="Enfermedades del hígado.(K70-K77)"/>
    <n v="1954"/>
    <n v="1.95E-2"/>
  </r>
  <r>
    <x v="475"/>
    <x v="16"/>
    <x v="11"/>
    <s v="Anomalias congénitas (Q00-Q99)"/>
    <n v="1854"/>
    <n v="1.8499999999999999E-2"/>
  </r>
  <r>
    <x v="476"/>
    <x v="16"/>
    <x v="12"/>
    <s v="Nefritis y Nefrosis (N00-N19, N25-N29)"/>
    <n v="1406"/>
    <n v="1.41E-2"/>
  </r>
  <r>
    <x v="477"/>
    <x v="16"/>
    <x v="13"/>
    <s v="Otras enfermedades hipertensivas(I10, I12)"/>
    <n v="1173"/>
    <n v="1.17E-2"/>
  </r>
  <r>
    <x v="478"/>
    <x v="16"/>
    <x v="14"/>
    <s v="Deficiencias de Nutrición (E40-E64)"/>
    <n v="1149"/>
    <n v="1.15E-2"/>
  </r>
  <r>
    <x v="479"/>
    <x v="16"/>
    <x v="15"/>
    <s v="Enfermedad por virus de la inmunodeficiencia humana [VIH](B20-B24)"/>
    <n v="1126"/>
    <n v="1.1299999999999999E-2"/>
  </r>
  <r>
    <x v="480"/>
    <x v="16"/>
    <x v="16"/>
    <s v="Enfermedades debidas a protozoarios. (B50-B64)"/>
    <n v="888"/>
    <n v="8.8999999999999999E-3"/>
  </r>
  <r>
    <x v="481"/>
    <x v="16"/>
    <x v="17"/>
    <s v="Tumores benignos y de comportamiento incierto o desconocido. (D10-D48)"/>
    <n v="877"/>
    <n v="8.8000000000000005E-3"/>
  </r>
  <r>
    <x v="482"/>
    <x v="16"/>
    <x v="18"/>
    <s v="Tuberculosis (A15-A19, B90)"/>
    <n v="764"/>
    <n v="7.6E-3"/>
  </r>
  <r>
    <x v="483"/>
    <x v="16"/>
    <x v="19"/>
    <s v="Septicemia (A40-A41)"/>
    <n v="639"/>
    <n v="6.4000000000000003E-3"/>
  </r>
  <r>
    <x v="484"/>
    <x v="16"/>
    <x v="20"/>
    <s v="Enfermedades del esófago, del estómago y del duodeno(K20-K31)"/>
    <n v="602"/>
    <n v="6.0000000000000001E-3"/>
  </r>
  <r>
    <x v="485"/>
    <x v="16"/>
    <x v="21"/>
    <s v="Enfermedades inflamatorias del sistema nervioso central(G00-G09)"/>
    <n v="462"/>
    <n v="4.5999999999999999E-3"/>
  </r>
  <r>
    <x v="486"/>
    <x v="16"/>
    <x v="22"/>
    <s v="Infección aguda no especificada de las vías respiratorias inferiores (J22)"/>
    <n v="448"/>
    <n v="4.4999999999999997E-3"/>
  </r>
  <r>
    <x v="487"/>
    <x v="16"/>
    <x v="23"/>
    <s v="Trastornos episódicos y paroxísticos(G40-G47)"/>
    <n v="392"/>
    <n v="3.8999999999999998E-3"/>
  </r>
  <r>
    <x v="488"/>
    <x v="16"/>
    <x v="24"/>
    <s v="Trastornos metabólicos.(E70-E90)"/>
    <n v="357"/>
    <n v="3.5999999999999999E-3"/>
  </r>
  <r>
    <x v="489"/>
    <x v="16"/>
    <x v="25"/>
    <s v="Total principales Causas de muerte"/>
    <n v="87042"/>
    <n v="0.86209999999999998"/>
  </r>
  <r>
    <x v="490"/>
    <x v="16"/>
    <x v="26"/>
    <s v="Causas de mortalidad mal definidas, desconocidas o sin diagnostico medico tratante. (R9"/>
    <n v="956"/>
    <n v="9.4999999999999998E-3"/>
  </r>
  <r>
    <x v="491"/>
    <x v="16"/>
    <x v="27"/>
    <s v="Resto de Muertes Violentas (Y10-Y34, Y35-Y36) (2)"/>
    <n v="3624"/>
    <n v="3.5900000000000001E-2"/>
  </r>
  <r>
    <x v="492"/>
    <x v="16"/>
    <x v="28"/>
    <s v="Total de Muertes"/>
    <n v="100963"/>
    <n v="1"/>
  </r>
  <r>
    <x v="493"/>
    <x v="17"/>
    <x v="0"/>
    <s v="Enfermedades del corazon (I05-I09, I11, I13, I21-I51)"/>
    <n v="20840"/>
    <s v="21,70%"/>
  </r>
  <r>
    <x v="494"/>
    <x v="17"/>
    <x v="1"/>
    <s v="Cancer (C00 - C97)"/>
    <n v="14024"/>
    <s v="14,60%"/>
  </r>
  <r>
    <x v="495"/>
    <x v="17"/>
    <x v="2"/>
    <s v="Enfermedades Cerebrovasculares(I60-I69)"/>
    <n v="7530"/>
    <s v="7,84%"/>
  </r>
  <r>
    <x v="496"/>
    <x v="17"/>
    <x v="3"/>
    <s v="Accidentes de Todo Tipo (V01 - X59) (2)"/>
    <n v="7066"/>
    <s v="7,21%"/>
  </r>
  <r>
    <x v="497"/>
    <x v="17"/>
    <x v="4"/>
    <s v="Ciertas afecciones originadas en el período perinatal.(P00-P96) (3)"/>
    <n v="5503"/>
    <s v="5,73%"/>
  </r>
  <r>
    <x v="498"/>
    <x v="17"/>
    <x v="5"/>
    <s v="Diabetes (E10-E14)"/>
    <n v="4833"/>
    <s v="5,03%"/>
  </r>
  <r>
    <x v="499"/>
    <x v="17"/>
    <x v="6"/>
    <s v="Suicidios y Homicidios (X60-Y09) (2)"/>
    <n v="3939"/>
    <s v="4,02%"/>
  </r>
  <r>
    <x v="500"/>
    <x v="17"/>
    <x v="7"/>
    <s v="Influenza y neumonía(J10-J18)"/>
    <n v="2726"/>
    <s v="2,84%"/>
  </r>
  <r>
    <x v="501"/>
    <x v="17"/>
    <x v="8"/>
    <s v="Enfermedades infecciosas intestinales(A00-A09)"/>
    <n v="2630"/>
    <s v="2,74%"/>
  </r>
  <r>
    <x v="502"/>
    <x v="17"/>
    <x v="9"/>
    <s v="Enfermedades crónicas de las vías respiratorias inferiores (J40-J47)"/>
    <n v="2401"/>
    <s v="2,50%"/>
  </r>
  <r>
    <x v="503"/>
    <x v="17"/>
    <x v="10"/>
    <s v="Anomalias congénitas (Q00-Q99)"/>
    <n v="1911"/>
    <s v="1,99%"/>
  </r>
  <r>
    <x v="504"/>
    <x v="17"/>
    <x v="11"/>
    <s v="Enfermedades del hígado.(K70-K77)"/>
    <n v="1801"/>
    <s v="1,87%"/>
  </r>
  <r>
    <x v="505"/>
    <x v="17"/>
    <x v="12"/>
    <s v="Disparo de otras armas de fuego y las no especificadas, de intención  no determinada (Y24) (2)"/>
    <n v="1666"/>
    <s v="1,70%"/>
  </r>
  <r>
    <x v="506"/>
    <x v="17"/>
    <x v="13"/>
    <s v="Nefritis y Nefrosis (N00-N19, N25-N29)"/>
    <n v="1517"/>
    <s v="1,58%"/>
  </r>
  <r>
    <x v="507"/>
    <x v="17"/>
    <x v="14"/>
    <s v="Otras enfermedades hipertensivas(I10, I12)"/>
    <n v="1145"/>
    <s v="1,17%"/>
  </r>
  <r>
    <x v="508"/>
    <x v="17"/>
    <x v="15"/>
    <s v="Enfermedad por virus de la inmunodeficiencia humana [VIH](B20-B24)"/>
    <n v="1087"/>
    <s v="1,13%"/>
  </r>
  <r>
    <x v="509"/>
    <x v="17"/>
    <x v="16"/>
    <s v="Deficiencias de Nutrición (E40-E64)"/>
    <n v="1083"/>
    <s v="1,13%"/>
  </r>
  <r>
    <x v="510"/>
    <x v="17"/>
    <x v="17"/>
    <s v="Enfermedades debidas a protozoarios. (B50-B64)"/>
    <n v="861"/>
    <s v="0,90%"/>
  </r>
  <r>
    <x v="511"/>
    <x v="17"/>
    <x v="18"/>
    <s v="Tumores benignos y de comportamiento incierto o desconocido. (D10-D48)"/>
    <n v="776"/>
    <s v="0,81%"/>
  </r>
  <r>
    <x v="512"/>
    <x v="17"/>
    <x v="19"/>
    <s v="Tuberculosis (A15-A19, B90)"/>
    <n v="753"/>
    <s v="0,78%"/>
  </r>
  <r>
    <x v="513"/>
    <x v="17"/>
    <x v="20"/>
    <s v="Evento no especificado, de intención no determinada (Y34) (2)"/>
    <n v="682"/>
    <s v="0,70%"/>
  </r>
  <r>
    <x v="514"/>
    <x v="17"/>
    <x v="21"/>
    <s v="Septicemia (A40-A41)"/>
    <n v="662"/>
    <s v="0,69%"/>
  </r>
  <r>
    <x v="515"/>
    <x v="17"/>
    <x v="22"/>
    <s v="Enfermedades del esófago, del estómago y del duodeno(K20-K31)"/>
    <n v="523"/>
    <s v="0,54%"/>
  </r>
  <r>
    <x v="516"/>
    <x v="17"/>
    <x v="23"/>
    <s v="Enfermedades inflamatorias del sistema nervioso central(G00-G09)"/>
    <n v="495"/>
    <s v="0,52%"/>
  </r>
  <r>
    <x v="516"/>
    <x v="17"/>
    <x v="23"/>
    <s v="Meningitis (G00-G03)"/>
    <n v="352"/>
    <s v="0,37%"/>
  </r>
  <r>
    <x v="517"/>
    <x v="17"/>
    <x v="24"/>
    <s v="Trastornos episódicos y paroxísticos(G40-G47)"/>
    <n v="391"/>
    <s v="0,41%"/>
  </r>
  <r>
    <x v="518"/>
    <x v="17"/>
    <x v="25"/>
    <s v="TOTAL 25 PRINCIPALES CAUSAS"/>
    <n v="86674"/>
    <s v="88,43%"/>
  </r>
  <r>
    <x v="519"/>
    <x v="17"/>
    <x v="26"/>
    <s v="RESTO DE CAUSAS CON DIAGNOSTICO MEDICO TRATANTE"/>
    <n v="9383"/>
    <s v="9,57%"/>
  </r>
  <r>
    <x v="520"/>
    <x v="17"/>
    <x v="27"/>
    <s v="CAUSAS MAL DEFINIDAS O SIN DIAGNOSTICO MEDICO TRATANTE"/>
    <n v="1954"/>
    <s v="1,99%"/>
  </r>
  <r>
    <x v="521"/>
    <x v="17"/>
    <x v="28"/>
    <m/>
    <n v="98011"/>
    <n v="1"/>
  </r>
  <r>
    <x v="522"/>
    <x v="18"/>
    <x v="0"/>
    <s v="1 Enfermedades del Corazón (I05-I09, I11, I13, I21-I51)"/>
    <n v="21309"/>
    <n v="0.2167"/>
  </r>
  <r>
    <x v="523"/>
    <x v="18"/>
    <x v="1"/>
    <s v="2 Cancer (C00-C97)"/>
    <n v="13620"/>
    <n v="0.13850000000000001"/>
  </r>
  <r>
    <x v="524"/>
    <x v="18"/>
    <x v="2"/>
    <s v="3 Enfermedad Cerebrovascular (I60-I69)"/>
    <n v="7618"/>
    <n v="7.6100000000000001E-2"/>
  </r>
  <r>
    <x v="525"/>
    <x v="18"/>
    <x v="3"/>
    <s v="4 Accidentes (de Todo Tipo)  (V01-X59) (2)"/>
    <n v="7182"/>
    <n v="7.1800000000000003E-2"/>
  </r>
  <r>
    <x v="526"/>
    <x v="18"/>
    <x v="4"/>
    <s v="5 Ciertas afecciones originadas en el período perinatal (P00-P96) (3)"/>
    <n v="5643"/>
    <n v="5.74E-2"/>
  </r>
  <r>
    <x v="527"/>
    <x v="18"/>
    <x v="5"/>
    <s v="6 Diabetes (E10-E14)"/>
    <n v="4450"/>
    <n v="4.53E-2"/>
  </r>
  <r>
    <x v="528"/>
    <x v="18"/>
    <x v="6"/>
    <s v="7 Suicidios y Homicidios (X60-Y09)"/>
    <n v="4337"/>
    <n v="4.41E-2"/>
  </r>
  <r>
    <x v="529"/>
    <x v="18"/>
    <x v="7"/>
    <s v="8 Enteritis y otras enfermedades Diarreicas (A08-A09)"/>
    <n v="3109"/>
    <n v="3.1099999999999999E-2"/>
  </r>
  <r>
    <x v="530"/>
    <x v="18"/>
    <x v="8"/>
    <s v="9 Neumonía (J12-J18)"/>
    <n v="2634"/>
    <n v="2.6800000000000001E-2"/>
  </r>
  <r>
    <x v="531"/>
    <x v="18"/>
    <x v="9"/>
    <s v="10 Anomalias congenitas (Q00-Q99)"/>
    <n v="1917"/>
    <n v="1.95E-2"/>
  </r>
  <r>
    <x v="532"/>
    <x v="18"/>
    <x v="10"/>
    <s v="11 Disparo de otras armas de fuego y las no especificadas, de intención  no"/>
    <n v="1850"/>
    <n v="1.8800000000000001E-2"/>
  </r>
  <r>
    <x v="533"/>
    <x v="18"/>
    <x v="11"/>
    <s v="12 Enfermedad pulmonar obstructiva crónica, no espeficicada (J449)"/>
    <n v="1511"/>
    <n v="1.54E-2"/>
  </r>
  <r>
    <x v="534"/>
    <x v="18"/>
    <x v="12"/>
    <s v="13 Deficiencias de la Nutrición (E40-E64)"/>
    <n v="1484"/>
    <n v="1.5100000000000001E-2"/>
  </r>
  <r>
    <x v="535"/>
    <x v="18"/>
    <x v="13"/>
    <s v="14 Nefritis y Nefrosis (N00-N19, N25-N29))"/>
    <n v="1459"/>
    <n v="1.4800000000000001E-2"/>
  </r>
  <r>
    <x v="536"/>
    <x v="18"/>
    <x v="14"/>
    <s v="15 Cirrosis y fibrosis Hepatica (K70.2, K70.3,K74)"/>
    <n v="1368"/>
    <n v="1.3899999999999999E-2"/>
  </r>
  <r>
    <x v="537"/>
    <x v="18"/>
    <x v="15"/>
    <s v="16 Enfermedad por virus de la inmunodeficiencia humana [VIH]"/>
    <n v="931"/>
    <n v="9.4999999999999998E-3"/>
  </r>
  <r>
    <x v="538"/>
    <x v="18"/>
    <x v="16"/>
    <s v="17 Tripanosomiasis  (B56-B57)"/>
    <n v="863"/>
    <n v="8.8000000000000005E-3"/>
  </r>
  <r>
    <x v="539"/>
    <x v="18"/>
    <x v="17"/>
    <s v="18 Bronquitis crónica y la no especificada,  Enfisema y Asma (J40-J43,J45-J46)"/>
    <n v="856"/>
    <n v="8.6999999999999994E-3"/>
  </r>
  <r>
    <x v="540"/>
    <x v="18"/>
    <x v="18"/>
    <s v="19 Tuberculosis (A15-A19,B90)"/>
    <n v="760"/>
    <n v="7.7000000000000002E-3"/>
  </r>
  <r>
    <x v="541"/>
    <x v="18"/>
    <x v="19"/>
    <s v="20 Otras enfermedades Hipertensivas (I10-I12)"/>
    <n v="746"/>
    <n v="7.6E-3"/>
  </r>
  <r>
    <x v="542"/>
    <x v="18"/>
    <x v="20"/>
    <s v="21 Tumores benignos y de comportamiento incierto o desconocido (D10-D48)"/>
    <n v="743"/>
    <n v="7.6E-3"/>
  </r>
  <r>
    <x v="543"/>
    <x v="18"/>
    <x v="21"/>
    <s v="22 Evento no especificado, de intención no determinada ( (Y34))"/>
    <n v="651"/>
    <n v="6.6E-3"/>
  </r>
  <r>
    <x v="544"/>
    <x v="18"/>
    <x v="22"/>
    <s v="23 Septicemias (A40-A41)"/>
    <n v="617"/>
    <n v="6.3E-3"/>
  </r>
  <r>
    <x v="545"/>
    <x v="18"/>
    <x v="23"/>
    <s v="24 Ulcera gastrica, Doudenal y Gastroyeyunal (K25-K28)"/>
    <n v="437"/>
    <n v="4.4000000000000003E-3"/>
  </r>
  <r>
    <x v="546"/>
    <x v="18"/>
    <x v="24"/>
    <s v="25  Meningitis (G00-G03)"/>
    <n v="435"/>
    <n v="4.4000000000000003E-3"/>
  </r>
  <r>
    <x v="547"/>
    <x v="18"/>
    <x v="25"/>
    <s v="Total 25 Principales causas"/>
    <n v="86530"/>
    <n v="0.8649"/>
  </r>
  <r>
    <x v="548"/>
    <x v="18"/>
    <x v="26"/>
    <s v="Resto de causas con diagnostico médico tratante"/>
    <n v="11803"/>
    <n v="0.11799999999999999"/>
  </r>
  <r>
    <x v="549"/>
    <x v="18"/>
    <x v="27"/>
    <s v="Causas mal definidas o sin diagnostico médico tratante"/>
    <n v="1712"/>
    <n v="1.7100000000000001E-2"/>
  </r>
  <r>
    <x v="550"/>
    <x v="18"/>
    <x v="28"/>
    <s v="Total de Muertes"/>
    <n v="100045"/>
    <n v="1"/>
  </r>
  <r>
    <x v="551"/>
    <x v="19"/>
    <x v="29"/>
    <m/>
    <m/>
    <m/>
  </r>
  <r>
    <x v="551"/>
    <x v="19"/>
    <x v="29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54">
  <r>
    <x v="0"/>
    <x v="0"/>
    <x v="0"/>
    <s v="Enfermedades del corazón (I05-I09, I11, I13, I21-I51)"/>
    <n v="34672"/>
    <n v="0.21390000000000001"/>
  </r>
  <r>
    <x v="1"/>
    <x v="0"/>
    <x v="1"/>
    <s v="Cáncer. (C00-C97)"/>
    <n v="24199"/>
    <n v="0.14929999999999999"/>
  </r>
  <r>
    <x v="2"/>
    <x v="0"/>
    <x v="2"/>
    <s v="Diabetes. (E10-E14)"/>
    <n v="13422"/>
    <n v="8.2799999999999999E-2"/>
  </r>
  <r>
    <x v="3"/>
    <x v="0"/>
    <x v="3"/>
    <s v="Enfermedades Cerebrovasculares. (I60-I69)"/>
    <n v="11926"/>
    <n v="7.3599999999999999E-2"/>
  </r>
  <r>
    <x v="4"/>
    <x v="0"/>
    <x v="4"/>
    <s v="Suicidios y Homicidios. (X60-Y09). (2)"/>
    <n v="9818"/>
    <n v="6.0900000000000003E-2"/>
  </r>
  <r>
    <x v="5"/>
    <x v="0"/>
    <x v="5"/>
    <s v="Accidentes de Todo Tipo. (V01-X59). (2)"/>
    <n v="9209"/>
    <n v="5.7099999999999998E-2"/>
  </r>
  <r>
    <x v="6"/>
    <x v="0"/>
    <x v="6"/>
    <s v="Ciertas afecciones originadas en el período perinatal. (P00-P96) (3)"/>
    <n v="5605"/>
    <n v="3.4599999999999999E-2"/>
  </r>
  <r>
    <x v="7"/>
    <x v="0"/>
    <x v="7"/>
    <s v="Enfermedades crónicas de las vías respiratorias inferiores. (J40-J47)"/>
    <n v="4901"/>
    <n v="3.0200000000000001E-2"/>
  </r>
  <r>
    <x v="8"/>
    <x v="0"/>
    <x v="8"/>
    <s v="Influenza y neumonía. (J09-J18)"/>
    <n v="4779"/>
    <n v="2.9499999999999998E-2"/>
  </r>
  <r>
    <x v="9"/>
    <x v="0"/>
    <x v="9"/>
    <s v="Enfermedades del hígado. (K70-K77)"/>
    <n v="3456"/>
    <n v="2.1299999999999999E-2"/>
  </r>
  <r>
    <x v="10"/>
    <x v="0"/>
    <x v="10"/>
    <s v="Otras enfermedades hipertensivas. (I10, I12)"/>
    <n v="2769"/>
    <n v="1.7100000000000001E-2"/>
  </r>
  <r>
    <x v="11"/>
    <x v="0"/>
    <x v="11"/>
    <s v="Malformaciones congénitas, deformidades y anomalias cromosómicas (Q00-Q99)"/>
    <n v="2474"/>
    <n v="1.5299999999999999E-2"/>
  </r>
  <r>
    <x v="12"/>
    <x v="0"/>
    <x v="12"/>
    <s v="Nefritis y Nefrosis. (N00-N19, N25-N29)"/>
    <n v="2446"/>
    <n v="1.5100000000000001E-2"/>
  </r>
  <r>
    <x v="13"/>
    <x v="0"/>
    <x v="13"/>
    <s v="Tumores benignos y de comportamiento incierto o desconocido. (D10-D48)"/>
    <n v="2278"/>
    <n v="1.41E-2"/>
  </r>
  <r>
    <x v="14"/>
    <x v="0"/>
    <x v="14"/>
    <s v="Enfermedad por virus de la inmunodeficiencia humana [VIH]. (B20-B24)"/>
    <n v="2218"/>
    <n v="1.37E-2"/>
  </r>
  <r>
    <x v="15"/>
    <x v="0"/>
    <x v="15"/>
    <s v="Enfermedades infecciosas intestinales. (A00-A09)"/>
    <n v="1390"/>
    <n v="8.6E-3"/>
  </r>
  <r>
    <x v="16"/>
    <x v="0"/>
    <x v="16"/>
    <s v="Septicemia. (A40-A41)"/>
    <n v="1156"/>
    <n v="7.1000000000000004E-3"/>
  </r>
  <r>
    <x v="17"/>
    <x v="0"/>
    <x v="17"/>
    <s v="Infección aguda no especificada de las vías respiratorias inferiores (J22)"/>
    <n v="1018"/>
    <n v="6.3E-3"/>
  </r>
  <r>
    <x v="18"/>
    <x v="0"/>
    <x v="18"/>
    <s v="Enfermedades debidas a protozoarios. (B50-B64)"/>
    <n v="826"/>
    <n v="5.1000000000000004E-3"/>
  </r>
  <r>
    <x v="19"/>
    <x v="0"/>
    <x v="19"/>
    <s v="Íleo paralitico y obstrucción intestinal, sin hernia (K56)"/>
    <n v="750"/>
    <n v="4.5999999999999999E-3"/>
  </r>
  <r>
    <x v="20"/>
    <x v="0"/>
    <x v="20"/>
    <s v="Enfermedades de las arterias, de las arteriolas y de los vasos capilares. (I70-I79)"/>
    <n v="723"/>
    <n v="4.4999999999999997E-3"/>
  </r>
  <r>
    <x v="21"/>
    <x v="0"/>
    <x v="21"/>
    <s v="Tuberculosis. (A15-A19, B90)"/>
    <n v="712"/>
    <n v="4.4000000000000003E-3"/>
  </r>
  <r>
    <x v="22"/>
    <x v="0"/>
    <x v="22"/>
    <s v="Trastornos episódicos y paroxísticos. (G40-G47)"/>
    <n v="612"/>
    <n v="3.8E-3"/>
  </r>
  <r>
    <x v="23"/>
    <x v="0"/>
    <x v="23"/>
    <s v="Enfermedades del esófago, del estómago y del duodeno. (K20-K31)"/>
    <n v="601"/>
    <n v="3.7000000000000002E-3"/>
  </r>
  <r>
    <x v="24"/>
    <x v="0"/>
    <x v="24"/>
    <s v="Trastornos de la vesícula biliar, de las vías biliares y del páncreas. (K80-K87)"/>
    <n v="571"/>
    <n v="3.5000000000000001E-3"/>
  </r>
  <r>
    <x v="25"/>
    <x v="0"/>
    <x v="25"/>
    <s v="Total 25 Primeras Causas"/>
    <n v="142531"/>
    <n v="0.87909999999999999"/>
  </r>
  <r>
    <x v="26"/>
    <x v="0"/>
    <x v="26"/>
    <s v="Causas de mortalidad mal definidas, desconocidas o sin diagnostico medico tratante. (R95-R99). (2)"/>
    <n v="617"/>
    <n v="3.8E-3"/>
  </r>
  <r>
    <x v="27"/>
    <x v="0"/>
    <x v="27"/>
    <s v="Resto de Muertes Violentas. (Y10-Y34, Y35-Y36). (2)"/>
    <n v="9082"/>
    <n v="5.6300000000000003E-2"/>
  </r>
  <r>
    <x v="28"/>
    <x v="0"/>
    <x v="28"/>
    <s v="Total Todas las Causas (A00-Y89)"/>
    <n v="162125"/>
    <n v="1"/>
  </r>
  <r>
    <x v="29"/>
    <x v="1"/>
    <x v="0"/>
    <s v="Enfermedades del corazón (I05-I09, I11, I13, I21-I51)"/>
    <n v="30899"/>
    <n v="0.20610000000000001"/>
  </r>
  <r>
    <x v="30"/>
    <x v="1"/>
    <x v="1"/>
    <s v="Cáncer. (C00-C97)"/>
    <n v="23121"/>
    <n v="0.1542"/>
  </r>
  <r>
    <x v="31"/>
    <x v="1"/>
    <x v="2"/>
    <s v="Diabetes. (E10-E14)"/>
    <n v="11459"/>
    <n v="7.6399999999999996E-2"/>
  </r>
  <r>
    <x v="32"/>
    <x v="1"/>
    <x v="3"/>
    <s v="Enfermedades Cerebrovasculares. (I60-I69)"/>
    <n v="11164"/>
    <n v="7.4499999999999997E-2"/>
  </r>
  <r>
    <x v="33"/>
    <x v="1"/>
    <x v="4"/>
    <s v="Accidentes de Todo Tipo. (V01-X59). (2)"/>
    <n v="9720"/>
    <n v="6.5100000000000005E-2"/>
  </r>
  <r>
    <x v="34"/>
    <x v="1"/>
    <x v="5"/>
    <s v="Suicidios y Homicidios. (X60-Y09). (2)"/>
    <n v="9458"/>
    <n v="6.3399999999999998E-2"/>
  </r>
  <r>
    <x v="35"/>
    <x v="1"/>
    <x v="6"/>
    <s v="Ciertas afecciones originadas en el período perinatal. (P00-P96) (3)"/>
    <n v="5280"/>
    <n v="3.5200000000000002E-2"/>
  </r>
  <r>
    <x v="36"/>
    <x v="1"/>
    <x v="7"/>
    <s v="Influenza y neumonía. (J09-J18)"/>
    <n v="4553"/>
    <n v="3.04E-2"/>
  </r>
  <r>
    <x v="37"/>
    <x v="1"/>
    <x v="8"/>
    <s v="Enfermedades crónicas de las vías respiratorias inferiores. (J40-J47)"/>
    <n v="4333"/>
    <n v="2.8899999999999999E-2"/>
  </r>
  <r>
    <x v="38"/>
    <x v="1"/>
    <x v="9"/>
    <s v="Enfermedades del hígado. (K70-K77)"/>
    <n v="3098"/>
    <n v="2.07E-2"/>
  </r>
  <r>
    <x v="39"/>
    <x v="1"/>
    <x v="10"/>
    <s v="Anomalías congénitas. (Q00-Q99)"/>
    <n v="2428"/>
    <n v="1.6199999999999999E-2"/>
  </r>
  <r>
    <x v="40"/>
    <x v="1"/>
    <x v="11"/>
    <s v="Tumores benignos y de comportamiento incierto o desconocido. (D10-D48)"/>
    <n v="2339"/>
    <n v="1.5599999999999999E-2"/>
  </r>
  <r>
    <x v="41"/>
    <x v="1"/>
    <x v="12"/>
    <s v="Nefritis y Nefrosis. (N00-N19, N25-N29)"/>
    <n v="2139"/>
    <n v="1.43E-2"/>
  </r>
  <r>
    <x v="42"/>
    <x v="1"/>
    <x v="13"/>
    <s v="Otras enfermedades hipertensivas. (I10, I12)"/>
    <n v="2063"/>
    <n v="1.38E-2"/>
  </r>
  <r>
    <x v="43"/>
    <x v="1"/>
    <x v="14"/>
    <s v="Enfermedad por virus de la inmunodeficiencia humana [VIH]. (B20-B24)"/>
    <n v="2054"/>
    <n v="1.37E-2"/>
  </r>
  <r>
    <x v="44"/>
    <x v="1"/>
    <x v="15"/>
    <s v="Enfermedades infecciosas intestinales. (A00-A09)"/>
    <n v="1017"/>
    <n v="6.7999999999999996E-3"/>
  </r>
  <r>
    <x v="45"/>
    <x v="1"/>
    <x v="16"/>
    <s v="Septicemia. (A40-A41)"/>
    <n v="935"/>
    <n v="6.1999999999999998E-3"/>
  </r>
  <r>
    <x v="46"/>
    <x v="1"/>
    <x v="17"/>
    <s v="Infección aguda no especificada de las vías respiratorias inferiores (J22)"/>
    <n v="769"/>
    <n v="5.1000000000000004E-3"/>
  </r>
  <r>
    <x v="47"/>
    <x v="1"/>
    <x v="18"/>
    <s v="Tuberculosis. (A15-A19, B90)"/>
    <n v="695"/>
    <n v="4.5999999999999999E-3"/>
  </r>
  <r>
    <x v="48"/>
    <x v="1"/>
    <x v="19"/>
    <s v="Enfermedades debidas a protozoarios. (B50-B64)"/>
    <n v="685"/>
    <n v="4.5999999999999999E-3"/>
  </r>
  <r>
    <x v="49"/>
    <x v="1"/>
    <x v="20"/>
    <s v="Íleo paralitico y obstrucción intestinal, sin hernia (K56)"/>
    <n v="637"/>
    <n v="4.1999999999999997E-3"/>
  </r>
  <r>
    <x v="50"/>
    <x v="1"/>
    <x v="21"/>
    <s v="Trastornos de la vesícula biliar, de las vías biliares y del páncreas. (K80-K87)"/>
    <n v="538"/>
    <n v="3.5999999999999999E-3"/>
  </r>
  <r>
    <x v="51"/>
    <x v="1"/>
    <x v="22"/>
    <s v="Enfermedades del esófago, del estómago y del duodeno. (K20-K31)"/>
    <n v="524"/>
    <n v="3.5000000000000001E-3"/>
  </r>
  <r>
    <x v="52"/>
    <x v="1"/>
    <x v="23"/>
    <s v="Enfermedad de Alzheimer (G30)"/>
    <n v="515"/>
    <n v="3.3999999999999998E-3"/>
  </r>
  <r>
    <x v="53"/>
    <x v="1"/>
    <x v="24"/>
    <s v="Trastornos episódicos y paroxísticos. (G40-G47)"/>
    <n v="502"/>
    <n v="3.3E-3"/>
  </r>
  <r>
    <x v="54"/>
    <x v="1"/>
    <x v="25"/>
    <s v="Total 25 Primeras Causas"/>
    <n v="130925"/>
    <n v="0.87339999999999995"/>
  </r>
  <r>
    <x v="55"/>
    <x v="1"/>
    <x v="26"/>
    <s v="Causas de mortalidad mal definidas, desconocidas o sin diagnostico medico tratante. (R95-R99). (2)"/>
    <n v="430"/>
    <n v="2.8999999999999998E-3"/>
  </r>
  <r>
    <x v="56"/>
    <x v="1"/>
    <x v="27"/>
    <s v="Resto de Muertes Violentas. (Y10-Y34, Y35-Y36). (2)"/>
    <n v="9717"/>
    <n v="6.5100000000000005E-2"/>
  </r>
  <r>
    <x v="57"/>
    <x v="1"/>
    <x v="28"/>
    <s v="Total Todas las Causas (A00-Y89)"/>
    <n v="149903"/>
    <n v="1"/>
  </r>
  <r>
    <x v="58"/>
    <x v="2"/>
    <x v="0"/>
    <s v="Enfermedades del corazón (I05-I09, I11, I13, I21-I51)"/>
    <n v="30467"/>
    <n v="0.20580000000000001"/>
  </r>
  <r>
    <x v="59"/>
    <x v="2"/>
    <x v="1"/>
    <s v="Cáncer. (C00-C97)"/>
    <n v="22815"/>
    <n v="0.15409999999999999"/>
  </r>
  <r>
    <x v="60"/>
    <x v="2"/>
    <x v="2"/>
    <s v="Enfermedades Cerebrovasculares. (I60-I69)"/>
    <n v="11308"/>
    <n v="7.6399999999999996E-2"/>
  </r>
  <r>
    <x v="61"/>
    <x v="2"/>
    <x v="3"/>
    <s v="Suicidios y Homicidios. (X60-Y09). (2)"/>
    <n v="10671"/>
    <n v="7.2400000000000006E-2"/>
  </r>
  <r>
    <x v="62"/>
    <x v="2"/>
    <x v="4"/>
    <s v="Diabetes. (E10-E14)"/>
    <n v="10528"/>
    <n v="7.1099999999999997E-2"/>
  </r>
  <r>
    <x v="63"/>
    <x v="2"/>
    <x v="5"/>
    <s v="Accidentes de Todo Tipo. (V01-X59). (2)"/>
    <n v="9861"/>
    <n v="6.6900000000000001E-2"/>
  </r>
  <r>
    <x v="64"/>
    <x v="2"/>
    <x v="6"/>
    <s v="Ciertas afecciones originadas en el período perinatal. (P00-P96) (3)"/>
    <n v="5445"/>
    <n v="3.6799999999999999E-2"/>
  </r>
  <r>
    <x v="65"/>
    <x v="2"/>
    <x v="7"/>
    <s v="Enfermedades crónicas de las vías respiratorias inferiores. (J40-J47)"/>
    <n v="4116"/>
    <n v="2.7799999999999998E-2"/>
  </r>
  <r>
    <x v="66"/>
    <x v="2"/>
    <x v="8"/>
    <s v="Influenza y neumonía. (J09-J18)"/>
    <n v="3779"/>
    <n v="2.5499999999999998E-2"/>
  </r>
  <r>
    <x v="67"/>
    <x v="2"/>
    <x v="9"/>
    <s v="Enfermedades del hígado. (K70-K77)"/>
    <n v="2908"/>
    <n v="1.9599999999999999E-2"/>
  </r>
  <r>
    <x v="68"/>
    <x v="2"/>
    <x v="10"/>
    <s v="Anomalías congénitas. (Q00-Q99)"/>
    <n v="2472"/>
    <n v="1.67E-2"/>
  </r>
  <r>
    <x v="69"/>
    <x v="2"/>
    <x v="11"/>
    <s v="Tumores benignos y de comportamiento incierto o desconocido. (D10-D48)"/>
    <n v="2292"/>
    <n v="1.55E-2"/>
  </r>
  <r>
    <x v="70"/>
    <x v="2"/>
    <x v="12"/>
    <s v="Enfermedad por virus de la inmunodeficiencia humana [VIH]. (B20-B24)"/>
    <n v="2161"/>
    <n v="1.46E-2"/>
  </r>
  <r>
    <x v="71"/>
    <x v="2"/>
    <x v="13"/>
    <s v="Nefritis y Nefrosis. (N00-N19, N25-N29)"/>
    <n v="1923"/>
    <n v="1.2999999999999999E-2"/>
  </r>
  <r>
    <x v="72"/>
    <x v="2"/>
    <x v="14"/>
    <s v="Otras enfermedades hipertensivas. (I10, I12)"/>
    <n v="1848"/>
    <n v="1.2500000000000001E-2"/>
  </r>
  <r>
    <x v="73"/>
    <x v="2"/>
    <x v="15"/>
    <s v="Enfermedades infecciosas intestinales. (A00-A09)"/>
    <n v="1010"/>
    <n v="6.7999999999999996E-3"/>
  </r>
  <r>
    <x v="74"/>
    <x v="2"/>
    <x v="16"/>
    <s v="Septicemia. (A40-A41)"/>
    <n v="777"/>
    <n v="5.1999999999999998E-3"/>
  </r>
  <r>
    <x v="75"/>
    <x v="2"/>
    <x v="17"/>
    <s v="Enfermedades debidas a protozoarios. (B50-B64)"/>
    <n v="774"/>
    <n v="5.1999999999999998E-3"/>
  </r>
  <r>
    <x v="76"/>
    <x v="2"/>
    <x v="18"/>
    <s v="Infección aguda no especificada de las vías respiratorias inferiores (J22)"/>
    <n v="758"/>
    <n v="5.1000000000000004E-3"/>
  </r>
  <r>
    <x v="77"/>
    <x v="2"/>
    <x v="19"/>
    <s v="Tuberculosis. (A15-A19, B90)"/>
    <n v="647"/>
    <n v="4.4000000000000003E-3"/>
  </r>
  <r>
    <x v="78"/>
    <x v="2"/>
    <x v="20"/>
    <s v="Íleo paralitico y obstrucción intestinal, sin hernia (K56)"/>
    <n v="596"/>
    <n v="4.0000000000000001E-3"/>
  </r>
  <r>
    <x v="79"/>
    <x v="2"/>
    <x v="21"/>
    <s v="Enfermedades del esófago, del estómago y del duodeno. (K20-K31)"/>
    <n v="544"/>
    <n v="3.7000000000000002E-3"/>
  </r>
  <r>
    <x v="80"/>
    <x v="2"/>
    <x v="22"/>
    <s v="Trastornos episódicos y paroxísticos. (G40-G47)"/>
    <n v="496"/>
    <n v="3.3999999999999998E-3"/>
  </r>
  <r>
    <x v="81"/>
    <x v="2"/>
    <x v="23"/>
    <s v="Trastornos de la vesícula biliar, de las vías biliares y del páncreas. (K80-K87)"/>
    <n v="471"/>
    <n v="3.2000000000000002E-3"/>
  </r>
  <r>
    <x v="82"/>
    <x v="2"/>
    <x v="24"/>
    <s v="Enfermedad de Alzheimer (G30)"/>
    <n v="464"/>
    <n v="3.0999999999999999E-3"/>
  </r>
  <r>
    <x v="83"/>
    <x v="2"/>
    <x v="25"/>
    <s v="Total 25 Primeras Causas"/>
    <n v="129131"/>
    <n v="0.87219999999999998"/>
  </r>
  <r>
    <x v="84"/>
    <x v="2"/>
    <x v="26"/>
    <s v="Causas de mortalidad mal definidas, desconocidas o sin diagnostico medico tratante. (R95-R99). (2)"/>
    <n v="518"/>
    <n v="3.5000000000000001E-3"/>
  </r>
  <r>
    <x v="85"/>
    <x v="2"/>
    <x v="27"/>
    <s v="Resto de Muertes Violentas. (Y10-Y34, Y35-Y36). (2)"/>
    <n v="9549"/>
    <n v="6.4799999999999996E-2"/>
  </r>
  <r>
    <x v="86"/>
    <x v="2"/>
    <x v="28"/>
    <s v="Total Todas las Causas (A00-Y89)"/>
    <n v="148058"/>
    <n v="1"/>
  </r>
  <r>
    <x v="87"/>
    <x v="3"/>
    <x v="0"/>
    <s v="Enfermedades del corazón (I05-I09, I11, I13, I21-I51)"/>
    <n v="30548"/>
    <n v="0.21360000000000001"/>
  </r>
  <r>
    <x v="88"/>
    <x v="3"/>
    <x v="1"/>
    <s v="Cáncer. (C00-C97)"/>
    <n v="22327"/>
    <n v="0.15609999999999999"/>
  </r>
  <r>
    <x v="89"/>
    <x v="3"/>
    <x v="2"/>
    <s v="Enfermedades Cerebrovasculares. (I60-I69)"/>
    <n v="11052"/>
    <n v="7.7299999999999994E-2"/>
  </r>
  <r>
    <x v="90"/>
    <x v="3"/>
    <x v="3"/>
    <s v="Diabetes. (E10-E14)"/>
    <n v="9854"/>
    <n v="6.8900000000000003E-2"/>
  </r>
  <r>
    <x v="91"/>
    <x v="3"/>
    <x v="4"/>
    <s v="Suicidios y Homicidios. (X60-Y09). (2)"/>
    <n v="9638"/>
    <n v="6.7699999999999996E-2"/>
  </r>
  <r>
    <x v="92"/>
    <x v="3"/>
    <x v="5"/>
    <s v="Accidentes de Todo Tipo. (V01-X59). (2)"/>
    <n v="8970"/>
    <n v="6.3E-2"/>
  </r>
  <r>
    <x v="93"/>
    <x v="3"/>
    <x v="6"/>
    <s v="Ciertas afecciones originadas en el período perinatal. (P00-P96) (3)"/>
    <n v="5530"/>
    <n v="3.8699999999999998E-2"/>
  </r>
  <r>
    <x v="94"/>
    <x v="3"/>
    <x v="7"/>
    <s v="Enfermedades crónicas de las vías respiratorias inferiores. (J40-J47)"/>
    <n v="4104"/>
    <n v="2.87E-2"/>
  </r>
  <r>
    <x v="95"/>
    <x v="3"/>
    <x v="8"/>
    <s v="Influenza y neumonía. (J09-J18)"/>
    <n v="3828"/>
    <n v="2.6800000000000001E-2"/>
  </r>
  <r>
    <x v="96"/>
    <x v="3"/>
    <x v="9"/>
    <s v="Enfermedades del hígado. (K70-K77)"/>
    <n v="2812"/>
    <n v="1.9699999999999999E-2"/>
  </r>
  <r>
    <x v="97"/>
    <x v="3"/>
    <x v="10"/>
    <s v="Anomalías congénitas. (Q00-Q99)"/>
    <n v="2301"/>
    <n v="1.61E-2"/>
  </r>
  <r>
    <x v="98"/>
    <x v="3"/>
    <x v="11"/>
    <s v="Enfermedad por virus de la inmunodeficiencia humana [VIH]. (B20-B24)"/>
    <n v="2166"/>
    <n v="1.5100000000000001E-2"/>
  </r>
  <r>
    <x v="99"/>
    <x v="3"/>
    <x v="12"/>
    <s v="Tumores benignos y de comportamiento incierto o desconocido. (D10-D48)"/>
    <n v="2045"/>
    <n v="1.43E-2"/>
  </r>
  <r>
    <x v="100"/>
    <x v="3"/>
    <x v="13"/>
    <s v="Nefritis y Nefrosis. (N00-N19, N25-N29)"/>
    <n v="1961"/>
    <n v="1.37E-2"/>
  </r>
  <r>
    <x v="101"/>
    <x v="3"/>
    <x v="14"/>
    <s v="Otras enfermedades hipertensivas. (I10, I12)"/>
    <n v="1844"/>
    <n v="1.29E-2"/>
  </r>
  <r>
    <x v="102"/>
    <x v="3"/>
    <x v="15"/>
    <s v="Enfermedades infecciosas intestinales. (A00-A09)"/>
    <n v="1050"/>
    <n v="7.3000000000000001E-3"/>
  </r>
  <r>
    <x v="103"/>
    <x v="3"/>
    <x v="16"/>
    <s v="Septicemia. (A40-A41)"/>
    <n v="953"/>
    <n v="6.7000000000000002E-3"/>
  </r>
  <r>
    <x v="104"/>
    <x v="3"/>
    <x v="17"/>
    <s v="Enfermedades debidas a protozoarios. (B50-B64)"/>
    <n v="844"/>
    <n v="5.8999999999999999E-3"/>
  </r>
  <r>
    <x v="105"/>
    <x v="3"/>
    <x v="18"/>
    <s v="Infección aguda no especificada de las vías respiratorias inferiores (J22)"/>
    <n v="600"/>
    <n v="4.1999999999999997E-3"/>
  </r>
  <r>
    <x v="106"/>
    <x v="3"/>
    <x v="19"/>
    <s v="Tuberculosis. (A15-A19, B90)"/>
    <n v="588"/>
    <n v="4.1000000000000003E-3"/>
  </r>
  <r>
    <x v="107"/>
    <x v="3"/>
    <x v="20"/>
    <s v="Íleo paralitico y obstrucción intestinal, sin hernia (K56)"/>
    <n v="587"/>
    <n v="4.1000000000000003E-3"/>
  </r>
  <r>
    <x v="108"/>
    <x v="3"/>
    <x v="21"/>
    <s v="Enfermedades del esófago, del estómago y del duodeno. (K20-K31)"/>
    <n v="542"/>
    <n v="3.8E-3"/>
  </r>
  <r>
    <x v="109"/>
    <x v="3"/>
    <x v="22"/>
    <s v="Deficiencias de Nutrición. (E40-E64)"/>
    <n v="531"/>
    <n v="3.7000000000000002E-3"/>
  </r>
  <r>
    <x v="110"/>
    <x v="3"/>
    <x v="23"/>
    <s v="Trastornos de la vesícula biliar, de las vías biliares y del páncreas. (K80-K87)"/>
    <n v="508"/>
    <n v="3.5999999999999999E-3"/>
  </r>
  <r>
    <x v="111"/>
    <x v="3"/>
    <x v="24"/>
    <s v="Enfermedad de Alzheimer (G30)"/>
    <n v="487"/>
    <n v="3.3999999999999998E-3"/>
  </r>
  <r>
    <x v="112"/>
    <x v="3"/>
    <x v="25"/>
    <s v="Total 25 Primeras Causas"/>
    <n v="125670"/>
    <n v="0.87870000000000004"/>
  </r>
  <r>
    <x v="113"/>
    <x v="3"/>
    <x v="26"/>
    <s v="Causas de mortalidad mal definidas, desconocidas o sin diagnostico medico tratante. (R95-R99). (2)"/>
    <n v="483"/>
    <n v="3.3999999999999998E-3"/>
  </r>
  <r>
    <x v="114"/>
    <x v="3"/>
    <x v="27"/>
    <s v="Resto de Muertes Violentas. (Y10-Y34, Y35-Y36). (2)"/>
    <n v="8522"/>
    <n v="5.9900000000000002E-2"/>
  </r>
  <r>
    <x v="115"/>
    <x v="3"/>
    <x v="28"/>
    <s v="Total Todas las Causas (A00-Y89)"/>
    <n v="143020"/>
    <n v="1"/>
  </r>
  <r>
    <x v="116"/>
    <x v="4"/>
    <x v="0"/>
    <s v="Enfermedades del corazón (I05-I09, I11, I13, I21-I51)"/>
    <n v="29078"/>
    <n v="0.2099"/>
  </r>
  <r>
    <x v="117"/>
    <x v="4"/>
    <x v="1"/>
    <s v="Cáncer. (C00-C97)"/>
    <n v="21185"/>
    <n v="0.153"/>
  </r>
  <r>
    <x v="118"/>
    <x v="4"/>
    <x v="2"/>
    <s v="Enfermedades Cerebrovasculares. (I60-I69)"/>
    <n v="10642"/>
    <n v="7.6799999999999993E-2"/>
  </r>
  <r>
    <x v="119"/>
    <x v="4"/>
    <x v="3"/>
    <s v="Suicidios y Homicidios. (X60-Y09). (2)"/>
    <n v="9817"/>
    <n v="7.1199999999999999E-2"/>
  </r>
  <r>
    <x v="120"/>
    <x v="4"/>
    <x v="4"/>
    <s v="Diabetes. (E10-E14)"/>
    <n v="9537"/>
    <n v="6.8900000000000003E-2"/>
  </r>
  <r>
    <x v="121"/>
    <x v="4"/>
    <x v="5"/>
    <s v="Accidentes de Todo Tipo. (V01-X59). (2)"/>
    <n v="9155"/>
    <n v="6.6400000000000001E-2"/>
  </r>
  <r>
    <x v="122"/>
    <x v="4"/>
    <x v="6"/>
    <s v="Ciertas afecciones originadas en el período perinatal. (P00-P96) (3)"/>
    <n v="5427"/>
    <n v="3.9199999999999999E-2"/>
  </r>
  <r>
    <x v="123"/>
    <x v="4"/>
    <x v="7"/>
    <s v="Enfermedades crónicas de las vías respiratorias inferiores. (J40-J47)"/>
    <n v="3761"/>
    <n v="2.7199999999999998E-2"/>
  </r>
  <r>
    <x v="124"/>
    <x v="4"/>
    <x v="8"/>
    <s v="Influenza y neumonía. (J09-J18)"/>
    <n v="3593"/>
    <n v="2.5899999999999999E-2"/>
  </r>
  <r>
    <x v="125"/>
    <x v="4"/>
    <x v="9"/>
    <s v="Enfermedades del hígado. (K70-K77)"/>
    <n v="2692"/>
    <n v="1.9400000000000001E-2"/>
  </r>
  <r>
    <x v="126"/>
    <x v="4"/>
    <x v="10"/>
    <s v="Anomalías congénitas. (Q00-Q99)"/>
    <n v="2392"/>
    <n v="1.7299999999999999E-2"/>
  </r>
  <r>
    <x v="127"/>
    <x v="4"/>
    <x v="11"/>
    <s v="Nefritis y Nefrosis. (N00-N19, N25-N29)"/>
    <n v="2193"/>
    <n v="1.5800000000000002E-2"/>
  </r>
  <r>
    <x v="128"/>
    <x v="4"/>
    <x v="12"/>
    <s v="Tumores benignos y de comportamiento incierto o desconocido. (D10-D48)"/>
    <n v="1981"/>
    <n v="1.43E-2"/>
  </r>
  <r>
    <x v="129"/>
    <x v="4"/>
    <x v="13"/>
    <s v="Enfermedad por virus de la inmunodeficiencia humana [VIH]. (B20-B24)"/>
    <n v="1830"/>
    <n v="1.32E-2"/>
  </r>
  <r>
    <x v="130"/>
    <x v="4"/>
    <x v="14"/>
    <s v="Otras enfermedades hipertensivas. (I10, I12)"/>
    <n v="1661"/>
    <n v="1.2E-2"/>
  </r>
  <r>
    <x v="131"/>
    <x v="4"/>
    <x v="15"/>
    <s v="Enfermedades infecciosas intestinales. (A00-A09)"/>
    <n v="1088"/>
    <n v="7.9000000000000008E-3"/>
  </r>
  <r>
    <x v="132"/>
    <x v="4"/>
    <x v="16"/>
    <s v="Septicemia. (A40-A41)"/>
    <n v="891"/>
    <n v="6.4000000000000003E-3"/>
  </r>
  <r>
    <x v="133"/>
    <x v="4"/>
    <x v="17"/>
    <s v="Enfermedades debidas a protozoarios. (B50-B64)"/>
    <n v="778"/>
    <n v="5.5999999999999999E-3"/>
  </r>
  <r>
    <x v="134"/>
    <x v="4"/>
    <x v="18"/>
    <s v="Tuberculosis. (A15-A19, B90)"/>
    <n v="697"/>
    <n v="5.0000000000000001E-3"/>
  </r>
  <r>
    <x v="135"/>
    <x v="4"/>
    <x v="19"/>
    <s v="Infección aguda no especificada de las vías respiratorias inferiores (J22)"/>
    <n v="589"/>
    <n v="4.3E-3"/>
  </r>
  <r>
    <x v="136"/>
    <x v="4"/>
    <x v="20"/>
    <s v="Deficiencias de Nutrición. (E40-E64)"/>
    <n v="577"/>
    <n v="4.1999999999999997E-3"/>
  </r>
  <r>
    <x v="137"/>
    <x v="4"/>
    <x v="21"/>
    <s v="Íleo paralitico y obstrucción intestinal, sin hernia (K56)"/>
    <n v="535"/>
    <n v="3.8999999999999998E-3"/>
  </r>
  <r>
    <x v="138"/>
    <x v="4"/>
    <x v="22"/>
    <s v="Enfermedades del esófago, del estómago y del duodeno. (K20-K31)"/>
    <n v="523"/>
    <n v="3.8E-3"/>
  </r>
  <r>
    <x v="139"/>
    <x v="4"/>
    <x v="23"/>
    <s v="Trastornos vasculares de los intestinos (K55)"/>
    <n v="459"/>
    <n v="3.3E-3"/>
  </r>
  <r>
    <x v="140"/>
    <x v="4"/>
    <x v="24"/>
    <s v="Trastornos de la vesícula biliar, de las vías biliares y del páncreas. (K80-K87)"/>
    <n v="444"/>
    <n v="3.2000000000000002E-3"/>
  </r>
  <r>
    <x v="141"/>
    <x v="4"/>
    <x v="25"/>
    <s v="Total 25 Primeras Causas"/>
    <n v="121525"/>
    <n v="0.87739999999999996"/>
  </r>
  <r>
    <x v="142"/>
    <x v="4"/>
    <x v="26"/>
    <s v="Causas de mortalidad mal definidas, desconocidas o sin diagnostico medico tratante. (R95-R99). (2)"/>
    <n v="486"/>
    <n v="3.5000000000000001E-3"/>
  </r>
  <r>
    <x v="143"/>
    <x v="4"/>
    <x v="27"/>
    <s v="Resto de Muertes Violentas. (Y10-Y34, Y35-Y36). (2)"/>
    <n v="8312"/>
    <n v="6.0299999999999999E-2"/>
  </r>
  <r>
    <x v="144"/>
    <x v="4"/>
    <x v="28"/>
    <s v="Total Todas las Causas (A00-Y89)"/>
    <n v="138504"/>
    <n v="1"/>
  </r>
  <r>
    <x v="145"/>
    <x v="5"/>
    <x v="0"/>
    <s v="Enfermedades del corazón (I05-I09, I11, I13, I21-I51)"/>
    <n v="27353"/>
    <n v="0.20300000000000001"/>
  </r>
  <r>
    <x v="146"/>
    <x v="5"/>
    <x v="1"/>
    <s v="Cáncer. (C00-C97)"/>
    <n v="20288"/>
    <n v="0.15060000000000001"/>
  </r>
  <r>
    <x v="147"/>
    <x v="5"/>
    <x v="2"/>
    <s v="Suicidios y Homicidios. (X60-Y09). (2)"/>
    <n v="10342"/>
    <n v="7.7200000000000005E-2"/>
  </r>
  <r>
    <x v="148"/>
    <x v="5"/>
    <x v="3"/>
    <s v="Accidentes de Todo Tipo. (V01-X59). (2)"/>
    <n v="10146"/>
    <n v="7.5700000000000003E-2"/>
  </r>
  <r>
    <x v="149"/>
    <x v="5"/>
    <x v="4"/>
    <s v="Enfermedades Cerebrovasculares. (I60-I69)"/>
    <n v="10034"/>
    <n v="7.4499999999999997E-2"/>
  </r>
  <r>
    <x v="150"/>
    <x v="5"/>
    <x v="5"/>
    <s v="Diabetes. (E10-E14)"/>
    <n v="8822"/>
    <n v="6.5500000000000003E-2"/>
  </r>
  <r>
    <x v="151"/>
    <x v="5"/>
    <x v="6"/>
    <s v="Ciertas afecciones originadas en el período perinatal. (P00-P96) (3)"/>
    <n v="5303"/>
    <n v="3.9399999999999998E-2"/>
  </r>
  <r>
    <x v="152"/>
    <x v="5"/>
    <x v="7"/>
    <s v="Enfermedades crónicas de las vías respiratorias inferiores. (J40-J47)"/>
    <n v="3447"/>
    <n v="2.5600000000000001E-2"/>
  </r>
  <r>
    <x v="153"/>
    <x v="5"/>
    <x v="8"/>
    <s v="Influenza y neumonía. (J09-J18)"/>
    <n v="3376"/>
    <n v="2.5100000000000001E-2"/>
  </r>
  <r>
    <x v="154"/>
    <x v="5"/>
    <x v="9"/>
    <s v="Enfermedades del hígado. (K70-K77)"/>
    <n v="2895"/>
    <n v="2.1499999999999998E-2"/>
  </r>
  <r>
    <x v="155"/>
    <x v="5"/>
    <x v="10"/>
    <s v="Nefritis y Nefrosis. (N00-N19, N25-N29)"/>
    <n v="2231"/>
    <n v="1.66E-2"/>
  </r>
  <r>
    <x v="156"/>
    <x v="5"/>
    <x v="11"/>
    <s v="Anomalías congénitas. (Q00-Q99)"/>
    <n v="2145"/>
    <n v="1.5900000000000001E-2"/>
  </r>
  <r>
    <x v="157"/>
    <x v="5"/>
    <x v="12"/>
    <s v="Tumores benignos y de comportamiento incierto o desconocido. (D10-D48)"/>
    <n v="1810"/>
    <n v="1.34E-2"/>
  </r>
  <r>
    <x v="158"/>
    <x v="5"/>
    <x v="13"/>
    <s v="Enfermedad por virus de la inmunodeficiencia humana [VIH]. (B20-B24)"/>
    <n v="1735"/>
    <n v="1.29E-2"/>
  </r>
  <r>
    <x v="159"/>
    <x v="5"/>
    <x v="14"/>
    <s v="Otras enfermedades hipertensivas. (I10, I12)"/>
    <n v="1683"/>
    <n v="1.2500000000000001E-2"/>
  </r>
  <r>
    <x v="160"/>
    <x v="5"/>
    <x v="15"/>
    <s v="Enfermedades infecciosas intestinales. (A00-A09)"/>
    <n v="993"/>
    <n v="7.4000000000000003E-3"/>
  </r>
  <r>
    <x v="161"/>
    <x v="5"/>
    <x v="16"/>
    <s v="Septicemia. (A40-A41)"/>
    <n v="976"/>
    <n v="7.1999999999999998E-3"/>
  </r>
  <r>
    <x v="162"/>
    <x v="5"/>
    <x v="17"/>
    <s v="Enfermedades debidas a protozoarios. (B50-B64)"/>
    <n v="720"/>
    <n v="5.3E-3"/>
  </r>
  <r>
    <x v="163"/>
    <x v="5"/>
    <x v="18"/>
    <s v="Tuberculosis. (A15-A19, B90)"/>
    <n v="582"/>
    <n v="4.3E-3"/>
  </r>
  <r>
    <x v="164"/>
    <x v="5"/>
    <x v="19"/>
    <s v="Enfermedades del esófago, del estómago y del duodeno. (K20-K31)"/>
    <n v="543"/>
    <n v="4.0000000000000001E-3"/>
  </r>
  <r>
    <x v="165"/>
    <x v="5"/>
    <x v="20"/>
    <s v="Deficiencias de Nutrición. (E40-E64)"/>
    <n v="500"/>
    <n v="3.7000000000000002E-3"/>
  </r>
  <r>
    <x v="166"/>
    <x v="5"/>
    <x v="21"/>
    <s v="Íleo paralitico y obstrucción intestinal, sin hernia (K56)"/>
    <n v="487"/>
    <n v="3.5999999999999999E-3"/>
  </r>
  <r>
    <x v="167"/>
    <x v="5"/>
    <x v="22"/>
    <s v="Trastornos episódicos y paroxísticos. (G40-G47)"/>
    <n v="453"/>
    <n v="3.3999999999999998E-3"/>
  </r>
  <r>
    <x v="168"/>
    <x v="5"/>
    <x v="23"/>
    <s v="Infección aguda no especificada de las vías respiratorias inferiores (J22)"/>
    <n v="452"/>
    <n v="3.3999999999999998E-3"/>
  </r>
  <r>
    <x v="169"/>
    <x v="5"/>
    <x v="24"/>
    <s v="Trastornos de la vesícula biliar, de las vías biliares y del páncreas. (K80-K87)"/>
    <n v="423"/>
    <n v="3.0999999999999999E-3"/>
  </r>
  <r>
    <x v="170"/>
    <x v="5"/>
    <x v="25"/>
    <s v="Total 25 Primeras Causas"/>
    <n v="117739"/>
    <n v="0.87390000000000001"/>
  </r>
  <r>
    <x v="171"/>
    <x v="5"/>
    <x v="26"/>
    <s v="Causas de mortalidad mal definidas, desconocidas o sin diagnostico medico tratante. (R95-R99). (2)"/>
    <n v="529"/>
    <n v="3.8999999999999998E-3"/>
  </r>
  <r>
    <x v="172"/>
    <x v="5"/>
    <x v="27"/>
    <s v="Resto de Muertes Violentas. (Y10-Y34, Y35-Y36). (2)"/>
    <n v="8771"/>
    <n v="6.5500000000000003E-2"/>
  </r>
  <r>
    <x v="173"/>
    <x v="5"/>
    <x v="28"/>
    <s v="Total Todas las Causas (A00-Y89)"/>
    <n v="134731"/>
    <n v="1"/>
  </r>
  <r>
    <x v="174"/>
    <x v="6"/>
    <x v="0"/>
    <s v="Enfermedades del corazón (I05-I09, I11, I13, I21-I51)"/>
    <n v="27542"/>
    <n v="0.20610000000000001"/>
  </r>
  <r>
    <x v="175"/>
    <x v="6"/>
    <x v="1"/>
    <s v="Cáncer. (C00-C97)"/>
    <n v="19796"/>
    <n v="0.14810000000000001"/>
  </r>
  <r>
    <x v="176"/>
    <x v="6"/>
    <x v="2"/>
    <s v="Suicidios y Homicidios. (X60-Y09). (2)"/>
    <n v="11357"/>
    <n v="8.5400000000000004E-2"/>
  </r>
  <r>
    <x v="177"/>
    <x v="6"/>
    <x v="3"/>
    <s v="Accidentes de Todo Tipo. (V01-X59). (2)"/>
    <n v="10885"/>
    <n v="8.1900000000000001E-2"/>
  </r>
  <r>
    <x v="178"/>
    <x v="6"/>
    <x v="4"/>
    <s v="Enfermedades Cerebrovasculares. (I60-I69)"/>
    <n v="10007"/>
    <n v="7.4899999999999994E-2"/>
  </r>
  <r>
    <x v="179"/>
    <x v="6"/>
    <x v="5"/>
    <s v="Diabetes. (E10-E14)"/>
    <n v="8387"/>
    <n v="6.2799999999999995E-2"/>
  </r>
  <r>
    <x v="180"/>
    <x v="6"/>
    <x v="6"/>
    <s v="Ciertas afecciones originadas en el período perinatal. (P00-P96) (3)"/>
    <n v="5027"/>
    <n v="3.7600000000000001E-2"/>
  </r>
  <r>
    <x v="181"/>
    <x v="6"/>
    <x v="7"/>
    <s v="Enfermedades crónicas de las vías respiratorias inferiores. (J40-J47)"/>
    <n v="3585"/>
    <n v="2.6800000000000001E-2"/>
  </r>
  <r>
    <x v="182"/>
    <x v="6"/>
    <x v="8"/>
    <s v="Influenza y neumonía. (J09-J18)"/>
    <n v="3136"/>
    <n v="2.35E-2"/>
  </r>
  <r>
    <x v="183"/>
    <x v="6"/>
    <x v="9"/>
    <s v="Enfermedades del hígado. (K70-K77)"/>
    <n v="2869"/>
    <n v="2.1499999999999998E-2"/>
  </r>
  <r>
    <x v="184"/>
    <x v="6"/>
    <x v="10"/>
    <s v="Anomalías congénitas. (Q00-Q99)"/>
    <n v="2158"/>
    <n v="1.61E-2"/>
  </r>
  <r>
    <x v="185"/>
    <x v="6"/>
    <x v="11"/>
    <s v="Nefritis y Nefrosis. (N00-N19, N25-N29)"/>
    <n v="1923"/>
    <n v="1.44E-2"/>
  </r>
  <r>
    <x v="186"/>
    <x v="6"/>
    <x v="12"/>
    <s v="Tumores benignos y de comportamiento incierto o desconocido. (D10-D48)"/>
    <n v="1714"/>
    <n v="1.2800000000000001E-2"/>
  </r>
  <r>
    <x v="187"/>
    <x v="6"/>
    <x v="13"/>
    <s v="Otras enfermedades hipertensivas. (I10, I12)"/>
    <n v="1637"/>
    <n v="1.2200000000000001E-2"/>
  </r>
  <r>
    <x v="188"/>
    <x v="6"/>
    <x v="14"/>
    <s v="Enfermedad por virus de la inmunodeficiencia humana [VIH]. (B20-B24)"/>
    <n v="1632"/>
    <n v="1.2200000000000001E-2"/>
  </r>
  <r>
    <x v="189"/>
    <x v="6"/>
    <x v="15"/>
    <s v="Enfermedades infecciosas intestinales. (A00-A09)"/>
    <n v="1100"/>
    <n v="8.2000000000000007E-3"/>
  </r>
  <r>
    <x v="190"/>
    <x v="6"/>
    <x v="16"/>
    <s v="Otras septicemias (A41)"/>
    <n v="918"/>
    <n v="6.8999999999999999E-3"/>
  </r>
  <r>
    <x v="191"/>
    <x v="6"/>
    <x v="17"/>
    <s v="Enfermedades debidas a protozoarios. (B50-B64)"/>
    <n v="782"/>
    <n v="5.8999999999999999E-3"/>
  </r>
  <r>
    <x v="192"/>
    <x v="6"/>
    <x v="18"/>
    <s v="Tuberculosis. (A15-A19, B90)"/>
    <n v="660"/>
    <n v="4.8999999999999998E-3"/>
  </r>
  <r>
    <x v="193"/>
    <x v="6"/>
    <x v="19"/>
    <s v="Enfermedades del esófago, del estómago y del duodeno. (K20-K31)"/>
    <n v="585"/>
    <n v="4.4000000000000003E-3"/>
  </r>
  <r>
    <x v="194"/>
    <x v="6"/>
    <x v="20"/>
    <s v="Deficiencias de Nutrición. (E40-E64)"/>
    <n v="570"/>
    <n v="4.3E-3"/>
  </r>
  <r>
    <x v="195"/>
    <x v="6"/>
    <x v="21"/>
    <s v="Infección aguda no especificada de las vías respiratorias inferiores (J22)"/>
    <n v="498"/>
    <n v="3.7000000000000002E-3"/>
  </r>
  <r>
    <x v="196"/>
    <x v="6"/>
    <x v="22"/>
    <s v="Trastornos de la vesícula biliar, de las vías biliares y del páncreas. (K80-K87)"/>
    <n v="495"/>
    <n v="3.7000000000000002E-3"/>
  </r>
  <r>
    <x v="197"/>
    <x v="6"/>
    <x v="23"/>
    <s v="Trastornos episódicos y paroxísticos. (G40-G47)"/>
    <n v="446"/>
    <n v="3.3E-3"/>
  </r>
  <r>
    <x v="198"/>
    <x v="6"/>
    <x v="24"/>
    <s v="Íleo paralitico y obstrucción intestinal, sin hernia (K56)"/>
    <n v="428"/>
    <n v="3.2000000000000002E-3"/>
  </r>
  <r>
    <x v="199"/>
    <x v="6"/>
    <x v="25"/>
    <s v="Total 25 Primeras Causas"/>
    <n v="118137"/>
    <n v="0.88390000000000002"/>
  </r>
  <r>
    <x v="200"/>
    <x v="6"/>
    <x v="26"/>
    <s v="Causas de mortalidad mal definidas, desconocidas o sin diagnostico medico tratante. (R95-R99). (2)"/>
    <n v="530"/>
    <n v="4.0000000000000001E-3"/>
  </r>
  <r>
    <x v="201"/>
    <x v="6"/>
    <x v="27"/>
    <s v="Resto de Muertes Violentas. (Y10-Y34, Y35-Y36). (2)"/>
    <n v="7637"/>
    <n v="5.74E-2"/>
  </r>
  <r>
    <x v="202"/>
    <x v="6"/>
    <x v="28"/>
    <s v="Total Todas las Causas (A00-Y89)"/>
    <n v="133651"/>
    <n v="1"/>
  </r>
  <r>
    <x v="203"/>
    <x v="7"/>
    <x v="0"/>
    <s v="Enfermedades del corazón (I05-I09, I11, I13, I21-I51)"/>
    <n v="25600"/>
    <n v="0.20180000000000001"/>
  </r>
  <r>
    <x v="204"/>
    <x v="7"/>
    <x v="1"/>
    <s v="Cáncer. (C00-C97)"/>
    <n v="19254"/>
    <n v="0.1517"/>
  </r>
  <r>
    <x v="205"/>
    <x v="7"/>
    <x v="2"/>
    <s v="Accidentes de Todo Tipo. (V01-X59). (2)"/>
    <n v="10465"/>
    <n v="8.2500000000000004E-2"/>
  </r>
  <r>
    <x v="206"/>
    <x v="7"/>
    <x v="3"/>
    <s v="Suicidios y Homicidios. (X60-Y09). (2)"/>
    <n v="10366"/>
    <n v="8.1699999999999995E-2"/>
  </r>
  <r>
    <x v="207"/>
    <x v="7"/>
    <x v="4"/>
    <s v="Enfermedades Cerebrovasculares. (I60-I69)"/>
    <n v="9699"/>
    <n v="7.6399999999999996E-2"/>
  </r>
  <r>
    <x v="208"/>
    <x v="7"/>
    <x v="5"/>
    <s v="Diabetes. (E10-E14)"/>
    <n v="7829"/>
    <n v="6.1699999999999998E-2"/>
  </r>
  <r>
    <x v="209"/>
    <x v="7"/>
    <x v="6"/>
    <s v="Ciertas afecciones originadas en el período perinatal. (P00-P96) (3)"/>
    <n v="4979"/>
    <n v="3.9199999999999999E-2"/>
  </r>
  <r>
    <x v="210"/>
    <x v="7"/>
    <x v="7"/>
    <s v="Enfermedades crónicas de las vías respiratorias inferiores. (J40-J47)"/>
    <n v="3442"/>
    <n v="2.7099999999999999E-2"/>
  </r>
  <r>
    <x v="211"/>
    <x v="7"/>
    <x v="8"/>
    <s v="Influenza y neumonía. (J09-J18)"/>
    <n v="3065"/>
    <n v="2.4199999999999999E-2"/>
  </r>
  <r>
    <x v="212"/>
    <x v="7"/>
    <x v="9"/>
    <s v="Enfermedades del hígado. (K70-K77)"/>
    <n v="2785"/>
    <n v="2.1899999999999999E-2"/>
  </r>
  <r>
    <x v="213"/>
    <x v="7"/>
    <x v="10"/>
    <s v="Anomalías congénitas. (Q00-Q99)"/>
    <n v="2210"/>
    <n v="1.7399999999999999E-2"/>
  </r>
  <r>
    <x v="214"/>
    <x v="7"/>
    <x v="11"/>
    <s v="Enfermedad por virus de la inmunodeficiencia humana [VIH]. (B20-B24)"/>
    <n v="1670"/>
    <n v="1.32E-2"/>
  </r>
  <r>
    <x v="215"/>
    <x v="7"/>
    <x v="12"/>
    <s v="Nefritis y Nefrosis. (N00-N19, N25-N29)"/>
    <n v="1610"/>
    <n v="1.2699999999999999E-2"/>
  </r>
  <r>
    <x v="216"/>
    <x v="7"/>
    <x v="13"/>
    <s v="Tumores benignos y de comportamiento incierto o desconocido. (D10-D48)"/>
    <n v="1585"/>
    <n v="1.2500000000000001E-2"/>
  </r>
  <r>
    <x v="217"/>
    <x v="7"/>
    <x v="14"/>
    <s v="Enfermedades infecciosas intestinales. (A00-A09)"/>
    <n v="1294"/>
    <n v="1.0200000000000001E-2"/>
  </r>
  <r>
    <x v="218"/>
    <x v="7"/>
    <x v="15"/>
    <s v="Septicemia. (A40-A41)"/>
    <n v="881"/>
    <n v="6.8999999999999999E-3"/>
  </r>
  <r>
    <x v="219"/>
    <x v="7"/>
    <x v="16"/>
    <s v="Enfermedades debidas a protozoarios. (B50-B64)"/>
    <n v="722"/>
    <n v="5.7000000000000002E-3"/>
  </r>
  <r>
    <x v="220"/>
    <x v="7"/>
    <x v="17"/>
    <s v="Tuberculosis. (A15-A19, B90)"/>
    <n v="692"/>
    <n v="5.4999999999999997E-3"/>
  </r>
  <r>
    <x v="221"/>
    <x v="7"/>
    <x v="18"/>
    <s v="Enfermedades del esófago, del estómago y del duodeno. (K20-K31)"/>
    <n v="625"/>
    <n v="4.8999999999999998E-3"/>
  </r>
  <r>
    <x v="222"/>
    <x v="7"/>
    <x v="19"/>
    <s v="Deficiencias de Nutrición. (E40-E64)"/>
    <n v="612"/>
    <n v="4.7999999999999996E-3"/>
  </r>
  <r>
    <x v="223"/>
    <x v="7"/>
    <x v="20"/>
    <s v="Trastornos de la vesícula biliar, de las vías biliares y del páncreas. (K80-K87)"/>
    <n v="413"/>
    <n v="3.3E-3"/>
  </r>
  <r>
    <x v="224"/>
    <x v="7"/>
    <x v="21"/>
    <s v="Trastornos episódicos y paroxísticos. (G40-G47)"/>
    <n v="393"/>
    <n v="3.0999999999999999E-3"/>
  </r>
  <r>
    <x v="225"/>
    <x v="7"/>
    <x v="22"/>
    <s v="Infección aguda no especificada de las vías respiratorias inferiores (J22)"/>
    <n v="392"/>
    <n v="3.0999999999999999E-3"/>
  </r>
  <r>
    <x v="226"/>
    <x v="7"/>
    <x v="23"/>
    <s v="Íleo paralitico y obstrucción intestinal, sin hernia (K56)"/>
    <n v="387"/>
    <n v="3.0000000000000001E-3"/>
  </r>
  <r>
    <x v="227"/>
    <x v="7"/>
    <x v="24"/>
    <s v="Trastornos vasculares de los intestinos (K55)"/>
    <n v="352"/>
    <n v="2.8E-3"/>
  </r>
  <r>
    <x v="228"/>
    <x v="7"/>
    <x v="25"/>
    <s v="Total 25 Primeras Causas"/>
    <n v="111322"/>
    <n v="0.87729999999999997"/>
  </r>
  <r>
    <x v="229"/>
    <x v="7"/>
    <x v="26"/>
    <s v="Causas de mortalidad mal definidas, desconocidas o sin diagnostico medico tratante. (R95-R99). (2)"/>
    <n v="576"/>
    <n v="4.4999999999999997E-3"/>
  </r>
  <r>
    <x v="230"/>
    <x v="7"/>
    <x v="27"/>
    <s v="Resto de Muertes Violentas. (Y10-Y34, Y35-Y36). (2)"/>
    <n v="7116"/>
    <n v="5.6099999999999997E-2"/>
  </r>
  <r>
    <x v="231"/>
    <x v="7"/>
    <x v="28"/>
    <s v="Total Todas las Causas (A00-Y89)"/>
    <n v="127463"/>
    <n v="1"/>
  </r>
  <r>
    <x v="232"/>
    <x v="8"/>
    <x v="0"/>
    <s v="Enfermedades del corazón (I05-I09, I11, I13, I21-I51)"/>
    <n v="24977"/>
    <n v="0.20630000000000001"/>
  </r>
  <r>
    <x v="233"/>
    <x v="8"/>
    <x v="1"/>
    <s v="Cáncer. (C00-C97)"/>
    <n v="18543"/>
    <n v="0.1532"/>
  </r>
  <r>
    <x v="234"/>
    <x v="8"/>
    <x v="2"/>
    <s v="Suicidios y Homicidios. (X60-Y09). (2)"/>
    <n v="9748"/>
    <n v="8.0500000000000002E-2"/>
  </r>
  <r>
    <x v="235"/>
    <x v="8"/>
    <x v="3"/>
    <s v="Enfermedades Cerebrovasculares. (I60-I69)"/>
    <n v="9391"/>
    <n v="7.7600000000000002E-2"/>
  </r>
  <r>
    <x v="236"/>
    <x v="8"/>
    <x v="4"/>
    <s v="Accidentes de Todo Tipo. (V01-X59). (2)"/>
    <n v="9353"/>
    <n v="7.6899999999999996E-2"/>
  </r>
  <r>
    <x v="237"/>
    <x v="8"/>
    <x v="5"/>
    <s v="Diabetes. (E10-E14)"/>
    <n v="7181"/>
    <n v="5.91E-2"/>
  </r>
  <r>
    <x v="238"/>
    <x v="8"/>
    <x v="6"/>
    <s v="Ciertas afecciones originadas en el período perinatal. (P00-P96) (3)"/>
    <n v="4959"/>
    <n v="4.1000000000000002E-2"/>
  </r>
  <r>
    <x v="239"/>
    <x v="8"/>
    <x v="7"/>
    <s v="Enfermedades crónicas de las vías respiratorias inferiores. (J40-J47)"/>
    <n v="3225"/>
    <n v="2.6599999999999999E-2"/>
  </r>
  <r>
    <x v="240"/>
    <x v="8"/>
    <x v="8"/>
    <s v="Influenza y neumonía. (J10-J18)"/>
    <n v="2856"/>
    <n v="2.3599999999999999E-2"/>
  </r>
  <r>
    <x v="241"/>
    <x v="8"/>
    <x v="9"/>
    <s v="Enfermedades del hígado. (K70-K77)"/>
    <n v="2483"/>
    <n v="2.0500000000000001E-2"/>
  </r>
  <r>
    <x v="242"/>
    <x v="8"/>
    <x v="10"/>
    <s v="Anomalías congénitas. (Q00-Q99)"/>
    <n v="2212"/>
    <n v="1.83E-2"/>
  </r>
  <r>
    <x v="243"/>
    <x v="8"/>
    <x v="11"/>
    <s v="Enfermedad por virus de la inmunodeficiencia humana [VIH]. (B20-B24)"/>
    <n v="1567"/>
    <n v="1.29E-2"/>
  </r>
  <r>
    <x v="244"/>
    <x v="8"/>
    <x v="12"/>
    <s v="Tumores benignos y de comportamiento incierto o desconocido. (D10-D48)"/>
    <n v="1519"/>
    <n v="1.2500000000000001E-2"/>
  </r>
  <r>
    <x v="245"/>
    <x v="8"/>
    <x v="13"/>
    <s v="Nefritis y Nefrosis. (N00-N19, N25-N29)"/>
    <n v="1480"/>
    <n v="1.2200000000000001E-2"/>
  </r>
  <r>
    <x v="246"/>
    <x v="8"/>
    <x v="14"/>
    <s v="Enfermedades infecciosas intestinales. (A00-A09)"/>
    <n v="1450"/>
    <n v="1.2E-2"/>
  </r>
  <r>
    <x v="247"/>
    <x v="8"/>
    <x v="15"/>
    <s v="Enfermedades debidas a protozoarios. (B50-B64)"/>
    <n v="707"/>
    <n v="5.7999999999999996E-3"/>
  </r>
  <r>
    <x v="248"/>
    <x v="8"/>
    <x v="16"/>
    <s v="Septicemia. (A40-A41)"/>
    <n v="705"/>
    <n v="5.7999999999999996E-3"/>
  </r>
  <r>
    <x v="249"/>
    <x v="8"/>
    <x v="17"/>
    <s v="Tuberculosis. (A15-A19, B90)"/>
    <n v="674"/>
    <n v="5.5999999999999999E-3"/>
  </r>
  <r>
    <x v="250"/>
    <x v="8"/>
    <x v="18"/>
    <s v="Deficiencias de Nutrición. (E40-E64)"/>
    <n v="627"/>
    <n v="5.1999999999999998E-3"/>
  </r>
  <r>
    <x v="251"/>
    <x v="8"/>
    <x v="19"/>
    <s v="Enfermedades del esófago, del estómago y del duodeno. (K20-K31)"/>
    <n v="592"/>
    <n v="4.8999999999999998E-3"/>
  </r>
  <r>
    <x v="252"/>
    <x v="8"/>
    <x v="20"/>
    <s v="Infección aguda no especificada de las vías respiratorias inferiores (J22)"/>
    <n v="460"/>
    <n v="3.8E-3"/>
  </r>
  <r>
    <x v="253"/>
    <x v="8"/>
    <x v="21"/>
    <s v="Trastornos vasculares de los intestinos (K55)"/>
    <n v="429"/>
    <n v="3.5000000000000001E-3"/>
  </r>
  <r>
    <x v="254"/>
    <x v="8"/>
    <x v="22"/>
    <s v="Trastornos de la vesícula biliar, de las vías biliares y del páncreas. (K80-K87)"/>
    <n v="418"/>
    <n v="3.5000000000000001E-3"/>
  </r>
  <r>
    <x v="255"/>
    <x v="8"/>
    <x v="23"/>
    <s v="Trastornos episódicos y paroxísticos. (G40-G47)"/>
    <n v="410"/>
    <n v="3.3999999999999998E-3"/>
  </r>
  <r>
    <x v="256"/>
    <x v="8"/>
    <x v="24"/>
    <s v="Íleo paralitico y obstrucción intestinal, sin hernia (K56)"/>
    <n v="368"/>
    <n v="3.0000000000000001E-3"/>
  </r>
  <r>
    <x v="257"/>
    <x v="8"/>
    <x v="25"/>
    <s v="Total 25 Primeras Causas"/>
    <n v="106334"/>
    <n v="0.87839999999999996"/>
  </r>
  <r>
    <x v="258"/>
    <x v="8"/>
    <x v="26"/>
    <s v="Causas de mortalidad mal definidas, desconocidas o sin diagnostico medico tratante. (R95-R99). (2)"/>
    <n v="526"/>
    <n v="4.3E-3"/>
  </r>
  <r>
    <x v="259"/>
    <x v="8"/>
    <x v="27"/>
    <s v="Resto de Muertes Violentas. (Y10-Y34, Y35-Y36). (2)"/>
    <n v="6214"/>
    <n v="5.11E-2"/>
  </r>
  <r>
    <x v="260"/>
    <x v="8"/>
    <x v="28"/>
    <s v="Total Todas las Causas (A00-Y89)"/>
    <n v="121586"/>
    <n v="1"/>
  </r>
  <r>
    <x v="261"/>
    <x v="9"/>
    <x v="0"/>
    <s v="Enfermedades del corazón (I05-I09, I11, I13, I21-I51)"/>
    <n v="24353"/>
    <n v="0.20730000000000001"/>
  </r>
  <r>
    <x v="262"/>
    <x v="9"/>
    <x v="1"/>
    <s v="Cáncer. (C00 - C97)"/>
    <n v="18155"/>
    <n v="0.1545"/>
  </r>
  <r>
    <x v="263"/>
    <x v="9"/>
    <x v="2"/>
    <s v="Enfermedades Cerebrovasculares. (I60-I69)"/>
    <n v="8695"/>
    <n v="7.3999999999999996E-2"/>
  </r>
  <r>
    <x v="264"/>
    <x v="9"/>
    <x v="3"/>
    <s v="Suicidios y Homicidios. (X60-Y09). (2)"/>
    <n v="8614"/>
    <n v="7.3099999999999998E-2"/>
  </r>
  <r>
    <x v="265"/>
    <x v="9"/>
    <x v="4"/>
    <s v="Accidentes de Todo Tipo. (V01 - X59). (2)"/>
    <n v="8471"/>
    <n v="7.1900000000000006E-2"/>
  </r>
  <r>
    <x v="266"/>
    <x v="9"/>
    <x v="5"/>
    <s v="Diabetes. (E10-E14)"/>
    <n v="7312"/>
    <n v="6.5199999999999994E-2"/>
  </r>
  <r>
    <x v="267"/>
    <x v="9"/>
    <x v="6"/>
    <s v="Ciertas afecciones originadas en el período perinatal. (P00-P96) (3)"/>
    <n v="5457"/>
    <n v="4.6399999999999997E-2"/>
  </r>
  <r>
    <x v="268"/>
    <x v="9"/>
    <x v="7"/>
    <s v="Enfermedades crónicas de las vías respiratorias inferiores. (J40-J47)"/>
    <n v="3397"/>
    <n v="2.8899999999999999E-2"/>
  </r>
  <r>
    <x v="269"/>
    <x v="9"/>
    <x v="8"/>
    <s v="Influenza y neumonía. (J10-J18)"/>
    <n v="2659"/>
    <n v="2.2599999999999999E-2"/>
  </r>
  <r>
    <x v="270"/>
    <x v="9"/>
    <x v="9"/>
    <s v="Enfermedades del hígado. (K70-K77)"/>
    <n v="2449"/>
    <n v="2.0799999999999999E-2"/>
  </r>
  <r>
    <x v="271"/>
    <x v="9"/>
    <x v="10"/>
    <s v="Anomalías congénitas. (Q00-Q99)"/>
    <n v="2184"/>
    <n v="1.8599999999999998E-2"/>
  </r>
  <r>
    <x v="272"/>
    <x v="9"/>
    <x v="11"/>
    <s v="Enfermedades infecciosas intestinales. (A00-A09)"/>
    <n v="1675"/>
    <n v="1.43E-2"/>
  </r>
  <r>
    <x v="273"/>
    <x v="9"/>
    <x v="12"/>
    <s v="Enfermedad por virus de la inmunodeficiencia humana [VIH]. (B20-B24)"/>
    <n v="1478"/>
    <n v="1.26E-2"/>
  </r>
  <r>
    <x v="274"/>
    <x v="9"/>
    <x v="13"/>
    <s v="Otras enfermedades hipertensivas. (I10, I12)"/>
    <n v="1460"/>
    <n v="1.24E-2"/>
  </r>
  <r>
    <x v="275"/>
    <x v="9"/>
    <x v="14"/>
    <s v="Nefritis y Nefrosis. (N00-N19, N25-N29)"/>
    <n v="1434"/>
    <n v="1.2200000000000001E-2"/>
  </r>
  <r>
    <x v="276"/>
    <x v="9"/>
    <x v="15"/>
    <s v="Tumores benignos y de comportamiento incierto o desconocido. (D10-D48)"/>
    <n v="1404"/>
    <n v="1.2E-2"/>
  </r>
  <r>
    <x v="277"/>
    <x v="9"/>
    <x v="16"/>
    <s v="Enfermedades debidas a protozoarios. (B50-B64)"/>
    <n v="773"/>
    <n v="6.6E-3"/>
  </r>
  <r>
    <x v="278"/>
    <x v="9"/>
    <x v="17"/>
    <s v="Tuberculosis. (A15-A19, B90)"/>
    <n v="679"/>
    <n v="5.7999999999999996E-3"/>
  </r>
  <r>
    <x v="279"/>
    <x v="9"/>
    <x v="18"/>
    <s v="Deficiencias de Nutrición. (E40-E64)"/>
    <n v="648"/>
    <n v="5.4999999999999997E-3"/>
  </r>
  <r>
    <x v="280"/>
    <x v="9"/>
    <x v="19"/>
    <s v="Enfermedades del esófago, del estómago y del duodeno. (K20-K31)"/>
    <n v="579"/>
    <n v="4.8999999999999998E-3"/>
  </r>
  <r>
    <x v="281"/>
    <x v="9"/>
    <x v="20"/>
    <s v="Septicemia. (A40-A41)"/>
    <n v="577"/>
    <n v="4.8999999999999998E-3"/>
  </r>
  <r>
    <x v="282"/>
    <x v="9"/>
    <x v="21"/>
    <s v="Infección aguda no especificada de las vías respiratorias inferiores (J22)"/>
    <n v="465"/>
    <n v="4.0000000000000001E-3"/>
  </r>
  <r>
    <x v="283"/>
    <x v="9"/>
    <x v="22"/>
    <s v="Trastornos de la vesícula biliar, de las vías biliares y del páncreas. (K80-K87)"/>
    <n v="404"/>
    <n v="3.3999999999999998E-3"/>
  </r>
  <r>
    <x v="284"/>
    <x v="9"/>
    <x v="23"/>
    <s v="Trastornos episódicos y paroxísticos. (G40-G47)"/>
    <n v="379"/>
    <n v="3.2000000000000002E-3"/>
  </r>
  <r>
    <x v="285"/>
    <x v="9"/>
    <x v="24"/>
    <s v="Aneurisma y disección aórticos (I71)"/>
    <n v="342"/>
    <n v="2.8999999999999998E-3"/>
  </r>
  <r>
    <x v="286"/>
    <x v="9"/>
    <x v="25"/>
    <s v="Total 25 Primeras Causas"/>
    <n v="104043"/>
    <n v="0.88300000000000001"/>
  </r>
  <r>
    <x v="287"/>
    <x v="9"/>
    <x v="26"/>
    <s v="Causas de mortalidad mal definidas, desconocidas o sin diagnostico medico tratante. (R95-R99). (2)"/>
    <n v="343"/>
    <n v="2.8999999999999998E-3"/>
  </r>
  <r>
    <x v="288"/>
    <x v="9"/>
    <x v="27"/>
    <s v="Resto de Muertes Violentas. (Y10-Y34, Y35-Y36). (2)"/>
    <n v="5648"/>
    <n v="4.7899999999999998E-2"/>
  </r>
  <r>
    <x v="289"/>
    <x v="9"/>
    <x v="28"/>
    <s v="Total Todas las Causas (A00-Y89)"/>
    <n v="117831"/>
    <n v="1"/>
  </r>
  <r>
    <x v="290"/>
    <x v="10"/>
    <x v="0"/>
    <s v="Enfermedades del corazon (I05-I09, I11, I13, I21-I51)"/>
    <n v="24281"/>
    <n v="0.20799999999999999"/>
  </r>
  <r>
    <x v="291"/>
    <x v="10"/>
    <x v="1"/>
    <s v="Cáncer. (C00 - C97)"/>
    <n v="17507"/>
    <n v="0.15"/>
  </r>
  <r>
    <x v="292"/>
    <x v="10"/>
    <x v="2"/>
    <s v="Accidentes de Todo Tipo. (V01 - X59). (2)"/>
    <n v="8386"/>
    <n v="7.1499999999999994E-2"/>
  </r>
  <r>
    <x v="293"/>
    <x v="10"/>
    <x v="3"/>
    <s v="Suicidios y Homicidios. (X60-Y09). (2)"/>
    <n v="8382"/>
    <n v="7.1499999999999994E-2"/>
  </r>
  <r>
    <x v="294"/>
    <x v="10"/>
    <x v="4"/>
    <s v="Enfermedades Cerebrovasculares. (I60-I69)"/>
    <n v="8286"/>
    <n v="7.0999999999999994E-2"/>
  </r>
  <r>
    <x v="295"/>
    <x v="10"/>
    <x v="5"/>
    <s v="Diabetes. (E10-E14)"/>
    <n v="7123"/>
    <n v="6.0999999999999999E-2"/>
  </r>
  <r>
    <x v="296"/>
    <x v="10"/>
    <x v="6"/>
    <s v="Ciertas afecciones originadas en el período perinatal. (P00-P96) (3)"/>
    <n v="5253"/>
    <n v="4.4999999999999998E-2"/>
  </r>
  <r>
    <x v="297"/>
    <x v="10"/>
    <x v="7"/>
    <s v="Enfermedades crónicas de las vías respiratorias inferiores. (J40-J47)"/>
    <n v="3166"/>
    <n v="2.7099999999999999E-2"/>
  </r>
  <r>
    <x v="298"/>
    <x v="10"/>
    <x v="8"/>
    <s v="Influenza y neumonía. (J10-J18)"/>
    <n v="2883"/>
    <n v="2.47E-2"/>
  </r>
  <r>
    <x v="299"/>
    <x v="10"/>
    <x v="9"/>
    <s v="Enfermedades del hígado. (K70-K77)"/>
    <n v="2209"/>
    <n v="1.89E-2"/>
  </r>
  <r>
    <x v="300"/>
    <x v="10"/>
    <x v="10"/>
    <s v="Anomalías congénitas. (Q00-Q99)"/>
    <n v="2132"/>
    <n v="1.83E-2"/>
  </r>
  <r>
    <x v="301"/>
    <x v="10"/>
    <x v="11"/>
    <s v="Enfermedades infecciosas intestinales. (A00-A09)"/>
    <n v="1865"/>
    <n v="1.6E-2"/>
  </r>
  <r>
    <x v="302"/>
    <x v="10"/>
    <x v="12"/>
    <s v="Nefritis y Nefrosis. (N00-N19, N25-N29)"/>
    <n v="1429"/>
    <n v="1.2200000000000001E-2"/>
  </r>
  <r>
    <x v="303"/>
    <x v="10"/>
    <x v="13"/>
    <s v="Otras enfermedades hipertensivas. (I10, I12)"/>
    <n v="1410"/>
    <n v="1.21E-2"/>
  </r>
  <r>
    <x v="304"/>
    <x v="10"/>
    <x v="14"/>
    <s v="Enfermedad por virus de la inmunodeficiencia humana [VIH]. (B20-B24)"/>
    <n v="1396"/>
    <n v="1.2E-2"/>
  </r>
  <r>
    <x v="305"/>
    <x v="10"/>
    <x v="15"/>
    <s v="Tumores benignos y de comportamiento incierto o desconocido. (D10-D48)"/>
    <n v="1244"/>
    <n v="1.0699999999999999E-2"/>
  </r>
  <r>
    <x v="306"/>
    <x v="10"/>
    <x v="16"/>
    <s v="Deficiencias de Nutrición. (E40-E64)"/>
    <n v="963"/>
    <n v="8.2000000000000007E-3"/>
  </r>
  <r>
    <x v="307"/>
    <x v="10"/>
    <x v="17"/>
    <s v="Enfermedades debidas a protozoarios. (B50-B64)"/>
    <n v="767"/>
    <n v="6.6E-3"/>
  </r>
  <r>
    <x v="308"/>
    <x v="10"/>
    <x v="18"/>
    <s v="Tuberculosis. (A15-A19, B90)"/>
    <n v="738"/>
    <n v="6.3E-3"/>
  </r>
  <r>
    <x v="309"/>
    <x v="10"/>
    <x v="19"/>
    <s v="Septicemia. (A40-A41)"/>
    <n v="653"/>
    <n v="5.5999999999999999E-3"/>
  </r>
  <r>
    <x v="310"/>
    <x v="10"/>
    <x v="20"/>
    <s v="Enfermedades del esófago, del estómago y del duodeno. (K20-K31)"/>
    <n v="612"/>
    <n v="5.1999999999999998E-3"/>
  </r>
  <r>
    <x v="311"/>
    <x v="10"/>
    <x v="21"/>
    <s v="Infección aguda no especificada de las vías respiratorias inferiores (J22)"/>
    <n v="440"/>
    <n v="3.8E-3"/>
  </r>
  <r>
    <x v="312"/>
    <x v="10"/>
    <x v="22"/>
    <s v="Trastornos episódicos y paroxísticos. (G40-G47)"/>
    <n v="390"/>
    <n v="3.3E-3"/>
  </r>
  <r>
    <x v="313"/>
    <x v="10"/>
    <x v="23"/>
    <s v="Enfermedades inflamatorias del sistema nervioso central. (G00-G09)"/>
    <n v="388"/>
    <n v="3.3E-3"/>
  </r>
  <r>
    <x v="314"/>
    <x v="10"/>
    <x v="24"/>
    <s v="Trastornos sistémicos del tejido conjuntivo (M30-M36)"/>
    <n v="376"/>
    <n v="3.2000000000000002E-3"/>
  </r>
  <r>
    <x v="315"/>
    <x v="10"/>
    <x v="25"/>
    <s v="Total 25 Primeras Causas"/>
    <n v="102279"/>
    <n v="0.87250000000000005"/>
  </r>
  <r>
    <x v="316"/>
    <x v="10"/>
    <x v="26"/>
    <s v="Causas de mortalidad mal definidas, desconocidas o sin diagnostico medico tratante. (R95-R99). (2)"/>
    <n v="477"/>
    <n v="4.1000000000000003E-3"/>
  </r>
  <r>
    <x v="317"/>
    <x v="10"/>
    <x v="27"/>
    <s v="Resto de Muertes Violentas. (Y10-Y34, Y35-Y36). (2)"/>
    <n v="6572"/>
    <n v="5.6099999999999997E-2"/>
  </r>
  <r>
    <x v="318"/>
    <x v="10"/>
    <x v="28"/>
    <s v="Total Todas las Causas (A00-Y89)"/>
    <n v="117227"/>
    <n v="1"/>
  </r>
  <r>
    <x v="319"/>
    <x v="11"/>
    <x v="0"/>
    <s v="Enfermedades del corazón. (I05-I09, I11, I13, I21-I51)"/>
    <n v="24564"/>
    <n v="0.20250000000000001"/>
  </r>
  <r>
    <x v="320"/>
    <x v="11"/>
    <x v="1"/>
    <s v="Cáncer. (C00 - C97)"/>
    <n v="17234"/>
    <n v="0.1421"/>
  </r>
  <r>
    <x v="321"/>
    <x v="11"/>
    <x v="2"/>
    <s v="Suicidios y Homicidios. (X60-Y09). (2)"/>
    <n v="9940"/>
    <n v="8.1600000000000006E-2"/>
  </r>
  <r>
    <x v="322"/>
    <x v="11"/>
    <x v="3"/>
    <s v="Enfermedades Cerebrovasculares. (I60-I69)"/>
    <n v="8782"/>
    <n v="7.2400000000000006E-2"/>
  </r>
  <r>
    <x v="323"/>
    <x v="11"/>
    <x v="4"/>
    <s v="Accidentes de Todo Tipo. (V01-X59). (2)"/>
    <n v="8298"/>
    <n v="6.8099999999999994E-2"/>
  </r>
  <r>
    <x v="324"/>
    <x v="11"/>
    <x v="5"/>
    <s v="Diabetes. (E10-E14)"/>
    <n v="7060"/>
    <n v="5.8200000000000002E-2"/>
  </r>
  <r>
    <x v="325"/>
    <x v="11"/>
    <x v="6"/>
    <s v="Ciertas afecciones originadas en el período perinatal. (P00-P96) (3)"/>
    <n v="5417"/>
    <n v="4.4699999999999997E-2"/>
  </r>
  <r>
    <x v="326"/>
    <x v="11"/>
    <x v="7"/>
    <s v="Enfermedades crónicas de las vías respiratorias inferiores. (J40-J47)"/>
    <n v="3355"/>
    <n v="2.7699999999999999E-2"/>
  </r>
  <r>
    <x v="327"/>
    <x v="11"/>
    <x v="8"/>
    <s v="Influenza y neumonía. (J10-J18)"/>
    <n v="3296"/>
    <n v="2.7200000000000002E-2"/>
  </r>
  <r>
    <x v="328"/>
    <x v="11"/>
    <x v="9"/>
    <s v="Enfermedades infecciosas intestinales. (A00-A09)"/>
    <n v="2568"/>
    <n v="2.12E-2"/>
  </r>
  <r>
    <x v="329"/>
    <x v="11"/>
    <x v="10"/>
    <s v="Enfermedades del hígado. (K70-K77)"/>
    <n v="2237"/>
    <n v="1.84E-2"/>
  </r>
  <r>
    <x v="330"/>
    <x v="11"/>
    <x v="11"/>
    <s v="Anomalías congénitas. (Q00-Q99)"/>
    <n v="2120"/>
    <n v="1.7500000000000002E-2"/>
  </r>
  <r>
    <x v="331"/>
    <x v="11"/>
    <x v="12"/>
    <s v="Nefritis y Nefrosis. (N00-N19, N25-N29)"/>
    <n v="1408"/>
    <n v="1.1599999999999999E-2"/>
  </r>
  <r>
    <x v="332"/>
    <x v="11"/>
    <x v="13"/>
    <s v="Otras enfermedades hipertensivas. (I10, I12)"/>
    <n v="1348"/>
    <n v="1.11E-2"/>
  </r>
  <r>
    <x v="333"/>
    <x v="11"/>
    <x v="14"/>
    <s v="Deficiencias de Nutrición. (E40-E64)"/>
    <n v="1342"/>
    <n v="1.11E-2"/>
  </r>
  <r>
    <x v="334"/>
    <x v="11"/>
    <x v="15"/>
    <s v="Enfermedad por virus de la inmunodeficiencia humana [VIH]. (B20-B24)"/>
    <n v="1267"/>
    <n v="1.04E-2"/>
  </r>
  <r>
    <x v="335"/>
    <x v="11"/>
    <x v="16"/>
    <s v="Tumores benignos y de comportamiento incierto o desconocido. (D10-D48)"/>
    <n v="1151"/>
    <n v="9.4999999999999998E-3"/>
  </r>
  <r>
    <x v="336"/>
    <x v="11"/>
    <x v="17"/>
    <s v="Enfermedades debidas a protozoarios. (B50-B64)"/>
    <n v="925"/>
    <n v="7.6E-3"/>
  </r>
  <r>
    <x v="337"/>
    <x v="11"/>
    <x v="18"/>
    <s v="Tuberculosis. (A15-A19, B90)"/>
    <n v="764"/>
    <n v="6.3E-3"/>
  </r>
  <r>
    <x v="338"/>
    <x v="11"/>
    <x v="19"/>
    <s v="Enfermedades del esófago, del estómago y del duodeno. (K20-K31)"/>
    <n v="672"/>
    <n v="5.5000000000000005E-3"/>
  </r>
  <r>
    <x v="339"/>
    <x v="11"/>
    <x v="20"/>
    <s v="Septicemia. (A40-A41)"/>
    <n v="653"/>
    <n v="5.4000000000000003E-3"/>
  </r>
  <r>
    <x v="340"/>
    <x v="11"/>
    <x v="21"/>
    <s v="Trastornos episódicos y paroxísticos. (G40-G47)"/>
    <n v="504"/>
    <n v="4.1999999999999997E-3"/>
  </r>
  <r>
    <x v="341"/>
    <x v="11"/>
    <x v="22"/>
    <s v="Infección aguda no especificada de las vías respiratorias inferiores (J22)"/>
    <n v="454"/>
    <n v="3.7000000000000002E-3"/>
  </r>
  <r>
    <x v="342"/>
    <x v="11"/>
    <x v="23"/>
    <s v="Enfermedades inflamatorias del sistema nervioso central. (G00-G09)"/>
    <n v="408"/>
    <n v="3.4000000000000002E-3"/>
  </r>
  <r>
    <x v="343"/>
    <x v="11"/>
    <x v="24"/>
    <s v="Trastornos de la vesícula biliar, de las vías biliares y del páncreas. (K80-K87)"/>
    <n v="369"/>
    <n v="3.0000000000000001E-3"/>
  </r>
  <r>
    <x v="344"/>
    <x v="11"/>
    <x v="25"/>
    <s v="Total 25 Primeras Causas"/>
    <n v="106136"/>
    <n v="0.87090000000000001"/>
  </r>
  <r>
    <x v="345"/>
    <x v="11"/>
    <x v="26"/>
    <s v="Causas de mortalidad mal definidas, desconocidas o sin diagnostico medico tratante. (R95-R99). (2)"/>
    <n v="581"/>
    <n v="4.7999999999999996E-3"/>
  </r>
  <r>
    <x v="346"/>
    <x v="11"/>
    <x v="27"/>
    <s v="Resto de Muertes Violentas. (Y10-Y34, Y35-Y36). (2)"/>
    <n v="6948"/>
    <n v="5.7000000000000002E-2"/>
  </r>
  <r>
    <x v="347"/>
    <x v="11"/>
    <x v="28"/>
    <s v="Total Todas las Causas (A00-Y89)"/>
    <n v="121864"/>
    <n v="1"/>
  </r>
  <r>
    <x v="348"/>
    <x v="12"/>
    <x v="0"/>
    <s v="Enfermedades del corazon (I05-I09, I11, I13, I21-I51)"/>
    <n v="22349"/>
    <n v="0.21329999999999999"/>
  </r>
  <r>
    <x v="349"/>
    <x v="12"/>
    <x v="1"/>
    <s v="Cancer . (C00 - C97)"/>
    <n v="16391"/>
    <n v="0.1565"/>
  </r>
  <r>
    <x v="350"/>
    <x v="12"/>
    <x v="2"/>
    <s v="Suicidios y Homicidios . (X60-Y09) . (2)"/>
    <n v="8781"/>
    <n v="7.9600000000000004E-2"/>
  </r>
  <r>
    <x v="351"/>
    <x v="12"/>
    <x v="3"/>
    <s v="Accidentes de Todo Tipo . (V01 - X59) . (2)"/>
    <n v="8680"/>
    <n v="7.8700000000000006E-2"/>
  </r>
  <r>
    <x v="352"/>
    <x v="12"/>
    <x v="4"/>
    <s v="Enfermedades Cerebrovasculares. (I60-I69)"/>
    <n v="8131"/>
    <n v="7.7600000000000002E-2"/>
  </r>
  <r>
    <x v="353"/>
    <x v="12"/>
    <x v="5"/>
    <s v="Diabetes . (E10-E14)"/>
    <n v="6234"/>
    <n v="5.9499999999999997E-2"/>
  </r>
  <r>
    <x v="354"/>
    <x v="12"/>
    <x v="6"/>
    <s v="Ciertas afecciones originadas en el período perinatal. (P00-P96) (3)"/>
    <n v="4982"/>
    <n v="4.7600000000000003E-2"/>
  </r>
  <r>
    <x v="355"/>
    <x v="12"/>
    <x v="7"/>
    <s v="Enfermedades crónicas de las vías respiratorias inferiores . (J40-J47)"/>
    <n v="2845"/>
    <n v="2.7199999999999998E-2"/>
  </r>
  <r>
    <x v="356"/>
    <x v="12"/>
    <x v="8"/>
    <s v="Influenza y neumonía. (J10-J18)"/>
    <n v="2451"/>
    <n v="2.3400000000000001E-2"/>
  </r>
  <r>
    <x v="357"/>
    <x v="12"/>
    <x v="9"/>
    <s v="Enfermedades del hígado.. (K70-K77)"/>
    <n v="2342"/>
    <n v="2.24E-2"/>
  </r>
  <r>
    <x v="358"/>
    <x v="12"/>
    <x v="10"/>
    <s v="Anomalias congénitas . (Q00-Q99)"/>
    <n v="2114"/>
    <n v="2.0199999999999999E-2"/>
  </r>
  <r>
    <x v="359"/>
    <x v="12"/>
    <x v="11"/>
    <s v="Enfermedades infecciosas intestinales. (A00-A09)"/>
    <n v="1713"/>
    <n v="1.6400000000000001E-2"/>
  </r>
  <r>
    <x v="360"/>
    <x v="12"/>
    <x v="12"/>
    <s v="Nefritis y Nefrosis . (N00-N19, N25-N29)"/>
    <n v="1313"/>
    <n v="1.2500000000000001E-2"/>
  </r>
  <r>
    <x v="361"/>
    <x v="12"/>
    <x v="13"/>
    <s v="Otras enfermedades hipertensivas. (I10, I12)"/>
    <n v="1217"/>
    <n v="1.1599999999999999E-2"/>
  </r>
  <r>
    <x v="362"/>
    <x v="12"/>
    <x v="14"/>
    <s v="Enfermedad por virus de la inmunodeficiencia humana [VIH]. (B20-B24)"/>
    <n v="1173"/>
    <n v="1.12E-2"/>
  </r>
  <r>
    <x v="363"/>
    <x v="12"/>
    <x v="15"/>
    <s v="Tumores benignos y de comportamiento incierto o desconocido. . (D10-D48)"/>
    <n v="1059"/>
    <n v="1.01E-2"/>
  </r>
  <r>
    <x v="364"/>
    <x v="12"/>
    <x v="16"/>
    <s v="Deficiencias de Nutrición . (E40-E64)"/>
    <n v="954"/>
    <n v="9.1000000000000004E-3"/>
  </r>
  <r>
    <x v="365"/>
    <x v="12"/>
    <x v="17"/>
    <s v="Enfermedades debidas a protozoarios. . (B50-B64)"/>
    <n v="808"/>
    <n v="7.7000000000000002E-3"/>
  </r>
  <r>
    <x v="366"/>
    <x v="12"/>
    <x v="18"/>
    <s v="Tuberculosis . (A15-A19, B90)"/>
    <n v="700"/>
    <n v="6.7000000000000002E-3"/>
  </r>
  <r>
    <x v="367"/>
    <x v="12"/>
    <x v="19"/>
    <s v="Enfermedades del esófago, del estómago y del duodeno. (K20-K31)"/>
    <n v="591"/>
    <n v="5.5999999999999999E-3"/>
  </r>
  <r>
    <x v="368"/>
    <x v="12"/>
    <x v="20"/>
    <s v="Septicemia . (A40-A41)"/>
    <n v="507"/>
    <n v="4.7999999999999996E-3"/>
  </r>
  <r>
    <x v="369"/>
    <x v="12"/>
    <x v="21"/>
    <s v="Trastornos de la vesícula biliar, de las vías biliares y del páncreas. (K80-K87)"/>
    <n v="388"/>
    <n v="3.7000000000000002E-3"/>
  </r>
  <r>
    <x v="370"/>
    <x v="12"/>
    <x v="22"/>
    <s v="Trastornos episódicos y paroxísticos. (G40-G47)"/>
    <n v="380"/>
    <n v="3.5999999999999999E-3"/>
  </r>
  <r>
    <x v="371"/>
    <x v="12"/>
    <x v="23"/>
    <s v="Enfermedades inflamatorias del sistema nervioso central. (G00-G09)"/>
    <n v="356"/>
    <n v="3.3999999999999998E-3"/>
  </r>
  <r>
    <x v="372"/>
    <x v="12"/>
    <x v="24"/>
    <s v="Ileo paralitico y obstrucción intestinal, sin hernia (K56)"/>
    <n v="345"/>
    <n v="3.3E-3"/>
  </r>
  <r>
    <x v="373"/>
    <x v="12"/>
    <x v="25"/>
    <s v="Total 25 Primeras Causas"/>
    <n v="96804"/>
    <n v="0.91569999999999996"/>
  </r>
  <r>
    <x v="374"/>
    <x v="12"/>
    <x v="26"/>
    <s v="Causas de mortalidad mal definidas, desconocidas o sin diagnostico medico tratante. (R95-R99). (2)"/>
    <n v="484"/>
    <n v="4.4000000000000003E-3"/>
  </r>
  <r>
    <x v="375"/>
    <x v="12"/>
    <x v="27"/>
    <s v="Resto de Muertes Violentas. (Y10-Y34, Y35-Y36). (2)"/>
    <n v="5538"/>
    <n v="5.0200000000000002E-2"/>
  </r>
  <r>
    <x v="376"/>
    <x v="12"/>
    <x v="28"/>
    <s v="Total Todas las Causas (A00-Y89)"/>
    <n v="110293"/>
    <n v="1"/>
  </r>
  <r>
    <x v="377"/>
    <x v="13"/>
    <x v="0"/>
    <s v="Enfermedades del corazón (I05-I09, I11, I13, I21-I51)"/>
    <n v="23251"/>
    <n v="0.2112"/>
  </r>
  <r>
    <x v="378"/>
    <x v="13"/>
    <x v="1"/>
    <s v="Cáncer. (C00 - C97)"/>
    <n v="15729"/>
    <n v="0.1429"/>
  </r>
  <r>
    <x v="379"/>
    <x v="13"/>
    <x v="2"/>
    <s v="Accidentes de Todo Tipo. (V01 - X59). (2)"/>
    <n v="8808"/>
    <n v="7.9600000000000004E-2"/>
  </r>
  <r>
    <x v="380"/>
    <x v="13"/>
    <x v="3"/>
    <s v="Enfermedades Cerebrovasculares. (I60-I69)"/>
    <n v="8317"/>
    <n v="7.5600000000000001E-2"/>
  </r>
  <r>
    <x v="381"/>
    <x v="13"/>
    <x v="4"/>
    <s v="Suicidios y Homicidios. (X60-Y09). (2)"/>
    <n v="7951"/>
    <n v="7.1800000000000003E-2"/>
  </r>
  <r>
    <x v="382"/>
    <x v="13"/>
    <x v="5"/>
    <s v="Diabetes. (E10-E14)"/>
    <n v="6297"/>
    <n v="5.7200000000000001E-2"/>
  </r>
  <r>
    <x v="383"/>
    <x v="13"/>
    <x v="6"/>
    <s v="Ciertas afecciones originadas en el período perinatal. (P00-P96) (3)"/>
    <n v="4937"/>
    <n v="4.4900000000000002E-2"/>
  </r>
  <r>
    <x v="384"/>
    <x v="13"/>
    <x v="7"/>
    <s v="Enfermedades crónicas de las vías respiratorias inferiores. (J40-J47)"/>
    <n v="3204"/>
    <n v="2.9100000000000001E-2"/>
  </r>
  <r>
    <x v="385"/>
    <x v="13"/>
    <x v="8"/>
    <s v="Influenza y neumonía. (J10-J18)"/>
    <n v="2938"/>
    <n v="2.6700000000000002E-2"/>
  </r>
  <r>
    <x v="386"/>
    <x v="13"/>
    <x v="9"/>
    <s v="Enfermedades del hígado. (K70-K77)"/>
    <n v="2271"/>
    <n v="2.06E-2"/>
  </r>
  <r>
    <x v="387"/>
    <x v="13"/>
    <x v="10"/>
    <s v="Anomalías congénitas. (Q00-Q99)"/>
    <n v="2108"/>
    <n v="1.9199999999999998E-2"/>
  </r>
  <r>
    <x v="388"/>
    <x v="13"/>
    <x v="11"/>
    <s v="Enfermedades infecciosas intestinales. (A00-A09)"/>
    <n v="1850"/>
    <n v="1.6799999999999999E-2"/>
  </r>
  <r>
    <x v="389"/>
    <x v="13"/>
    <x v="12"/>
    <s v="Nefritis y Nefrosis. (N00-N19, N25-N29)"/>
    <n v="1359"/>
    <n v="1.23E-2"/>
  </r>
  <r>
    <x v="390"/>
    <x v="13"/>
    <x v="13"/>
    <s v="Otras enfermedades hipertensivas. (I10, I12)"/>
    <n v="1213"/>
    <n v="1.0999999999999999E-2"/>
  </r>
  <r>
    <x v="391"/>
    <x v="13"/>
    <x v="14"/>
    <s v="Enfermedad por virus de la inmunodeficiencia humana [VIH]. (B20-B24)"/>
    <n v="1183"/>
    <n v="1.0699999999999999E-2"/>
  </r>
  <r>
    <x v="392"/>
    <x v="13"/>
    <x v="15"/>
    <s v="Tumores benignos y de comportamiento incierto o desconocido. (D10-D48)"/>
    <n v="1111"/>
    <n v="1.01E-2"/>
  </r>
  <r>
    <x v="393"/>
    <x v="13"/>
    <x v="16"/>
    <s v="Deficiencias de Nutrición. (E40-E64)"/>
    <n v="982"/>
    <n v="8.8999999999999999E-3"/>
  </r>
  <r>
    <x v="394"/>
    <x v="13"/>
    <x v="17"/>
    <s v="Enfermedades debidas a protozoarios. (B50-B64)"/>
    <n v="816"/>
    <n v="7.4000000000000003E-3"/>
  </r>
  <r>
    <x v="395"/>
    <x v="13"/>
    <x v="18"/>
    <s v="Tuberculosis. (A15-A19, B90)"/>
    <n v="763"/>
    <n v="6.8999999999999999E-3"/>
  </r>
  <r>
    <x v="396"/>
    <x v="13"/>
    <x v="19"/>
    <s v="Enfermedades del esófago, del estómago y del duodeno. (K20-K31)"/>
    <n v="639"/>
    <n v="5.7999999999999996E-3"/>
  </r>
  <r>
    <x v="397"/>
    <x v="13"/>
    <x v="20"/>
    <s v="Septicemia. (A40-A41)"/>
    <n v="586"/>
    <n v="5.3E-3"/>
  </r>
  <r>
    <x v="398"/>
    <x v="13"/>
    <x v="21"/>
    <s v="Infección aguda no especificada de las vías respiratorias inferiores (J22)"/>
    <n v="431"/>
    <n v="3.8999999999999998E-3"/>
  </r>
  <r>
    <x v="399"/>
    <x v="13"/>
    <x v="22"/>
    <s v="Enfermedades inflamatorias del sistema nervioso central. (G00-G09)"/>
    <n v="431"/>
    <n v="3.8999999999999998E-3"/>
  </r>
  <r>
    <x v="400"/>
    <x v="13"/>
    <x v="23"/>
    <s v="Trastornos episódicos y paroxísticos. (G40-G47)"/>
    <n v="418"/>
    <n v="3.8E-3"/>
  </r>
  <r>
    <x v="401"/>
    <x v="13"/>
    <x v="24"/>
    <s v="Trastornos de la vesícula biliar, de las vías biliares y del páncreas. (K80-K87)"/>
    <n v="359"/>
    <n v="3.3E-3"/>
  </r>
  <r>
    <x v="402"/>
    <x v="13"/>
    <x v="25"/>
    <s v="Total 25 Primeras Causas"/>
    <n v="97952"/>
    <n v="0.88990000000000002"/>
  </r>
  <r>
    <x v="403"/>
    <x v="13"/>
    <x v="26"/>
    <s v="Causas de mortalidad mal definidas, desconocidas o sin diagnostico medico tratante. (R95-R99). (2)"/>
    <n v="604"/>
    <n v="5.4999999999999997E-3"/>
  </r>
  <r>
    <x v="404"/>
    <x v="13"/>
    <x v="27"/>
    <s v="Resto de Muertes Violentas. (Y10-Y34, Y35-Y36). (2)"/>
    <n v="4125"/>
    <n v="3.73E-2"/>
  </r>
  <r>
    <x v="405"/>
    <x v="13"/>
    <x v="28"/>
    <s v="Total Todas las Causas (A00-Y89)"/>
    <n v="110672"/>
    <n v="1"/>
  </r>
  <r>
    <x v="406"/>
    <x v="14"/>
    <x v="0"/>
    <s v="Enfermedades del corazon (I05-I09, I11, I13, I21-I51)"/>
    <n v="22091"/>
    <n v="0.2097"/>
  </r>
  <r>
    <x v="407"/>
    <x v="14"/>
    <x v="1"/>
    <s v="Cancer . (C00 - C97)"/>
    <n v="15211"/>
    <n v="0.1444"/>
  </r>
  <r>
    <x v="408"/>
    <x v="14"/>
    <x v="2"/>
    <s v="Enfermedades Cerebrovasculares. (I60-I69)"/>
    <n v="8000"/>
    <n v="7.5899999999999995E-2"/>
  </r>
  <r>
    <x v="409"/>
    <x v="14"/>
    <x v="3"/>
    <s v="Accidentes de Todo Tipo . (V01 - X59) . (2)"/>
    <n v="7933"/>
    <n v="7.4899999999999994E-2"/>
  </r>
  <r>
    <x v="410"/>
    <x v="14"/>
    <x v="4"/>
    <s v="Suicidios y Homicidios . (X60-Y09) . (2)"/>
    <n v="7633"/>
    <n v="7.1999999999999995E-2"/>
  </r>
  <r>
    <x v="411"/>
    <x v="14"/>
    <x v="5"/>
    <s v="Diabetes . (E10-E14)"/>
    <n v="5941"/>
    <n v="5.6399999999999999E-2"/>
  </r>
  <r>
    <x v="412"/>
    <x v="14"/>
    <x v="6"/>
    <s v="Ciertas afecciones originadas en el período perinatal. (P00-P96) (3)"/>
    <n v="5279"/>
    <n v="5.0099999999999999E-2"/>
  </r>
  <r>
    <x v="413"/>
    <x v="14"/>
    <x v="7"/>
    <s v="Enfermedades crónicas de las vías respiratorias inferiores . (J40-J47)"/>
    <n v="2634"/>
    <n v="2.5000000000000001E-2"/>
  </r>
  <r>
    <x v="414"/>
    <x v="14"/>
    <x v="8"/>
    <s v="Influenza y neumonía. (J10-J18)"/>
    <n v="2391"/>
    <n v="2.2700000000000001E-2"/>
  </r>
  <r>
    <x v="415"/>
    <x v="14"/>
    <x v="9"/>
    <s v="Enfermedades del hígado.. (K70-K77)"/>
    <n v="2118"/>
    <n v="2.01E-2"/>
  </r>
  <r>
    <x v="416"/>
    <x v="14"/>
    <x v="10"/>
    <s v="Anomalias congénitas . (Q00-Q99)"/>
    <n v="2036"/>
    <n v="1.9300000000000001E-2"/>
  </r>
  <r>
    <x v="417"/>
    <x v="14"/>
    <x v="11"/>
    <s v="Enfermedades infecciosas intestinales. (A00-A09)"/>
    <n v="1784"/>
    <n v="1.6899999999999998E-2"/>
  </r>
  <r>
    <x v="418"/>
    <x v="14"/>
    <x v="12"/>
    <s v="Nefritis y Nefrosis . (N00-N19, N25-N29)"/>
    <n v="1378"/>
    <n v="1.3100000000000001E-2"/>
  </r>
  <r>
    <x v="419"/>
    <x v="14"/>
    <x v="13"/>
    <s v="Enfermedad por virus de la inmunodeficiencia humana [VIH]. (B20-B24)"/>
    <n v="1287"/>
    <n v="1.2200000000000001E-2"/>
  </r>
  <r>
    <x v="420"/>
    <x v="14"/>
    <x v="14"/>
    <s v="Otras enfermedades hipertensivas. (I10, I12)"/>
    <n v="1063"/>
    <n v="1.01E-2"/>
  </r>
  <r>
    <x v="421"/>
    <x v="14"/>
    <x v="15"/>
    <s v="Tumores benignos y de comportamiento incierto o desconocido. . (D10-D48)"/>
    <n v="999"/>
    <n v="9.4999999999999998E-3"/>
  </r>
  <r>
    <x v="422"/>
    <x v="14"/>
    <x v="16"/>
    <s v="Deficiencias de Nutrición . (E40-E64)"/>
    <n v="926"/>
    <n v="8.8000000000000005E-3"/>
  </r>
  <r>
    <x v="423"/>
    <x v="14"/>
    <x v="17"/>
    <s v="Enfermedades debidas a protozoarios. . (B50-B64)"/>
    <n v="924"/>
    <n v="8.8000000000000005E-3"/>
  </r>
  <r>
    <x v="424"/>
    <x v="14"/>
    <x v="18"/>
    <s v="Tuberculosis . (A15-A19, B90)"/>
    <n v="658"/>
    <n v="6.1999999999999998E-3"/>
  </r>
  <r>
    <x v="425"/>
    <x v="14"/>
    <x v="19"/>
    <s v="Septicemia . (A40-A41)"/>
    <n v="630"/>
    <n v="6.0000000000000001E-3"/>
  </r>
  <r>
    <x v="426"/>
    <x v="14"/>
    <x v="20"/>
    <s v="Enfermedades del esófago, del estómago y del duodeno. (K20-K31)"/>
    <n v="569"/>
    <n v="5.4000000000000003E-3"/>
  </r>
  <r>
    <x v="427"/>
    <x v="14"/>
    <x v="21"/>
    <s v="Enfermedades inflamatorias del sistema nervioso central. (G00-G09)"/>
    <n v="427"/>
    <n v="4.1000000000000003E-3"/>
  </r>
  <r>
    <x v="428"/>
    <x v="14"/>
    <x v="22"/>
    <s v="Trastornos de la vesícula biliar, de las vías biliares y del páncreas. (K80-K87)"/>
    <n v="401"/>
    <n v="3.8E-3"/>
  </r>
  <r>
    <x v="429"/>
    <x v="14"/>
    <x v="23"/>
    <s v="Trastornos episódicos y paroxísticos. (G40-G47)"/>
    <n v="365"/>
    <n v="3.5000000000000001E-3"/>
  </r>
  <r>
    <x v="430"/>
    <x v="14"/>
    <x v="24"/>
    <s v="Otras enfermedades del sistema digestivo (K92)"/>
    <n v="334"/>
    <n v="3.2000000000000002E-3"/>
  </r>
  <r>
    <x v="431"/>
    <x v="14"/>
    <x v="25"/>
    <s v="Total 25 Primeras Causas"/>
    <n v="93012"/>
    <n v="0.87790000000000001"/>
  </r>
  <r>
    <x v="432"/>
    <x v="14"/>
    <x v="26"/>
    <s v="Causas de mortalidad mal definidas, desconocidas o sin diagnostico medico tratante. (R95-R99). (2)"/>
    <n v="596"/>
    <n v="5.5999999999999999E-3"/>
  </r>
  <r>
    <x v="433"/>
    <x v="14"/>
    <x v="27"/>
    <s v="Resto de Muertes Violentas. (Y10-Y34, Y35-Y36). (2)"/>
    <n v="4376"/>
    <n v="4.1300000000000003E-2"/>
  </r>
  <r>
    <x v="434"/>
    <x v="14"/>
    <x v="28"/>
    <s v="Total Todas las Causas (A00-Y89)"/>
    <n v="105948"/>
    <n v="1"/>
  </r>
  <r>
    <x v="435"/>
    <x v="15"/>
    <x v="0"/>
    <s v="Enfermedades del corazon (I05-I09, I11, I13, I21-I51)"/>
    <n v="21777"/>
    <n v="0.2097"/>
  </r>
  <r>
    <x v="436"/>
    <x v="15"/>
    <x v="1"/>
    <s v="Cancer . (C00 - C97)"/>
    <n v="14892"/>
    <n v="0.1434"/>
  </r>
  <r>
    <x v="437"/>
    <x v="15"/>
    <x v="2"/>
    <s v="Enfermedades Cerebrovasculares. (I60-I69)"/>
    <n v="8165"/>
    <n v="7.8600000000000003E-2"/>
  </r>
  <r>
    <x v="438"/>
    <x v="15"/>
    <x v="3"/>
    <s v="Accidentes de Todo Tipo . (V01 - X59) . (2)"/>
    <n v="7826"/>
    <n v="7.4800000000000005E-2"/>
  </r>
  <r>
    <x v="439"/>
    <x v="15"/>
    <x v="4"/>
    <s v="Diabetes . (E10-E14)"/>
    <n v="5724"/>
    <n v="5.5100000000000003E-2"/>
  </r>
  <r>
    <x v="440"/>
    <x v="15"/>
    <x v="5"/>
    <s v="Ciertas afecciones originadas en el período perinatal. (P00-P96) (3)"/>
    <n v="5309"/>
    <n v="5.11E-2"/>
  </r>
  <r>
    <x v="441"/>
    <x v="15"/>
    <x v="6"/>
    <s v="Suicidios y Homicidios . (X60-Y09) . (2)"/>
    <n v="5262"/>
    <n v="5.0299999999999997E-2"/>
  </r>
  <r>
    <x v="442"/>
    <x v="15"/>
    <x v="7"/>
    <s v="Enfermedades crónicas de las vías respiratorias inferiores . (J40-J47)"/>
    <n v="3004"/>
    <n v="2.8899999999999999E-2"/>
  </r>
  <r>
    <x v="443"/>
    <x v="15"/>
    <x v="8"/>
    <s v="Influenza y neumonía. (J10-J18)"/>
    <n v="2886"/>
    <n v="2.7799999999999998E-2"/>
  </r>
  <r>
    <x v="444"/>
    <x v="15"/>
    <x v="9"/>
    <s v="Enfermedades infecciosas intestinales. (A00-A09)"/>
    <n v="2106"/>
    <n v="2.0299999999999999E-2"/>
  </r>
  <r>
    <x v="445"/>
    <x v="15"/>
    <x v="10"/>
    <s v="Enfermedades del hígado.. (K70-K77)"/>
    <n v="2013"/>
    <n v="1.9400000000000001E-2"/>
  </r>
  <r>
    <x v="446"/>
    <x v="15"/>
    <x v="11"/>
    <s v="Anomalias congénitas . (Q00-Q99)"/>
    <n v="1996"/>
    <n v="1.9199999999999998E-2"/>
  </r>
  <r>
    <x v="447"/>
    <x v="15"/>
    <x v="12"/>
    <s v="Nefritis y Nefrosis . (N00-N19, N25-N29)"/>
    <n v="1559"/>
    <n v="1.4999999999999999E-2"/>
  </r>
  <r>
    <x v="448"/>
    <x v="15"/>
    <x v="13"/>
    <s v="Enfermedad por virus de la inmunodeficiencia humana [VIH]. (B20-B24)"/>
    <n v="1242"/>
    <n v="1.2E-2"/>
  </r>
  <r>
    <x v="449"/>
    <x v="15"/>
    <x v="14"/>
    <s v="Otras enfermedades hipertensivas. (I10, I12)"/>
    <n v="1135"/>
    <n v="1.09E-2"/>
  </r>
  <r>
    <x v="450"/>
    <x v="15"/>
    <x v="15"/>
    <s v="Deficiencias de Nutrición . (E40-E64)"/>
    <n v="1023"/>
    <n v="9.9000000000000008E-3"/>
  </r>
  <r>
    <x v="451"/>
    <x v="15"/>
    <x v="16"/>
    <s v="Tumores benignos y de comportamiento incierto o desconocido. . (D10-D48)"/>
    <n v="878"/>
    <n v="8.5000000000000006E-3"/>
  </r>
  <r>
    <x v="452"/>
    <x v="15"/>
    <x v="17"/>
    <s v="Enfermedades debidas a protozoarios. . (B50-B64)"/>
    <n v="831"/>
    <n v="8.0000000000000002E-3"/>
  </r>
  <r>
    <x v="453"/>
    <x v="15"/>
    <x v="18"/>
    <s v="Tuberculosis . (A15-A19, B90)"/>
    <n v="758"/>
    <n v="7.3000000000000001E-3"/>
  </r>
  <r>
    <x v="454"/>
    <x v="15"/>
    <x v="19"/>
    <s v="Enfermedades del esófago, del estómago y del duodeno. (K20-K31)"/>
    <n v="626"/>
    <n v="6.0000000000000001E-3"/>
  </r>
  <r>
    <x v="455"/>
    <x v="15"/>
    <x v="20"/>
    <s v="Septicemia . (A40-A41)"/>
    <n v="619"/>
    <n v="6.0000000000000001E-3"/>
  </r>
  <r>
    <x v="456"/>
    <x v="15"/>
    <x v="21"/>
    <s v="Enfermedades inflamatorias del sistema nervioso central. (G00-G09)"/>
    <n v="501"/>
    <n v="4.7999999999999996E-3"/>
  </r>
  <r>
    <x v="457"/>
    <x v="15"/>
    <x v="22"/>
    <s v="Infección aguda no especificada de las vías respiratorias inferiores (J22)"/>
    <n v="410"/>
    <n v="3.8999999999999998E-3"/>
  </r>
  <r>
    <x v="458"/>
    <x v="15"/>
    <x v="23"/>
    <s v="Trastornos de la vesícula biliar, de las vías biliares y del páncreas. (K80-K87)"/>
    <n v="369"/>
    <n v="3.5999999999999999E-3"/>
  </r>
  <r>
    <x v="459"/>
    <x v="15"/>
    <x v="24"/>
    <s v="Trastornos episódicos y paroxísticos. (G40-G47)"/>
    <n v="351"/>
    <n v="3.3999999999999998E-3"/>
  </r>
  <r>
    <x v="460"/>
    <x v="15"/>
    <x v="25"/>
    <s v="Total 25 Primeras Causas"/>
    <n v="91262"/>
    <n v="0.87229999999999996"/>
  </r>
  <r>
    <x v="461"/>
    <x v="15"/>
    <x v="26"/>
    <s v="Causas de mortalidad mal definidas, desconocidas o sin diagnostico medico tratante. (R95-R99). (2)"/>
    <n v="769"/>
    <n v="7.4000000000000003E-3"/>
  </r>
  <r>
    <x v="462"/>
    <x v="15"/>
    <x v="27"/>
    <s v="Resto de Muertes Violentas. (Y10-Y34, Y35-Y36). (2)"/>
    <n v="4288"/>
    <n v="4.1000000000000002E-2"/>
  </r>
  <r>
    <x v="463"/>
    <x v="15"/>
    <x v="28"/>
    <s v="Total Todas las Causas (A00-Y89)"/>
    <n v="104625"/>
    <n v="1"/>
  </r>
  <r>
    <x v="464"/>
    <x v="16"/>
    <x v="0"/>
    <s v="Enfermedades del corazon (I05-I09, I11, I13, I21-I51)"/>
    <n v="21606"/>
    <n v="0.216"/>
  </r>
  <r>
    <x v="465"/>
    <x v="16"/>
    <x v="1"/>
    <s v="Cancer (C00 - C97)"/>
    <n v="14155"/>
    <n v="0.14149999999999999"/>
  </r>
  <r>
    <x v="466"/>
    <x v="16"/>
    <x v="2"/>
    <s v="Accidentes de Todo Tipo (V01 - X59) (2)"/>
    <n v="7784"/>
    <n v="7.7100000000000002E-2"/>
  </r>
  <r>
    <x v="467"/>
    <x v="16"/>
    <x v="3"/>
    <s v="Enfermedades Cerebrovasculares(I60-I69)"/>
    <n v="7607"/>
    <n v="7.6100000000000001E-2"/>
  </r>
  <r>
    <x v="468"/>
    <x v="16"/>
    <x v="4"/>
    <s v="Ciertas afecciones originadas en el período perinatal.(P00-P96) (3)"/>
    <n v="5241"/>
    <n v="5.2400000000000002E-2"/>
  </r>
  <r>
    <x v="469"/>
    <x v="16"/>
    <x v="5"/>
    <s v="Diabetes (E10-E14)"/>
    <n v="4867"/>
    <n v="4.87E-2"/>
  </r>
  <r>
    <x v="470"/>
    <x v="16"/>
    <x v="6"/>
    <s v="Suicidios y Homicidios (X60-Y09) (2)"/>
    <n v="3961"/>
    <n v="3.9199999999999999E-2"/>
  </r>
  <r>
    <x v="471"/>
    <x v="16"/>
    <x v="7"/>
    <s v="Influenza y neumonía(J10-J18)"/>
    <n v="2981"/>
    <n v="2.98E-2"/>
  </r>
  <r>
    <x v="472"/>
    <x v="16"/>
    <x v="8"/>
    <s v="Enfermedades crónicas de las vías respiratorias inferiores (J40-J47)"/>
    <n v="2758"/>
    <n v="2.76E-2"/>
  </r>
  <r>
    <x v="473"/>
    <x v="16"/>
    <x v="9"/>
    <s v="Enfermedades infecciosas intestinales(A00-A09)"/>
    <n v="2593"/>
    <n v="2.5899999999999999E-2"/>
  </r>
  <r>
    <x v="474"/>
    <x v="16"/>
    <x v="10"/>
    <s v="Enfermedades del hígado.(K70-K77)"/>
    <n v="1954"/>
    <n v="1.95E-2"/>
  </r>
  <r>
    <x v="475"/>
    <x v="16"/>
    <x v="11"/>
    <s v="Anomalias congénitas (Q00-Q99)"/>
    <n v="1854"/>
    <n v="1.8499999999999999E-2"/>
  </r>
  <r>
    <x v="476"/>
    <x v="16"/>
    <x v="12"/>
    <s v="Nefritis y Nefrosis (N00-N19, N25-N29)"/>
    <n v="1406"/>
    <n v="1.41E-2"/>
  </r>
  <r>
    <x v="477"/>
    <x v="16"/>
    <x v="13"/>
    <s v="Otras enfermedades hipertensivas(I10, I12)"/>
    <n v="1173"/>
    <n v="1.17E-2"/>
  </r>
  <r>
    <x v="478"/>
    <x v="16"/>
    <x v="14"/>
    <s v="Deficiencias de Nutrición (E40-E64)"/>
    <n v="1149"/>
    <n v="1.15E-2"/>
  </r>
  <r>
    <x v="479"/>
    <x v="16"/>
    <x v="15"/>
    <s v="Enfermedad por virus de la inmunodeficiencia humana [VIH](B20-B24)"/>
    <n v="1126"/>
    <n v="1.1299999999999999E-2"/>
  </r>
  <r>
    <x v="480"/>
    <x v="16"/>
    <x v="16"/>
    <s v="Enfermedades debidas a protozoarios. (B50-B64)"/>
    <n v="888"/>
    <n v="8.8999999999999999E-3"/>
  </r>
  <r>
    <x v="481"/>
    <x v="16"/>
    <x v="17"/>
    <s v="Tumores benignos y de comportamiento incierto o desconocido. (D10-D48)"/>
    <n v="877"/>
    <n v="8.8000000000000005E-3"/>
  </r>
  <r>
    <x v="482"/>
    <x v="16"/>
    <x v="18"/>
    <s v="Tuberculosis (A15-A19, B90)"/>
    <n v="764"/>
    <n v="7.6E-3"/>
  </r>
  <r>
    <x v="483"/>
    <x v="16"/>
    <x v="19"/>
    <s v="Septicemia (A40-A41)"/>
    <n v="639"/>
    <n v="6.4000000000000003E-3"/>
  </r>
  <r>
    <x v="484"/>
    <x v="16"/>
    <x v="20"/>
    <s v="Enfermedades del esófago, del estómago y del duodeno(K20-K31)"/>
    <n v="602"/>
    <n v="6.0000000000000001E-3"/>
  </r>
  <r>
    <x v="485"/>
    <x v="16"/>
    <x v="21"/>
    <s v="Enfermedades inflamatorias del sistema nervioso central(G00-G09)"/>
    <n v="462"/>
    <n v="4.5999999999999999E-3"/>
  </r>
  <r>
    <x v="486"/>
    <x v="16"/>
    <x v="22"/>
    <s v="Infección aguda no especificada de las vías respiratorias inferiores (J22)"/>
    <n v="448"/>
    <n v="4.4999999999999997E-3"/>
  </r>
  <r>
    <x v="487"/>
    <x v="16"/>
    <x v="23"/>
    <s v="Trastornos episódicos y paroxísticos(G40-G47)"/>
    <n v="392"/>
    <n v="3.8999999999999998E-3"/>
  </r>
  <r>
    <x v="488"/>
    <x v="16"/>
    <x v="24"/>
    <s v="Trastornos metabólicos.(E70-E90)"/>
    <n v="357"/>
    <n v="3.5999999999999999E-3"/>
  </r>
  <r>
    <x v="489"/>
    <x v="16"/>
    <x v="25"/>
    <s v="Total 25 Primeras Causas"/>
    <n v="87042"/>
    <n v="0.86209999999999998"/>
  </r>
  <r>
    <x v="490"/>
    <x v="16"/>
    <x v="26"/>
    <s v="Causas de mortalidad mal definidas, desconocidas o sin diagnostico medico tratante. (R95-R99). (2)"/>
    <n v="956"/>
    <n v="9.4999999999999998E-3"/>
  </r>
  <r>
    <x v="491"/>
    <x v="16"/>
    <x v="27"/>
    <s v="Resto de Muertes Violentas. (Y10-Y34, Y35-Y36). (2)"/>
    <n v="3624"/>
    <n v="3.5900000000000001E-2"/>
  </r>
  <r>
    <x v="492"/>
    <x v="16"/>
    <x v="28"/>
    <s v="Total Todas las Causas (A00-Y89)"/>
    <n v="100963"/>
    <n v="1"/>
  </r>
  <r>
    <x v="493"/>
    <x v="17"/>
    <x v="0"/>
    <s v="Enfermedades del corazon (I05-I09, I11, I13, I21-I51)"/>
    <n v="20840"/>
    <n v="0.217"/>
  </r>
  <r>
    <x v="494"/>
    <x v="17"/>
    <x v="1"/>
    <s v="Cancer (C00 - C97)"/>
    <n v="14024"/>
    <n v="0.14599999999999999"/>
  </r>
  <r>
    <x v="495"/>
    <x v="17"/>
    <x v="2"/>
    <s v="Enfermedades Cerebrovasculares(I60-I69)"/>
    <n v="7530"/>
    <n v="7.8399999999999997E-2"/>
  </r>
  <r>
    <x v="496"/>
    <x v="17"/>
    <x v="3"/>
    <s v="Accidentes de Todo Tipo (V01 - X59) (2)"/>
    <n v="7066"/>
    <n v="7.2099999999999997E-2"/>
  </r>
  <r>
    <x v="497"/>
    <x v="17"/>
    <x v="4"/>
    <s v="Ciertas afecciones originadas en el período perinatal.(P00-P96) (3)"/>
    <n v="5503"/>
    <n v="5.7299999999999997E-2"/>
  </r>
  <r>
    <x v="498"/>
    <x v="17"/>
    <x v="5"/>
    <s v="Diabetes (E10-E14)"/>
    <n v="4833"/>
    <n v="5.0299999999999997E-2"/>
  </r>
  <r>
    <x v="499"/>
    <x v="17"/>
    <x v="6"/>
    <s v="Suicidios y Homicidios (X60-Y09) (2)"/>
    <n v="3939"/>
    <n v="4.02E-2"/>
  </r>
  <r>
    <x v="500"/>
    <x v="17"/>
    <x v="7"/>
    <s v="Influenza y neumonía(J10-J18)"/>
    <n v="2726"/>
    <n v="2.8400000000000002E-2"/>
  </r>
  <r>
    <x v="501"/>
    <x v="17"/>
    <x v="8"/>
    <s v="Enfermedades infecciosas intestinales(A00-A09)"/>
    <n v="2630"/>
    <n v="2.7400000000000001E-2"/>
  </r>
  <r>
    <x v="502"/>
    <x v="17"/>
    <x v="9"/>
    <s v="Enfermedades crónicas de las vías respiratorias inferiores (J40-J47)"/>
    <n v="2401"/>
    <n v="2.5000000000000001E-2"/>
  </r>
  <r>
    <x v="503"/>
    <x v="17"/>
    <x v="10"/>
    <s v="Anomalias congénitas (Q00-Q99)"/>
    <n v="1911"/>
    <n v="1.9900000000000001E-2"/>
  </r>
  <r>
    <x v="504"/>
    <x v="17"/>
    <x v="11"/>
    <s v="Enfermedades del hígado.(K70-K77)"/>
    <n v="1801"/>
    <n v="1.8700000000000001E-2"/>
  </r>
  <r>
    <x v="505"/>
    <x v="17"/>
    <x v="12"/>
    <s v="Disparo de otras armas de fuego y las no especificadas, de intención  no determinada (Y24) (2)"/>
    <n v="1666"/>
    <n v="1.7000000000000001E-2"/>
  </r>
  <r>
    <x v="506"/>
    <x v="17"/>
    <x v="13"/>
    <s v="Nefritis y Nefrosis (N00-N19, N25-N29)"/>
    <n v="1517"/>
    <n v="1.5800000000000002E-2"/>
  </r>
  <r>
    <x v="507"/>
    <x v="17"/>
    <x v="14"/>
    <s v="Otras enfermedades hipertensivas(I10, I12)"/>
    <n v="1145"/>
    <n v="1.17E-2"/>
  </r>
  <r>
    <x v="508"/>
    <x v="17"/>
    <x v="15"/>
    <s v="Enfermedad por virus de la inmunodeficiencia humana [VIH](B20-B24)"/>
    <n v="1087"/>
    <n v="1.1299999999999999E-2"/>
  </r>
  <r>
    <x v="509"/>
    <x v="17"/>
    <x v="16"/>
    <s v="Deficiencias de Nutrición (E40-E64)"/>
    <n v="1083"/>
    <n v="1.1299999999999999E-2"/>
  </r>
  <r>
    <x v="510"/>
    <x v="17"/>
    <x v="17"/>
    <s v="Enfermedades debidas a protozoarios. (B50-B64)"/>
    <n v="861"/>
    <n v="8.9999999999999993E-3"/>
  </r>
  <r>
    <x v="511"/>
    <x v="17"/>
    <x v="18"/>
    <s v="Tumores benignos y de comportamiento incierto o desconocido. (D10-D48)"/>
    <n v="776"/>
    <n v="8.0999999999999996E-3"/>
  </r>
  <r>
    <x v="512"/>
    <x v="17"/>
    <x v="19"/>
    <s v="Tuberculosis (A15-A19, B90)"/>
    <n v="753"/>
    <n v="7.7999999999999996E-3"/>
  </r>
  <r>
    <x v="513"/>
    <x v="17"/>
    <x v="20"/>
    <s v="Evento no especificado, de intención no determinada (Y34) (2)"/>
    <n v="682"/>
    <n v="7.0000000000000001E-3"/>
  </r>
  <r>
    <x v="514"/>
    <x v="17"/>
    <x v="21"/>
    <s v="Septicemia (A40-A41)"/>
    <n v="662"/>
    <n v="6.8999999999999999E-3"/>
  </r>
  <r>
    <x v="515"/>
    <x v="17"/>
    <x v="22"/>
    <s v="Enfermedades del esófago, del estómago y del duodeno(K20-K31)"/>
    <n v="523"/>
    <n v="5.4000000000000003E-3"/>
  </r>
  <r>
    <x v="516"/>
    <x v="17"/>
    <x v="23"/>
    <s v="Enfermedades inflamatorias del sistema nervioso central(G00-G09)"/>
    <n v="495"/>
    <n v="5.1999999999999998E-3"/>
  </r>
  <r>
    <x v="516"/>
    <x v="17"/>
    <x v="23"/>
    <s v="Meningitis (G00-G03)"/>
    <n v="352"/>
    <n v="3.7000000000000002E-3"/>
  </r>
  <r>
    <x v="517"/>
    <x v="17"/>
    <x v="24"/>
    <s v="Trastornos episódicos y paroxísticos(G40-G47)"/>
    <n v="391"/>
    <n v="4.1000000000000003E-3"/>
  </r>
  <r>
    <x v="518"/>
    <x v="17"/>
    <x v="25"/>
    <s v="Total 25 Primeras Causas"/>
    <n v="86674"/>
    <n v="0.88429999999999997"/>
  </r>
  <r>
    <x v="519"/>
    <x v="17"/>
    <x v="26"/>
    <s v="Causas de mortalidad mal definidas, desconocidas o sin diagnostico medico tratante. (R95-R99). (2)"/>
    <n v="9383"/>
    <n v="9.5699999999999993E-2"/>
  </r>
  <r>
    <x v="520"/>
    <x v="17"/>
    <x v="27"/>
    <s v="Resto de Muertes Violentas. (Y10-Y34, Y35-Y36). (2)"/>
    <n v="1954"/>
    <n v="1.9900000000000001E-2"/>
  </r>
  <r>
    <x v="521"/>
    <x v="17"/>
    <x v="28"/>
    <s v="Total Todas las Causas (A00-Y89)"/>
    <n v="98011"/>
    <n v="1"/>
  </r>
  <r>
    <x v="522"/>
    <x v="18"/>
    <x v="0"/>
    <s v="1 Enfermedades del Corazón (I05-I09, I11, I13, I21-I51)"/>
    <n v="21309"/>
    <n v="0.2167"/>
  </r>
  <r>
    <x v="523"/>
    <x v="18"/>
    <x v="1"/>
    <s v="2 Cancer (C00-C97)"/>
    <n v="13620"/>
    <n v="0.13850000000000001"/>
  </r>
  <r>
    <x v="524"/>
    <x v="18"/>
    <x v="2"/>
    <s v="3 Enfermedad Cerebrovascular (I60-I69)"/>
    <n v="7618"/>
    <n v="7.6100000000000001E-2"/>
  </r>
  <r>
    <x v="525"/>
    <x v="18"/>
    <x v="3"/>
    <s v="4 Accidentes (de Todo Tipo)  (V01-X59) (2)"/>
    <n v="7182"/>
    <n v="7.1800000000000003E-2"/>
  </r>
  <r>
    <x v="526"/>
    <x v="18"/>
    <x v="4"/>
    <s v="5 Ciertas afecciones originadas en el período perinatal (P00-P96) (3)"/>
    <n v="5643"/>
    <n v="5.74E-2"/>
  </r>
  <r>
    <x v="527"/>
    <x v="18"/>
    <x v="5"/>
    <s v="6 Diabetes (E10-E14)"/>
    <n v="4450"/>
    <n v="4.53E-2"/>
  </r>
  <r>
    <x v="528"/>
    <x v="18"/>
    <x v="6"/>
    <s v="7 Suicidios y Homicidios (X60-Y09)"/>
    <n v="4337"/>
    <n v="4.41E-2"/>
  </r>
  <r>
    <x v="529"/>
    <x v="18"/>
    <x v="7"/>
    <s v="8 Enteritis y otras enfermedades Diarreicas (A08-A09)"/>
    <n v="3109"/>
    <n v="3.1099999999999999E-2"/>
  </r>
  <r>
    <x v="530"/>
    <x v="18"/>
    <x v="8"/>
    <s v="9 Neumonía (J12-J18)"/>
    <n v="2634"/>
    <n v="2.6800000000000001E-2"/>
  </r>
  <r>
    <x v="531"/>
    <x v="18"/>
    <x v="9"/>
    <s v="10 Anomalias congenitas (Q00-Q99)"/>
    <n v="1917"/>
    <n v="1.95E-2"/>
  </r>
  <r>
    <x v="532"/>
    <x v="18"/>
    <x v="10"/>
    <s v="11 Disparo de otras armas de fuego y las no especificadas, de intención  no"/>
    <n v="1850"/>
    <n v="1.8800000000000001E-2"/>
  </r>
  <r>
    <x v="533"/>
    <x v="18"/>
    <x v="11"/>
    <s v="12 Enfermedad pulmonar obstructiva crónica, no espeficicada (J449)"/>
    <n v="1511"/>
    <n v="1.54E-2"/>
  </r>
  <r>
    <x v="534"/>
    <x v="18"/>
    <x v="12"/>
    <s v="13 Deficiencias de la Nutrición (E40-E64)"/>
    <n v="1484"/>
    <n v="1.5100000000000001E-2"/>
  </r>
  <r>
    <x v="535"/>
    <x v="18"/>
    <x v="13"/>
    <s v="14 Nefritis y Nefrosis (N00-N19, N25-N29))"/>
    <n v="1459"/>
    <n v="1.4800000000000001E-2"/>
  </r>
  <r>
    <x v="536"/>
    <x v="18"/>
    <x v="14"/>
    <s v="15 Cirrosis y fibrosis Hepatica (K70.2, K70.3,K74)"/>
    <n v="1368"/>
    <n v="1.3899999999999999E-2"/>
  </r>
  <r>
    <x v="537"/>
    <x v="18"/>
    <x v="15"/>
    <s v="16 Enfermedad por virus de la inmunodeficiencia humana [VIH]"/>
    <n v="931"/>
    <n v="9.4999999999999998E-3"/>
  </r>
  <r>
    <x v="538"/>
    <x v="18"/>
    <x v="16"/>
    <s v="17 Tripanosomiasis  (B56-B57)"/>
    <n v="863"/>
    <n v="8.8000000000000005E-3"/>
  </r>
  <r>
    <x v="539"/>
    <x v="18"/>
    <x v="17"/>
    <s v="18 Bronquitis crónica y la no especificada,  Enfisema y Asma (J40-J43,J45-J46)"/>
    <n v="856"/>
    <n v="8.6999999999999994E-3"/>
  </r>
  <r>
    <x v="540"/>
    <x v="18"/>
    <x v="18"/>
    <s v="19 Tuberculosis (A15-A19,B90)"/>
    <n v="760"/>
    <n v="7.7000000000000002E-3"/>
  </r>
  <r>
    <x v="541"/>
    <x v="18"/>
    <x v="19"/>
    <s v="20 Otras enfermedades Hipertensivas (I10-I12)"/>
    <n v="746"/>
    <n v="7.6E-3"/>
  </r>
  <r>
    <x v="542"/>
    <x v="18"/>
    <x v="20"/>
    <s v="21 Tumores benignos y de comportamiento incierto o desconocido (D10-D48)"/>
    <n v="743"/>
    <n v="7.6E-3"/>
  </r>
  <r>
    <x v="543"/>
    <x v="18"/>
    <x v="21"/>
    <s v="22 Evento no especificado, de intención no determinada ( (Y34))"/>
    <n v="651"/>
    <n v="6.6E-3"/>
  </r>
  <r>
    <x v="544"/>
    <x v="18"/>
    <x v="22"/>
    <s v="23 Septicemias (A40-A41)"/>
    <n v="617"/>
    <n v="6.3E-3"/>
  </r>
  <r>
    <x v="545"/>
    <x v="18"/>
    <x v="23"/>
    <s v="24 Ulcera gastrica, Doudenal y Gastroyeyunal (K25-K28)"/>
    <n v="437"/>
    <n v="4.4000000000000003E-3"/>
  </r>
  <r>
    <x v="546"/>
    <x v="18"/>
    <x v="24"/>
    <s v="25  Meningitis (G00-G03)"/>
    <n v="435"/>
    <n v="4.4000000000000003E-3"/>
  </r>
  <r>
    <x v="547"/>
    <x v="18"/>
    <x v="25"/>
    <s v="Total 25 Primeras Causas"/>
    <n v="86530"/>
    <n v="0.8649"/>
  </r>
  <r>
    <x v="548"/>
    <x v="18"/>
    <x v="26"/>
    <s v="Causas de mortalidad mal definidas, desconocidas o sin diagnostico medico tratante. (R95-R99). (2)"/>
    <n v="11803"/>
    <n v="0.11799999999999999"/>
  </r>
  <r>
    <x v="549"/>
    <x v="18"/>
    <x v="27"/>
    <s v="Resto de Muertes Violentas. (Y10-Y34, Y35-Y36). (2)"/>
    <n v="1712"/>
    <n v="1.7100000000000001E-2"/>
  </r>
  <r>
    <x v="550"/>
    <x v="18"/>
    <x v="28"/>
    <s v="Total Todas las Causas (A00-Y89)"/>
    <n v="100045"/>
    <n v="1"/>
  </r>
  <r>
    <x v="551"/>
    <x v="19"/>
    <x v="29"/>
    <m/>
    <m/>
    <m/>
  </r>
  <r>
    <x v="551"/>
    <x v="19"/>
    <x v="29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2">
  <r>
    <x v="0"/>
    <x v="0"/>
    <n v="1"/>
    <s v="Enfermedades del corazón (I05-I09, I11, I13, I21-I51)"/>
    <n v="34672"/>
    <n v="0.21390000000000001"/>
  </r>
  <r>
    <x v="1"/>
    <x v="0"/>
    <n v="2"/>
    <s v="Cáncer. (C00-C97)"/>
    <n v="24199"/>
    <n v="0.14929999999999999"/>
  </r>
  <r>
    <x v="2"/>
    <x v="0"/>
    <n v="3"/>
    <s v="Diabetes. (E10-E14)"/>
    <n v="13422"/>
    <n v="8.2799999999999999E-2"/>
  </r>
  <r>
    <x v="3"/>
    <x v="0"/>
    <n v="4"/>
    <s v="Enfermedades Cerebrovasculares. (I60-I69)"/>
    <n v="11926"/>
    <n v="7.3599999999999999E-2"/>
  </r>
  <r>
    <x v="4"/>
    <x v="0"/>
    <n v="5"/>
    <s v="Suicidios y Homicidios. (X60-Y09). (2)"/>
    <n v="9818"/>
    <n v="6.0900000000000003E-2"/>
  </r>
  <r>
    <x v="5"/>
    <x v="0"/>
    <n v="6"/>
    <s v="Accidentes de Todo Tipo. (V01-X59). (2)"/>
    <n v="9209"/>
    <n v="5.7099999999999998E-2"/>
  </r>
  <r>
    <x v="6"/>
    <x v="0"/>
    <n v="7"/>
    <s v="Ciertas afecciones originadas en el período perinatal. (P00-P96) (3)"/>
    <n v="5605"/>
    <n v="3.4599999999999999E-2"/>
  </r>
  <r>
    <x v="7"/>
    <x v="0"/>
    <n v="8"/>
    <s v="Enfermedades crónicas de las vías respiratorias inferiores. (J40-J47)"/>
    <n v="4901"/>
    <n v="3.0200000000000001E-2"/>
  </r>
  <r>
    <x v="8"/>
    <x v="0"/>
    <n v="9"/>
    <s v="Influenza y neumonía. (J09-J18)"/>
    <n v="4779"/>
    <n v="2.9499999999999998E-2"/>
  </r>
  <r>
    <x v="9"/>
    <x v="0"/>
    <n v="10"/>
    <s v="Enfermedades del hígado. (K70-K77)"/>
    <n v="3456"/>
    <n v="2.1299999999999999E-2"/>
  </r>
  <r>
    <x v="10"/>
    <x v="0"/>
    <n v="11"/>
    <s v="Otras enfermedades hipertensivas. (I10, I12)"/>
    <n v="2769"/>
    <n v="1.7100000000000001E-2"/>
  </r>
  <r>
    <x v="11"/>
    <x v="0"/>
    <n v="12"/>
    <s v="Malformaciones congénitas, deformidades y anomalias cromosómicas (Q00-Q99)"/>
    <n v="2474"/>
    <n v="1.5299999999999999E-2"/>
  </r>
  <r>
    <x v="12"/>
    <x v="0"/>
    <n v="13"/>
    <s v="Nefritis y Nefrosis. (N00-N19, N25-N29)"/>
    <n v="2446"/>
    <n v="1.5100000000000001E-2"/>
  </r>
  <r>
    <x v="13"/>
    <x v="0"/>
    <n v="14"/>
    <s v="Tumores benignos y de comportamiento incierto o desconocido. (D10-D48)"/>
    <n v="2278"/>
    <n v="1.41E-2"/>
  </r>
  <r>
    <x v="14"/>
    <x v="0"/>
    <n v="15"/>
    <s v="Enfermedad por virus de la inmunodeficiencia humana [VIH]. (B20-B24)"/>
    <n v="2218"/>
    <n v="1.37E-2"/>
  </r>
  <r>
    <x v="15"/>
    <x v="0"/>
    <n v="16"/>
    <s v="Enfermedades infecciosas intestinales. (A00-A09)"/>
    <n v="1390"/>
    <n v="8.6E-3"/>
  </r>
  <r>
    <x v="16"/>
    <x v="0"/>
    <n v="17"/>
    <s v="Septicemia. (A40-A41)"/>
    <n v="1156"/>
    <n v="7.1000000000000004E-3"/>
  </r>
  <r>
    <x v="17"/>
    <x v="0"/>
    <n v="18"/>
    <s v="Infección aguda no especificada de las vías respiratorias inferiores (J22)"/>
    <n v="1018"/>
    <n v="6.3E-3"/>
  </r>
  <r>
    <x v="18"/>
    <x v="0"/>
    <n v="19"/>
    <s v="Enfermedades debidas a protozoarios. (B50-B64)"/>
    <n v="826"/>
    <n v="5.1000000000000004E-3"/>
  </r>
  <r>
    <x v="19"/>
    <x v="0"/>
    <n v="20"/>
    <s v="Íleo paralitico y obstrucción intestinal, sin hernia (K56)"/>
    <n v="750"/>
    <n v="4.5999999999999999E-3"/>
  </r>
  <r>
    <x v="20"/>
    <x v="0"/>
    <n v="21"/>
    <s v="Enfermedades de las arterias, de las arteriolas y de los vasos capilares. (I70-I79)"/>
    <n v="723"/>
    <n v="4.4999999999999997E-3"/>
  </r>
  <r>
    <x v="21"/>
    <x v="0"/>
    <n v="22"/>
    <s v="Tuberculosis. (A15-A19, B90)"/>
    <n v="712"/>
    <n v="4.4000000000000003E-3"/>
  </r>
  <r>
    <x v="22"/>
    <x v="0"/>
    <n v="23"/>
    <s v="Trastornos episódicos y paroxísticos. (G40-G47)"/>
    <n v="612"/>
    <n v="3.8E-3"/>
  </r>
  <r>
    <x v="23"/>
    <x v="0"/>
    <n v="24"/>
    <s v="Enfermedades del esófago, del estómago y del duodeno. (K20-K31)"/>
    <n v="601"/>
    <n v="3.7000000000000002E-3"/>
  </r>
  <r>
    <x v="24"/>
    <x v="0"/>
    <n v="25"/>
    <s v="Trastornos de la vesícula biliar, de las vías biliares y del páncreas. (K80-K87)"/>
    <n v="571"/>
    <n v="3.5000000000000001E-3"/>
  </r>
  <r>
    <x v="25"/>
    <x v="0"/>
    <s v="TP25C"/>
    <s v="Total 25 Primeras Causas"/>
    <n v="142531"/>
    <n v="0.87909999999999999"/>
  </r>
  <r>
    <x v="26"/>
    <x v="0"/>
    <s v="Desc"/>
    <s v="Causas de mortalidad mal definidas, desconocidas o sin diagnostico medico tratante. (R95-R99). (2)"/>
    <n v="617"/>
    <n v="3.8E-3"/>
  </r>
  <r>
    <x v="27"/>
    <x v="0"/>
    <s v="MV"/>
    <s v="Resto de Muertes Violentas. (Y10-Y34, Y35-Y36). (2)"/>
    <n v="9082"/>
    <n v="5.6300000000000003E-2"/>
  </r>
  <r>
    <x v="28"/>
    <x v="0"/>
    <s v="TC"/>
    <s v="Total Todas las Causas (A00-Y89)"/>
    <n v="162125"/>
    <n v="1"/>
  </r>
  <r>
    <x v="29"/>
    <x v="1"/>
    <n v="1"/>
    <s v="Enfermedades del corazón (I05-I09, I11, I13, I21-I51)"/>
    <n v="30899"/>
    <n v="0.20610000000000001"/>
  </r>
  <r>
    <x v="30"/>
    <x v="1"/>
    <n v="2"/>
    <s v="Cáncer. (C00-C97)"/>
    <n v="23121"/>
    <n v="0.1542"/>
  </r>
  <r>
    <x v="31"/>
    <x v="1"/>
    <n v="3"/>
    <s v="Diabetes. (E10-E14)"/>
    <n v="11459"/>
    <n v="7.6399999999999996E-2"/>
  </r>
  <r>
    <x v="32"/>
    <x v="1"/>
    <n v="4"/>
    <s v="Enfermedades Cerebrovasculares. (I60-I69)"/>
    <n v="11164"/>
    <n v="7.4499999999999997E-2"/>
  </r>
  <r>
    <x v="33"/>
    <x v="1"/>
    <n v="5"/>
    <s v="Accidentes de Todo Tipo. (V01-X59). (2)"/>
    <n v="9720"/>
    <n v="6.5100000000000005E-2"/>
  </r>
  <r>
    <x v="34"/>
    <x v="1"/>
    <n v="6"/>
    <s v="Suicidios y Homicidios. (X60-Y09). (2)"/>
    <n v="9458"/>
    <n v="6.3399999999999998E-2"/>
  </r>
  <r>
    <x v="35"/>
    <x v="1"/>
    <n v="7"/>
    <s v="Ciertas afecciones originadas en el período perinatal. (P00-P96) (3)"/>
    <n v="5280"/>
    <n v="3.5200000000000002E-2"/>
  </r>
  <r>
    <x v="36"/>
    <x v="1"/>
    <n v="8"/>
    <s v="Influenza y neumonía. (J09-J18)"/>
    <n v="4553"/>
    <n v="3.04E-2"/>
  </r>
  <r>
    <x v="37"/>
    <x v="1"/>
    <n v="9"/>
    <s v="Enfermedades crónicas de las vías respiratorias inferiores. (J40-J47)"/>
    <n v="4333"/>
    <n v="2.8899999999999999E-2"/>
  </r>
  <r>
    <x v="38"/>
    <x v="1"/>
    <n v="10"/>
    <s v="Enfermedades del hígado. (K70-K77)"/>
    <n v="3098"/>
    <n v="2.07E-2"/>
  </r>
  <r>
    <x v="39"/>
    <x v="1"/>
    <n v="11"/>
    <s v="Anomalías congénitas. (Q00-Q99)"/>
    <n v="2428"/>
    <n v="1.6199999999999999E-2"/>
  </r>
  <r>
    <x v="40"/>
    <x v="1"/>
    <n v="12"/>
    <s v="Tumores benignos y de comportamiento incierto o desconocido. (D10-D48)"/>
    <n v="2339"/>
    <n v="1.5599999999999999E-2"/>
  </r>
  <r>
    <x v="41"/>
    <x v="1"/>
    <n v="13"/>
    <s v="Nefritis y Nefrosis. (N00-N19, N25-N29)"/>
    <n v="2139"/>
    <n v="1.43E-2"/>
  </r>
  <r>
    <x v="42"/>
    <x v="1"/>
    <n v="14"/>
    <s v="Otras enfermedades hipertensivas. (I10, I12)"/>
    <n v="2063"/>
    <n v="1.38E-2"/>
  </r>
  <r>
    <x v="43"/>
    <x v="1"/>
    <n v="15"/>
    <s v="Enfermedad por virus de la inmunodeficiencia humana [VIH]. (B20-B24)"/>
    <n v="2054"/>
    <n v="1.37E-2"/>
  </r>
  <r>
    <x v="44"/>
    <x v="1"/>
    <n v="16"/>
    <s v="Enfermedades infecciosas intestinales. (A00-A09)"/>
    <n v="1017"/>
    <n v="6.7999999999999996E-3"/>
  </r>
  <r>
    <x v="45"/>
    <x v="1"/>
    <n v="17"/>
    <s v="Septicemia. (A40-A41)"/>
    <n v="935"/>
    <n v="6.1999999999999998E-3"/>
  </r>
  <r>
    <x v="46"/>
    <x v="1"/>
    <n v="18"/>
    <s v="Infección aguda no especificada de las vías respiratorias inferiores (J22)"/>
    <n v="769"/>
    <n v="5.1000000000000004E-3"/>
  </r>
  <r>
    <x v="47"/>
    <x v="1"/>
    <n v="19"/>
    <s v="Tuberculosis. (A15-A19, B90)"/>
    <n v="695"/>
    <n v="4.5999999999999999E-3"/>
  </r>
  <r>
    <x v="48"/>
    <x v="1"/>
    <n v="20"/>
    <s v="Enfermedades debidas a protozoarios. (B50-B64)"/>
    <n v="685"/>
    <n v="4.5999999999999999E-3"/>
  </r>
  <r>
    <x v="49"/>
    <x v="1"/>
    <n v="21"/>
    <s v="Íleo paralitico y obstrucción intestinal, sin hernia (K56)"/>
    <n v="637"/>
    <n v="4.1999999999999997E-3"/>
  </r>
  <r>
    <x v="50"/>
    <x v="1"/>
    <n v="22"/>
    <s v="Trastornos de la vesícula biliar, de las vías biliares y del páncreas. (K80-K87)"/>
    <n v="538"/>
    <n v="3.5999999999999999E-3"/>
  </r>
  <r>
    <x v="51"/>
    <x v="1"/>
    <n v="23"/>
    <s v="Enfermedades del esófago, del estómago y del duodeno. (K20-K31)"/>
    <n v="524"/>
    <n v="3.5000000000000001E-3"/>
  </r>
  <r>
    <x v="52"/>
    <x v="1"/>
    <n v="24"/>
    <s v="Enfermedad de Alzheimer (G30)"/>
    <n v="515"/>
    <n v="3.3999999999999998E-3"/>
  </r>
  <r>
    <x v="53"/>
    <x v="1"/>
    <n v="25"/>
    <s v="Trastornos episódicos y paroxísticos. (G40-G47)"/>
    <n v="502"/>
    <n v="3.3E-3"/>
  </r>
  <r>
    <x v="54"/>
    <x v="1"/>
    <s v="TP25C"/>
    <s v="Total 25 Primeras Causas"/>
    <n v="130925"/>
    <n v="0.87339999999999995"/>
  </r>
  <r>
    <x v="55"/>
    <x v="1"/>
    <s v="Desc"/>
    <s v="Causas de mortalidad mal definidas, desconocidas o sin diagnostico medico tratante. (R95-R99). (2)"/>
    <n v="430"/>
    <n v="2.8999999999999998E-3"/>
  </r>
  <r>
    <x v="56"/>
    <x v="1"/>
    <s v="MV"/>
    <s v="Resto de Muertes Violentas. (Y10-Y34, Y35-Y36). (2)"/>
    <n v="9717"/>
    <n v="6.5100000000000005E-2"/>
  </r>
  <r>
    <x v="57"/>
    <x v="1"/>
    <s v="TC"/>
    <s v="Total Todas las Causas (A00-Y89)"/>
    <n v="149903"/>
    <n v="1"/>
  </r>
  <r>
    <x v="58"/>
    <x v="2"/>
    <n v="1"/>
    <s v="Enfermedades del corazón (I05-I09, I11, I13, I21-I51)"/>
    <n v="30467"/>
    <n v="0.20580000000000001"/>
  </r>
  <r>
    <x v="59"/>
    <x v="2"/>
    <n v="2"/>
    <s v="Cáncer. (C00-C97)"/>
    <n v="22815"/>
    <n v="0.15409999999999999"/>
  </r>
  <r>
    <x v="60"/>
    <x v="2"/>
    <n v="3"/>
    <s v="Enfermedades Cerebrovasculares. (I60-I69)"/>
    <n v="11308"/>
    <n v="7.6399999999999996E-2"/>
  </r>
  <r>
    <x v="61"/>
    <x v="2"/>
    <n v="4"/>
    <s v="Suicidios y Homicidios. (X60-Y09). (2)"/>
    <n v="10671"/>
    <n v="7.2400000000000006E-2"/>
  </r>
  <r>
    <x v="62"/>
    <x v="2"/>
    <n v="5"/>
    <s v="Diabetes. (E10-E14)"/>
    <n v="10528"/>
    <n v="7.1099999999999997E-2"/>
  </r>
  <r>
    <x v="63"/>
    <x v="2"/>
    <n v="6"/>
    <s v="Accidentes de Todo Tipo. (V01-X59). (2)"/>
    <n v="9861"/>
    <n v="6.6900000000000001E-2"/>
  </r>
  <r>
    <x v="64"/>
    <x v="2"/>
    <n v="7"/>
    <s v="Ciertas afecciones originadas en el período perinatal. (P00-P96) (3)"/>
    <n v="5445"/>
    <n v="3.6799999999999999E-2"/>
  </r>
  <r>
    <x v="65"/>
    <x v="2"/>
    <n v="8"/>
    <s v="Enfermedades crónicas de las vías respiratorias inferiores. (J40-J47)"/>
    <n v="4116"/>
    <n v="2.7799999999999998E-2"/>
  </r>
  <r>
    <x v="66"/>
    <x v="2"/>
    <n v="9"/>
    <s v="Influenza y neumonía. (J09-J18)"/>
    <n v="3779"/>
    <n v="2.5499999999999998E-2"/>
  </r>
  <r>
    <x v="67"/>
    <x v="2"/>
    <n v="10"/>
    <s v="Enfermedades del hígado. (K70-K77)"/>
    <n v="2908"/>
    <n v="1.9599999999999999E-2"/>
  </r>
  <r>
    <x v="68"/>
    <x v="2"/>
    <n v="11"/>
    <s v="Anomalías congénitas. (Q00-Q99)"/>
    <n v="2472"/>
    <n v="1.67E-2"/>
  </r>
  <r>
    <x v="69"/>
    <x v="2"/>
    <n v="12"/>
    <s v="Tumores benignos y de comportamiento incierto o desconocido. (D10-D48)"/>
    <n v="2292"/>
    <n v="1.55E-2"/>
  </r>
  <r>
    <x v="70"/>
    <x v="2"/>
    <n v="13"/>
    <s v="Enfermedad por virus de la inmunodeficiencia humana [VIH]. (B20-B24)"/>
    <n v="2161"/>
    <n v="1.46E-2"/>
  </r>
  <r>
    <x v="71"/>
    <x v="2"/>
    <n v="14"/>
    <s v="Nefritis y Nefrosis. (N00-N19, N25-N29)"/>
    <n v="1923"/>
    <n v="1.2999999999999999E-2"/>
  </r>
  <r>
    <x v="72"/>
    <x v="2"/>
    <n v="15"/>
    <s v="Otras enfermedades hipertensivas. (I10, I12)"/>
    <n v="1848"/>
    <n v="1.2500000000000001E-2"/>
  </r>
  <r>
    <x v="73"/>
    <x v="2"/>
    <n v="16"/>
    <s v="Enfermedades infecciosas intestinales. (A00-A09)"/>
    <n v="1010"/>
    <n v="6.7999999999999996E-3"/>
  </r>
  <r>
    <x v="74"/>
    <x v="2"/>
    <n v="17"/>
    <s v="Septicemia. (A40-A41)"/>
    <n v="777"/>
    <n v="5.1999999999999998E-3"/>
  </r>
  <r>
    <x v="75"/>
    <x v="2"/>
    <n v="18"/>
    <s v="Enfermedades debidas a protozoarios. (B50-B64)"/>
    <n v="774"/>
    <n v="5.1999999999999998E-3"/>
  </r>
  <r>
    <x v="76"/>
    <x v="2"/>
    <n v="19"/>
    <s v="Infección aguda no especificada de las vías respiratorias inferiores (J22)"/>
    <n v="758"/>
    <n v="5.1000000000000004E-3"/>
  </r>
  <r>
    <x v="77"/>
    <x v="2"/>
    <n v="20"/>
    <s v="Tuberculosis. (A15-A19, B90)"/>
    <n v="647"/>
    <n v="4.4000000000000003E-3"/>
  </r>
  <r>
    <x v="78"/>
    <x v="2"/>
    <n v="21"/>
    <s v="Íleo paralitico y obstrucción intestinal, sin hernia (K56)"/>
    <n v="596"/>
    <n v="4.0000000000000001E-3"/>
  </r>
  <r>
    <x v="79"/>
    <x v="2"/>
    <n v="22"/>
    <s v="Enfermedades del esófago, del estómago y del duodeno. (K20-K31)"/>
    <n v="544"/>
    <n v="3.7000000000000002E-3"/>
  </r>
  <r>
    <x v="80"/>
    <x v="2"/>
    <n v="23"/>
    <s v="Trastornos episódicos y paroxísticos. (G40-G47)"/>
    <n v="496"/>
    <n v="3.3999999999999998E-3"/>
  </r>
  <r>
    <x v="81"/>
    <x v="2"/>
    <n v="24"/>
    <s v="Trastornos de la vesícula biliar, de las vías biliares y del páncreas. (K80-K87)"/>
    <n v="471"/>
    <n v="3.2000000000000002E-3"/>
  </r>
  <r>
    <x v="82"/>
    <x v="2"/>
    <n v="25"/>
    <s v="Enfermedad de Alzheimer (G30)"/>
    <n v="464"/>
    <n v="3.0999999999999999E-3"/>
  </r>
  <r>
    <x v="83"/>
    <x v="2"/>
    <s v="TP25C"/>
    <s v="Total 25 Primeras Causas"/>
    <n v="129131"/>
    <n v="0.87219999999999998"/>
  </r>
  <r>
    <x v="84"/>
    <x v="2"/>
    <s v="Desc"/>
    <s v="Causas de mortalidad mal definidas, desconocidas o sin diagnostico medico tratante. (R95-R99). (2)"/>
    <n v="518"/>
    <n v="3.5000000000000001E-3"/>
  </r>
  <r>
    <x v="85"/>
    <x v="2"/>
    <s v="MV"/>
    <s v="Resto de Muertes Violentas. (Y10-Y34, Y35-Y36). (2)"/>
    <n v="9549"/>
    <n v="6.4799999999999996E-2"/>
  </r>
  <r>
    <x v="86"/>
    <x v="2"/>
    <s v="TC"/>
    <s v="Total Todas las Causas (A00-Y89)"/>
    <n v="148058"/>
    <n v="1"/>
  </r>
  <r>
    <x v="87"/>
    <x v="3"/>
    <n v="1"/>
    <s v="Enfermedades del corazón (I05-I09, I11, I13, I21-I51)"/>
    <n v="30548"/>
    <n v="0.21360000000000001"/>
  </r>
  <r>
    <x v="88"/>
    <x v="3"/>
    <n v="2"/>
    <s v="Cáncer. (C00-C97)"/>
    <n v="22327"/>
    <n v="0.15609999999999999"/>
  </r>
  <r>
    <x v="89"/>
    <x v="3"/>
    <n v="3"/>
    <s v="Enfermedades Cerebrovasculares. (I60-I69)"/>
    <n v="11052"/>
    <n v="7.7299999999999994E-2"/>
  </r>
  <r>
    <x v="90"/>
    <x v="3"/>
    <n v="4"/>
    <s v="Diabetes. (E10-E14)"/>
    <n v="9854"/>
    <n v="6.8900000000000003E-2"/>
  </r>
  <r>
    <x v="91"/>
    <x v="3"/>
    <n v="5"/>
    <s v="Suicidios y Homicidios. (X60-Y09). (2)"/>
    <n v="9638"/>
    <n v="6.7699999999999996E-2"/>
  </r>
  <r>
    <x v="92"/>
    <x v="3"/>
    <n v="6"/>
    <s v="Accidentes de Todo Tipo. (V01-X59). (2)"/>
    <n v="8970"/>
    <n v="6.3E-2"/>
  </r>
  <r>
    <x v="93"/>
    <x v="3"/>
    <n v="7"/>
    <s v="Ciertas afecciones originadas en el período perinatal. (P00-P96) (3)"/>
    <n v="5530"/>
    <n v="3.8699999999999998E-2"/>
  </r>
  <r>
    <x v="94"/>
    <x v="3"/>
    <n v="8"/>
    <s v="Enfermedades crónicas de las vías respiratorias inferiores. (J40-J47)"/>
    <n v="4104"/>
    <n v="2.87E-2"/>
  </r>
  <r>
    <x v="95"/>
    <x v="3"/>
    <n v="9"/>
    <s v="Influenza y neumonía. (J09-J18)"/>
    <n v="3828"/>
    <n v="2.6800000000000001E-2"/>
  </r>
  <r>
    <x v="96"/>
    <x v="3"/>
    <n v="10"/>
    <s v="Enfermedades del hígado. (K70-K77)"/>
    <n v="2812"/>
    <n v="1.9699999999999999E-2"/>
  </r>
  <r>
    <x v="97"/>
    <x v="3"/>
    <n v="11"/>
    <s v="Anomalías congénitas. (Q00-Q99)"/>
    <n v="2301"/>
    <n v="1.61E-2"/>
  </r>
  <r>
    <x v="98"/>
    <x v="3"/>
    <n v="12"/>
    <s v="Enfermedad por virus de la inmunodeficiencia humana [VIH]. (B20-B24)"/>
    <n v="2166"/>
    <n v="1.5100000000000001E-2"/>
  </r>
  <r>
    <x v="99"/>
    <x v="3"/>
    <n v="13"/>
    <s v="Tumores benignos y de comportamiento incierto o desconocido. (D10-D48)"/>
    <n v="2045"/>
    <n v="1.43E-2"/>
  </r>
  <r>
    <x v="100"/>
    <x v="3"/>
    <n v="14"/>
    <s v="Nefritis y Nefrosis. (N00-N19, N25-N29)"/>
    <n v="1961"/>
    <n v="1.37E-2"/>
  </r>
  <r>
    <x v="101"/>
    <x v="3"/>
    <n v="15"/>
    <s v="Otras enfermedades hipertensivas. (I10, I12)"/>
    <n v="1844"/>
    <n v="1.29E-2"/>
  </r>
  <r>
    <x v="102"/>
    <x v="3"/>
    <n v="16"/>
    <s v="Enfermedades infecciosas intestinales. (A00-A09)"/>
    <n v="1050"/>
    <n v="7.3000000000000001E-3"/>
  </r>
  <r>
    <x v="103"/>
    <x v="3"/>
    <n v="17"/>
    <s v="Septicemia. (A40-A41)"/>
    <n v="953"/>
    <n v="6.7000000000000002E-3"/>
  </r>
  <r>
    <x v="104"/>
    <x v="3"/>
    <n v="18"/>
    <s v="Enfermedades debidas a protozoarios. (B50-B64)"/>
    <n v="844"/>
    <n v="5.8999999999999999E-3"/>
  </r>
  <r>
    <x v="105"/>
    <x v="3"/>
    <n v="19"/>
    <s v="Infección aguda no especificada de las vías respiratorias inferiores (J22)"/>
    <n v="600"/>
    <n v="4.1999999999999997E-3"/>
  </r>
  <r>
    <x v="106"/>
    <x v="3"/>
    <n v="20"/>
    <s v="Tuberculosis. (A15-A19, B90)"/>
    <n v="588"/>
    <n v="4.1000000000000003E-3"/>
  </r>
  <r>
    <x v="107"/>
    <x v="3"/>
    <n v="21"/>
    <s v="Íleo paralitico y obstrucción intestinal, sin hernia (K56)"/>
    <n v="587"/>
    <n v="4.1000000000000003E-3"/>
  </r>
  <r>
    <x v="108"/>
    <x v="3"/>
    <n v="22"/>
    <s v="Enfermedades del esófago, del estómago y del duodeno. (K20-K31)"/>
    <n v="542"/>
    <n v="3.8E-3"/>
  </r>
  <r>
    <x v="109"/>
    <x v="3"/>
    <n v="23"/>
    <s v="Deficiencias de Nutrición. (E40-E64)"/>
    <n v="531"/>
    <n v="3.7000000000000002E-3"/>
  </r>
  <r>
    <x v="110"/>
    <x v="3"/>
    <n v="24"/>
    <s v="Trastornos de la vesícula biliar, de las vías biliares y del páncreas. (K80-K87)"/>
    <n v="508"/>
    <n v="3.5999999999999999E-3"/>
  </r>
  <r>
    <x v="111"/>
    <x v="3"/>
    <n v="25"/>
    <s v="Enfermedad de Alzheimer (G30)"/>
    <n v="487"/>
    <n v="3.3999999999999998E-3"/>
  </r>
  <r>
    <x v="112"/>
    <x v="3"/>
    <s v="TP25C"/>
    <s v="Total 25 Primeras Causas"/>
    <n v="125670"/>
    <n v="0.87870000000000004"/>
  </r>
  <r>
    <x v="113"/>
    <x v="3"/>
    <s v="Desc"/>
    <s v="Causas de mortalidad mal definidas, desconocidas o sin diagnostico medico tratante. (R95-R99). (2)"/>
    <n v="483"/>
    <n v="3.3999999999999998E-3"/>
  </r>
  <r>
    <x v="114"/>
    <x v="3"/>
    <s v="MV"/>
    <s v="Resto de Muertes Violentas. (Y10-Y34, Y35-Y36). (2)"/>
    <n v="8522"/>
    <n v="5.9900000000000002E-2"/>
  </r>
  <r>
    <x v="115"/>
    <x v="3"/>
    <s v="TC"/>
    <s v="Total Todas las Causas (A00-Y89)"/>
    <n v="143020"/>
    <n v="1"/>
  </r>
  <r>
    <x v="116"/>
    <x v="4"/>
    <n v="1"/>
    <s v="Enfermedades del corazón (I05-I09, I11, I13, I21-I51)"/>
    <n v="29078"/>
    <n v="0.2099"/>
  </r>
  <r>
    <x v="117"/>
    <x v="4"/>
    <n v="2"/>
    <s v="Cáncer. (C00-C97)"/>
    <n v="21185"/>
    <n v="0.153"/>
  </r>
  <r>
    <x v="118"/>
    <x v="4"/>
    <n v="3"/>
    <s v="Enfermedades Cerebrovasculares. (I60-I69)"/>
    <n v="10642"/>
    <n v="7.6799999999999993E-2"/>
  </r>
  <r>
    <x v="119"/>
    <x v="4"/>
    <n v="4"/>
    <s v="Suicidios y Homicidios. (X60-Y09). (2)"/>
    <n v="9817"/>
    <n v="7.1199999999999999E-2"/>
  </r>
  <r>
    <x v="120"/>
    <x v="4"/>
    <n v="5"/>
    <s v="Diabetes. (E10-E14)"/>
    <n v="9537"/>
    <n v="6.8900000000000003E-2"/>
  </r>
  <r>
    <x v="121"/>
    <x v="4"/>
    <n v="6"/>
    <s v="Accidentes de Todo Tipo. (V01-X59). (2)"/>
    <n v="9155"/>
    <n v="6.6400000000000001E-2"/>
  </r>
  <r>
    <x v="122"/>
    <x v="4"/>
    <n v="7"/>
    <s v="Ciertas afecciones originadas en el período perinatal. (P00-P96) (3)"/>
    <n v="5427"/>
    <n v="3.9199999999999999E-2"/>
  </r>
  <r>
    <x v="123"/>
    <x v="4"/>
    <n v="8"/>
    <s v="Enfermedades crónicas de las vías respiratorias inferiores. (J40-J47)"/>
    <n v="3761"/>
    <n v="2.7199999999999998E-2"/>
  </r>
  <r>
    <x v="124"/>
    <x v="4"/>
    <n v="9"/>
    <s v="Influenza y neumonía. (J09-J18)"/>
    <n v="3593"/>
    <n v="2.5899999999999999E-2"/>
  </r>
  <r>
    <x v="125"/>
    <x v="4"/>
    <n v="10"/>
    <s v="Enfermedades del hígado. (K70-K77)"/>
    <n v="2692"/>
    <n v="1.9400000000000001E-2"/>
  </r>
  <r>
    <x v="126"/>
    <x v="4"/>
    <n v="11"/>
    <s v="Anomalías congénitas. (Q00-Q99)"/>
    <n v="2392"/>
    <n v="1.7299999999999999E-2"/>
  </r>
  <r>
    <x v="127"/>
    <x v="4"/>
    <n v="12"/>
    <s v="Nefritis y Nefrosis. (N00-N19, N25-N29)"/>
    <n v="2193"/>
    <n v="1.5800000000000002E-2"/>
  </r>
  <r>
    <x v="128"/>
    <x v="4"/>
    <n v="13"/>
    <s v="Tumores benignos y de comportamiento incierto o desconocido. (D10-D48)"/>
    <n v="1981"/>
    <n v="1.43E-2"/>
  </r>
  <r>
    <x v="129"/>
    <x v="4"/>
    <n v="14"/>
    <s v="Enfermedad por virus de la inmunodeficiencia humana [VIH]. (B20-B24)"/>
    <n v="1830"/>
    <n v="1.32E-2"/>
  </r>
  <r>
    <x v="130"/>
    <x v="4"/>
    <n v="15"/>
    <s v="Otras enfermedades hipertensivas. (I10, I12)"/>
    <n v="1661"/>
    <n v="1.2E-2"/>
  </r>
  <r>
    <x v="131"/>
    <x v="4"/>
    <n v="16"/>
    <s v="Enfermedades infecciosas intestinales. (A00-A09)"/>
    <n v="1088"/>
    <n v="7.9000000000000008E-3"/>
  </r>
  <r>
    <x v="132"/>
    <x v="4"/>
    <n v="17"/>
    <s v="Septicemia. (A40-A41)"/>
    <n v="891"/>
    <n v="6.4000000000000003E-3"/>
  </r>
  <r>
    <x v="133"/>
    <x v="4"/>
    <n v="18"/>
    <s v="Enfermedades debidas a protozoarios. (B50-B64)"/>
    <n v="778"/>
    <n v="5.5999999999999999E-3"/>
  </r>
  <r>
    <x v="134"/>
    <x v="4"/>
    <n v="19"/>
    <s v="Tuberculosis. (A15-A19, B90)"/>
    <n v="697"/>
    <n v="5.0000000000000001E-3"/>
  </r>
  <r>
    <x v="135"/>
    <x v="4"/>
    <n v="20"/>
    <s v="Infección aguda no especificada de las vías respiratorias inferiores (J22)"/>
    <n v="589"/>
    <n v="4.3E-3"/>
  </r>
  <r>
    <x v="136"/>
    <x v="4"/>
    <n v="21"/>
    <s v="Deficiencias de Nutrición. (E40-E64)"/>
    <n v="577"/>
    <n v="4.1999999999999997E-3"/>
  </r>
  <r>
    <x v="137"/>
    <x v="4"/>
    <n v="22"/>
    <s v="Íleo paralitico y obstrucción intestinal, sin hernia (K56)"/>
    <n v="535"/>
    <n v="3.8999999999999998E-3"/>
  </r>
  <r>
    <x v="138"/>
    <x v="4"/>
    <n v="23"/>
    <s v="Enfermedades del esófago, del estómago y del duodeno. (K20-K31)"/>
    <n v="523"/>
    <n v="3.8E-3"/>
  </r>
  <r>
    <x v="139"/>
    <x v="4"/>
    <n v="24"/>
    <s v="Trastornos vasculares de los intestinos (K55)"/>
    <n v="459"/>
    <n v="3.3E-3"/>
  </r>
  <r>
    <x v="140"/>
    <x v="4"/>
    <n v="25"/>
    <s v="Trastornos de la vesícula biliar, de las vías biliares y del páncreas. (K80-K87)"/>
    <n v="444"/>
    <n v="3.2000000000000002E-3"/>
  </r>
  <r>
    <x v="141"/>
    <x v="4"/>
    <s v="TP25C"/>
    <s v="Total 25 Primeras Causas"/>
    <n v="121525"/>
    <n v="0.87739999999999996"/>
  </r>
  <r>
    <x v="142"/>
    <x v="4"/>
    <s v="Desc"/>
    <s v="Causas de mortalidad mal definidas, desconocidas o sin diagnostico medico tratante. (R95-R99). (2)"/>
    <n v="486"/>
    <n v="3.5000000000000001E-3"/>
  </r>
  <r>
    <x v="143"/>
    <x v="4"/>
    <s v="MV"/>
    <s v="Resto de Muertes Violentas. (Y10-Y34, Y35-Y36). (2)"/>
    <n v="8312"/>
    <n v="6.0299999999999999E-2"/>
  </r>
  <r>
    <x v="144"/>
    <x v="4"/>
    <s v="TC"/>
    <s v="Total Todas las Causas (A00-Y89)"/>
    <n v="138504"/>
    <n v="1"/>
  </r>
  <r>
    <x v="145"/>
    <x v="5"/>
    <n v="1"/>
    <s v="Enfermedades del corazón (I05-I09, I11, I13, I21-I51)"/>
    <n v="27353"/>
    <n v="0.20300000000000001"/>
  </r>
  <r>
    <x v="146"/>
    <x v="5"/>
    <n v="2"/>
    <s v="Cáncer. (C00-C97)"/>
    <n v="20288"/>
    <n v="0.15060000000000001"/>
  </r>
  <r>
    <x v="147"/>
    <x v="5"/>
    <n v="3"/>
    <s v="Suicidios y Homicidios. (X60-Y09). (2)"/>
    <n v="10342"/>
    <n v="7.7200000000000005E-2"/>
  </r>
  <r>
    <x v="148"/>
    <x v="5"/>
    <n v="4"/>
    <s v="Accidentes de Todo Tipo. (V01-X59). (2)"/>
    <n v="10146"/>
    <n v="7.5700000000000003E-2"/>
  </r>
  <r>
    <x v="149"/>
    <x v="5"/>
    <n v="5"/>
    <s v="Enfermedades Cerebrovasculares. (I60-I69)"/>
    <n v="10034"/>
    <n v="7.4499999999999997E-2"/>
  </r>
  <r>
    <x v="150"/>
    <x v="5"/>
    <n v="6"/>
    <s v="Diabetes. (E10-E14)"/>
    <n v="8822"/>
    <n v="6.5500000000000003E-2"/>
  </r>
  <r>
    <x v="151"/>
    <x v="5"/>
    <n v="7"/>
    <s v="Ciertas afecciones originadas en el período perinatal. (P00-P96) (3)"/>
    <n v="5303"/>
    <n v="3.9399999999999998E-2"/>
  </r>
  <r>
    <x v="152"/>
    <x v="5"/>
    <n v="8"/>
    <s v="Enfermedades crónicas de las vías respiratorias inferiores. (J40-J47)"/>
    <n v="3447"/>
    <n v="2.5600000000000001E-2"/>
  </r>
  <r>
    <x v="153"/>
    <x v="5"/>
    <n v="9"/>
    <s v="Influenza y neumonía. (J09-J18)"/>
    <n v="3376"/>
    <n v="2.5100000000000001E-2"/>
  </r>
  <r>
    <x v="154"/>
    <x v="5"/>
    <n v="10"/>
    <s v="Enfermedades del hígado. (K70-K77)"/>
    <n v="2895"/>
    <n v="2.1499999999999998E-2"/>
  </r>
  <r>
    <x v="155"/>
    <x v="5"/>
    <n v="11"/>
    <s v="Nefritis y Nefrosis. (N00-N19, N25-N29)"/>
    <n v="2231"/>
    <n v="1.66E-2"/>
  </r>
  <r>
    <x v="156"/>
    <x v="5"/>
    <n v="12"/>
    <s v="Anomalías congénitas. (Q00-Q99)"/>
    <n v="2145"/>
    <n v="1.5900000000000001E-2"/>
  </r>
  <r>
    <x v="157"/>
    <x v="5"/>
    <n v="13"/>
    <s v="Tumores benignos y de comportamiento incierto o desconocido. (D10-D48)"/>
    <n v="1810"/>
    <n v="1.34E-2"/>
  </r>
  <r>
    <x v="158"/>
    <x v="5"/>
    <n v="14"/>
    <s v="Enfermedad por virus de la inmunodeficiencia humana [VIH]. (B20-B24)"/>
    <n v="1735"/>
    <n v="1.29E-2"/>
  </r>
  <r>
    <x v="159"/>
    <x v="5"/>
    <n v="15"/>
    <s v="Otras enfermedades hipertensivas. (I10, I12)"/>
    <n v="1683"/>
    <n v="1.2500000000000001E-2"/>
  </r>
  <r>
    <x v="160"/>
    <x v="5"/>
    <n v="16"/>
    <s v="Enfermedades infecciosas intestinales. (A00-A09)"/>
    <n v="993"/>
    <n v="7.4000000000000003E-3"/>
  </r>
  <r>
    <x v="161"/>
    <x v="5"/>
    <n v="17"/>
    <s v="Septicemia. (A40-A41)"/>
    <n v="976"/>
    <n v="7.1999999999999998E-3"/>
  </r>
  <r>
    <x v="162"/>
    <x v="5"/>
    <n v="18"/>
    <s v="Enfermedades debidas a protozoarios. (B50-B64)"/>
    <n v="720"/>
    <n v="5.3E-3"/>
  </r>
  <r>
    <x v="163"/>
    <x v="5"/>
    <n v="19"/>
    <s v="Tuberculosis. (A15-A19, B90)"/>
    <n v="582"/>
    <n v="4.3E-3"/>
  </r>
  <r>
    <x v="164"/>
    <x v="5"/>
    <n v="20"/>
    <s v="Enfermedades del esófago, del estómago y del duodeno. (K20-K31)"/>
    <n v="543"/>
    <n v="4.0000000000000001E-3"/>
  </r>
  <r>
    <x v="165"/>
    <x v="5"/>
    <n v="21"/>
    <s v="Deficiencias de Nutrición. (E40-E64)"/>
    <n v="500"/>
    <n v="3.7000000000000002E-3"/>
  </r>
  <r>
    <x v="166"/>
    <x v="5"/>
    <n v="22"/>
    <s v="Íleo paralitico y obstrucción intestinal, sin hernia (K56)"/>
    <n v="487"/>
    <n v="3.5999999999999999E-3"/>
  </r>
  <r>
    <x v="167"/>
    <x v="5"/>
    <n v="23"/>
    <s v="Trastornos episódicos y paroxísticos. (G40-G47)"/>
    <n v="453"/>
    <n v="3.3999999999999998E-3"/>
  </r>
  <r>
    <x v="168"/>
    <x v="5"/>
    <n v="24"/>
    <s v="Infección aguda no especificada de las vías respiratorias inferiores (J22)"/>
    <n v="452"/>
    <n v="3.3999999999999998E-3"/>
  </r>
  <r>
    <x v="169"/>
    <x v="5"/>
    <n v="25"/>
    <s v="Trastornos de la vesícula biliar, de las vías biliares y del páncreas. (K80-K87)"/>
    <n v="423"/>
    <n v="3.0999999999999999E-3"/>
  </r>
  <r>
    <x v="170"/>
    <x v="5"/>
    <s v="TP25C"/>
    <s v="Total 25 Primeras Causas"/>
    <n v="117739"/>
    <n v="0.87390000000000001"/>
  </r>
  <r>
    <x v="171"/>
    <x v="5"/>
    <s v="Desc"/>
    <s v="Causas de mortalidad mal definidas, desconocidas o sin diagnostico medico tratante. (R95-R99). (2)"/>
    <n v="529"/>
    <n v="3.8999999999999998E-3"/>
  </r>
  <r>
    <x v="172"/>
    <x v="5"/>
    <s v="MV"/>
    <s v="Resto de Muertes Violentas. (Y10-Y34, Y35-Y36). (2)"/>
    <n v="8771"/>
    <n v="6.5500000000000003E-2"/>
  </r>
  <r>
    <x v="173"/>
    <x v="5"/>
    <s v="TC"/>
    <s v="Total Todas las Causas (A00-Y89)"/>
    <n v="134731"/>
    <n v="1"/>
  </r>
  <r>
    <x v="174"/>
    <x v="6"/>
    <n v="1"/>
    <s v="Enfermedades del corazón (I05-I09, I11, I13, I21-I51)"/>
    <n v="27542"/>
    <n v="0.20610000000000001"/>
  </r>
  <r>
    <x v="175"/>
    <x v="6"/>
    <n v="2"/>
    <s v="Cáncer. (C00-C97)"/>
    <n v="19796"/>
    <n v="0.14810000000000001"/>
  </r>
  <r>
    <x v="176"/>
    <x v="6"/>
    <n v="3"/>
    <s v="Suicidios y Homicidios. (X60-Y09). (2)"/>
    <n v="11357"/>
    <n v="8.5400000000000004E-2"/>
  </r>
  <r>
    <x v="177"/>
    <x v="6"/>
    <n v="4"/>
    <s v="Accidentes de Todo Tipo. (V01-X59). (2)"/>
    <n v="10885"/>
    <n v="8.1900000000000001E-2"/>
  </r>
  <r>
    <x v="178"/>
    <x v="6"/>
    <n v="5"/>
    <s v="Enfermedades Cerebrovasculares. (I60-I69)"/>
    <n v="10007"/>
    <n v="7.4899999999999994E-2"/>
  </r>
  <r>
    <x v="179"/>
    <x v="6"/>
    <n v="6"/>
    <s v="Diabetes. (E10-E14)"/>
    <n v="8387"/>
    <n v="6.2799999999999995E-2"/>
  </r>
  <r>
    <x v="180"/>
    <x v="6"/>
    <n v="7"/>
    <s v="Ciertas afecciones originadas en el período perinatal. (P00-P96) (3)"/>
    <n v="5027"/>
    <n v="3.7600000000000001E-2"/>
  </r>
  <r>
    <x v="181"/>
    <x v="6"/>
    <n v="8"/>
    <s v="Enfermedades crónicas de las vías respiratorias inferiores. (J40-J47)"/>
    <n v="3585"/>
    <n v="2.6800000000000001E-2"/>
  </r>
  <r>
    <x v="182"/>
    <x v="6"/>
    <n v="9"/>
    <s v="Influenza y neumonía. (J09-J18)"/>
    <n v="3136"/>
    <n v="2.35E-2"/>
  </r>
  <r>
    <x v="183"/>
    <x v="6"/>
    <n v="10"/>
    <s v="Enfermedades del hígado. (K70-K77)"/>
    <n v="2869"/>
    <n v="2.1499999999999998E-2"/>
  </r>
  <r>
    <x v="184"/>
    <x v="6"/>
    <n v="11"/>
    <s v="Anomalías congénitas. (Q00-Q99)"/>
    <n v="2158"/>
    <n v="1.61E-2"/>
  </r>
  <r>
    <x v="185"/>
    <x v="6"/>
    <n v="12"/>
    <s v="Nefritis y Nefrosis. (N00-N19, N25-N29)"/>
    <n v="1923"/>
    <n v="1.44E-2"/>
  </r>
  <r>
    <x v="186"/>
    <x v="6"/>
    <n v="13"/>
    <s v="Tumores benignos y de comportamiento incierto o desconocido. (D10-D48)"/>
    <n v="1714"/>
    <n v="1.2800000000000001E-2"/>
  </r>
  <r>
    <x v="187"/>
    <x v="6"/>
    <n v="14"/>
    <s v="Otras enfermedades hipertensivas. (I10, I12)"/>
    <n v="1637"/>
    <n v="1.2200000000000001E-2"/>
  </r>
  <r>
    <x v="188"/>
    <x v="6"/>
    <n v="15"/>
    <s v="Enfermedad por virus de la inmunodeficiencia humana [VIH]. (B20-B24)"/>
    <n v="1632"/>
    <n v="1.2200000000000001E-2"/>
  </r>
  <r>
    <x v="189"/>
    <x v="6"/>
    <n v="16"/>
    <s v="Enfermedades infecciosas intestinales. (A00-A09)"/>
    <n v="1100"/>
    <n v="8.2000000000000007E-3"/>
  </r>
  <r>
    <x v="190"/>
    <x v="6"/>
    <n v="17"/>
    <s v="Otras septicemias (A41)"/>
    <n v="918"/>
    <n v="6.8999999999999999E-3"/>
  </r>
  <r>
    <x v="191"/>
    <x v="6"/>
    <n v="18"/>
    <s v="Enfermedades debidas a protozoarios. (B50-B64)"/>
    <n v="782"/>
    <n v="5.8999999999999999E-3"/>
  </r>
  <r>
    <x v="192"/>
    <x v="6"/>
    <n v="19"/>
    <s v="Tuberculosis. (A15-A19, B90)"/>
    <n v="660"/>
    <n v="4.8999999999999998E-3"/>
  </r>
  <r>
    <x v="193"/>
    <x v="6"/>
    <n v="20"/>
    <s v="Enfermedades del esófago, del estómago y del duodeno. (K20-K31)"/>
    <n v="585"/>
    <n v="4.4000000000000003E-3"/>
  </r>
  <r>
    <x v="194"/>
    <x v="6"/>
    <n v="21"/>
    <s v="Deficiencias de Nutrición. (E40-E64)"/>
    <n v="570"/>
    <n v="4.3E-3"/>
  </r>
  <r>
    <x v="195"/>
    <x v="6"/>
    <n v="22"/>
    <s v="Infección aguda no especificada de las vías respiratorias inferiores (J22)"/>
    <n v="498"/>
    <n v="3.7000000000000002E-3"/>
  </r>
  <r>
    <x v="196"/>
    <x v="6"/>
    <n v="23"/>
    <s v="Trastornos de la vesícula biliar, de las vías biliares y del páncreas. (K80-K87)"/>
    <n v="495"/>
    <n v="3.7000000000000002E-3"/>
  </r>
  <r>
    <x v="197"/>
    <x v="6"/>
    <n v="24"/>
    <s v="Trastornos episódicos y paroxísticos. (G40-G47)"/>
    <n v="446"/>
    <n v="3.3E-3"/>
  </r>
  <r>
    <x v="198"/>
    <x v="6"/>
    <n v="25"/>
    <s v="Íleo paralitico y obstrucción intestinal, sin hernia (K56)"/>
    <n v="428"/>
    <n v="3.2000000000000002E-3"/>
  </r>
  <r>
    <x v="199"/>
    <x v="6"/>
    <s v="TP25C"/>
    <s v="Total 25 Primeras Causas"/>
    <n v="118137"/>
    <n v="0.88390000000000002"/>
  </r>
  <r>
    <x v="200"/>
    <x v="6"/>
    <s v="Desc"/>
    <s v="Causas de mortalidad mal definidas, desconocidas o sin diagnostico medico tratante. (R95-R99). (2)"/>
    <n v="530"/>
    <n v="4.0000000000000001E-3"/>
  </r>
  <r>
    <x v="201"/>
    <x v="6"/>
    <s v="MV"/>
    <s v="Resto de Muertes Violentas. (Y10-Y34, Y35-Y36). (2)"/>
    <n v="7637"/>
    <n v="5.74E-2"/>
  </r>
  <r>
    <x v="202"/>
    <x v="6"/>
    <s v="TC"/>
    <s v="Total Todas las Causas (A00-Y89)"/>
    <n v="133651"/>
    <n v="1"/>
  </r>
  <r>
    <x v="203"/>
    <x v="7"/>
    <n v="1"/>
    <s v="Enfermedades del corazón (I05-I09, I11, I13, I21-I51)"/>
    <n v="25600"/>
    <n v="0.20180000000000001"/>
  </r>
  <r>
    <x v="204"/>
    <x v="7"/>
    <n v="2"/>
    <s v="Cáncer. (C00-C97)"/>
    <n v="19254"/>
    <n v="0.1517"/>
  </r>
  <r>
    <x v="205"/>
    <x v="7"/>
    <n v="3"/>
    <s v="Accidentes de Todo Tipo. (V01-X59). (2)"/>
    <n v="10465"/>
    <n v="8.2500000000000004E-2"/>
  </r>
  <r>
    <x v="206"/>
    <x v="7"/>
    <n v="4"/>
    <s v="Suicidios y Homicidios. (X60-Y09). (2)"/>
    <n v="10366"/>
    <n v="8.1699999999999995E-2"/>
  </r>
  <r>
    <x v="207"/>
    <x v="7"/>
    <n v="5"/>
    <s v="Enfermedades Cerebrovasculares. (I60-I69)"/>
    <n v="9699"/>
    <n v="7.6399999999999996E-2"/>
  </r>
  <r>
    <x v="208"/>
    <x v="7"/>
    <n v="6"/>
    <s v="Diabetes. (E10-E14)"/>
    <n v="7829"/>
    <n v="6.1699999999999998E-2"/>
  </r>
  <r>
    <x v="209"/>
    <x v="7"/>
    <n v="7"/>
    <s v="Ciertas afecciones originadas en el período perinatal. (P00-P96) (3)"/>
    <n v="4979"/>
    <n v="3.9199999999999999E-2"/>
  </r>
  <r>
    <x v="210"/>
    <x v="7"/>
    <n v="8"/>
    <s v="Enfermedades crónicas de las vías respiratorias inferiores. (J40-J47)"/>
    <n v="3442"/>
    <n v="2.7099999999999999E-2"/>
  </r>
  <r>
    <x v="211"/>
    <x v="7"/>
    <n v="9"/>
    <s v="Influenza y neumonía. (J09-J18)"/>
    <n v="3065"/>
    <n v="2.4199999999999999E-2"/>
  </r>
  <r>
    <x v="212"/>
    <x v="7"/>
    <n v="10"/>
    <s v="Enfermedades del hígado. (K70-K77)"/>
    <n v="2785"/>
    <n v="2.1899999999999999E-2"/>
  </r>
  <r>
    <x v="213"/>
    <x v="7"/>
    <n v="11"/>
    <s v="Anomalías congénitas. (Q00-Q99)"/>
    <n v="2210"/>
    <n v="1.7399999999999999E-2"/>
  </r>
  <r>
    <x v="214"/>
    <x v="7"/>
    <n v="12"/>
    <s v="Enfermedad por virus de la inmunodeficiencia humana [VIH]. (B20-B24)"/>
    <n v="1670"/>
    <n v="1.32E-2"/>
  </r>
  <r>
    <x v="215"/>
    <x v="7"/>
    <n v="13"/>
    <s v="Nefritis y Nefrosis. (N00-N19, N25-N29)"/>
    <n v="1610"/>
    <n v="1.2699999999999999E-2"/>
  </r>
  <r>
    <x v="216"/>
    <x v="7"/>
    <n v="14"/>
    <s v="Tumores benignos y de comportamiento incierto o desconocido. (D10-D48)"/>
    <n v="1585"/>
    <n v="1.2500000000000001E-2"/>
  </r>
  <r>
    <x v="217"/>
    <x v="7"/>
    <n v="15"/>
    <s v="Enfermedades infecciosas intestinales. (A00-A09)"/>
    <n v="1294"/>
    <n v="1.0200000000000001E-2"/>
  </r>
  <r>
    <x v="218"/>
    <x v="7"/>
    <n v="16"/>
    <s v="Septicemia. (A40-A41)"/>
    <n v="881"/>
    <n v="6.8999999999999999E-3"/>
  </r>
  <r>
    <x v="219"/>
    <x v="7"/>
    <n v="17"/>
    <s v="Enfermedades debidas a protozoarios. (B50-B64)"/>
    <n v="722"/>
    <n v="5.7000000000000002E-3"/>
  </r>
  <r>
    <x v="220"/>
    <x v="7"/>
    <n v="18"/>
    <s v="Tuberculosis. (A15-A19, B90)"/>
    <n v="692"/>
    <n v="5.4999999999999997E-3"/>
  </r>
  <r>
    <x v="221"/>
    <x v="7"/>
    <n v="19"/>
    <s v="Enfermedades del esófago, del estómago y del duodeno. (K20-K31)"/>
    <n v="625"/>
    <n v="4.8999999999999998E-3"/>
  </r>
  <r>
    <x v="222"/>
    <x v="7"/>
    <n v="20"/>
    <s v="Deficiencias de Nutrición. (E40-E64)"/>
    <n v="612"/>
    <n v="4.7999999999999996E-3"/>
  </r>
  <r>
    <x v="223"/>
    <x v="7"/>
    <n v="21"/>
    <s v="Trastornos de la vesícula biliar, de las vías biliares y del páncreas. (K80-K87)"/>
    <n v="413"/>
    <n v="3.3E-3"/>
  </r>
  <r>
    <x v="224"/>
    <x v="7"/>
    <n v="22"/>
    <s v="Trastornos episódicos y paroxísticos. (G40-G47)"/>
    <n v="393"/>
    <n v="3.0999999999999999E-3"/>
  </r>
  <r>
    <x v="225"/>
    <x v="7"/>
    <n v="23"/>
    <s v="Infección aguda no especificada de las vías respiratorias inferiores (J22)"/>
    <n v="392"/>
    <n v="3.0999999999999999E-3"/>
  </r>
  <r>
    <x v="226"/>
    <x v="7"/>
    <n v="24"/>
    <s v="Íleo paralitico y obstrucción intestinal, sin hernia (K56)"/>
    <n v="387"/>
    <n v="3.0000000000000001E-3"/>
  </r>
  <r>
    <x v="227"/>
    <x v="7"/>
    <n v="25"/>
    <s v="Trastornos vasculares de los intestinos (K55)"/>
    <n v="352"/>
    <n v="2.8E-3"/>
  </r>
  <r>
    <x v="228"/>
    <x v="7"/>
    <s v="TP25C"/>
    <s v="Total 25 Primeras Causas"/>
    <n v="111322"/>
    <n v="0.87729999999999997"/>
  </r>
  <r>
    <x v="229"/>
    <x v="7"/>
    <s v="Desc"/>
    <s v="Causas de mortalidad mal definidas, desconocidas o sin diagnostico medico tratante. (R95-R99). (2)"/>
    <n v="576"/>
    <n v="4.4999999999999997E-3"/>
  </r>
  <r>
    <x v="230"/>
    <x v="7"/>
    <s v="MV"/>
    <s v="Resto de Muertes Violentas. (Y10-Y34, Y35-Y36). (2)"/>
    <n v="7116"/>
    <n v="5.6099999999999997E-2"/>
  </r>
  <r>
    <x v="231"/>
    <x v="7"/>
    <s v="TC"/>
    <s v="Total Todas las Causas (A00-Y89)"/>
    <n v="127463"/>
    <n v="1"/>
  </r>
  <r>
    <x v="232"/>
    <x v="8"/>
    <n v="1"/>
    <s v="Enfermedades del corazón (I05-I09, I11, I13, I21-I51)"/>
    <n v="24977"/>
    <n v="0.20630000000000001"/>
  </r>
  <r>
    <x v="233"/>
    <x v="8"/>
    <n v="2"/>
    <s v="Cáncer. (C00-C97)"/>
    <n v="18543"/>
    <n v="0.1532"/>
  </r>
  <r>
    <x v="234"/>
    <x v="8"/>
    <n v="3"/>
    <s v="Suicidios y Homicidios. (X60-Y09). (2)"/>
    <n v="9748"/>
    <n v="8.0500000000000002E-2"/>
  </r>
  <r>
    <x v="235"/>
    <x v="8"/>
    <n v="4"/>
    <s v="Enfermedades Cerebrovasculares. (I60-I69)"/>
    <n v="9391"/>
    <n v="7.7600000000000002E-2"/>
  </r>
  <r>
    <x v="236"/>
    <x v="8"/>
    <n v="5"/>
    <s v="Accidentes de Todo Tipo. (V01-X59). (2)"/>
    <n v="9353"/>
    <n v="7.6899999999999996E-2"/>
  </r>
  <r>
    <x v="237"/>
    <x v="8"/>
    <n v="6"/>
    <s v="Diabetes. (E10-E14)"/>
    <n v="7181"/>
    <n v="5.91E-2"/>
  </r>
  <r>
    <x v="238"/>
    <x v="8"/>
    <n v="7"/>
    <s v="Ciertas afecciones originadas en el período perinatal. (P00-P96) (3)"/>
    <n v="4959"/>
    <n v="4.1000000000000002E-2"/>
  </r>
  <r>
    <x v="239"/>
    <x v="8"/>
    <n v="8"/>
    <s v="Enfermedades crónicas de las vías respiratorias inferiores. (J40-J47)"/>
    <n v="3225"/>
    <n v="2.6599999999999999E-2"/>
  </r>
  <r>
    <x v="240"/>
    <x v="8"/>
    <n v="9"/>
    <s v="Influenza y neumonía. (J10-J18)"/>
    <n v="2856"/>
    <n v="2.3599999999999999E-2"/>
  </r>
  <r>
    <x v="241"/>
    <x v="8"/>
    <n v="10"/>
    <s v="Enfermedades del hígado. (K70-K77)"/>
    <n v="2483"/>
    <n v="2.0500000000000001E-2"/>
  </r>
  <r>
    <x v="242"/>
    <x v="8"/>
    <n v="11"/>
    <s v="Anomalías congénitas. (Q00-Q99)"/>
    <n v="2212"/>
    <n v="1.83E-2"/>
  </r>
  <r>
    <x v="243"/>
    <x v="8"/>
    <n v="12"/>
    <s v="Enfermedad por virus de la inmunodeficiencia humana [VIH]. (B20-B24)"/>
    <n v="1567"/>
    <n v="1.29E-2"/>
  </r>
  <r>
    <x v="244"/>
    <x v="8"/>
    <n v="13"/>
    <s v="Tumores benignos y de comportamiento incierto o desconocido. (D10-D48)"/>
    <n v="1519"/>
    <n v="1.2500000000000001E-2"/>
  </r>
  <r>
    <x v="245"/>
    <x v="8"/>
    <n v="14"/>
    <s v="Nefritis y Nefrosis. (N00-N19, N25-N29)"/>
    <n v="1480"/>
    <n v="1.2200000000000001E-2"/>
  </r>
  <r>
    <x v="246"/>
    <x v="8"/>
    <n v="15"/>
    <s v="Enfermedades infecciosas intestinales. (A00-A09)"/>
    <n v="1450"/>
    <n v="1.2E-2"/>
  </r>
  <r>
    <x v="247"/>
    <x v="8"/>
    <n v="16"/>
    <s v="Enfermedades debidas a protozoarios. (B50-B64)"/>
    <n v="707"/>
    <n v="5.7999999999999996E-3"/>
  </r>
  <r>
    <x v="248"/>
    <x v="8"/>
    <n v="17"/>
    <s v="Septicemia. (A40-A41)"/>
    <n v="705"/>
    <n v="5.7999999999999996E-3"/>
  </r>
  <r>
    <x v="249"/>
    <x v="8"/>
    <n v="18"/>
    <s v="Tuberculosis. (A15-A19, B90)"/>
    <n v="674"/>
    <n v="5.5999999999999999E-3"/>
  </r>
  <r>
    <x v="250"/>
    <x v="8"/>
    <n v="19"/>
    <s v="Deficiencias de Nutrición. (E40-E64)"/>
    <n v="627"/>
    <n v="5.1999999999999998E-3"/>
  </r>
  <r>
    <x v="251"/>
    <x v="8"/>
    <n v="20"/>
    <s v="Enfermedades del esófago, del estómago y del duodeno. (K20-K31)"/>
    <n v="592"/>
    <n v="4.8999999999999998E-3"/>
  </r>
  <r>
    <x v="252"/>
    <x v="8"/>
    <n v="21"/>
    <s v="Infección aguda no especificada de las vías respiratorias inferiores (J22)"/>
    <n v="460"/>
    <n v="3.8E-3"/>
  </r>
  <r>
    <x v="253"/>
    <x v="8"/>
    <n v="22"/>
    <s v="Trastornos vasculares de los intestinos (K55)"/>
    <n v="429"/>
    <n v="3.5000000000000001E-3"/>
  </r>
  <r>
    <x v="254"/>
    <x v="8"/>
    <n v="23"/>
    <s v="Trastornos de la vesícula biliar, de las vías biliares y del páncreas. (K80-K87)"/>
    <n v="418"/>
    <n v="3.5000000000000001E-3"/>
  </r>
  <r>
    <x v="255"/>
    <x v="8"/>
    <n v="24"/>
    <s v="Trastornos episódicos y paroxísticos. (G40-G47)"/>
    <n v="410"/>
    <n v="3.3999999999999998E-3"/>
  </r>
  <r>
    <x v="256"/>
    <x v="8"/>
    <n v="25"/>
    <s v="Íleo paralitico y obstrucción intestinal, sin hernia (K56)"/>
    <n v="368"/>
    <n v="3.0000000000000001E-3"/>
  </r>
  <r>
    <x v="257"/>
    <x v="8"/>
    <s v="TP25C"/>
    <s v="Total 25 Primeras Causas"/>
    <n v="106334"/>
    <n v="0.87839999999999996"/>
  </r>
  <r>
    <x v="258"/>
    <x v="8"/>
    <s v="Desc"/>
    <s v="Causas de mortalidad mal definidas, desconocidas o sin diagnostico medico tratante. (R95-R99). (2)"/>
    <n v="526"/>
    <n v="4.3E-3"/>
  </r>
  <r>
    <x v="259"/>
    <x v="8"/>
    <s v="MV"/>
    <s v="Resto de Muertes Violentas. (Y10-Y34, Y35-Y36). (2)"/>
    <n v="6214"/>
    <n v="5.11E-2"/>
  </r>
  <r>
    <x v="260"/>
    <x v="8"/>
    <s v="TC"/>
    <s v="Total Todas las Causas (A00-Y89)"/>
    <n v="121586"/>
    <n v="1"/>
  </r>
  <r>
    <x v="261"/>
    <x v="9"/>
    <n v="1"/>
    <s v="Enfermedades del corazón (I05-I09, I11, I13, I21-I51)"/>
    <n v="24353"/>
    <n v="0.20730000000000001"/>
  </r>
  <r>
    <x v="262"/>
    <x v="9"/>
    <n v="2"/>
    <s v="Cáncer. (C00 - C97)"/>
    <n v="18155"/>
    <n v="0.1545"/>
  </r>
  <r>
    <x v="263"/>
    <x v="9"/>
    <n v="3"/>
    <s v="Enfermedades Cerebrovasculares. (I60-I69)"/>
    <n v="8695"/>
    <n v="7.3999999999999996E-2"/>
  </r>
  <r>
    <x v="264"/>
    <x v="9"/>
    <n v="4"/>
    <s v="Suicidios y Homicidios. (X60-Y09). (2)"/>
    <n v="8614"/>
    <n v="7.3099999999999998E-2"/>
  </r>
  <r>
    <x v="265"/>
    <x v="9"/>
    <n v="5"/>
    <s v="Accidentes de Todo Tipo. (V01 - X59). (2)"/>
    <n v="8471"/>
    <n v="7.1900000000000006E-2"/>
  </r>
  <r>
    <x v="266"/>
    <x v="9"/>
    <n v="6"/>
    <s v="Diabetes. (E10-E14)"/>
    <n v="7312"/>
    <n v="6.5199999999999994E-2"/>
  </r>
  <r>
    <x v="267"/>
    <x v="9"/>
    <n v="7"/>
    <s v="Ciertas afecciones originadas en el período perinatal. (P00-P96) (3)"/>
    <n v="5457"/>
    <n v="4.6399999999999997E-2"/>
  </r>
  <r>
    <x v="268"/>
    <x v="9"/>
    <n v="8"/>
    <s v="Enfermedades crónicas de las vías respiratorias inferiores. (J40-J47)"/>
    <n v="3397"/>
    <n v="2.8899999999999999E-2"/>
  </r>
  <r>
    <x v="269"/>
    <x v="9"/>
    <n v="9"/>
    <s v="Influenza y neumonía. (J10-J18)"/>
    <n v="2659"/>
    <n v="2.2599999999999999E-2"/>
  </r>
  <r>
    <x v="270"/>
    <x v="9"/>
    <n v="10"/>
    <s v="Enfermedades del hígado. (K70-K77)"/>
    <n v="2449"/>
    <n v="2.0799999999999999E-2"/>
  </r>
  <r>
    <x v="271"/>
    <x v="9"/>
    <n v="11"/>
    <s v="Anomalías congénitas. (Q00-Q99)"/>
    <n v="2184"/>
    <n v="1.8599999999999998E-2"/>
  </r>
  <r>
    <x v="272"/>
    <x v="9"/>
    <n v="12"/>
    <s v="Enfermedades infecciosas intestinales. (A00-A09)"/>
    <n v="1675"/>
    <n v="1.43E-2"/>
  </r>
  <r>
    <x v="273"/>
    <x v="9"/>
    <n v="13"/>
    <s v="Enfermedad por virus de la inmunodeficiencia humana [VIH]. (B20-B24)"/>
    <n v="1478"/>
    <n v="1.26E-2"/>
  </r>
  <r>
    <x v="274"/>
    <x v="9"/>
    <n v="14"/>
    <s v="Otras enfermedades hipertensivas. (I10, I12)"/>
    <n v="1460"/>
    <n v="1.24E-2"/>
  </r>
  <r>
    <x v="275"/>
    <x v="9"/>
    <n v="15"/>
    <s v="Nefritis y Nefrosis. (N00-N19, N25-N29)"/>
    <n v="1434"/>
    <n v="1.2200000000000001E-2"/>
  </r>
  <r>
    <x v="276"/>
    <x v="9"/>
    <n v="16"/>
    <s v="Tumores benignos y de comportamiento incierto o desconocido. (D10-D48)"/>
    <n v="1404"/>
    <n v="1.2E-2"/>
  </r>
  <r>
    <x v="277"/>
    <x v="9"/>
    <n v="17"/>
    <s v="Enfermedades debidas a protozoarios. (B50-B64)"/>
    <n v="773"/>
    <n v="6.6E-3"/>
  </r>
  <r>
    <x v="278"/>
    <x v="9"/>
    <n v="18"/>
    <s v="Tuberculosis. (A15-A19, B90)"/>
    <n v="679"/>
    <n v="5.7999999999999996E-3"/>
  </r>
  <r>
    <x v="279"/>
    <x v="9"/>
    <n v="19"/>
    <s v="Deficiencias de Nutrición. (E40-E64)"/>
    <n v="648"/>
    <n v="5.4999999999999997E-3"/>
  </r>
  <r>
    <x v="280"/>
    <x v="9"/>
    <n v="20"/>
    <s v="Enfermedades del esófago, del estómago y del duodeno. (K20-K31)"/>
    <n v="579"/>
    <n v="4.8999999999999998E-3"/>
  </r>
  <r>
    <x v="281"/>
    <x v="9"/>
    <n v="21"/>
    <s v="Septicemia. (A40-A41)"/>
    <n v="577"/>
    <n v="4.8999999999999998E-3"/>
  </r>
  <r>
    <x v="282"/>
    <x v="9"/>
    <n v="22"/>
    <s v="Infección aguda no especificada de las vías respiratorias inferiores (J22)"/>
    <n v="465"/>
    <n v="4.0000000000000001E-3"/>
  </r>
  <r>
    <x v="283"/>
    <x v="9"/>
    <n v="23"/>
    <s v="Trastornos de la vesícula biliar, de las vías biliares y del páncreas. (K80-K87)"/>
    <n v="404"/>
    <n v="3.3999999999999998E-3"/>
  </r>
  <r>
    <x v="284"/>
    <x v="9"/>
    <n v="24"/>
    <s v="Trastornos episódicos y paroxísticos. (G40-G47)"/>
    <n v="379"/>
    <n v="3.2000000000000002E-3"/>
  </r>
  <r>
    <x v="285"/>
    <x v="9"/>
    <n v="25"/>
    <s v="Aneurisma y disección aórticos (I71)"/>
    <n v="342"/>
    <n v="2.8999999999999998E-3"/>
  </r>
  <r>
    <x v="286"/>
    <x v="9"/>
    <s v="TP25C"/>
    <s v="Total 25 Primeras Causas"/>
    <n v="104043"/>
    <n v="0.88300000000000001"/>
  </r>
  <r>
    <x v="287"/>
    <x v="9"/>
    <s v="Desc"/>
    <s v="Causas de mortalidad mal definidas, desconocidas o sin diagnostico medico tratante. (R95-R99). (2)"/>
    <n v="343"/>
    <n v="2.8999999999999998E-3"/>
  </r>
  <r>
    <x v="288"/>
    <x v="9"/>
    <s v="MV"/>
    <s v="Resto de Muertes Violentas. (Y10-Y34, Y35-Y36). (2)"/>
    <n v="5648"/>
    <n v="4.7899999999999998E-2"/>
  </r>
  <r>
    <x v="289"/>
    <x v="9"/>
    <s v="TC"/>
    <s v="Total Todas las Causas (A00-Y89)"/>
    <n v="117831"/>
    <n v="1"/>
  </r>
  <r>
    <x v="290"/>
    <x v="10"/>
    <n v="1"/>
    <s v="Enfermedades del corazon (I05-I09, I11, I13, I21-I51)"/>
    <n v="24281"/>
    <n v="0.20799999999999999"/>
  </r>
  <r>
    <x v="291"/>
    <x v="10"/>
    <n v="2"/>
    <s v="Cáncer. (C00 - C97)"/>
    <n v="17507"/>
    <n v="0.15"/>
  </r>
  <r>
    <x v="292"/>
    <x v="10"/>
    <n v="3"/>
    <s v="Accidentes de Todo Tipo. (V01 - X59). (2)"/>
    <n v="8386"/>
    <n v="7.1499999999999994E-2"/>
  </r>
  <r>
    <x v="293"/>
    <x v="10"/>
    <n v="4"/>
    <s v="Suicidios y Homicidios. (X60-Y09). (2)"/>
    <n v="8382"/>
    <n v="7.1499999999999994E-2"/>
  </r>
  <r>
    <x v="294"/>
    <x v="10"/>
    <n v="5"/>
    <s v="Enfermedades Cerebrovasculares. (I60-I69)"/>
    <n v="8286"/>
    <n v="7.0999999999999994E-2"/>
  </r>
  <r>
    <x v="295"/>
    <x v="10"/>
    <n v="6"/>
    <s v="Diabetes. (E10-E14)"/>
    <n v="7123"/>
    <n v="6.0999999999999999E-2"/>
  </r>
  <r>
    <x v="296"/>
    <x v="10"/>
    <n v="7"/>
    <s v="Ciertas afecciones originadas en el período perinatal. (P00-P96) (3)"/>
    <n v="5253"/>
    <n v="4.4999999999999998E-2"/>
  </r>
  <r>
    <x v="297"/>
    <x v="10"/>
    <n v="8"/>
    <s v="Enfermedades crónicas de las vías respiratorias inferiores. (J40-J47)"/>
    <n v="3166"/>
    <n v="2.7099999999999999E-2"/>
  </r>
  <r>
    <x v="298"/>
    <x v="10"/>
    <n v="9"/>
    <s v="Influenza y neumonía. (J10-J18)"/>
    <n v="2883"/>
    <n v="2.47E-2"/>
  </r>
  <r>
    <x v="299"/>
    <x v="10"/>
    <n v="10"/>
    <s v="Enfermedades del hígado. (K70-K77)"/>
    <n v="2209"/>
    <n v="1.89E-2"/>
  </r>
  <r>
    <x v="300"/>
    <x v="10"/>
    <n v="11"/>
    <s v="Anomalías congénitas. (Q00-Q99)"/>
    <n v="2132"/>
    <n v="1.83E-2"/>
  </r>
  <r>
    <x v="301"/>
    <x v="10"/>
    <n v="12"/>
    <s v="Enfermedades infecciosas intestinales. (A00-A09)"/>
    <n v="1865"/>
    <n v="1.6E-2"/>
  </r>
  <r>
    <x v="302"/>
    <x v="10"/>
    <n v="13"/>
    <s v="Nefritis y Nefrosis. (N00-N19, N25-N29)"/>
    <n v="1429"/>
    <n v="1.2200000000000001E-2"/>
  </r>
  <r>
    <x v="303"/>
    <x v="10"/>
    <n v="14"/>
    <s v="Otras enfermedades hipertensivas. (I10, I12)"/>
    <n v="1410"/>
    <n v="1.21E-2"/>
  </r>
  <r>
    <x v="304"/>
    <x v="10"/>
    <n v="15"/>
    <s v="Enfermedad por virus de la inmunodeficiencia humana [VIH]. (B20-B24)"/>
    <n v="1396"/>
    <n v="1.2E-2"/>
  </r>
  <r>
    <x v="305"/>
    <x v="10"/>
    <n v="16"/>
    <s v="Tumores benignos y de comportamiento incierto o desconocido. (D10-D48)"/>
    <n v="1244"/>
    <n v="1.0699999999999999E-2"/>
  </r>
  <r>
    <x v="306"/>
    <x v="10"/>
    <n v="17"/>
    <s v="Deficiencias de Nutrición. (E40-E64)"/>
    <n v="963"/>
    <n v="8.2000000000000007E-3"/>
  </r>
  <r>
    <x v="307"/>
    <x v="10"/>
    <n v="18"/>
    <s v="Enfermedades debidas a protozoarios. (B50-B64)"/>
    <n v="767"/>
    <n v="6.6E-3"/>
  </r>
  <r>
    <x v="308"/>
    <x v="10"/>
    <n v="19"/>
    <s v="Tuberculosis. (A15-A19, B90)"/>
    <n v="738"/>
    <n v="6.3E-3"/>
  </r>
  <r>
    <x v="309"/>
    <x v="10"/>
    <n v="20"/>
    <s v="Septicemia. (A40-A41)"/>
    <n v="653"/>
    <n v="5.5999999999999999E-3"/>
  </r>
  <r>
    <x v="310"/>
    <x v="10"/>
    <n v="21"/>
    <s v="Enfermedades del esófago, del estómago y del duodeno. (K20-K31)"/>
    <n v="612"/>
    <n v="5.1999999999999998E-3"/>
  </r>
  <r>
    <x v="311"/>
    <x v="10"/>
    <n v="22"/>
    <s v="Infección aguda no especificada de las vías respiratorias inferiores (J22)"/>
    <n v="440"/>
    <n v="3.8E-3"/>
  </r>
  <r>
    <x v="312"/>
    <x v="10"/>
    <n v="23"/>
    <s v="Trastornos episódicos y paroxísticos. (G40-G47)"/>
    <n v="390"/>
    <n v="3.3E-3"/>
  </r>
  <r>
    <x v="313"/>
    <x v="10"/>
    <n v="24"/>
    <s v="Enfermedades inflamatorias del sistema nervioso central. (G00-G09)"/>
    <n v="388"/>
    <n v="3.3E-3"/>
  </r>
  <r>
    <x v="314"/>
    <x v="10"/>
    <n v="25"/>
    <s v="Trastornos sistémicos del tejido conjuntivo (M30-M36)"/>
    <n v="376"/>
    <n v="3.2000000000000002E-3"/>
  </r>
  <r>
    <x v="315"/>
    <x v="10"/>
    <s v="TP25C"/>
    <s v="Total 25 Primeras Causas"/>
    <n v="102279"/>
    <n v="0.87250000000000005"/>
  </r>
  <r>
    <x v="316"/>
    <x v="10"/>
    <s v="Desc"/>
    <s v="Causas de mortalidad mal definidas, desconocidas o sin diagnostico medico tratante. (R95-R99). (2)"/>
    <n v="477"/>
    <n v="4.1000000000000003E-3"/>
  </r>
  <r>
    <x v="317"/>
    <x v="10"/>
    <s v="MV"/>
    <s v="Resto de Muertes Violentas. (Y10-Y34, Y35-Y36). (2)"/>
    <n v="6572"/>
    <n v="5.6099999999999997E-2"/>
  </r>
  <r>
    <x v="318"/>
    <x v="10"/>
    <s v="TC"/>
    <s v="Total Todas las Causas (A00-Y89)"/>
    <n v="117227"/>
    <n v="1"/>
  </r>
  <r>
    <x v="319"/>
    <x v="11"/>
    <n v="1"/>
    <s v="Enfermedades del corazón. (I05-I09, I11, I13, I21-I51)"/>
    <n v="24564"/>
    <n v="0.20250000000000001"/>
  </r>
  <r>
    <x v="320"/>
    <x v="11"/>
    <n v="2"/>
    <s v="Cáncer. (C00 - C97)"/>
    <n v="17234"/>
    <n v="0.1421"/>
  </r>
  <r>
    <x v="321"/>
    <x v="11"/>
    <n v="3"/>
    <s v="Suicidios y Homicidios. (X60-Y09). (2)"/>
    <n v="9940"/>
    <n v="8.1600000000000006E-2"/>
  </r>
  <r>
    <x v="322"/>
    <x v="11"/>
    <n v="4"/>
    <s v="Enfermedades Cerebrovasculares. (I60-I69)"/>
    <n v="8782"/>
    <n v="7.2400000000000006E-2"/>
  </r>
  <r>
    <x v="323"/>
    <x v="11"/>
    <n v="5"/>
    <s v="Accidentes de Todo Tipo. (V01-X59). (2)"/>
    <n v="8298"/>
    <n v="6.8099999999999994E-2"/>
  </r>
  <r>
    <x v="324"/>
    <x v="11"/>
    <n v="6"/>
    <s v="Diabetes. (E10-E14)"/>
    <n v="7060"/>
    <n v="5.8200000000000002E-2"/>
  </r>
  <r>
    <x v="325"/>
    <x v="11"/>
    <n v="7"/>
    <s v="Ciertas afecciones originadas en el período perinatal. (P00-P96) (3)"/>
    <n v="5417"/>
    <n v="4.4699999999999997E-2"/>
  </r>
  <r>
    <x v="326"/>
    <x v="11"/>
    <n v="8"/>
    <s v="Enfermedades crónicas de las vías respiratorias inferiores. (J40-J47)"/>
    <n v="3355"/>
    <n v="2.7699999999999999E-2"/>
  </r>
  <r>
    <x v="327"/>
    <x v="11"/>
    <n v="9"/>
    <s v="Influenza y neumonía. (J10-J18)"/>
    <n v="3296"/>
    <n v="2.7200000000000002E-2"/>
  </r>
  <r>
    <x v="328"/>
    <x v="11"/>
    <n v="10"/>
    <s v="Enfermedades infecciosas intestinales. (A00-A09)"/>
    <n v="2568"/>
    <n v="2.12E-2"/>
  </r>
  <r>
    <x v="329"/>
    <x v="11"/>
    <n v="11"/>
    <s v="Enfermedades del hígado. (K70-K77)"/>
    <n v="2237"/>
    <n v="1.84E-2"/>
  </r>
  <r>
    <x v="330"/>
    <x v="11"/>
    <n v="12"/>
    <s v="Anomalías congénitas. (Q00-Q99)"/>
    <n v="2120"/>
    <n v="1.7500000000000002E-2"/>
  </r>
  <r>
    <x v="331"/>
    <x v="11"/>
    <n v="13"/>
    <s v="Nefritis y Nefrosis. (N00-N19, N25-N29)"/>
    <n v="1408"/>
    <n v="1.1599999999999999E-2"/>
  </r>
  <r>
    <x v="332"/>
    <x v="11"/>
    <n v="14"/>
    <s v="Otras enfermedades hipertensivas. (I10, I12)"/>
    <n v="1348"/>
    <n v="1.11E-2"/>
  </r>
  <r>
    <x v="333"/>
    <x v="11"/>
    <n v="15"/>
    <s v="Deficiencias de Nutrición. (E40-E64)"/>
    <n v="1342"/>
    <n v="1.11E-2"/>
  </r>
  <r>
    <x v="334"/>
    <x v="11"/>
    <n v="16"/>
    <s v="Enfermedad por virus de la inmunodeficiencia humana [VIH]. (B20-B24)"/>
    <n v="1267"/>
    <n v="1.04E-2"/>
  </r>
  <r>
    <x v="335"/>
    <x v="11"/>
    <n v="17"/>
    <s v="Tumores benignos y de comportamiento incierto o desconocido. (D10-D48)"/>
    <n v="1151"/>
    <n v="9.4999999999999998E-3"/>
  </r>
  <r>
    <x v="336"/>
    <x v="11"/>
    <n v="18"/>
    <s v="Enfermedades debidas a protozoarios. (B50-B64)"/>
    <n v="925"/>
    <n v="7.6E-3"/>
  </r>
  <r>
    <x v="337"/>
    <x v="11"/>
    <n v="19"/>
    <s v="Tuberculosis. (A15-A19, B90)"/>
    <n v="764"/>
    <n v="6.3E-3"/>
  </r>
  <r>
    <x v="338"/>
    <x v="11"/>
    <n v="20"/>
    <s v="Enfermedades del esófago, del estómago y del duodeno. (K20-K31)"/>
    <n v="672"/>
    <n v="5.5000000000000005E-3"/>
  </r>
  <r>
    <x v="339"/>
    <x v="11"/>
    <n v="21"/>
    <s v="Septicemia. (A40-A41)"/>
    <n v="653"/>
    <n v="5.4000000000000003E-3"/>
  </r>
  <r>
    <x v="340"/>
    <x v="11"/>
    <n v="22"/>
    <s v="Trastornos episódicos y paroxísticos. (G40-G47)"/>
    <n v="504"/>
    <n v="4.1999999999999997E-3"/>
  </r>
  <r>
    <x v="341"/>
    <x v="11"/>
    <n v="23"/>
    <s v="Infección aguda no especificada de las vías respiratorias inferiores (J22)"/>
    <n v="454"/>
    <n v="3.7000000000000002E-3"/>
  </r>
  <r>
    <x v="342"/>
    <x v="11"/>
    <n v="24"/>
    <s v="Enfermedades inflamatorias del sistema nervioso central. (G00-G09)"/>
    <n v="408"/>
    <n v="3.4000000000000002E-3"/>
  </r>
  <r>
    <x v="343"/>
    <x v="11"/>
    <n v="25"/>
    <s v="Trastornos de la vesícula biliar, de las vías biliares y del páncreas. (K80-K87)"/>
    <n v="369"/>
    <n v="3.0000000000000001E-3"/>
  </r>
  <r>
    <x v="344"/>
    <x v="11"/>
    <s v="TP25C"/>
    <s v="Total 25 Primeras Causas"/>
    <n v="106136"/>
    <n v="0.87090000000000001"/>
  </r>
  <r>
    <x v="345"/>
    <x v="11"/>
    <s v="Desc"/>
    <s v="Causas de mortalidad mal definidas, desconocidas o sin diagnostico medico tratante. (R95-R99). (2)"/>
    <n v="581"/>
    <n v="4.7999999999999996E-3"/>
  </r>
  <r>
    <x v="346"/>
    <x v="11"/>
    <s v="MV"/>
    <s v="Resto de Muertes Violentas. (Y10-Y34, Y35-Y36). (2)"/>
    <n v="6948"/>
    <n v="5.7000000000000002E-2"/>
  </r>
  <r>
    <x v="347"/>
    <x v="11"/>
    <s v="TC"/>
    <s v="Total Todas las Causas (A00-Y89)"/>
    <n v="121864"/>
    <n v="1"/>
  </r>
  <r>
    <x v="348"/>
    <x v="12"/>
    <n v="1"/>
    <s v="Enfermedades del corazon (I05-I09, I11, I13, I21-I51)"/>
    <n v="22349"/>
    <n v="0.21329999999999999"/>
  </r>
  <r>
    <x v="349"/>
    <x v="12"/>
    <n v="2"/>
    <s v="Cancer . (C00 - C97)"/>
    <n v="16391"/>
    <n v="0.1565"/>
  </r>
  <r>
    <x v="350"/>
    <x v="12"/>
    <n v="3"/>
    <s v="Suicidios y Homicidios . (X60-Y09) . (2)"/>
    <n v="8781"/>
    <n v="7.9600000000000004E-2"/>
  </r>
  <r>
    <x v="351"/>
    <x v="12"/>
    <n v="4"/>
    <s v="Accidentes de Todo Tipo . (V01 - X59) . (2)"/>
    <n v="8680"/>
    <n v="7.8700000000000006E-2"/>
  </r>
  <r>
    <x v="352"/>
    <x v="12"/>
    <n v="5"/>
    <s v="Enfermedades Cerebrovasculares. (I60-I69)"/>
    <n v="8131"/>
    <n v="7.7600000000000002E-2"/>
  </r>
  <r>
    <x v="353"/>
    <x v="12"/>
    <n v="6"/>
    <s v="Diabetes . (E10-E14)"/>
    <n v="6234"/>
    <n v="5.9499999999999997E-2"/>
  </r>
  <r>
    <x v="354"/>
    <x v="12"/>
    <n v="7"/>
    <s v="Ciertas afecciones originadas en el período perinatal. (P00-P96) (3)"/>
    <n v="4982"/>
    <n v="4.7600000000000003E-2"/>
  </r>
  <r>
    <x v="355"/>
    <x v="12"/>
    <n v="8"/>
    <s v="Enfermedades crónicas de las vías respiratorias inferiores . (J40-J47)"/>
    <n v="2845"/>
    <n v="2.7199999999999998E-2"/>
  </r>
  <r>
    <x v="356"/>
    <x v="12"/>
    <n v="9"/>
    <s v="Influenza y neumonía. (J10-J18)"/>
    <n v="2451"/>
    <n v="2.3400000000000001E-2"/>
  </r>
  <r>
    <x v="357"/>
    <x v="12"/>
    <n v="10"/>
    <s v="Enfermedades del hígado.. (K70-K77)"/>
    <n v="2342"/>
    <n v="2.24E-2"/>
  </r>
  <r>
    <x v="358"/>
    <x v="12"/>
    <n v="11"/>
    <s v="Anomalias congénitas . (Q00-Q99)"/>
    <n v="2114"/>
    <n v="2.0199999999999999E-2"/>
  </r>
  <r>
    <x v="359"/>
    <x v="12"/>
    <n v="12"/>
    <s v="Enfermedades infecciosas intestinales. (A00-A09)"/>
    <n v="1713"/>
    <n v="1.6400000000000001E-2"/>
  </r>
  <r>
    <x v="360"/>
    <x v="12"/>
    <n v="13"/>
    <s v="Nefritis y Nefrosis . (N00-N19, N25-N29)"/>
    <n v="1313"/>
    <n v="1.2500000000000001E-2"/>
  </r>
  <r>
    <x v="361"/>
    <x v="12"/>
    <n v="14"/>
    <s v="Otras enfermedades hipertensivas. (I10, I12)"/>
    <n v="1217"/>
    <n v="1.1599999999999999E-2"/>
  </r>
  <r>
    <x v="362"/>
    <x v="12"/>
    <n v="15"/>
    <s v="Enfermedad por virus de la inmunodeficiencia humana [VIH]. (B20-B24)"/>
    <n v="1173"/>
    <n v="1.12E-2"/>
  </r>
  <r>
    <x v="363"/>
    <x v="12"/>
    <n v="16"/>
    <s v="Tumores benignos y de comportamiento incierto o desconocido. . (D10-D48)"/>
    <n v="1059"/>
    <n v="1.01E-2"/>
  </r>
  <r>
    <x v="364"/>
    <x v="12"/>
    <n v="17"/>
    <s v="Deficiencias de Nutrición . (E40-E64)"/>
    <n v="954"/>
    <n v="9.1000000000000004E-3"/>
  </r>
  <r>
    <x v="365"/>
    <x v="12"/>
    <n v="18"/>
    <s v="Enfermedades debidas a protozoarios. . (B50-B64)"/>
    <n v="808"/>
    <n v="7.7000000000000002E-3"/>
  </r>
  <r>
    <x v="366"/>
    <x v="12"/>
    <n v="19"/>
    <s v="Tuberculosis . (A15-A19, B90)"/>
    <n v="700"/>
    <n v="6.7000000000000002E-3"/>
  </r>
  <r>
    <x v="367"/>
    <x v="12"/>
    <n v="20"/>
    <s v="Enfermedades del esófago, del estómago y del duodeno. (K20-K31)"/>
    <n v="591"/>
    <n v="5.5999999999999999E-3"/>
  </r>
  <r>
    <x v="368"/>
    <x v="12"/>
    <n v="21"/>
    <s v="Septicemia . (A40-A41)"/>
    <n v="507"/>
    <n v="4.7999999999999996E-3"/>
  </r>
  <r>
    <x v="369"/>
    <x v="12"/>
    <n v="22"/>
    <s v="Trastornos de la vesícula biliar, de las vías biliares y del páncreas. (K80-K87)"/>
    <n v="388"/>
    <n v="3.7000000000000002E-3"/>
  </r>
  <r>
    <x v="370"/>
    <x v="12"/>
    <n v="23"/>
    <s v="Trastornos episódicos y paroxísticos. (G40-G47)"/>
    <n v="380"/>
    <n v="3.5999999999999999E-3"/>
  </r>
  <r>
    <x v="371"/>
    <x v="12"/>
    <n v="24"/>
    <s v="Enfermedades inflamatorias del sistema nervioso central. (G00-G09)"/>
    <n v="356"/>
    <n v="3.3999999999999998E-3"/>
  </r>
  <r>
    <x v="372"/>
    <x v="12"/>
    <n v="25"/>
    <s v="Ileo paralitico y obstrucción intestinal, sin hernia (K56)"/>
    <n v="345"/>
    <n v="3.3E-3"/>
  </r>
  <r>
    <x v="373"/>
    <x v="12"/>
    <s v="TP25C"/>
    <s v="Total 25 Primeras Causas"/>
    <n v="96804"/>
    <n v="0.91569999999999996"/>
  </r>
  <r>
    <x v="374"/>
    <x v="12"/>
    <s v="Desc"/>
    <s v="Causas de mortalidad mal definidas, desconocidas o sin diagnostico medico tratante. (R95-R99). (2)"/>
    <n v="484"/>
    <n v="4.4000000000000003E-3"/>
  </r>
  <r>
    <x v="375"/>
    <x v="12"/>
    <s v="MV"/>
    <s v="Resto de Muertes Violentas. (Y10-Y34, Y35-Y36). (2)"/>
    <n v="5538"/>
    <n v="5.0200000000000002E-2"/>
  </r>
  <r>
    <x v="376"/>
    <x v="12"/>
    <s v="TC"/>
    <s v="Total Todas las Causas (A00-Y89)"/>
    <n v="110293"/>
    <n v="1"/>
  </r>
  <r>
    <x v="377"/>
    <x v="13"/>
    <n v="1"/>
    <s v="Enfermedades del corazón (I05-I09, I11, I13, I21-I51)"/>
    <n v="23251"/>
    <n v="0.2112"/>
  </r>
  <r>
    <x v="378"/>
    <x v="13"/>
    <n v="2"/>
    <s v="Cáncer. (C00 - C97)"/>
    <n v="15729"/>
    <n v="0.1429"/>
  </r>
  <r>
    <x v="379"/>
    <x v="13"/>
    <n v="3"/>
    <s v="Accidentes de Todo Tipo. (V01 - X59). (2)"/>
    <n v="8808"/>
    <n v="7.9600000000000004E-2"/>
  </r>
  <r>
    <x v="380"/>
    <x v="13"/>
    <n v="4"/>
    <s v="Enfermedades Cerebrovasculares. (I60-I69)"/>
    <n v="8317"/>
    <n v="7.5600000000000001E-2"/>
  </r>
  <r>
    <x v="381"/>
    <x v="13"/>
    <n v="5"/>
    <s v="Suicidios y Homicidios. (X60-Y09). (2)"/>
    <n v="7951"/>
    <n v="7.1800000000000003E-2"/>
  </r>
  <r>
    <x v="382"/>
    <x v="13"/>
    <n v="6"/>
    <s v="Diabetes. (E10-E14)"/>
    <n v="6297"/>
    <n v="5.7200000000000001E-2"/>
  </r>
  <r>
    <x v="383"/>
    <x v="13"/>
    <n v="7"/>
    <s v="Ciertas afecciones originadas en el período perinatal. (P00-P96) (3)"/>
    <n v="4937"/>
    <n v="4.4900000000000002E-2"/>
  </r>
  <r>
    <x v="384"/>
    <x v="13"/>
    <n v="8"/>
    <s v="Enfermedades crónicas de las vías respiratorias inferiores. (J40-J47)"/>
    <n v="3204"/>
    <n v="2.9100000000000001E-2"/>
  </r>
  <r>
    <x v="385"/>
    <x v="13"/>
    <n v="9"/>
    <s v="Influenza y neumonía. (J10-J18)"/>
    <n v="2938"/>
    <n v="2.6700000000000002E-2"/>
  </r>
  <r>
    <x v="386"/>
    <x v="13"/>
    <n v="10"/>
    <s v="Enfermedades del hígado. (K70-K77)"/>
    <n v="2271"/>
    <n v="2.06E-2"/>
  </r>
  <r>
    <x v="387"/>
    <x v="13"/>
    <n v="11"/>
    <s v="Anomalías congénitas. (Q00-Q99)"/>
    <n v="2108"/>
    <n v="1.9199999999999998E-2"/>
  </r>
  <r>
    <x v="388"/>
    <x v="13"/>
    <n v="12"/>
    <s v="Enfermedades infecciosas intestinales. (A00-A09)"/>
    <n v="1850"/>
    <n v="1.6799999999999999E-2"/>
  </r>
  <r>
    <x v="389"/>
    <x v="13"/>
    <n v="13"/>
    <s v="Nefritis y Nefrosis. (N00-N19, N25-N29)"/>
    <n v="1359"/>
    <n v="1.23E-2"/>
  </r>
  <r>
    <x v="390"/>
    <x v="13"/>
    <n v="14"/>
    <s v="Otras enfermedades hipertensivas. (I10, I12)"/>
    <n v="1213"/>
    <n v="1.0999999999999999E-2"/>
  </r>
  <r>
    <x v="391"/>
    <x v="13"/>
    <n v="15"/>
    <s v="Enfermedad por virus de la inmunodeficiencia humana [VIH]. (B20-B24)"/>
    <n v="1183"/>
    <n v="1.0699999999999999E-2"/>
  </r>
  <r>
    <x v="392"/>
    <x v="13"/>
    <n v="16"/>
    <s v="Tumores benignos y de comportamiento incierto o desconocido. (D10-D48)"/>
    <n v="1111"/>
    <n v="1.01E-2"/>
  </r>
  <r>
    <x v="393"/>
    <x v="13"/>
    <n v="17"/>
    <s v="Deficiencias de Nutrición. (E40-E64)"/>
    <n v="982"/>
    <n v="8.8999999999999999E-3"/>
  </r>
  <r>
    <x v="394"/>
    <x v="13"/>
    <n v="18"/>
    <s v="Enfermedades debidas a protozoarios. (B50-B64)"/>
    <n v="816"/>
    <n v="7.4000000000000003E-3"/>
  </r>
  <r>
    <x v="395"/>
    <x v="13"/>
    <n v="19"/>
    <s v="Tuberculosis. (A15-A19, B90)"/>
    <n v="763"/>
    <n v="6.8999999999999999E-3"/>
  </r>
  <r>
    <x v="396"/>
    <x v="13"/>
    <n v="20"/>
    <s v="Enfermedades del esófago, del estómago y del duodeno. (K20-K31)"/>
    <n v="639"/>
    <n v="5.7999999999999996E-3"/>
  </r>
  <r>
    <x v="397"/>
    <x v="13"/>
    <n v="21"/>
    <s v="Septicemia. (A40-A41)"/>
    <n v="586"/>
    <n v="5.3E-3"/>
  </r>
  <r>
    <x v="398"/>
    <x v="13"/>
    <n v="22"/>
    <s v="Infección aguda no especificada de las vías respiratorias inferiores (J22)"/>
    <n v="431"/>
    <n v="3.8999999999999998E-3"/>
  </r>
  <r>
    <x v="399"/>
    <x v="13"/>
    <n v="23"/>
    <s v="Enfermedades inflamatorias del sistema nervioso central. (G00-G09)"/>
    <n v="431"/>
    <n v="3.8999999999999998E-3"/>
  </r>
  <r>
    <x v="400"/>
    <x v="13"/>
    <n v="24"/>
    <s v="Trastornos episódicos y paroxísticos. (G40-G47)"/>
    <n v="418"/>
    <n v="3.8E-3"/>
  </r>
  <r>
    <x v="401"/>
    <x v="13"/>
    <n v="25"/>
    <s v="Trastornos de la vesícula biliar, de las vías biliares y del páncreas. (K80-K87)"/>
    <n v="359"/>
    <n v="3.3E-3"/>
  </r>
  <r>
    <x v="402"/>
    <x v="13"/>
    <s v="TP25C"/>
    <s v="Total 25 Primeras Causas"/>
    <n v="97952"/>
    <n v="0.88990000000000002"/>
  </r>
  <r>
    <x v="403"/>
    <x v="13"/>
    <s v="Desc"/>
    <s v="Causas de mortalidad mal definidas, desconocidas o sin diagnostico medico tratante. (R95-R99). (2)"/>
    <n v="604"/>
    <n v="5.4999999999999997E-3"/>
  </r>
  <r>
    <x v="404"/>
    <x v="13"/>
    <s v="MV"/>
    <s v="Resto de Muertes Violentas. (Y10-Y34, Y35-Y36). (2)"/>
    <n v="4125"/>
    <n v="3.73E-2"/>
  </r>
  <r>
    <x v="405"/>
    <x v="13"/>
    <s v="TC"/>
    <s v="Total Todas las Causas (A00-Y89)"/>
    <n v="110672"/>
    <n v="1"/>
  </r>
  <r>
    <x v="406"/>
    <x v="14"/>
    <n v="1"/>
    <s v="Enfermedades del corazon (I05-I09, I11, I13, I21-I51)"/>
    <n v="22091"/>
    <n v="0.2097"/>
  </r>
  <r>
    <x v="407"/>
    <x v="14"/>
    <n v="2"/>
    <s v="Cancer . (C00 - C97)"/>
    <n v="15211"/>
    <n v="0.1444"/>
  </r>
  <r>
    <x v="408"/>
    <x v="14"/>
    <n v="3"/>
    <s v="Enfermedades Cerebrovasculares. (I60-I69)"/>
    <n v="8000"/>
    <n v="7.5899999999999995E-2"/>
  </r>
  <r>
    <x v="409"/>
    <x v="14"/>
    <n v="4"/>
    <s v="Accidentes de Todo Tipo . (V01 - X59) . (2)"/>
    <n v="7933"/>
    <n v="7.4899999999999994E-2"/>
  </r>
  <r>
    <x v="410"/>
    <x v="14"/>
    <n v="5"/>
    <s v="Suicidios y Homicidios . (X60-Y09) . (2)"/>
    <n v="7633"/>
    <n v="7.1999999999999995E-2"/>
  </r>
  <r>
    <x v="411"/>
    <x v="14"/>
    <n v="6"/>
    <s v="Diabetes . (E10-E14)"/>
    <n v="5941"/>
    <n v="5.6399999999999999E-2"/>
  </r>
  <r>
    <x v="412"/>
    <x v="14"/>
    <n v="7"/>
    <s v="Ciertas afecciones originadas en el período perinatal. (P00-P96) (3)"/>
    <n v="5279"/>
    <n v="5.0099999999999999E-2"/>
  </r>
  <r>
    <x v="413"/>
    <x v="14"/>
    <n v="8"/>
    <s v="Enfermedades crónicas de las vías respiratorias inferiores . (J40-J47)"/>
    <n v="2634"/>
    <n v="2.5000000000000001E-2"/>
  </r>
  <r>
    <x v="414"/>
    <x v="14"/>
    <n v="9"/>
    <s v="Influenza y neumonía. (J10-J18)"/>
    <n v="2391"/>
    <n v="2.2700000000000001E-2"/>
  </r>
  <r>
    <x v="415"/>
    <x v="14"/>
    <n v="10"/>
    <s v="Enfermedades del hígado.. (K70-K77)"/>
    <n v="2118"/>
    <n v="2.01E-2"/>
  </r>
  <r>
    <x v="416"/>
    <x v="14"/>
    <n v="11"/>
    <s v="Anomalias congénitas . (Q00-Q99)"/>
    <n v="2036"/>
    <n v="1.9300000000000001E-2"/>
  </r>
  <r>
    <x v="417"/>
    <x v="14"/>
    <n v="12"/>
    <s v="Enfermedades infecciosas intestinales. (A00-A09)"/>
    <n v="1784"/>
    <n v="1.6899999999999998E-2"/>
  </r>
  <r>
    <x v="418"/>
    <x v="14"/>
    <n v="13"/>
    <s v="Nefritis y Nefrosis . (N00-N19, N25-N29)"/>
    <n v="1378"/>
    <n v="1.3100000000000001E-2"/>
  </r>
  <r>
    <x v="419"/>
    <x v="14"/>
    <n v="14"/>
    <s v="Enfermedad por virus de la inmunodeficiencia humana [VIH]. (B20-B24)"/>
    <n v="1287"/>
    <n v="1.2200000000000001E-2"/>
  </r>
  <r>
    <x v="420"/>
    <x v="14"/>
    <n v="15"/>
    <s v="Otras enfermedades hipertensivas. (I10, I12)"/>
    <n v="1063"/>
    <n v="1.01E-2"/>
  </r>
  <r>
    <x v="421"/>
    <x v="14"/>
    <n v="16"/>
    <s v="Tumores benignos y de comportamiento incierto o desconocido. . (D10-D48)"/>
    <n v="999"/>
    <n v="9.4999999999999998E-3"/>
  </r>
  <r>
    <x v="422"/>
    <x v="14"/>
    <n v="17"/>
    <s v="Deficiencias de Nutrición . (E40-E64)"/>
    <n v="926"/>
    <n v="8.8000000000000005E-3"/>
  </r>
  <r>
    <x v="423"/>
    <x v="14"/>
    <n v="18"/>
    <s v="Enfermedades debidas a protozoarios. . (B50-B64)"/>
    <n v="924"/>
    <n v="8.8000000000000005E-3"/>
  </r>
  <r>
    <x v="424"/>
    <x v="14"/>
    <n v="19"/>
    <s v="Tuberculosis . (A15-A19, B90)"/>
    <n v="658"/>
    <n v="6.1999999999999998E-3"/>
  </r>
  <r>
    <x v="425"/>
    <x v="14"/>
    <n v="20"/>
    <s v="Septicemia . (A40-A41)"/>
    <n v="630"/>
    <n v="6.0000000000000001E-3"/>
  </r>
  <r>
    <x v="426"/>
    <x v="14"/>
    <n v="21"/>
    <s v="Enfermedades del esófago, del estómago y del duodeno. (K20-K31)"/>
    <n v="569"/>
    <n v="5.4000000000000003E-3"/>
  </r>
  <r>
    <x v="427"/>
    <x v="14"/>
    <n v="22"/>
    <s v="Enfermedades inflamatorias del sistema nervioso central. (G00-G09)"/>
    <n v="427"/>
    <n v="4.1000000000000003E-3"/>
  </r>
  <r>
    <x v="428"/>
    <x v="14"/>
    <n v="23"/>
    <s v="Trastornos de la vesícula biliar, de las vías biliares y del páncreas. (K80-K87)"/>
    <n v="401"/>
    <n v="3.8E-3"/>
  </r>
  <r>
    <x v="429"/>
    <x v="14"/>
    <n v="24"/>
    <s v="Trastornos episódicos y paroxísticos. (G40-G47)"/>
    <n v="365"/>
    <n v="3.5000000000000001E-3"/>
  </r>
  <r>
    <x v="430"/>
    <x v="14"/>
    <n v="25"/>
    <s v="Otras enfermedades del sistema digestivo (K92)"/>
    <n v="334"/>
    <n v="3.2000000000000002E-3"/>
  </r>
  <r>
    <x v="431"/>
    <x v="14"/>
    <s v="TP25C"/>
    <s v="Total 25 Primeras Causas"/>
    <n v="93012"/>
    <n v="0.87790000000000001"/>
  </r>
  <r>
    <x v="432"/>
    <x v="14"/>
    <s v="Desc"/>
    <s v="Causas de mortalidad mal definidas, desconocidas o sin diagnostico medico tratante. (R95-R99). (2)"/>
    <n v="596"/>
    <n v="5.5999999999999999E-3"/>
  </r>
  <r>
    <x v="433"/>
    <x v="14"/>
    <s v="MV"/>
    <s v="Resto de Muertes Violentas. (Y10-Y34, Y35-Y36). (2)"/>
    <n v="4376"/>
    <n v="4.1300000000000003E-2"/>
  </r>
  <r>
    <x v="434"/>
    <x v="14"/>
    <s v="TC"/>
    <s v="Total Todas las Causas (A00-Y89)"/>
    <n v="105948"/>
    <n v="1"/>
  </r>
  <r>
    <x v="435"/>
    <x v="15"/>
    <n v="1"/>
    <s v="Enfermedades del corazon (I05-I09, I11, I13, I21-I51)"/>
    <n v="21777"/>
    <n v="0.2097"/>
  </r>
  <r>
    <x v="436"/>
    <x v="15"/>
    <n v="2"/>
    <s v="Cancer . (C00 - C97)"/>
    <n v="14892"/>
    <n v="0.1434"/>
  </r>
  <r>
    <x v="437"/>
    <x v="15"/>
    <n v="3"/>
    <s v="Enfermedades Cerebrovasculares. (I60-I69)"/>
    <n v="8165"/>
    <n v="7.8600000000000003E-2"/>
  </r>
  <r>
    <x v="438"/>
    <x v="15"/>
    <n v="4"/>
    <s v="Accidentes de Todo Tipo . (V01 - X59) . (2)"/>
    <n v="7826"/>
    <n v="7.4800000000000005E-2"/>
  </r>
  <r>
    <x v="439"/>
    <x v="15"/>
    <n v="5"/>
    <s v="Diabetes . (E10-E14)"/>
    <n v="5724"/>
    <n v="5.5100000000000003E-2"/>
  </r>
  <r>
    <x v="440"/>
    <x v="15"/>
    <n v="6"/>
    <s v="Ciertas afecciones originadas en el período perinatal. (P00-P96) (3)"/>
    <n v="5309"/>
    <n v="5.11E-2"/>
  </r>
  <r>
    <x v="441"/>
    <x v="15"/>
    <n v="7"/>
    <s v="Suicidios y Homicidios . (X60-Y09) . (2)"/>
    <n v="5262"/>
    <n v="5.0299999999999997E-2"/>
  </r>
  <r>
    <x v="442"/>
    <x v="15"/>
    <n v="8"/>
    <s v="Enfermedades crónicas de las vías respiratorias inferiores . (J40-J47)"/>
    <n v="3004"/>
    <n v="2.8899999999999999E-2"/>
  </r>
  <r>
    <x v="443"/>
    <x v="15"/>
    <n v="9"/>
    <s v="Influenza y neumonía. (J10-J18)"/>
    <n v="2886"/>
    <n v="2.7799999999999998E-2"/>
  </r>
  <r>
    <x v="444"/>
    <x v="15"/>
    <n v="10"/>
    <s v="Enfermedades infecciosas intestinales. (A00-A09)"/>
    <n v="2106"/>
    <n v="2.0299999999999999E-2"/>
  </r>
  <r>
    <x v="445"/>
    <x v="15"/>
    <n v="11"/>
    <s v="Enfermedades del hígado.. (K70-K77)"/>
    <n v="2013"/>
    <n v="1.9400000000000001E-2"/>
  </r>
  <r>
    <x v="446"/>
    <x v="15"/>
    <n v="12"/>
    <s v="Anomalias congénitas . (Q00-Q99)"/>
    <n v="1996"/>
    <n v="1.9199999999999998E-2"/>
  </r>
  <r>
    <x v="447"/>
    <x v="15"/>
    <n v="13"/>
    <s v="Nefritis y Nefrosis . (N00-N19, N25-N29)"/>
    <n v="1559"/>
    <n v="1.4999999999999999E-2"/>
  </r>
  <r>
    <x v="448"/>
    <x v="15"/>
    <n v="14"/>
    <s v="Enfermedad por virus de la inmunodeficiencia humana [VIH]. (B20-B24)"/>
    <n v="1242"/>
    <n v="1.2E-2"/>
  </r>
  <r>
    <x v="449"/>
    <x v="15"/>
    <n v="15"/>
    <s v="Otras enfermedades hipertensivas. (I10, I12)"/>
    <n v="1135"/>
    <n v="1.09E-2"/>
  </r>
  <r>
    <x v="450"/>
    <x v="15"/>
    <n v="16"/>
    <s v="Deficiencias de Nutrición . (E40-E64)"/>
    <n v="1023"/>
    <n v="9.9000000000000008E-3"/>
  </r>
  <r>
    <x v="451"/>
    <x v="15"/>
    <n v="17"/>
    <s v="Tumores benignos y de comportamiento incierto o desconocido. . (D10-D48)"/>
    <n v="878"/>
    <n v="8.5000000000000006E-3"/>
  </r>
  <r>
    <x v="452"/>
    <x v="15"/>
    <n v="18"/>
    <s v="Enfermedades debidas a protozoarios. . (B50-B64)"/>
    <n v="831"/>
    <n v="8.0000000000000002E-3"/>
  </r>
  <r>
    <x v="453"/>
    <x v="15"/>
    <n v="19"/>
    <s v="Tuberculosis . (A15-A19, B90)"/>
    <n v="758"/>
    <n v="7.3000000000000001E-3"/>
  </r>
  <r>
    <x v="454"/>
    <x v="15"/>
    <n v="20"/>
    <s v="Enfermedades del esófago, del estómago y del duodeno. (K20-K31)"/>
    <n v="626"/>
    <n v="6.0000000000000001E-3"/>
  </r>
  <r>
    <x v="455"/>
    <x v="15"/>
    <n v="21"/>
    <s v="Septicemia . (A40-A41)"/>
    <n v="619"/>
    <n v="6.0000000000000001E-3"/>
  </r>
  <r>
    <x v="456"/>
    <x v="15"/>
    <n v="22"/>
    <s v="Enfermedades inflamatorias del sistema nervioso central. (G00-G09)"/>
    <n v="501"/>
    <n v="4.7999999999999996E-3"/>
  </r>
  <r>
    <x v="457"/>
    <x v="15"/>
    <n v="23"/>
    <s v="Infección aguda no especificada de las vías respiratorias inferiores (J22)"/>
    <n v="410"/>
    <n v="3.8999999999999998E-3"/>
  </r>
  <r>
    <x v="458"/>
    <x v="15"/>
    <n v="24"/>
    <s v="Trastornos de la vesícula biliar, de las vías biliares y del páncreas. (K80-K87)"/>
    <n v="369"/>
    <n v="3.5999999999999999E-3"/>
  </r>
  <r>
    <x v="459"/>
    <x v="15"/>
    <n v="25"/>
    <s v="Trastornos episódicos y paroxísticos. (G40-G47)"/>
    <n v="351"/>
    <n v="3.3999999999999998E-3"/>
  </r>
  <r>
    <x v="460"/>
    <x v="15"/>
    <s v="TP25C"/>
    <s v="Total 25 Primeras Causas"/>
    <n v="91262"/>
    <n v="0.87229999999999996"/>
  </r>
  <r>
    <x v="461"/>
    <x v="15"/>
    <s v="Desc"/>
    <s v="Causas de mortalidad mal definidas, desconocidas o sin diagnostico medico tratante. (R95-R99). (2)"/>
    <n v="769"/>
    <n v="7.4000000000000003E-3"/>
  </r>
  <r>
    <x v="462"/>
    <x v="15"/>
    <s v="MV"/>
    <s v="Resto de Muertes Violentas. (Y10-Y34, Y35-Y36). (2)"/>
    <n v="4288"/>
    <n v="4.1000000000000002E-2"/>
  </r>
  <r>
    <x v="463"/>
    <x v="15"/>
    <s v="TC"/>
    <s v="Total Todas las Causas (A00-Y89)"/>
    <n v="104625"/>
    <n v="1"/>
  </r>
  <r>
    <x v="464"/>
    <x v="16"/>
    <n v="1"/>
    <s v="Enfermedades del corazon (I05-I09, I11, I13, I21-I51)"/>
    <n v="21606"/>
    <n v="0.216"/>
  </r>
  <r>
    <x v="465"/>
    <x v="16"/>
    <n v="2"/>
    <s v="Cancer (C00 - C97)"/>
    <n v="14155"/>
    <n v="0.14149999999999999"/>
  </r>
  <r>
    <x v="466"/>
    <x v="16"/>
    <n v="3"/>
    <s v="Accidentes de Todo Tipo (V01 - X59) (2)"/>
    <n v="7784"/>
    <n v="7.7100000000000002E-2"/>
  </r>
  <r>
    <x v="467"/>
    <x v="16"/>
    <n v="4"/>
    <s v="Enfermedades Cerebrovasculares(I60-I69)"/>
    <n v="7607"/>
    <n v="7.6100000000000001E-2"/>
  </r>
  <r>
    <x v="468"/>
    <x v="16"/>
    <n v="5"/>
    <s v="Ciertas afecciones originadas en el período perinatal.(P00-P96) (3)"/>
    <n v="5241"/>
    <n v="5.2400000000000002E-2"/>
  </r>
  <r>
    <x v="469"/>
    <x v="16"/>
    <n v="6"/>
    <s v="Diabetes (E10-E14)"/>
    <n v="4867"/>
    <n v="4.87E-2"/>
  </r>
  <r>
    <x v="470"/>
    <x v="16"/>
    <n v="7"/>
    <s v="Suicidios y Homicidios (X60-Y09) (2)"/>
    <n v="3961"/>
    <n v="3.9199999999999999E-2"/>
  </r>
  <r>
    <x v="471"/>
    <x v="16"/>
    <n v="8"/>
    <s v="Influenza y neumonía(J10-J18)"/>
    <n v="2981"/>
    <n v="2.98E-2"/>
  </r>
  <r>
    <x v="472"/>
    <x v="16"/>
    <n v="9"/>
    <s v="Enfermedades crónicas de las vías respiratorias inferiores (J40-J47)"/>
    <n v="2758"/>
    <n v="2.76E-2"/>
  </r>
  <r>
    <x v="473"/>
    <x v="16"/>
    <n v="10"/>
    <s v="Enfermedades infecciosas intestinales(A00-A09)"/>
    <n v="2593"/>
    <n v="2.5899999999999999E-2"/>
  </r>
  <r>
    <x v="474"/>
    <x v="16"/>
    <n v="11"/>
    <s v="Enfermedades del hígado.(K70-K77)"/>
    <n v="1954"/>
    <n v="1.95E-2"/>
  </r>
  <r>
    <x v="475"/>
    <x v="16"/>
    <n v="12"/>
    <s v="Anomalias congénitas (Q00-Q99)"/>
    <n v="1854"/>
    <n v="1.8499999999999999E-2"/>
  </r>
  <r>
    <x v="476"/>
    <x v="16"/>
    <n v="13"/>
    <s v="Nefritis y Nefrosis (N00-N19, N25-N29)"/>
    <n v="1406"/>
    <n v="1.41E-2"/>
  </r>
  <r>
    <x v="477"/>
    <x v="16"/>
    <n v="14"/>
    <s v="Otras enfermedades hipertensivas(I10, I12)"/>
    <n v="1173"/>
    <n v="1.17E-2"/>
  </r>
  <r>
    <x v="478"/>
    <x v="16"/>
    <n v="15"/>
    <s v="Deficiencias de Nutrición (E40-E64)"/>
    <n v="1149"/>
    <n v="1.15E-2"/>
  </r>
  <r>
    <x v="479"/>
    <x v="16"/>
    <n v="16"/>
    <s v="Enfermedad por virus de la inmunodeficiencia humana [VIH](B20-B24)"/>
    <n v="1126"/>
    <n v="1.1299999999999999E-2"/>
  </r>
  <r>
    <x v="480"/>
    <x v="16"/>
    <n v="17"/>
    <s v="Enfermedades debidas a protozoarios. (B50-B64)"/>
    <n v="888"/>
    <n v="8.8999999999999999E-3"/>
  </r>
  <r>
    <x v="481"/>
    <x v="16"/>
    <n v="18"/>
    <s v="Tumores benignos y de comportamiento incierto o desconocido. (D10-D48)"/>
    <n v="877"/>
    <n v="8.8000000000000005E-3"/>
  </r>
  <r>
    <x v="482"/>
    <x v="16"/>
    <n v="19"/>
    <s v="Tuberculosis (A15-A19, B90)"/>
    <n v="764"/>
    <n v="7.6E-3"/>
  </r>
  <r>
    <x v="483"/>
    <x v="16"/>
    <n v="20"/>
    <s v="Septicemia (A40-A41)"/>
    <n v="639"/>
    <n v="6.4000000000000003E-3"/>
  </r>
  <r>
    <x v="484"/>
    <x v="16"/>
    <n v="21"/>
    <s v="Enfermedades del esófago, del estómago y del duodeno(K20-K31)"/>
    <n v="602"/>
    <n v="6.0000000000000001E-3"/>
  </r>
  <r>
    <x v="485"/>
    <x v="16"/>
    <n v="22"/>
    <s v="Enfermedades inflamatorias del sistema nervioso central(G00-G09)"/>
    <n v="462"/>
    <n v="4.5999999999999999E-3"/>
  </r>
  <r>
    <x v="486"/>
    <x v="16"/>
    <n v="23"/>
    <s v="Infección aguda no especificada de las vías respiratorias inferiores (J22)"/>
    <n v="448"/>
    <n v="4.4999999999999997E-3"/>
  </r>
  <r>
    <x v="487"/>
    <x v="16"/>
    <n v="24"/>
    <s v="Trastornos episódicos y paroxísticos(G40-G47)"/>
    <n v="392"/>
    <n v="3.8999999999999998E-3"/>
  </r>
  <r>
    <x v="488"/>
    <x v="16"/>
    <n v="25"/>
    <s v="Trastornos metabólicos.(E70-E90)"/>
    <n v="357"/>
    <n v="3.5999999999999999E-3"/>
  </r>
  <r>
    <x v="489"/>
    <x v="16"/>
    <s v="TP25C"/>
    <s v="Total 25 Primeras Causas"/>
    <n v="87042"/>
    <n v="0.86209999999999998"/>
  </r>
  <r>
    <x v="490"/>
    <x v="16"/>
    <s v="Desc"/>
    <s v="Causas de mortalidad mal definidas, desconocidas o sin diagnostico medico tratante. (R95-R99). (2)"/>
    <n v="956"/>
    <n v="9.4999999999999998E-3"/>
  </r>
  <r>
    <x v="491"/>
    <x v="16"/>
    <s v="MV"/>
    <s v="Resto de Muertes Violentas. (Y10-Y34, Y35-Y36). (2)"/>
    <n v="3624"/>
    <n v="3.5900000000000001E-2"/>
  </r>
  <r>
    <x v="492"/>
    <x v="16"/>
    <s v="TC"/>
    <s v="Total Todas las Causas (A00-Y89)"/>
    <n v="100963"/>
    <n v="1"/>
  </r>
  <r>
    <x v="493"/>
    <x v="17"/>
    <n v="1"/>
    <s v="Enfermedades del corazon (I05-I09, I11, I13, I21-I51)"/>
    <n v="20840"/>
    <n v="0.217"/>
  </r>
  <r>
    <x v="494"/>
    <x v="17"/>
    <n v="2"/>
    <s v="Cancer (C00 - C97)"/>
    <n v="14024"/>
    <n v="0.14599999999999999"/>
  </r>
  <r>
    <x v="495"/>
    <x v="17"/>
    <n v="3"/>
    <s v="Enfermedades Cerebrovasculares(I60-I69)"/>
    <n v="7530"/>
    <n v="7.8399999999999997E-2"/>
  </r>
  <r>
    <x v="496"/>
    <x v="17"/>
    <n v="4"/>
    <s v="Accidentes de Todo Tipo (V01 - X59) (2)"/>
    <n v="7066"/>
    <n v="7.2099999999999997E-2"/>
  </r>
  <r>
    <x v="497"/>
    <x v="17"/>
    <n v="5"/>
    <s v="Ciertas afecciones originadas en el período perinatal.(P00-P96) (3)"/>
    <n v="5503"/>
    <n v="5.7299999999999997E-2"/>
  </r>
  <r>
    <x v="498"/>
    <x v="17"/>
    <n v="6"/>
    <s v="Diabetes (E10-E14)"/>
    <n v="4833"/>
    <n v="5.0299999999999997E-2"/>
  </r>
  <r>
    <x v="499"/>
    <x v="17"/>
    <n v="7"/>
    <s v="Suicidios y Homicidios (X60-Y09) (2)"/>
    <n v="3939"/>
    <n v="4.02E-2"/>
  </r>
  <r>
    <x v="500"/>
    <x v="17"/>
    <n v="8"/>
    <s v="Influenza y neumonía(J10-J18)"/>
    <n v="2726"/>
    <n v="2.8400000000000002E-2"/>
  </r>
  <r>
    <x v="501"/>
    <x v="17"/>
    <n v="9"/>
    <s v="Enfermedades infecciosas intestinales(A00-A09)"/>
    <n v="2630"/>
    <n v="2.7400000000000001E-2"/>
  </r>
  <r>
    <x v="502"/>
    <x v="17"/>
    <n v="10"/>
    <s v="Enfermedades crónicas de las vías respiratorias inferiores (J40-J47)"/>
    <n v="2401"/>
    <n v="2.5000000000000001E-2"/>
  </r>
  <r>
    <x v="503"/>
    <x v="17"/>
    <n v="11"/>
    <s v="Anomalias congénitas (Q00-Q99)"/>
    <n v="1911"/>
    <n v="1.9900000000000001E-2"/>
  </r>
  <r>
    <x v="504"/>
    <x v="17"/>
    <n v="12"/>
    <s v="Enfermedades del hígado.(K70-K77)"/>
    <n v="1801"/>
    <n v="1.8700000000000001E-2"/>
  </r>
  <r>
    <x v="505"/>
    <x v="17"/>
    <n v="13"/>
    <s v="Disparo de otras armas de fuego y las no especificadas, de intención  no determinada (Y24) (2)"/>
    <n v="1666"/>
    <n v="1.7000000000000001E-2"/>
  </r>
  <r>
    <x v="506"/>
    <x v="17"/>
    <n v="14"/>
    <s v="Nefritis y Nefrosis (N00-N19, N25-N29)"/>
    <n v="1517"/>
    <n v="1.5800000000000002E-2"/>
  </r>
  <r>
    <x v="507"/>
    <x v="17"/>
    <n v="15"/>
    <s v="Otras enfermedades hipertensivas(I10, I12)"/>
    <n v="1145"/>
    <n v="1.17E-2"/>
  </r>
  <r>
    <x v="508"/>
    <x v="17"/>
    <n v="16"/>
    <s v="Enfermedad por virus de la inmunodeficiencia humana [VIH](B20-B24)"/>
    <n v="1087"/>
    <n v="1.1299999999999999E-2"/>
  </r>
  <r>
    <x v="509"/>
    <x v="17"/>
    <n v="17"/>
    <s v="Deficiencias de Nutrición (E40-E64)"/>
    <n v="1083"/>
    <n v="1.1299999999999999E-2"/>
  </r>
  <r>
    <x v="510"/>
    <x v="17"/>
    <n v="18"/>
    <s v="Enfermedades debidas a protozoarios. (B50-B64)"/>
    <n v="861"/>
    <n v="8.9999999999999993E-3"/>
  </r>
  <r>
    <x v="511"/>
    <x v="17"/>
    <n v="19"/>
    <s v="Tumores benignos y de comportamiento incierto o desconocido. (D10-D48)"/>
    <n v="776"/>
    <n v="8.0999999999999996E-3"/>
  </r>
  <r>
    <x v="512"/>
    <x v="17"/>
    <n v="20"/>
    <s v="Tuberculosis (A15-A19, B90)"/>
    <n v="753"/>
    <n v="7.7999999999999996E-3"/>
  </r>
  <r>
    <x v="513"/>
    <x v="17"/>
    <n v="21"/>
    <s v="Evento no especificado, de intención no determinada (Y34) (2)"/>
    <n v="682"/>
    <n v="7.0000000000000001E-3"/>
  </r>
  <r>
    <x v="514"/>
    <x v="17"/>
    <n v="22"/>
    <s v="Septicemia (A40-A41)"/>
    <n v="662"/>
    <n v="6.8999999999999999E-3"/>
  </r>
  <r>
    <x v="515"/>
    <x v="17"/>
    <n v="23"/>
    <s v="Enfermedades del esófago, del estómago y del duodeno(K20-K31)"/>
    <n v="523"/>
    <n v="5.4000000000000003E-3"/>
  </r>
  <r>
    <x v="516"/>
    <x v="17"/>
    <n v="24"/>
    <s v="Enfermedades inflamatorias del sistema nervioso central(G00-G09)"/>
    <n v="495"/>
    <n v="5.1999999999999998E-3"/>
  </r>
  <r>
    <x v="516"/>
    <x v="17"/>
    <n v="24"/>
    <s v="Meningitis (G00-G03)"/>
    <n v="352"/>
    <n v="3.7000000000000002E-3"/>
  </r>
  <r>
    <x v="517"/>
    <x v="17"/>
    <n v="25"/>
    <s v="Trastornos episódicos y paroxísticos(G40-G47)"/>
    <n v="391"/>
    <n v="4.1000000000000003E-3"/>
  </r>
  <r>
    <x v="518"/>
    <x v="17"/>
    <s v="TP25C"/>
    <s v="Total 25 Primeras Causas"/>
    <n v="86674"/>
    <n v="0.88429999999999997"/>
  </r>
  <r>
    <x v="519"/>
    <x v="17"/>
    <s v="Desc"/>
    <s v="Causas de mortalidad mal definidas, desconocidas o sin diagnostico medico tratante. (R95-R99). (2)"/>
    <n v="9383"/>
    <n v="9.5699999999999993E-2"/>
  </r>
  <r>
    <x v="520"/>
    <x v="17"/>
    <s v="MV"/>
    <s v="Resto de Muertes Violentas. (Y10-Y34, Y35-Y36). (2)"/>
    <n v="1954"/>
    <n v="1.9900000000000001E-2"/>
  </r>
  <r>
    <x v="521"/>
    <x v="17"/>
    <s v="TC"/>
    <s v="Total Todas las Causas (A00-Y89)"/>
    <n v="98011"/>
    <n v="1"/>
  </r>
  <r>
    <x v="522"/>
    <x v="18"/>
    <n v="1"/>
    <s v="1 Enfermedades del Corazón (I05-I09, I11, I13, I21-I51)"/>
    <n v="21309"/>
    <n v="0.2167"/>
  </r>
  <r>
    <x v="523"/>
    <x v="18"/>
    <n v="2"/>
    <s v="2 Cancer (C00-C97)"/>
    <n v="13620"/>
    <n v="0.13850000000000001"/>
  </r>
  <r>
    <x v="524"/>
    <x v="18"/>
    <n v="3"/>
    <s v="3 Enfermedad Cerebrovascular (I60-I69)"/>
    <n v="7618"/>
    <n v="7.6100000000000001E-2"/>
  </r>
  <r>
    <x v="525"/>
    <x v="18"/>
    <n v="4"/>
    <s v="4 Accidentes (de Todo Tipo)  (V01-X59) (2)"/>
    <n v="7182"/>
    <n v="7.1800000000000003E-2"/>
  </r>
  <r>
    <x v="526"/>
    <x v="18"/>
    <n v="5"/>
    <s v="5 Ciertas afecciones originadas en el período perinatal (P00-P96) (3)"/>
    <n v="5643"/>
    <n v="5.74E-2"/>
  </r>
  <r>
    <x v="527"/>
    <x v="18"/>
    <n v="6"/>
    <s v="6 Diabetes (E10-E14)"/>
    <n v="4450"/>
    <n v="4.53E-2"/>
  </r>
  <r>
    <x v="528"/>
    <x v="18"/>
    <n v="7"/>
    <s v="7 Suicidios y Homicidios (X60-Y09)"/>
    <n v="4337"/>
    <n v="4.41E-2"/>
  </r>
  <r>
    <x v="529"/>
    <x v="18"/>
    <n v="8"/>
    <s v="8 Enteritis y otras enfermedades Diarreicas (A08-A09)"/>
    <n v="3109"/>
    <n v="3.1099999999999999E-2"/>
  </r>
  <r>
    <x v="530"/>
    <x v="18"/>
    <n v="9"/>
    <s v="9 Neumonía (J12-J18)"/>
    <n v="2634"/>
    <n v="2.6800000000000001E-2"/>
  </r>
  <r>
    <x v="531"/>
    <x v="18"/>
    <n v="10"/>
    <s v="10 Anomalias congenitas (Q00-Q99)"/>
    <n v="1917"/>
    <n v="1.95E-2"/>
  </r>
  <r>
    <x v="532"/>
    <x v="18"/>
    <n v="11"/>
    <s v="11 Disparo de otras armas de fuego y las no especificadas, de intención  no"/>
    <n v="1850"/>
    <n v="1.8800000000000001E-2"/>
  </r>
  <r>
    <x v="533"/>
    <x v="18"/>
    <n v="12"/>
    <s v="12 Enfermedad pulmonar obstructiva crónica, no espeficicada (J449)"/>
    <n v="1511"/>
    <n v="1.54E-2"/>
  </r>
  <r>
    <x v="534"/>
    <x v="18"/>
    <n v="13"/>
    <s v="13 Deficiencias de la Nutrición (E40-E64)"/>
    <n v="1484"/>
    <n v="1.5100000000000001E-2"/>
  </r>
  <r>
    <x v="535"/>
    <x v="18"/>
    <n v="14"/>
    <s v="14 Nefritis y Nefrosis (N00-N19, N25-N29))"/>
    <n v="1459"/>
    <n v="1.4800000000000001E-2"/>
  </r>
  <r>
    <x v="536"/>
    <x v="18"/>
    <n v="15"/>
    <s v="15 Cirrosis y fibrosis Hepatica (K70.2, K70.3,K74)"/>
    <n v="1368"/>
    <n v="1.3899999999999999E-2"/>
  </r>
  <r>
    <x v="537"/>
    <x v="18"/>
    <n v="16"/>
    <s v="16 Enfermedad por virus de la inmunodeficiencia humana [VIH]"/>
    <n v="931"/>
    <n v="9.4999999999999998E-3"/>
  </r>
  <r>
    <x v="538"/>
    <x v="18"/>
    <n v="17"/>
    <s v="17 Tripanosomiasis  (B56-B57)"/>
    <n v="863"/>
    <n v="8.8000000000000005E-3"/>
  </r>
  <r>
    <x v="539"/>
    <x v="18"/>
    <n v="18"/>
    <s v="18 Bronquitis crónica y la no especificada,  Enfisema y Asma (J40-J43,J45-J46)"/>
    <n v="856"/>
    <n v="8.6999999999999994E-3"/>
  </r>
  <r>
    <x v="540"/>
    <x v="18"/>
    <n v="19"/>
    <s v="19 Tuberculosis (A15-A19,B90)"/>
    <n v="760"/>
    <n v="7.7000000000000002E-3"/>
  </r>
  <r>
    <x v="541"/>
    <x v="18"/>
    <n v="20"/>
    <s v="20 Otras enfermedades Hipertensivas (I10-I12)"/>
    <n v="746"/>
    <n v="7.6E-3"/>
  </r>
  <r>
    <x v="542"/>
    <x v="18"/>
    <n v="21"/>
    <s v="21 Tumores benignos y de comportamiento incierto o desconocido (D10-D48)"/>
    <n v="743"/>
    <n v="7.6E-3"/>
  </r>
  <r>
    <x v="543"/>
    <x v="18"/>
    <n v="22"/>
    <s v="22 Evento no especificado, de intención no determinada ( (Y34))"/>
    <n v="651"/>
    <n v="6.6E-3"/>
  </r>
  <r>
    <x v="544"/>
    <x v="18"/>
    <n v="23"/>
    <s v="23 Septicemias (A40-A41)"/>
    <n v="617"/>
    <n v="6.3E-3"/>
  </r>
  <r>
    <x v="545"/>
    <x v="18"/>
    <n v="24"/>
    <s v="24 Ulcera gastrica, Doudenal y Gastroyeyunal (K25-K28)"/>
    <n v="437"/>
    <n v="4.4000000000000003E-3"/>
  </r>
  <r>
    <x v="546"/>
    <x v="18"/>
    <n v="25"/>
    <s v="25  Meningitis (G00-G03)"/>
    <n v="435"/>
    <n v="4.4000000000000003E-3"/>
  </r>
  <r>
    <x v="547"/>
    <x v="18"/>
    <s v="TP25C"/>
    <s v="Total 25 Primeras Causas"/>
    <n v="86530"/>
    <n v="0.8649"/>
  </r>
  <r>
    <x v="548"/>
    <x v="18"/>
    <s v="Desc"/>
    <s v="Causas de mortalidad mal definidas, desconocidas o sin diagnostico medico tratante. (R95-R99). (2)"/>
    <n v="11803"/>
    <n v="0.11799999999999999"/>
  </r>
  <r>
    <x v="549"/>
    <x v="18"/>
    <s v="MV"/>
    <s v="Resto de Muertes Violentas. (Y10-Y34, Y35-Y36). (2)"/>
    <n v="1712"/>
    <n v="1.7100000000000001E-2"/>
  </r>
  <r>
    <x v="550"/>
    <x v="18"/>
    <s v="TC"/>
    <s v="Total Todas las Causas (A00-Y89)"/>
    <n v="10004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2" cacheId="3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5:E25" firstHeaderRow="1" firstDataRow="1" firstDataCol="1"/>
  <pivotFields count="6">
    <pivotField axis="axisRow" showAll="0">
      <items count="553">
        <item h="1" x="174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75"/>
        <item h="1" x="193"/>
        <item h="1" x="194"/>
        <item h="1" x="195"/>
        <item h="1" x="196"/>
        <item h="1" x="197"/>
        <item h="1" x="198"/>
        <item h="1" x="176"/>
        <item h="1" x="177"/>
        <item h="1" x="178"/>
        <item h="1" x="179"/>
        <item h="1" x="180"/>
        <item h="1" x="181"/>
        <item h="1" x="182"/>
        <item h="1" x="200"/>
        <item h="1" x="201"/>
        <item h="1" x="202"/>
        <item x="199"/>
        <item h="1" x="145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46"/>
        <item h="1" x="164"/>
        <item h="1" x="165"/>
        <item h="1" x="166"/>
        <item h="1" x="167"/>
        <item h="1" x="168"/>
        <item h="1" x="169"/>
        <item h="1" x="147"/>
        <item h="1" x="148"/>
        <item h="1" x="149"/>
        <item h="1" x="150"/>
        <item h="1" x="151"/>
        <item h="1" x="152"/>
        <item h="1" x="153"/>
        <item h="1" x="171"/>
        <item h="1" x="172"/>
        <item h="1" x="173"/>
        <item x="170"/>
        <item h="1" x="116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17"/>
        <item h="1" x="135"/>
        <item h="1" x="136"/>
        <item h="1" x="137"/>
        <item h="1" x="138"/>
        <item h="1" x="139"/>
        <item h="1" x="140"/>
        <item h="1" x="118"/>
        <item h="1" x="119"/>
        <item h="1" x="120"/>
        <item h="1" x="121"/>
        <item h="1" x="122"/>
        <item h="1" x="123"/>
        <item h="1" x="124"/>
        <item h="1" x="142"/>
        <item h="1" x="143"/>
        <item h="1" x="144"/>
        <item x="141"/>
        <item h="1" x="87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88"/>
        <item h="1" x="106"/>
        <item h="1" x="107"/>
        <item h="1" x="108"/>
        <item h="1" x="109"/>
        <item h="1" x="110"/>
        <item h="1" x="111"/>
        <item h="1" x="89"/>
        <item h="1" x="90"/>
        <item h="1" x="91"/>
        <item h="1" x="92"/>
        <item h="1" x="93"/>
        <item h="1" x="94"/>
        <item h="1" x="95"/>
        <item h="1" x="113"/>
        <item h="1" x="114"/>
        <item h="1" x="115"/>
        <item x="112"/>
        <item h="1" x="58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59"/>
        <item h="1" x="77"/>
        <item h="1" x="78"/>
        <item h="1" x="79"/>
        <item h="1" x="80"/>
        <item h="1" x="81"/>
        <item h="1" x="82"/>
        <item h="1" x="60"/>
        <item h="1" x="61"/>
        <item h="1" x="62"/>
        <item h="1" x="63"/>
        <item h="1" x="64"/>
        <item h="1" x="65"/>
        <item h="1" x="66"/>
        <item h="1" x="84"/>
        <item h="1" x="85"/>
        <item h="1" x="86"/>
        <item x="83"/>
        <item h="1" x="29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30"/>
        <item h="1" x="48"/>
        <item h="1" x="49"/>
        <item h="1" x="50"/>
        <item h="1" x="51"/>
        <item h="1" x="52"/>
        <item h="1" x="53"/>
        <item h="1" x="31"/>
        <item h="1" x="32"/>
        <item h="1" x="33"/>
        <item h="1" x="34"/>
        <item h="1" x="35"/>
        <item h="1" x="36"/>
        <item h="1" x="37"/>
        <item h="1" x="55"/>
        <item h="1" x="56"/>
        <item h="1" x="57"/>
        <item x="54"/>
        <item h="1" x="0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"/>
        <item h="1" x="19"/>
        <item h="1" x="20"/>
        <item h="1" x="21"/>
        <item h="1" x="22"/>
        <item h="1" x="23"/>
        <item h="1" x="24"/>
        <item h="1" x="2"/>
        <item h="1" x="3"/>
        <item h="1" x="4"/>
        <item h="1" x="5"/>
        <item h="1" x="6"/>
        <item h="1" x="7"/>
        <item h="1" x="8"/>
        <item h="1" x="26"/>
        <item h="1" x="27"/>
        <item h="1" x="28"/>
        <item x="25"/>
        <item h="1" x="551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x="547"/>
        <item h="1" x="548"/>
        <item h="1" x="549"/>
        <item h="1" x="550"/>
        <item t="default"/>
      </items>
    </pivotField>
    <pivotField showAll="0"/>
    <pivotField showAll="0"/>
    <pivotField showAll="0"/>
    <pivotField showAll="0"/>
    <pivotField dataField="1" numFmtId="10" showAll="0"/>
  </pivotFields>
  <rowFields count="1">
    <field x="0"/>
  </rowFields>
  <rowItems count="20">
    <i>
      <x v="28"/>
    </i>
    <i>
      <x v="57"/>
    </i>
    <i>
      <x v="86"/>
    </i>
    <i>
      <x v="115"/>
    </i>
    <i>
      <x v="144"/>
    </i>
    <i>
      <x v="173"/>
    </i>
    <i>
      <x v="202"/>
    </i>
    <i>
      <x v="229"/>
    </i>
    <i>
      <x v="258"/>
    </i>
    <i>
      <x v="287"/>
    </i>
    <i>
      <x v="316"/>
    </i>
    <i>
      <x v="345"/>
    </i>
    <i>
      <x v="374"/>
    </i>
    <i>
      <x v="403"/>
    </i>
    <i>
      <x v="432"/>
    </i>
    <i>
      <x v="461"/>
    </i>
    <i>
      <x v="490"/>
    </i>
    <i>
      <x v="519"/>
    </i>
    <i>
      <x v="548"/>
    </i>
    <i t="grand">
      <x/>
    </i>
  </rowItems>
  <colItems count="1">
    <i/>
  </colItems>
  <dataFields count="1">
    <dataField name="Suma de porcentaje" fld="5" baseField="0" baseItem="28" numFmtId="10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1" cacheId="3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5:B25" firstHeaderRow="1" firstDataRow="1" firstDataCol="1" rowPageCount="1" colPageCount="1"/>
  <pivotFields count="6">
    <pivotField showAll="0"/>
    <pivotField axis="axisRow" showAll="0">
      <items count="21">
        <item x="6"/>
        <item x="5"/>
        <item x="4"/>
        <item x="3"/>
        <item x="2"/>
        <item x="1"/>
        <item x="0"/>
        <item x="7"/>
        <item x="8"/>
        <item x="9"/>
        <item x="10"/>
        <item x="19"/>
        <item x="11"/>
        <item x="12"/>
        <item x="13"/>
        <item x="14"/>
        <item x="15"/>
        <item x="16"/>
        <item x="17"/>
        <item x="18"/>
        <item t="default"/>
      </items>
    </pivotField>
    <pivotField axis="axisPage" multipleItemSelectionAllowe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6"/>
        <item h="1" x="27"/>
        <item h="1" x="28"/>
        <item h="1" x="25"/>
        <item h="1" x="29"/>
        <item t="default"/>
      </items>
    </pivotField>
    <pivotField showAll="0"/>
    <pivotField showAll="0"/>
    <pivotField dataField="1" numFmtId="10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2" hier="-1"/>
  </pageFields>
  <dataFields count="1">
    <dataField name="Suma de porcentaje" fld="5" baseField="1" baseItem="0" numFmtId="168"/>
  </dataFields>
  <formats count="3">
    <format dxfId="9">
      <pivotArea outline="0" collapsedLevelsAreSubtotals="1" fieldPosition="0"/>
    </format>
    <format dxfId="8">
      <pivotArea dataOnly="0" labelOnly="1" outline="0" fieldPosition="0">
        <references count="1">
          <reference field="2" count="0"/>
        </references>
      </pivotArea>
    </format>
    <format dxfId="7">
      <pivotArea dataOnly="0" labelOnly="1" outline="0" axis="axisValues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2" cacheId="3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outline="1" outlineData="1" multipleFieldFilters="0">
  <location ref="D8:E27" firstHeaderRow="1" firstDataRow="1" firstDataCol="1" rowPageCount="1" colPageCount="1"/>
  <pivotFields count="6">
    <pivotField axis="axisPage" multipleItemSelectionAllowed="1" showAll="0">
      <items count="552">
        <item h="1" x="522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23"/>
        <item h="1" x="541"/>
        <item h="1" x="542"/>
        <item h="1" x="543"/>
        <item h="1" x="544"/>
        <item h="1" x="545"/>
        <item h="1" x="546"/>
        <item h="1" x="524"/>
        <item h="1" x="525"/>
        <item h="1" x="526"/>
        <item h="1" x="527"/>
        <item h="1" x="528"/>
        <item h="1" x="529"/>
        <item h="1" x="530"/>
        <item h="1" x="548"/>
        <item h="1" x="549"/>
        <item x="550"/>
        <item h="1" x="547"/>
        <item h="1" x="493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494"/>
        <item h="1" x="512"/>
        <item h="1" x="513"/>
        <item h="1" x="514"/>
        <item h="1" x="515"/>
        <item h="1" x="516"/>
        <item h="1" x="517"/>
        <item h="1" x="495"/>
        <item h="1" x="496"/>
        <item h="1" x="497"/>
        <item h="1" x="498"/>
        <item h="1" x="499"/>
        <item h="1" x="500"/>
        <item h="1" x="501"/>
        <item h="1" x="519"/>
        <item h="1" x="520"/>
        <item x="521"/>
        <item h="1" x="518"/>
        <item h="1" x="464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65"/>
        <item h="1" x="483"/>
        <item h="1" x="484"/>
        <item h="1" x="485"/>
        <item h="1" x="486"/>
        <item h="1" x="487"/>
        <item h="1" x="488"/>
        <item h="1" x="466"/>
        <item h="1" x="467"/>
        <item h="1" x="468"/>
        <item h="1" x="469"/>
        <item h="1" x="470"/>
        <item h="1" x="471"/>
        <item h="1" x="472"/>
        <item h="1" x="490"/>
        <item h="1" x="491"/>
        <item x="492"/>
        <item h="1" x="489"/>
        <item h="1" x="435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36"/>
        <item h="1" x="454"/>
        <item h="1" x="455"/>
        <item h="1" x="456"/>
        <item h="1" x="457"/>
        <item h="1" x="458"/>
        <item h="1" x="459"/>
        <item h="1" x="437"/>
        <item h="1" x="438"/>
        <item h="1" x="439"/>
        <item h="1" x="440"/>
        <item h="1" x="441"/>
        <item h="1" x="442"/>
        <item h="1" x="443"/>
        <item h="1" x="461"/>
        <item h="1" x="462"/>
        <item x="463"/>
        <item h="1" x="460"/>
        <item h="1" x="406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07"/>
        <item h="1" x="425"/>
        <item h="1" x="426"/>
        <item h="1" x="427"/>
        <item h="1" x="428"/>
        <item h="1" x="429"/>
        <item h="1" x="430"/>
        <item h="1" x="408"/>
        <item h="1" x="409"/>
        <item h="1" x="410"/>
        <item h="1" x="411"/>
        <item h="1" x="412"/>
        <item h="1" x="413"/>
        <item h="1" x="414"/>
        <item h="1" x="432"/>
        <item h="1" x="433"/>
        <item x="434"/>
        <item h="1" x="431"/>
        <item h="1" x="377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78"/>
        <item h="1" x="396"/>
        <item h="1" x="397"/>
        <item h="1" x="398"/>
        <item h="1" x="399"/>
        <item h="1" x="400"/>
        <item h="1" x="401"/>
        <item h="1" x="379"/>
        <item h="1" x="380"/>
        <item h="1" x="381"/>
        <item h="1" x="382"/>
        <item h="1" x="383"/>
        <item h="1" x="384"/>
        <item h="1" x="385"/>
        <item h="1" x="403"/>
        <item h="1" x="404"/>
        <item x="405"/>
        <item h="1" x="402"/>
        <item h="1" x="348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49"/>
        <item h="1" x="367"/>
        <item h="1" x="368"/>
        <item h="1" x="369"/>
        <item h="1" x="370"/>
        <item h="1" x="371"/>
        <item h="1" x="372"/>
        <item h="1" x="350"/>
        <item h="1" x="351"/>
        <item h="1" x="352"/>
        <item h="1" x="353"/>
        <item h="1" x="354"/>
        <item h="1" x="355"/>
        <item h="1" x="356"/>
        <item h="1" x="374"/>
        <item h="1" x="375"/>
        <item x="376"/>
        <item h="1" x="373"/>
        <item h="1" x="319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20"/>
        <item h="1" x="338"/>
        <item h="1" x="339"/>
        <item h="1" x="340"/>
        <item h="1" x="341"/>
        <item h="1" x="342"/>
        <item h="1" x="343"/>
        <item h="1" x="321"/>
        <item h="1" x="322"/>
        <item h="1" x="323"/>
        <item h="1" x="324"/>
        <item h="1" x="325"/>
        <item h="1" x="326"/>
        <item h="1" x="327"/>
        <item h="1" x="345"/>
        <item h="1" x="346"/>
        <item x="347"/>
        <item h="1" x="344"/>
        <item h="1" x="290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291"/>
        <item h="1" x="309"/>
        <item h="1" x="310"/>
        <item h="1" x="311"/>
        <item h="1" x="312"/>
        <item h="1" x="313"/>
        <item h="1" x="314"/>
        <item h="1" x="292"/>
        <item h="1" x="293"/>
        <item h="1" x="294"/>
        <item h="1" x="295"/>
        <item h="1" x="296"/>
        <item h="1" x="297"/>
        <item h="1" x="298"/>
        <item h="1" x="316"/>
        <item h="1" x="317"/>
        <item x="318"/>
        <item h="1" x="315"/>
        <item h="1" x="261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62"/>
        <item h="1" x="280"/>
        <item h="1" x="281"/>
        <item h="1" x="282"/>
        <item h="1" x="283"/>
        <item h="1" x="284"/>
        <item h="1" x="285"/>
        <item h="1" x="263"/>
        <item h="1" x="264"/>
        <item h="1" x="265"/>
        <item h="1" x="266"/>
        <item h="1" x="267"/>
        <item h="1" x="268"/>
        <item h="1" x="269"/>
        <item h="1" x="287"/>
        <item h="1" x="288"/>
        <item x="289"/>
        <item h="1" x="286"/>
        <item h="1" x="232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33"/>
        <item h="1" x="251"/>
        <item h="1" x="252"/>
        <item h="1" x="253"/>
        <item h="1" x="254"/>
        <item h="1" x="255"/>
        <item h="1" x="256"/>
        <item h="1" x="234"/>
        <item h="1" x="235"/>
        <item h="1" x="236"/>
        <item h="1" x="237"/>
        <item h="1" x="238"/>
        <item h="1" x="239"/>
        <item h="1" x="240"/>
        <item h="1" x="258"/>
        <item h="1" x="259"/>
        <item x="260"/>
        <item h="1" x="257"/>
        <item h="1" x="203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04"/>
        <item h="1" x="222"/>
        <item h="1" x="223"/>
        <item h="1" x="224"/>
        <item h="1" x="225"/>
        <item h="1" x="226"/>
        <item h="1" x="227"/>
        <item h="1" x="205"/>
        <item h="1" x="206"/>
        <item h="1" x="207"/>
        <item h="1" x="208"/>
        <item h="1" x="209"/>
        <item h="1" x="210"/>
        <item h="1" x="211"/>
        <item h="1" x="229"/>
        <item h="1" x="230"/>
        <item x="231"/>
        <item h="1" x="228"/>
        <item h="1" x="174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75"/>
        <item h="1" x="193"/>
        <item h="1" x="194"/>
        <item h="1" x="195"/>
        <item h="1" x="196"/>
        <item h="1" x="197"/>
        <item h="1" x="198"/>
        <item h="1" x="176"/>
        <item h="1" x="177"/>
        <item h="1" x="178"/>
        <item h="1" x="179"/>
        <item h="1" x="180"/>
        <item h="1" x="181"/>
        <item h="1" x="182"/>
        <item h="1" x="200"/>
        <item h="1" x="201"/>
        <item x="202"/>
        <item h="1" x="199"/>
        <item h="1" x="145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46"/>
        <item h="1" x="164"/>
        <item h="1" x="165"/>
        <item h="1" x="166"/>
        <item h="1" x="167"/>
        <item h="1" x="168"/>
        <item h="1" x="169"/>
        <item h="1" x="147"/>
        <item h="1" x="148"/>
        <item h="1" x="149"/>
        <item h="1" x="150"/>
        <item h="1" x="151"/>
        <item h="1" x="152"/>
        <item h="1" x="153"/>
        <item h="1" x="171"/>
        <item h="1" x="172"/>
        <item x="173"/>
        <item h="1" x="170"/>
        <item h="1" x="116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17"/>
        <item h="1" x="135"/>
        <item h="1" x="136"/>
        <item h="1" x="137"/>
        <item h="1" x="138"/>
        <item h="1" x="139"/>
        <item h="1" x="140"/>
        <item h="1" x="118"/>
        <item h="1" x="119"/>
        <item h="1" x="120"/>
        <item h="1" x="121"/>
        <item h="1" x="122"/>
        <item h="1" x="123"/>
        <item h="1" x="124"/>
        <item h="1" x="142"/>
        <item h="1" x="143"/>
        <item x="144"/>
        <item h="1" x="141"/>
        <item h="1" x="87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88"/>
        <item h="1" x="106"/>
        <item h="1" x="107"/>
        <item h="1" x="108"/>
        <item h="1" x="109"/>
        <item h="1" x="110"/>
        <item h="1" x="111"/>
        <item h="1" x="89"/>
        <item h="1" x="90"/>
        <item h="1" x="91"/>
        <item h="1" x="92"/>
        <item h="1" x="93"/>
        <item h="1" x="94"/>
        <item h="1" x="95"/>
        <item h="1" x="113"/>
        <item h="1" x="114"/>
        <item x="115"/>
        <item h="1" x="112"/>
        <item h="1" x="58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59"/>
        <item h="1" x="77"/>
        <item h="1" x="78"/>
        <item h="1" x="79"/>
        <item h="1" x="80"/>
        <item h="1" x="81"/>
        <item h="1" x="82"/>
        <item h="1" x="60"/>
        <item h="1" x="61"/>
        <item h="1" x="62"/>
        <item h="1" x="63"/>
        <item h="1" x="64"/>
        <item h="1" x="65"/>
        <item h="1" x="66"/>
        <item h="1" x="84"/>
        <item h="1" x="85"/>
        <item x="86"/>
        <item h="1" x="83"/>
        <item h="1" x="29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30"/>
        <item h="1" x="48"/>
        <item h="1" x="49"/>
        <item h="1" x="50"/>
        <item h="1" x="51"/>
        <item h="1" x="52"/>
        <item h="1" x="53"/>
        <item h="1" x="31"/>
        <item h="1" x="32"/>
        <item h="1" x="33"/>
        <item h="1" x="34"/>
        <item h="1" x="35"/>
        <item h="1" x="36"/>
        <item h="1" x="37"/>
        <item h="1" x="55"/>
        <item h="1" x="56"/>
        <item x="57"/>
        <item h="1" x="54"/>
        <item h="1" x="0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"/>
        <item h="1" x="19"/>
        <item h="1" x="20"/>
        <item h="1" x="21"/>
        <item h="1" x="22"/>
        <item h="1" x="23"/>
        <item h="1" x="24"/>
        <item h="1" x="2"/>
        <item h="1" x="3"/>
        <item h="1" x="4"/>
        <item h="1" x="5"/>
        <item h="1" x="6"/>
        <item h="1" x="7"/>
        <item h="1" x="8"/>
        <item h="1" x="26"/>
        <item h="1" x="27"/>
        <item x="28"/>
        <item h="1" x="25"/>
        <item t="default"/>
      </items>
    </pivotField>
    <pivotField axis="axisRow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Items count="1">
    <i/>
  </colItems>
  <pageFields count="1">
    <pageField fld="0" hier="-1"/>
  </pageFields>
  <dataFields count="1">
    <dataField name="Suma de Porcentaje" fld="5" baseField="1" baseItem="0"/>
  </dataFields>
  <formats count="1">
    <format dxfId="3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 dinámica1" cacheId="3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outline="1" outlineData="1" multipleFieldFilters="0">
  <location ref="A8:B27" firstHeaderRow="1" firstDataRow="1" firstDataCol="1" rowPageCount="1" colPageCount="1"/>
  <pivotFields count="6">
    <pivotField axis="axisPage" multipleItemSelectionAllowed="1" showAll="0">
      <items count="552">
        <item h="1" x="522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23"/>
        <item h="1" x="541"/>
        <item h="1" x="542"/>
        <item h="1" x="543"/>
        <item h="1" x="544"/>
        <item h="1" x="545"/>
        <item h="1" x="546"/>
        <item h="1" x="524"/>
        <item h="1" x="525"/>
        <item h="1" x="526"/>
        <item h="1" x="527"/>
        <item h="1" x="528"/>
        <item h="1" x="529"/>
        <item h="1" x="530"/>
        <item x="548"/>
        <item x="549"/>
        <item h="1" x="550"/>
        <item x="547"/>
        <item h="1" x="493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494"/>
        <item h="1" x="512"/>
        <item h="1" x="513"/>
        <item h="1" x="514"/>
        <item h="1" x="515"/>
        <item h="1" x="516"/>
        <item h="1" x="517"/>
        <item h="1" x="495"/>
        <item h="1" x="496"/>
        <item h="1" x="497"/>
        <item h="1" x="498"/>
        <item h="1" x="499"/>
        <item h="1" x="500"/>
        <item h="1" x="501"/>
        <item x="519"/>
        <item x="520"/>
        <item h="1" x="521"/>
        <item x="518"/>
        <item h="1" x="464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65"/>
        <item h="1" x="483"/>
        <item h="1" x="484"/>
        <item h="1" x="485"/>
        <item h="1" x="486"/>
        <item h="1" x="487"/>
        <item h="1" x="488"/>
        <item h="1" x="466"/>
        <item h="1" x="467"/>
        <item h="1" x="468"/>
        <item h="1" x="469"/>
        <item h="1" x="470"/>
        <item h="1" x="471"/>
        <item h="1" x="472"/>
        <item x="490"/>
        <item x="491"/>
        <item h="1" x="492"/>
        <item x="489"/>
        <item h="1" x="435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36"/>
        <item h="1" x="454"/>
        <item h="1" x="455"/>
        <item h="1" x="456"/>
        <item h="1" x="457"/>
        <item h="1" x="458"/>
        <item h="1" x="459"/>
        <item h="1" x="437"/>
        <item h="1" x="438"/>
        <item h="1" x="439"/>
        <item h="1" x="440"/>
        <item h="1" x="441"/>
        <item h="1" x="442"/>
        <item h="1" x="443"/>
        <item x="461"/>
        <item x="462"/>
        <item h="1" x="463"/>
        <item x="460"/>
        <item h="1" x="406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07"/>
        <item h="1" x="425"/>
        <item h="1" x="426"/>
        <item h="1" x="427"/>
        <item h="1" x="428"/>
        <item h="1" x="429"/>
        <item h="1" x="430"/>
        <item h="1" x="408"/>
        <item h="1" x="409"/>
        <item h="1" x="410"/>
        <item h="1" x="411"/>
        <item h="1" x="412"/>
        <item h="1" x="413"/>
        <item h="1" x="414"/>
        <item x="432"/>
        <item x="433"/>
        <item h="1" x="434"/>
        <item x="431"/>
        <item h="1" x="377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78"/>
        <item h="1" x="396"/>
        <item h="1" x="397"/>
        <item h="1" x="398"/>
        <item h="1" x="399"/>
        <item h="1" x="400"/>
        <item h="1" x="401"/>
        <item h="1" x="379"/>
        <item h="1" x="380"/>
        <item h="1" x="381"/>
        <item h="1" x="382"/>
        <item h="1" x="383"/>
        <item h="1" x="384"/>
        <item h="1" x="385"/>
        <item x="403"/>
        <item x="404"/>
        <item h="1" x="405"/>
        <item x="402"/>
        <item h="1" x="348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49"/>
        <item h="1" x="367"/>
        <item h="1" x="368"/>
        <item h="1" x="369"/>
        <item h="1" x="370"/>
        <item h="1" x="371"/>
        <item h="1" x="372"/>
        <item h="1" x="350"/>
        <item h="1" x="351"/>
        <item h="1" x="352"/>
        <item h="1" x="353"/>
        <item h="1" x="354"/>
        <item h="1" x="355"/>
        <item h="1" x="356"/>
        <item x="374"/>
        <item x="375"/>
        <item h="1" x="376"/>
        <item x="373"/>
        <item h="1" x="319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20"/>
        <item h="1" x="338"/>
        <item h="1" x="339"/>
        <item h="1" x="340"/>
        <item h="1" x="341"/>
        <item h="1" x="342"/>
        <item h="1" x="343"/>
        <item h="1" x="321"/>
        <item h="1" x="322"/>
        <item h="1" x="323"/>
        <item h="1" x="324"/>
        <item h="1" x="325"/>
        <item h="1" x="326"/>
        <item h="1" x="327"/>
        <item x="345"/>
        <item x="346"/>
        <item h="1" x="347"/>
        <item x="344"/>
        <item h="1" x="290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291"/>
        <item h="1" x="309"/>
        <item h="1" x="310"/>
        <item h="1" x="311"/>
        <item h="1" x="312"/>
        <item h="1" x="313"/>
        <item h="1" x="314"/>
        <item h="1" x="292"/>
        <item h="1" x="293"/>
        <item h="1" x="294"/>
        <item h="1" x="295"/>
        <item h="1" x="296"/>
        <item h="1" x="297"/>
        <item h="1" x="298"/>
        <item x="316"/>
        <item x="317"/>
        <item h="1" x="318"/>
        <item x="315"/>
        <item h="1" x="261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62"/>
        <item h="1" x="280"/>
        <item h="1" x="281"/>
        <item h="1" x="282"/>
        <item h="1" x="283"/>
        <item h="1" x="284"/>
        <item h="1" x="285"/>
        <item h="1" x="263"/>
        <item h="1" x="264"/>
        <item h="1" x="265"/>
        <item h="1" x="266"/>
        <item h="1" x="267"/>
        <item h="1" x="268"/>
        <item h="1" x="269"/>
        <item x="287"/>
        <item x="288"/>
        <item h="1" x="289"/>
        <item x="286"/>
        <item h="1" x="232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33"/>
        <item h="1" x="251"/>
        <item h="1" x="252"/>
        <item h="1" x="253"/>
        <item h="1" x="254"/>
        <item h="1" x="255"/>
        <item h="1" x="256"/>
        <item h="1" x="234"/>
        <item h="1" x="235"/>
        <item h="1" x="236"/>
        <item h="1" x="237"/>
        <item h="1" x="238"/>
        <item h="1" x="239"/>
        <item h="1" x="240"/>
        <item x="258"/>
        <item x="259"/>
        <item h="1" x="260"/>
        <item x="257"/>
        <item h="1" x="203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04"/>
        <item h="1" x="222"/>
        <item h="1" x="223"/>
        <item h="1" x="224"/>
        <item h="1" x="225"/>
        <item h="1" x="226"/>
        <item h="1" x="227"/>
        <item h="1" x="205"/>
        <item h="1" x="206"/>
        <item h="1" x="207"/>
        <item h="1" x="208"/>
        <item h="1" x="209"/>
        <item h="1" x="210"/>
        <item h="1" x="211"/>
        <item x="229"/>
        <item x="230"/>
        <item h="1" x="231"/>
        <item x="228"/>
        <item h="1" x="174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75"/>
        <item h="1" x="193"/>
        <item h="1" x="194"/>
        <item h="1" x="195"/>
        <item h="1" x="196"/>
        <item h="1" x="197"/>
        <item h="1" x="198"/>
        <item h="1" x="176"/>
        <item h="1" x="177"/>
        <item h="1" x="178"/>
        <item h="1" x="179"/>
        <item h="1" x="180"/>
        <item h="1" x="181"/>
        <item h="1" x="182"/>
        <item x="200"/>
        <item x="201"/>
        <item h="1" x="202"/>
        <item x="199"/>
        <item h="1" x="145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46"/>
        <item h="1" x="164"/>
        <item h="1" x="165"/>
        <item h="1" x="166"/>
        <item h="1" x="167"/>
        <item h="1" x="168"/>
        <item h="1" x="169"/>
        <item h="1" x="147"/>
        <item h="1" x="148"/>
        <item h="1" x="149"/>
        <item h="1" x="150"/>
        <item h="1" x="151"/>
        <item h="1" x="152"/>
        <item h="1" x="153"/>
        <item x="171"/>
        <item x="172"/>
        <item h="1" x="173"/>
        <item x="170"/>
        <item h="1" x="116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17"/>
        <item h="1" x="135"/>
        <item h="1" x="136"/>
        <item h="1" x="137"/>
        <item h="1" x="138"/>
        <item h="1" x="139"/>
        <item h="1" x="140"/>
        <item h="1" x="118"/>
        <item h="1" x="119"/>
        <item h="1" x="120"/>
        <item h="1" x="121"/>
        <item h="1" x="122"/>
        <item h="1" x="123"/>
        <item h="1" x="124"/>
        <item x="142"/>
        <item x="143"/>
        <item h="1" x="144"/>
        <item x="141"/>
        <item h="1" x="87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88"/>
        <item h="1" x="106"/>
        <item h="1" x="107"/>
        <item h="1" x="108"/>
        <item h="1" x="109"/>
        <item h="1" x="110"/>
        <item h="1" x="111"/>
        <item h="1" x="89"/>
        <item h="1" x="90"/>
        <item h="1" x="91"/>
        <item h="1" x="92"/>
        <item h="1" x="93"/>
        <item h="1" x="94"/>
        <item h="1" x="95"/>
        <item x="113"/>
        <item x="114"/>
        <item h="1" x="115"/>
        <item x="112"/>
        <item h="1" x="58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59"/>
        <item h="1" x="77"/>
        <item h="1" x="78"/>
        <item h="1" x="79"/>
        <item h="1" x="80"/>
        <item h="1" x="81"/>
        <item h="1" x="82"/>
        <item h="1" x="60"/>
        <item h="1" x="61"/>
        <item h="1" x="62"/>
        <item h="1" x="63"/>
        <item h="1" x="64"/>
        <item h="1" x="65"/>
        <item h="1" x="66"/>
        <item x="84"/>
        <item x="85"/>
        <item h="1" x="86"/>
        <item x="83"/>
        <item h="1" x="29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30"/>
        <item h="1" x="48"/>
        <item h="1" x="49"/>
        <item h="1" x="50"/>
        <item h="1" x="51"/>
        <item h="1" x="52"/>
        <item h="1" x="53"/>
        <item h="1" x="31"/>
        <item h="1" x="32"/>
        <item h="1" x="33"/>
        <item h="1" x="34"/>
        <item h="1" x="35"/>
        <item h="1" x="36"/>
        <item h="1" x="37"/>
        <item x="55"/>
        <item x="56"/>
        <item h="1" x="57"/>
        <item x="54"/>
        <item h="1" x="0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"/>
        <item h="1" x="19"/>
        <item h="1" x="20"/>
        <item h="1" x="21"/>
        <item h="1" x="22"/>
        <item h="1" x="23"/>
        <item h="1" x="24"/>
        <item h="1" x="2"/>
        <item h="1" x="3"/>
        <item h="1" x="4"/>
        <item h="1" x="5"/>
        <item h="1" x="6"/>
        <item h="1" x="7"/>
        <item h="1" x="8"/>
        <item x="26"/>
        <item x="27"/>
        <item h="1" x="28"/>
        <item x="25"/>
        <item t="default"/>
      </items>
    </pivotField>
    <pivotField axis="axisRow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Items count="1">
    <i/>
  </colItems>
  <pageFields count="1">
    <pageField fld="0" hier="-1"/>
  </pageFields>
  <dataFields count="1">
    <dataField name="Suma de Porcentaje" fld="5" baseField="1" baseItem="7" numFmtId="10"/>
  </dataFields>
  <formats count="4">
    <format dxfId="4">
      <pivotArea collapsedLevelsAreSubtotals="1" fieldPosition="0">
        <references count="1">
          <reference field="1" count="0"/>
        </references>
      </pivotArea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 dinámica1" cacheId="3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8:B28" firstHeaderRow="1" firstDataRow="1" firstDataCol="1" rowPageCount="1" colPageCount="1"/>
  <pivotFields count="6">
    <pivotField axis="axisPage" multipleItemSelectionAllowed="1" showAll="0">
      <items count="552">
        <item h="1" x="522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23"/>
        <item h="1" x="541"/>
        <item h="1" x="542"/>
        <item h="1" x="543"/>
        <item h="1" x="544"/>
        <item h="1" x="545"/>
        <item h="1" x="546"/>
        <item h="1" x="524"/>
        <item h="1" x="525"/>
        <item h="1" x="526"/>
        <item h="1" x="527"/>
        <item h="1" x="528"/>
        <item h="1" x="529"/>
        <item h="1" x="530"/>
        <item x="548"/>
        <item x="549"/>
        <item h="1" x="550"/>
        <item x="547"/>
        <item h="1" x="493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494"/>
        <item h="1" x="512"/>
        <item h="1" x="513"/>
        <item h="1" x="514"/>
        <item h="1" x="515"/>
        <item h="1" x="516"/>
        <item h="1" x="517"/>
        <item h="1" x="495"/>
        <item h="1" x="496"/>
        <item h="1" x="497"/>
        <item h="1" x="498"/>
        <item h="1" x="499"/>
        <item h="1" x="500"/>
        <item h="1" x="501"/>
        <item x="519"/>
        <item x="520"/>
        <item h="1" x="521"/>
        <item x="518"/>
        <item h="1" x="464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65"/>
        <item h="1" x="483"/>
        <item h="1" x="484"/>
        <item h="1" x="485"/>
        <item h="1" x="486"/>
        <item h="1" x="487"/>
        <item h="1" x="488"/>
        <item h="1" x="466"/>
        <item h="1" x="467"/>
        <item h="1" x="468"/>
        <item h="1" x="469"/>
        <item h="1" x="470"/>
        <item h="1" x="471"/>
        <item h="1" x="472"/>
        <item x="490"/>
        <item x="491"/>
        <item h="1" x="492"/>
        <item x="489"/>
        <item h="1" x="435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36"/>
        <item h="1" x="454"/>
        <item h="1" x="455"/>
        <item h="1" x="456"/>
        <item h="1" x="457"/>
        <item h="1" x="458"/>
        <item h="1" x="459"/>
        <item h="1" x="437"/>
        <item h="1" x="438"/>
        <item h="1" x="439"/>
        <item h="1" x="440"/>
        <item h="1" x="441"/>
        <item h="1" x="442"/>
        <item h="1" x="443"/>
        <item x="461"/>
        <item x="462"/>
        <item h="1" x="463"/>
        <item x="460"/>
        <item h="1" x="406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07"/>
        <item h="1" x="425"/>
        <item h="1" x="426"/>
        <item h="1" x="427"/>
        <item h="1" x="428"/>
        <item h="1" x="429"/>
        <item h="1" x="430"/>
        <item h="1" x="408"/>
        <item h="1" x="409"/>
        <item h="1" x="410"/>
        <item h="1" x="411"/>
        <item h="1" x="412"/>
        <item h="1" x="413"/>
        <item h="1" x="414"/>
        <item x="432"/>
        <item x="433"/>
        <item h="1" x="434"/>
        <item x="431"/>
        <item h="1" x="377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78"/>
        <item h="1" x="396"/>
        <item h="1" x="397"/>
        <item h="1" x="398"/>
        <item h="1" x="399"/>
        <item h="1" x="400"/>
        <item h="1" x="401"/>
        <item h="1" x="379"/>
        <item h="1" x="380"/>
        <item h="1" x="381"/>
        <item h="1" x="382"/>
        <item h="1" x="383"/>
        <item h="1" x="384"/>
        <item h="1" x="385"/>
        <item x="403"/>
        <item x="404"/>
        <item h="1" x="405"/>
        <item x="402"/>
        <item h="1" x="348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49"/>
        <item h="1" x="367"/>
        <item h="1" x="368"/>
        <item h="1" x="369"/>
        <item h="1" x="370"/>
        <item h="1" x="371"/>
        <item h="1" x="372"/>
        <item h="1" x="350"/>
        <item h="1" x="351"/>
        <item h="1" x="352"/>
        <item h="1" x="353"/>
        <item h="1" x="354"/>
        <item h="1" x="355"/>
        <item h="1" x="356"/>
        <item x="374"/>
        <item x="375"/>
        <item h="1" x="376"/>
        <item x="373"/>
        <item h="1" x="319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20"/>
        <item h="1" x="338"/>
        <item h="1" x="339"/>
        <item h="1" x="340"/>
        <item h="1" x="341"/>
        <item h="1" x="342"/>
        <item h="1" x="343"/>
        <item h="1" x="321"/>
        <item h="1" x="322"/>
        <item h="1" x="323"/>
        <item h="1" x="324"/>
        <item h="1" x="325"/>
        <item h="1" x="326"/>
        <item h="1" x="327"/>
        <item x="345"/>
        <item x="346"/>
        <item h="1" x="347"/>
        <item x="344"/>
        <item h="1" x="290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291"/>
        <item h="1" x="309"/>
        <item h="1" x="310"/>
        <item h="1" x="311"/>
        <item h="1" x="312"/>
        <item h="1" x="313"/>
        <item h="1" x="314"/>
        <item h="1" x="292"/>
        <item h="1" x="293"/>
        <item h="1" x="294"/>
        <item h="1" x="295"/>
        <item h="1" x="296"/>
        <item h="1" x="297"/>
        <item h="1" x="298"/>
        <item x="316"/>
        <item x="317"/>
        <item h="1" x="318"/>
        <item x="315"/>
        <item h="1" x="261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62"/>
        <item h="1" x="280"/>
        <item h="1" x="281"/>
        <item h="1" x="282"/>
        <item h="1" x="283"/>
        <item h="1" x="284"/>
        <item h="1" x="285"/>
        <item h="1" x="263"/>
        <item h="1" x="264"/>
        <item h="1" x="265"/>
        <item h="1" x="266"/>
        <item h="1" x="267"/>
        <item h="1" x="268"/>
        <item h="1" x="269"/>
        <item x="287"/>
        <item x="288"/>
        <item h="1" x="289"/>
        <item x="286"/>
        <item h="1" x="232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33"/>
        <item h="1" x="251"/>
        <item h="1" x="252"/>
        <item h="1" x="253"/>
        <item h="1" x="254"/>
        <item h="1" x="255"/>
        <item h="1" x="256"/>
        <item h="1" x="234"/>
        <item h="1" x="235"/>
        <item h="1" x="236"/>
        <item h="1" x="237"/>
        <item h="1" x="238"/>
        <item h="1" x="239"/>
        <item h="1" x="240"/>
        <item x="258"/>
        <item x="259"/>
        <item h="1" x="260"/>
        <item x="257"/>
        <item h="1" x="203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04"/>
        <item h="1" x="222"/>
        <item h="1" x="223"/>
        <item h="1" x="224"/>
        <item h="1" x="225"/>
        <item h="1" x="226"/>
        <item h="1" x="227"/>
        <item h="1" x="205"/>
        <item h="1" x="206"/>
        <item h="1" x="207"/>
        <item h="1" x="208"/>
        <item h="1" x="209"/>
        <item h="1" x="210"/>
        <item h="1" x="211"/>
        <item x="229"/>
        <item x="230"/>
        <item h="1" x="231"/>
        <item x="228"/>
        <item h="1" x="174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75"/>
        <item h="1" x="193"/>
        <item h="1" x="194"/>
        <item h="1" x="195"/>
        <item h="1" x="196"/>
        <item h="1" x="197"/>
        <item h="1" x="198"/>
        <item h="1" x="176"/>
        <item h="1" x="177"/>
        <item h="1" x="178"/>
        <item h="1" x="179"/>
        <item h="1" x="180"/>
        <item h="1" x="181"/>
        <item h="1" x="182"/>
        <item x="200"/>
        <item x="201"/>
        <item h="1" x="202"/>
        <item x="199"/>
        <item h="1" x="145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46"/>
        <item h="1" x="164"/>
        <item h="1" x="165"/>
        <item h="1" x="166"/>
        <item h="1" x="167"/>
        <item h="1" x="168"/>
        <item h="1" x="169"/>
        <item h="1" x="147"/>
        <item h="1" x="148"/>
        <item h="1" x="149"/>
        <item h="1" x="150"/>
        <item h="1" x="151"/>
        <item h="1" x="152"/>
        <item h="1" x="153"/>
        <item x="171"/>
        <item x="172"/>
        <item h="1" x="173"/>
        <item x="170"/>
        <item h="1" x="116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17"/>
        <item h="1" x="135"/>
        <item h="1" x="136"/>
        <item h="1" x="137"/>
        <item h="1" x="138"/>
        <item h="1" x="139"/>
        <item h="1" x="140"/>
        <item h="1" x="118"/>
        <item h="1" x="119"/>
        <item h="1" x="120"/>
        <item h="1" x="121"/>
        <item h="1" x="122"/>
        <item h="1" x="123"/>
        <item h="1" x="124"/>
        <item x="142"/>
        <item x="143"/>
        <item h="1" x="144"/>
        <item x="141"/>
        <item h="1" x="87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88"/>
        <item h="1" x="106"/>
        <item h="1" x="107"/>
        <item h="1" x="108"/>
        <item h="1" x="109"/>
        <item h="1" x="110"/>
        <item h="1" x="111"/>
        <item h="1" x="89"/>
        <item h="1" x="90"/>
        <item h="1" x="91"/>
        <item h="1" x="92"/>
        <item h="1" x="93"/>
        <item h="1" x="94"/>
        <item h="1" x="95"/>
        <item x="113"/>
        <item x="114"/>
        <item h="1" x="115"/>
        <item x="112"/>
        <item h="1" x="58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59"/>
        <item h="1" x="77"/>
        <item h="1" x="78"/>
        <item h="1" x="79"/>
        <item h="1" x="80"/>
        <item h="1" x="81"/>
        <item h="1" x="82"/>
        <item h="1" x="60"/>
        <item h="1" x="61"/>
        <item h="1" x="62"/>
        <item h="1" x="63"/>
        <item h="1" x="64"/>
        <item h="1" x="65"/>
        <item h="1" x="66"/>
        <item x="84"/>
        <item x="85"/>
        <item h="1" x="86"/>
        <item x="83"/>
        <item h="1" x="29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30"/>
        <item h="1" x="48"/>
        <item h="1" x="49"/>
        <item h="1" x="50"/>
        <item h="1" x="51"/>
        <item h="1" x="52"/>
        <item h="1" x="53"/>
        <item h="1" x="31"/>
        <item h="1" x="32"/>
        <item h="1" x="33"/>
        <item h="1" x="34"/>
        <item h="1" x="35"/>
        <item h="1" x="36"/>
        <item h="1" x="37"/>
        <item x="55"/>
        <item x="56"/>
        <item h="1" x="57"/>
        <item x="54"/>
        <item h="1" x="0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"/>
        <item h="1" x="19"/>
        <item h="1" x="20"/>
        <item h="1" x="21"/>
        <item h="1" x="22"/>
        <item h="1" x="23"/>
        <item h="1" x="24"/>
        <item h="1" x="2"/>
        <item h="1" x="3"/>
        <item h="1" x="4"/>
        <item h="1" x="5"/>
        <item h="1" x="6"/>
        <item h="1" x="7"/>
        <item h="1" x="8"/>
        <item x="26"/>
        <item x="27"/>
        <item h="1" x="28"/>
        <item x="25"/>
        <item t="default"/>
      </items>
    </pivotField>
    <pivotField axis="axisRow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ageFields count="1">
    <pageField fld="0" hier="-1"/>
  </pageFields>
  <dataFields count="1">
    <dataField name="Suma de Mortalidad" fld="4" baseField="0" baseItem="0"/>
  </dataFields>
  <formats count="1">
    <format dxfId="1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 dinámica2" cacheId="3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8:E28" firstHeaderRow="1" firstDataRow="1" firstDataCol="1" rowPageCount="1" colPageCount="1"/>
  <pivotFields count="6">
    <pivotField axis="axisPage" multipleItemSelectionAllowed="1" showAll="0">
      <items count="552">
        <item h="1" x="522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23"/>
        <item h="1" x="541"/>
        <item h="1" x="542"/>
        <item h="1" x="543"/>
        <item h="1" x="544"/>
        <item h="1" x="545"/>
        <item h="1" x="546"/>
        <item h="1" x="524"/>
        <item h="1" x="525"/>
        <item h="1" x="526"/>
        <item h="1" x="527"/>
        <item h="1" x="528"/>
        <item h="1" x="529"/>
        <item h="1" x="530"/>
        <item h="1" x="548"/>
        <item h="1" x="549"/>
        <item x="550"/>
        <item h="1" x="547"/>
        <item h="1" x="493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494"/>
        <item h="1" x="512"/>
        <item h="1" x="513"/>
        <item h="1" x="514"/>
        <item h="1" x="515"/>
        <item h="1" x="516"/>
        <item h="1" x="517"/>
        <item h="1" x="495"/>
        <item h="1" x="496"/>
        <item h="1" x="497"/>
        <item h="1" x="498"/>
        <item h="1" x="499"/>
        <item h="1" x="500"/>
        <item h="1" x="501"/>
        <item h="1" x="519"/>
        <item h="1" x="520"/>
        <item x="521"/>
        <item h="1" x="518"/>
        <item h="1" x="464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65"/>
        <item h="1" x="483"/>
        <item h="1" x="484"/>
        <item h="1" x="485"/>
        <item h="1" x="486"/>
        <item h="1" x="487"/>
        <item h="1" x="488"/>
        <item h="1" x="466"/>
        <item h="1" x="467"/>
        <item h="1" x="468"/>
        <item h="1" x="469"/>
        <item h="1" x="470"/>
        <item h="1" x="471"/>
        <item h="1" x="472"/>
        <item h="1" x="490"/>
        <item h="1" x="491"/>
        <item x="492"/>
        <item h="1" x="489"/>
        <item h="1" x="435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36"/>
        <item h="1" x="454"/>
        <item h="1" x="455"/>
        <item h="1" x="456"/>
        <item h="1" x="457"/>
        <item h="1" x="458"/>
        <item h="1" x="459"/>
        <item h="1" x="437"/>
        <item h="1" x="438"/>
        <item h="1" x="439"/>
        <item h="1" x="440"/>
        <item h="1" x="441"/>
        <item h="1" x="442"/>
        <item h="1" x="443"/>
        <item h="1" x="461"/>
        <item h="1" x="462"/>
        <item x="463"/>
        <item h="1" x="460"/>
        <item h="1" x="406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07"/>
        <item h="1" x="425"/>
        <item h="1" x="426"/>
        <item h="1" x="427"/>
        <item h="1" x="428"/>
        <item h="1" x="429"/>
        <item h="1" x="430"/>
        <item h="1" x="408"/>
        <item h="1" x="409"/>
        <item h="1" x="410"/>
        <item h="1" x="411"/>
        <item h="1" x="412"/>
        <item h="1" x="413"/>
        <item h="1" x="414"/>
        <item h="1" x="432"/>
        <item h="1" x="433"/>
        <item x="434"/>
        <item h="1" x="431"/>
        <item h="1" x="377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78"/>
        <item h="1" x="396"/>
        <item h="1" x="397"/>
        <item h="1" x="398"/>
        <item h="1" x="399"/>
        <item h="1" x="400"/>
        <item h="1" x="401"/>
        <item h="1" x="379"/>
        <item h="1" x="380"/>
        <item h="1" x="381"/>
        <item h="1" x="382"/>
        <item h="1" x="383"/>
        <item h="1" x="384"/>
        <item h="1" x="385"/>
        <item h="1" x="403"/>
        <item h="1" x="404"/>
        <item x="405"/>
        <item h="1" x="402"/>
        <item h="1" x="348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49"/>
        <item h="1" x="367"/>
        <item h="1" x="368"/>
        <item h="1" x="369"/>
        <item h="1" x="370"/>
        <item h="1" x="371"/>
        <item h="1" x="372"/>
        <item h="1" x="350"/>
        <item h="1" x="351"/>
        <item h="1" x="352"/>
        <item h="1" x="353"/>
        <item h="1" x="354"/>
        <item h="1" x="355"/>
        <item h="1" x="356"/>
        <item h="1" x="374"/>
        <item h="1" x="375"/>
        <item x="376"/>
        <item h="1" x="373"/>
        <item h="1" x="319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20"/>
        <item h="1" x="338"/>
        <item h="1" x="339"/>
        <item h="1" x="340"/>
        <item h="1" x="341"/>
        <item h="1" x="342"/>
        <item h="1" x="343"/>
        <item h="1" x="321"/>
        <item h="1" x="322"/>
        <item h="1" x="323"/>
        <item h="1" x="324"/>
        <item h="1" x="325"/>
        <item h="1" x="326"/>
        <item h="1" x="327"/>
        <item h="1" x="345"/>
        <item h="1" x="346"/>
        <item x="347"/>
        <item h="1" x="344"/>
        <item h="1" x="290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291"/>
        <item h="1" x="309"/>
        <item h="1" x="310"/>
        <item h="1" x="311"/>
        <item h="1" x="312"/>
        <item h="1" x="313"/>
        <item h="1" x="314"/>
        <item h="1" x="292"/>
        <item h="1" x="293"/>
        <item h="1" x="294"/>
        <item h="1" x="295"/>
        <item h="1" x="296"/>
        <item h="1" x="297"/>
        <item h="1" x="298"/>
        <item h="1" x="316"/>
        <item h="1" x="317"/>
        <item x="318"/>
        <item h="1" x="315"/>
        <item h="1" x="261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62"/>
        <item h="1" x="280"/>
        <item h="1" x="281"/>
        <item h="1" x="282"/>
        <item h="1" x="283"/>
        <item h="1" x="284"/>
        <item h="1" x="285"/>
        <item h="1" x="263"/>
        <item h="1" x="264"/>
        <item h="1" x="265"/>
        <item h="1" x="266"/>
        <item h="1" x="267"/>
        <item h="1" x="268"/>
        <item h="1" x="269"/>
        <item h="1" x="287"/>
        <item h="1" x="288"/>
        <item x="289"/>
        <item h="1" x="286"/>
        <item h="1" x="232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33"/>
        <item h="1" x="251"/>
        <item h="1" x="252"/>
        <item h="1" x="253"/>
        <item h="1" x="254"/>
        <item h="1" x="255"/>
        <item h="1" x="256"/>
        <item h="1" x="234"/>
        <item h="1" x="235"/>
        <item h="1" x="236"/>
        <item h="1" x="237"/>
        <item h="1" x="238"/>
        <item h="1" x="239"/>
        <item h="1" x="240"/>
        <item h="1" x="258"/>
        <item h="1" x="259"/>
        <item x="260"/>
        <item h="1" x="257"/>
        <item h="1" x="203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04"/>
        <item h="1" x="222"/>
        <item h="1" x="223"/>
        <item h="1" x="224"/>
        <item h="1" x="225"/>
        <item h="1" x="226"/>
        <item h="1" x="227"/>
        <item h="1" x="205"/>
        <item h="1" x="206"/>
        <item h="1" x="207"/>
        <item h="1" x="208"/>
        <item h="1" x="209"/>
        <item h="1" x="210"/>
        <item h="1" x="211"/>
        <item h="1" x="229"/>
        <item h="1" x="230"/>
        <item x="231"/>
        <item h="1" x="228"/>
        <item h="1" x="174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75"/>
        <item h="1" x="193"/>
        <item h="1" x="194"/>
        <item h="1" x="195"/>
        <item h="1" x="196"/>
        <item h="1" x="197"/>
        <item h="1" x="198"/>
        <item h="1" x="176"/>
        <item h="1" x="177"/>
        <item h="1" x="178"/>
        <item h="1" x="179"/>
        <item h="1" x="180"/>
        <item h="1" x="181"/>
        <item h="1" x="182"/>
        <item h="1" x="200"/>
        <item h="1" x="201"/>
        <item x="202"/>
        <item h="1" x="199"/>
        <item h="1" x="145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46"/>
        <item h="1" x="164"/>
        <item h="1" x="165"/>
        <item h="1" x="166"/>
        <item h="1" x="167"/>
        <item h="1" x="168"/>
        <item h="1" x="169"/>
        <item h="1" x="147"/>
        <item h="1" x="148"/>
        <item h="1" x="149"/>
        <item h="1" x="150"/>
        <item h="1" x="151"/>
        <item h="1" x="152"/>
        <item h="1" x="153"/>
        <item h="1" x="171"/>
        <item h="1" x="172"/>
        <item x="173"/>
        <item h="1" x="170"/>
        <item h="1" x="116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17"/>
        <item h="1" x="135"/>
        <item h="1" x="136"/>
        <item h="1" x="137"/>
        <item h="1" x="138"/>
        <item h="1" x="139"/>
        <item h="1" x="140"/>
        <item h="1" x="118"/>
        <item h="1" x="119"/>
        <item h="1" x="120"/>
        <item h="1" x="121"/>
        <item h="1" x="122"/>
        <item h="1" x="123"/>
        <item h="1" x="124"/>
        <item h="1" x="142"/>
        <item h="1" x="143"/>
        <item x="144"/>
        <item h="1" x="141"/>
        <item h="1" x="87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88"/>
        <item h="1" x="106"/>
        <item h="1" x="107"/>
        <item h="1" x="108"/>
        <item h="1" x="109"/>
        <item h="1" x="110"/>
        <item h="1" x="111"/>
        <item h="1" x="89"/>
        <item h="1" x="90"/>
        <item h="1" x="91"/>
        <item h="1" x="92"/>
        <item h="1" x="93"/>
        <item h="1" x="94"/>
        <item h="1" x="95"/>
        <item h="1" x="113"/>
        <item h="1" x="114"/>
        <item x="115"/>
        <item h="1" x="112"/>
        <item h="1" x="58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59"/>
        <item h="1" x="77"/>
        <item h="1" x="78"/>
        <item h="1" x="79"/>
        <item h="1" x="80"/>
        <item h="1" x="81"/>
        <item h="1" x="82"/>
        <item h="1" x="60"/>
        <item h="1" x="61"/>
        <item h="1" x="62"/>
        <item h="1" x="63"/>
        <item h="1" x="64"/>
        <item h="1" x="65"/>
        <item h="1" x="66"/>
        <item h="1" x="84"/>
        <item h="1" x="85"/>
        <item x="86"/>
        <item h="1" x="83"/>
        <item h="1" x="29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30"/>
        <item h="1" x="48"/>
        <item h="1" x="49"/>
        <item h="1" x="50"/>
        <item h="1" x="51"/>
        <item h="1" x="52"/>
        <item h="1" x="53"/>
        <item h="1" x="31"/>
        <item h="1" x="32"/>
        <item h="1" x="33"/>
        <item h="1" x="34"/>
        <item h="1" x="35"/>
        <item h="1" x="36"/>
        <item h="1" x="37"/>
        <item h="1" x="55"/>
        <item h="1" x="56"/>
        <item x="57"/>
        <item h="1" x="54"/>
        <item h="1" x="0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"/>
        <item h="1" x="19"/>
        <item h="1" x="20"/>
        <item h="1" x="21"/>
        <item h="1" x="22"/>
        <item h="1" x="23"/>
        <item h="1" x="24"/>
        <item h="1" x="2"/>
        <item h="1" x="3"/>
        <item h="1" x="4"/>
        <item h="1" x="5"/>
        <item h="1" x="6"/>
        <item h="1" x="7"/>
        <item h="1" x="8"/>
        <item h="1" x="26"/>
        <item h="1" x="27"/>
        <item x="28"/>
        <item h="1" x="25"/>
        <item t="default"/>
      </items>
    </pivotField>
    <pivotField axis="axisRow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ageFields count="1">
    <pageField fld="0" hier="-1"/>
  </pageFields>
  <dataFields count="1">
    <dataField name="Suma de Mortalidad" fld="4" baseField="0" baseItem="0"/>
  </dataFields>
  <formats count="1">
    <format dxfId="11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 diná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5:B25" firstHeaderRow="1" firstDataRow="1" firstDataCol="1" rowPageCount="1" colPageCount="1"/>
  <pivotFields count="6">
    <pivotField showAll="0"/>
    <pivotField axis="axisRow" showAll="0">
      <items count="22">
        <item x="6"/>
        <item x="5"/>
        <item x="4"/>
        <item x="3"/>
        <item x="2"/>
        <item x="1"/>
        <item x="0"/>
        <item x="7"/>
        <item x="8"/>
        <item x="9"/>
        <item x="10"/>
        <item x="19"/>
        <item x="11"/>
        <item x="12"/>
        <item x="13"/>
        <item x="14"/>
        <item x="15"/>
        <item x="16"/>
        <item x="17"/>
        <item x="18"/>
        <item m="1" x="20"/>
        <item t="default"/>
      </items>
    </pivotField>
    <pivotField axis="axisPage" multipleItemSelectionAllowe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6"/>
        <item h="1" x="27"/>
        <item h="1" x="28"/>
        <item h="1" x="25"/>
        <item h="1" x="29"/>
        <item t="default"/>
      </items>
    </pivotField>
    <pivotField showAll="0"/>
    <pivotField dataField="1" showAll="0"/>
    <pivotField numFmtId="10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2" hier="-1"/>
  </pageFields>
  <dataFields count="1">
    <dataField name="Suma de Mortalidad" fld="4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 diná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5:E25" firstHeaderRow="1" firstDataRow="1" firstDataCol="1"/>
  <pivotFields count="6">
    <pivotField axis="axisRow" showAll="0">
      <items count="554">
        <item h="1" x="174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75"/>
        <item h="1" x="193"/>
        <item h="1" x="194"/>
        <item h="1" x="195"/>
        <item h="1" x="196"/>
        <item h="1" x="197"/>
        <item h="1" x="198"/>
        <item h="1" x="176"/>
        <item h="1" x="177"/>
        <item h="1" x="178"/>
        <item h="1" x="179"/>
        <item h="1" x="180"/>
        <item h="1" x="181"/>
        <item h="1" x="182"/>
        <item h="1" x="200"/>
        <item h="1" x="201"/>
        <item h="1" x="202"/>
        <item x="199"/>
        <item h="1" x="145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46"/>
        <item h="1" x="164"/>
        <item h="1" x="165"/>
        <item h="1" x="166"/>
        <item h="1" x="167"/>
        <item h="1" x="168"/>
        <item h="1" x="169"/>
        <item h="1" x="147"/>
        <item h="1" x="148"/>
        <item h="1" x="149"/>
        <item h="1" x="150"/>
        <item h="1" x="151"/>
        <item h="1" x="152"/>
        <item h="1" x="153"/>
        <item h="1" x="171"/>
        <item h="1" x="172"/>
        <item h="1" x="173"/>
        <item x="170"/>
        <item h="1" x="116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17"/>
        <item h="1" x="135"/>
        <item h="1" x="136"/>
        <item h="1" x="137"/>
        <item h="1" x="138"/>
        <item h="1" x="139"/>
        <item h="1" x="140"/>
        <item h="1" x="118"/>
        <item h="1" x="119"/>
        <item h="1" x="120"/>
        <item h="1" x="121"/>
        <item h="1" x="122"/>
        <item h="1" x="123"/>
        <item h="1" x="124"/>
        <item h="1" x="142"/>
        <item h="1" x="143"/>
        <item h="1" x="144"/>
        <item x="141"/>
        <item h="1" x="87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88"/>
        <item h="1" x="106"/>
        <item h="1" x="107"/>
        <item h="1" x="108"/>
        <item h="1" x="109"/>
        <item h="1" x="110"/>
        <item h="1" x="111"/>
        <item h="1" x="89"/>
        <item h="1" x="90"/>
        <item h="1" x="91"/>
        <item h="1" x="92"/>
        <item h="1" x="93"/>
        <item h="1" x="94"/>
        <item h="1" x="95"/>
        <item h="1" x="113"/>
        <item h="1" x="114"/>
        <item h="1" x="115"/>
        <item x="112"/>
        <item h="1" x="58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59"/>
        <item h="1" x="77"/>
        <item h="1" x="78"/>
        <item h="1" x="79"/>
        <item h="1" x="80"/>
        <item h="1" x="81"/>
        <item h="1" x="82"/>
        <item h="1" x="60"/>
        <item h="1" x="61"/>
        <item h="1" x="62"/>
        <item h="1" x="63"/>
        <item h="1" x="64"/>
        <item h="1" x="65"/>
        <item h="1" x="66"/>
        <item h="1" x="84"/>
        <item h="1" x="85"/>
        <item h="1" x="86"/>
        <item x="83"/>
        <item h="1" x="29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30"/>
        <item h="1" x="48"/>
        <item h="1" x="49"/>
        <item h="1" x="50"/>
        <item h="1" x="51"/>
        <item h="1" x="52"/>
        <item h="1" x="53"/>
        <item h="1" x="31"/>
        <item h="1" x="32"/>
        <item h="1" x="33"/>
        <item h="1" x="34"/>
        <item h="1" x="35"/>
        <item h="1" x="36"/>
        <item h="1" x="37"/>
        <item h="1" x="55"/>
        <item h="1" x="56"/>
        <item h="1" x="57"/>
        <item x="54"/>
        <item h="1" x="0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"/>
        <item h="1" x="19"/>
        <item h="1" x="20"/>
        <item h="1" x="21"/>
        <item h="1" x="22"/>
        <item h="1" x="23"/>
        <item h="1" x="24"/>
        <item h="1" x="2"/>
        <item h="1" x="3"/>
        <item h="1" x="4"/>
        <item h="1" x="5"/>
        <item h="1" x="6"/>
        <item h="1" x="7"/>
        <item h="1" x="8"/>
        <item h="1" x="26"/>
        <item h="1" x="27"/>
        <item h="1" x="28"/>
        <item x="25"/>
        <item h="1" x="551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x="547"/>
        <item h="1" x="548"/>
        <item h="1" x="549"/>
        <item h="1" x="550"/>
        <item h="1" m="1" x="552"/>
        <item t="default"/>
      </items>
    </pivotField>
    <pivotField showAll="0"/>
    <pivotField showAll="0"/>
    <pivotField showAll="0"/>
    <pivotField dataField="1" showAll="0"/>
    <pivotField numFmtId="10" showAll="0"/>
  </pivotFields>
  <rowFields count="1">
    <field x="0"/>
  </rowFields>
  <rowItems count="20">
    <i>
      <x v="28"/>
    </i>
    <i>
      <x v="57"/>
    </i>
    <i>
      <x v="86"/>
    </i>
    <i>
      <x v="115"/>
    </i>
    <i>
      <x v="144"/>
    </i>
    <i>
      <x v="173"/>
    </i>
    <i>
      <x v="202"/>
    </i>
    <i>
      <x v="229"/>
    </i>
    <i>
      <x v="258"/>
    </i>
    <i>
      <x v="287"/>
    </i>
    <i>
      <x v="316"/>
    </i>
    <i>
      <x v="345"/>
    </i>
    <i>
      <x v="374"/>
    </i>
    <i>
      <x v="403"/>
    </i>
    <i>
      <x v="432"/>
    </i>
    <i>
      <x v="461"/>
    </i>
    <i>
      <x v="490"/>
    </i>
    <i>
      <x v="519"/>
    </i>
    <i>
      <x v="548"/>
    </i>
    <i t="grand">
      <x/>
    </i>
  </rowItems>
  <colItems count="1">
    <i/>
  </colItems>
  <dataFields count="1">
    <dataField name="Suma de Mortalidad" fld="4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showGridLines="0" workbookViewId="0">
      <selection activeCell="B16" sqref="B16"/>
    </sheetView>
  </sheetViews>
  <sheetFormatPr baseColWidth="10" defaultRowHeight="15" x14ac:dyDescent="0.25"/>
  <cols>
    <col min="1" max="1" width="17.5703125" customWidth="1"/>
    <col min="2" max="2" width="20.42578125" style="44" bestFit="1" customWidth="1"/>
    <col min="4" max="4" width="17.5703125" bestFit="1" customWidth="1"/>
    <col min="5" max="5" width="18.7109375" style="46" customWidth="1"/>
    <col min="6" max="6" width="11.7109375" style="43" bestFit="1" customWidth="1"/>
    <col min="7" max="7" width="35.5703125" bestFit="1" customWidth="1"/>
  </cols>
  <sheetData>
    <row r="2" spans="1:6" x14ac:dyDescent="0.25">
      <c r="A2" s="42" t="s">
        <v>145</v>
      </c>
    </row>
    <row r="3" spans="1:6" x14ac:dyDescent="0.25">
      <c r="A3" s="7" t="s">
        <v>40</v>
      </c>
      <c r="B3" s="47" t="s">
        <v>53</v>
      </c>
    </row>
    <row r="5" spans="1:6" x14ac:dyDescent="0.25">
      <c r="A5" s="7" t="s">
        <v>43</v>
      </c>
      <c r="B5" s="47" t="s">
        <v>144</v>
      </c>
      <c r="D5" s="7" t="s">
        <v>43</v>
      </c>
      <c r="E5" s="49" t="s">
        <v>144</v>
      </c>
      <c r="F5" s="45" t="s">
        <v>142</v>
      </c>
    </row>
    <row r="6" spans="1:6" x14ac:dyDescent="0.25">
      <c r="A6" s="8">
        <v>2008</v>
      </c>
      <c r="B6" s="47">
        <v>0.88479999999999981</v>
      </c>
      <c r="D6" s="8" t="s">
        <v>46</v>
      </c>
      <c r="E6" s="49">
        <v>0.88390000000000002</v>
      </c>
      <c r="F6" s="43">
        <f>+E6-B6</f>
        <v>-8.9999999999978986E-4</v>
      </c>
    </row>
    <row r="7" spans="1:6" x14ac:dyDescent="0.25">
      <c r="A7" s="8">
        <v>2009</v>
      </c>
      <c r="B7" s="47">
        <v>0.8747999999999998</v>
      </c>
      <c r="D7" s="8" t="s">
        <v>47</v>
      </c>
      <c r="E7" s="49">
        <v>0.87390000000000001</v>
      </c>
      <c r="F7" s="43">
        <f t="shared" ref="F7:F24" si="0">+E7-B7</f>
        <v>-8.9999999999978986E-4</v>
      </c>
    </row>
    <row r="8" spans="1:6" x14ac:dyDescent="0.25">
      <c r="A8" s="8">
        <v>2010</v>
      </c>
      <c r="B8" s="47">
        <v>0.87809999999999999</v>
      </c>
      <c r="D8" s="8" t="s">
        <v>48</v>
      </c>
      <c r="E8" s="49">
        <v>0.87739999999999996</v>
      </c>
      <c r="F8" s="43">
        <f t="shared" si="0"/>
        <v>-7.0000000000003393E-4</v>
      </c>
    </row>
    <row r="9" spans="1:6" x14ac:dyDescent="0.25">
      <c r="A9" s="8">
        <v>2011</v>
      </c>
      <c r="B9" s="47">
        <v>0.87940000000000018</v>
      </c>
      <c r="D9" s="8" t="s">
        <v>49</v>
      </c>
      <c r="E9" s="49">
        <v>0.87870000000000004</v>
      </c>
      <c r="F9" s="43">
        <f t="shared" si="0"/>
        <v>-7.0000000000014495E-4</v>
      </c>
    </row>
    <row r="10" spans="1:6" x14ac:dyDescent="0.25">
      <c r="A10" s="8">
        <v>2012</v>
      </c>
      <c r="B10" s="47">
        <v>0.8727999999999998</v>
      </c>
      <c r="D10" s="8" t="s">
        <v>50</v>
      </c>
      <c r="E10" s="49">
        <v>0.87219999999999998</v>
      </c>
      <c r="F10" s="43">
        <f t="shared" si="0"/>
        <v>-5.999999999998229E-4</v>
      </c>
    </row>
    <row r="11" spans="1:6" x14ac:dyDescent="0.25">
      <c r="A11" s="8">
        <v>2013</v>
      </c>
      <c r="B11" s="47">
        <v>0.87380000000000013</v>
      </c>
      <c r="D11" s="8" t="s">
        <v>51</v>
      </c>
      <c r="E11" s="49">
        <v>0.87339999999999995</v>
      </c>
      <c r="F11" s="43">
        <f t="shared" si="0"/>
        <v>-4.0000000000017799E-4</v>
      </c>
    </row>
    <row r="12" spans="1:6" x14ac:dyDescent="0.25">
      <c r="A12" s="8">
        <v>2014</v>
      </c>
      <c r="B12" s="47">
        <v>0.88009999999999988</v>
      </c>
      <c r="D12" s="8" t="s">
        <v>52</v>
      </c>
      <c r="E12" s="49">
        <v>0.87909999999999999</v>
      </c>
      <c r="F12" s="43">
        <f t="shared" si="0"/>
        <v>-9.9999999999988987E-4</v>
      </c>
    </row>
    <row r="13" spans="1:6" x14ac:dyDescent="0.25">
      <c r="A13" s="8">
        <v>2007</v>
      </c>
      <c r="B13" s="47">
        <v>0.87730000000000008</v>
      </c>
      <c r="D13" s="8" t="s">
        <v>61</v>
      </c>
      <c r="E13" s="49">
        <v>0.87729999999999997</v>
      </c>
      <c r="F13" s="43">
        <f t="shared" si="0"/>
        <v>0</v>
      </c>
    </row>
    <row r="14" spans="1:6" x14ac:dyDescent="0.25">
      <c r="A14" s="8">
        <v>2006</v>
      </c>
      <c r="B14" s="47">
        <v>0.87769999999999992</v>
      </c>
      <c r="D14" s="8" t="s">
        <v>62</v>
      </c>
      <c r="E14" s="49">
        <v>0.87839999999999996</v>
      </c>
      <c r="F14" s="43">
        <f t="shared" si="0"/>
        <v>7.0000000000003393E-4</v>
      </c>
    </row>
    <row r="15" spans="1:6" x14ac:dyDescent="0.25">
      <c r="A15" s="8">
        <v>2005</v>
      </c>
      <c r="B15" s="47">
        <v>0.88800000000000001</v>
      </c>
      <c r="D15" s="8" t="s">
        <v>63</v>
      </c>
      <c r="E15" s="49">
        <v>0.88300000000000001</v>
      </c>
      <c r="F15" s="43">
        <f t="shared" si="0"/>
        <v>-5.0000000000000044E-3</v>
      </c>
    </row>
    <row r="16" spans="1:6" x14ac:dyDescent="0.25">
      <c r="A16" s="8">
        <v>2004</v>
      </c>
      <c r="B16" s="47">
        <v>0.87550000000000006</v>
      </c>
      <c r="D16" s="8" t="s">
        <v>64</v>
      </c>
      <c r="E16" s="49">
        <v>0.87250000000000005</v>
      </c>
      <c r="F16" s="43">
        <f t="shared" si="0"/>
        <v>-3.0000000000000027E-3</v>
      </c>
    </row>
    <row r="17" spans="1:7" x14ac:dyDescent="0.25">
      <c r="A17" s="8">
        <v>2003</v>
      </c>
      <c r="B17" s="47">
        <v>0.87439999999999973</v>
      </c>
      <c r="D17" s="8" t="s">
        <v>130</v>
      </c>
      <c r="E17" s="49">
        <v>0.87090000000000001</v>
      </c>
      <c r="F17" s="43">
        <f t="shared" si="0"/>
        <v>-3.4999999999997256E-3</v>
      </c>
    </row>
    <row r="18" spans="1:7" x14ac:dyDescent="0.25">
      <c r="A18" s="8">
        <v>2002</v>
      </c>
      <c r="B18" s="47">
        <v>0.91569999999999996</v>
      </c>
      <c r="D18" s="8" t="s">
        <v>131</v>
      </c>
      <c r="E18" s="49">
        <v>0.91569999999999996</v>
      </c>
      <c r="F18" s="43">
        <f t="shared" si="0"/>
        <v>0</v>
      </c>
    </row>
    <row r="19" spans="1:7" x14ac:dyDescent="0.25">
      <c r="A19" s="8">
        <v>2001</v>
      </c>
      <c r="B19" s="47">
        <v>0.88890000000000013</v>
      </c>
      <c r="D19" s="8" t="s">
        <v>132</v>
      </c>
      <c r="E19" s="49">
        <v>0.88990000000000002</v>
      </c>
      <c r="F19" s="43">
        <f t="shared" si="0"/>
        <v>9.9999999999988987E-4</v>
      </c>
    </row>
    <row r="20" spans="1:7" x14ac:dyDescent="0.25">
      <c r="A20" s="8">
        <v>2000</v>
      </c>
      <c r="B20" s="47">
        <v>0.88209999999999988</v>
      </c>
      <c r="D20" s="8" t="s">
        <v>133</v>
      </c>
      <c r="E20" s="49">
        <v>0.87790000000000001</v>
      </c>
      <c r="F20" s="43">
        <f t="shared" si="0"/>
        <v>-4.1999999999998705E-3</v>
      </c>
    </row>
    <row r="21" spans="1:7" x14ac:dyDescent="0.25">
      <c r="A21" s="8">
        <v>1999</v>
      </c>
      <c r="B21" s="47">
        <v>0.87790000000000012</v>
      </c>
      <c r="D21" s="8" t="s">
        <v>134</v>
      </c>
      <c r="E21" s="49">
        <v>0.87229999999999996</v>
      </c>
      <c r="F21" s="43">
        <f t="shared" si="0"/>
        <v>-5.6000000000001604E-3</v>
      </c>
    </row>
    <row r="22" spans="1:7" x14ac:dyDescent="0.25">
      <c r="A22" s="8">
        <v>1998</v>
      </c>
      <c r="B22" s="47">
        <v>0.87520000000000009</v>
      </c>
      <c r="D22" s="8" t="s">
        <v>135</v>
      </c>
      <c r="E22" s="49">
        <v>0.86209999999999998</v>
      </c>
      <c r="F22" s="43">
        <f t="shared" si="0"/>
        <v>-1.3100000000000112E-2</v>
      </c>
      <c r="G22" t="s">
        <v>139</v>
      </c>
    </row>
    <row r="23" spans="1:7" x14ac:dyDescent="0.25">
      <c r="A23" s="8">
        <v>1997</v>
      </c>
      <c r="B23" s="47">
        <v>0.90500000000000003</v>
      </c>
      <c r="D23" s="8" t="s">
        <v>136</v>
      </c>
      <c r="E23" s="49">
        <v>0.88429999999999997</v>
      </c>
      <c r="F23" s="43">
        <f t="shared" si="0"/>
        <v>-2.0700000000000052E-2</v>
      </c>
      <c r="G23" t="s">
        <v>139</v>
      </c>
    </row>
    <row r="24" spans="1:7" x14ac:dyDescent="0.25">
      <c r="A24" s="8">
        <v>1996</v>
      </c>
      <c r="B24" s="47">
        <v>0.87690000000000012</v>
      </c>
      <c r="D24" s="8" t="s">
        <v>137</v>
      </c>
      <c r="E24" s="49">
        <v>0.8649</v>
      </c>
      <c r="F24" s="43">
        <f t="shared" si="0"/>
        <v>-1.2000000000000122E-2</v>
      </c>
    </row>
    <row r="25" spans="1:7" x14ac:dyDescent="0.25">
      <c r="A25" s="8" t="s">
        <v>44</v>
      </c>
      <c r="B25" s="47">
        <v>16.758399999999998</v>
      </c>
      <c r="D25" s="8" t="s">
        <v>44</v>
      </c>
      <c r="E25" s="49">
        <v>16.687799999999999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workbookViewId="0">
      <selection activeCell="B1" sqref="B1"/>
    </sheetView>
  </sheetViews>
  <sheetFormatPr baseColWidth="10" defaultRowHeight="15" x14ac:dyDescent="0.25"/>
  <cols>
    <col min="1" max="1" width="17.5703125" bestFit="1" customWidth="1"/>
    <col min="2" max="2" width="20.42578125" style="46" customWidth="1"/>
    <col min="4" max="4" width="17.5703125" bestFit="1" customWidth="1"/>
    <col min="5" max="5" width="20.42578125" style="43" customWidth="1"/>
    <col min="6" max="6" width="11.42578125" style="46"/>
  </cols>
  <sheetData>
    <row r="1" spans="1:8" x14ac:dyDescent="0.25">
      <c r="A1" s="18" t="s">
        <v>36</v>
      </c>
    </row>
    <row r="2" spans="1:8" x14ac:dyDescent="0.25">
      <c r="A2" s="18" t="s">
        <v>33</v>
      </c>
    </row>
    <row r="3" spans="1:8" x14ac:dyDescent="0.25">
      <c r="A3" s="18" t="s">
        <v>34</v>
      </c>
      <c r="D3" s="42" t="s">
        <v>147</v>
      </c>
    </row>
    <row r="5" spans="1:8" x14ac:dyDescent="0.25">
      <c r="H5" s="18"/>
    </row>
    <row r="6" spans="1:8" x14ac:dyDescent="0.25">
      <c r="A6" s="7" t="s">
        <v>37</v>
      </c>
      <c r="B6" s="49" t="s">
        <v>53</v>
      </c>
      <c r="D6" s="7" t="s">
        <v>37</v>
      </c>
      <c r="E6" t="s">
        <v>53</v>
      </c>
    </row>
    <row r="8" spans="1:8" x14ac:dyDescent="0.25">
      <c r="A8" s="7" t="s">
        <v>43</v>
      </c>
      <c r="B8" s="49" t="s">
        <v>146</v>
      </c>
      <c r="D8" s="7" t="s">
        <v>43</v>
      </c>
      <c r="E8" t="s">
        <v>146</v>
      </c>
      <c r="F8" s="52" t="s">
        <v>142</v>
      </c>
    </row>
    <row r="9" spans="1:8" x14ac:dyDescent="0.25">
      <c r="A9" s="8">
        <v>1996</v>
      </c>
      <c r="B9" s="49">
        <v>1</v>
      </c>
      <c r="D9" s="8">
        <v>1996</v>
      </c>
      <c r="E9" s="14">
        <v>1</v>
      </c>
      <c r="F9" s="46">
        <f>+E9-B9</f>
        <v>0</v>
      </c>
    </row>
    <row r="10" spans="1:8" x14ac:dyDescent="0.25">
      <c r="A10" s="8">
        <v>1997</v>
      </c>
      <c r="B10" s="49">
        <v>0.99990000000000001</v>
      </c>
      <c r="D10" s="8">
        <v>1997</v>
      </c>
      <c r="E10" s="14">
        <v>1</v>
      </c>
      <c r="F10" s="46">
        <f t="shared" ref="F10:F27" si="0">+E10-B10</f>
        <v>9.9999999999988987E-5</v>
      </c>
    </row>
    <row r="11" spans="1:8" x14ac:dyDescent="0.25">
      <c r="A11" s="8">
        <v>1998</v>
      </c>
      <c r="B11" s="49">
        <v>0.90749999999999997</v>
      </c>
      <c r="D11" s="8">
        <v>1998</v>
      </c>
      <c r="E11" s="14">
        <v>1</v>
      </c>
      <c r="F11" s="46">
        <f t="shared" si="0"/>
        <v>9.2500000000000027E-2</v>
      </c>
    </row>
    <row r="12" spans="1:8" x14ac:dyDescent="0.25">
      <c r="A12" s="8">
        <v>1999</v>
      </c>
      <c r="B12" s="49">
        <v>0.92069999999999996</v>
      </c>
      <c r="D12" s="8">
        <v>1999</v>
      </c>
      <c r="E12" s="14">
        <v>1</v>
      </c>
      <c r="F12" s="46">
        <f t="shared" si="0"/>
        <v>7.9300000000000037E-2</v>
      </c>
    </row>
    <row r="13" spans="1:8" x14ac:dyDescent="0.25">
      <c r="A13" s="8">
        <v>2000</v>
      </c>
      <c r="B13" s="49">
        <v>0.92480000000000007</v>
      </c>
      <c r="D13" s="8">
        <v>2000</v>
      </c>
      <c r="E13" s="14">
        <v>1</v>
      </c>
      <c r="F13" s="46">
        <f t="shared" si="0"/>
        <v>7.5199999999999934E-2</v>
      </c>
    </row>
    <row r="14" spans="1:8" x14ac:dyDescent="0.25">
      <c r="A14" s="8">
        <v>2001</v>
      </c>
      <c r="B14" s="49">
        <v>0.93269999999999997</v>
      </c>
      <c r="D14" s="8">
        <v>2001</v>
      </c>
      <c r="E14" s="14">
        <v>1</v>
      </c>
      <c r="F14" s="46">
        <f t="shared" si="0"/>
        <v>6.7300000000000026E-2</v>
      </c>
    </row>
    <row r="15" spans="1:8" x14ac:dyDescent="0.25">
      <c r="A15" s="8">
        <v>2002</v>
      </c>
      <c r="B15" s="49">
        <v>0.97029999999999994</v>
      </c>
      <c r="D15" s="8">
        <v>2002</v>
      </c>
      <c r="E15" s="14">
        <v>1</v>
      </c>
      <c r="F15" s="46">
        <f t="shared" si="0"/>
        <v>2.970000000000006E-2</v>
      </c>
    </row>
    <row r="16" spans="1:8" x14ac:dyDescent="0.25">
      <c r="A16" s="8">
        <v>2003</v>
      </c>
      <c r="B16" s="49">
        <v>0.93269999999999997</v>
      </c>
      <c r="D16" s="8">
        <v>2003</v>
      </c>
      <c r="E16" s="14">
        <v>1</v>
      </c>
      <c r="F16" s="46">
        <f t="shared" si="0"/>
        <v>6.7300000000000026E-2</v>
      </c>
    </row>
    <row r="17" spans="1:6" x14ac:dyDescent="0.25">
      <c r="A17" s="8">
        <v>2004</v>
      </c>
      <c r="B17" s="49">
        <v>0.93270000000000008</v>
      </c>
      <c r="D17" s="8">
        <v>2004</v>
      </c>
      <c r="E17" s="14">
        <v>1</v>
      </c>
      <c r="F17" s="46">
        <f t="shared" si="0"/>
        <v>6.7299999999999915E-2</v>
      </c>
    </row>
    <row r="18" spans="1:6" x14ac:dyDescent="0.25">
      <c r="A18" s="8">
        <v>2005</v>
      </c>
      <c r="B18" s="49">
        <v>0.93379999999999996</v>
      </c>
      <c r="D18" s="8">
        <v>2005</v>
      </c>
      <c r="E18" s="14">
        <v>1</v>
      </c>
      <c r="F18" s="46">
        <f t="shared" si="0"/>
        <v>6.6200000000000037E-2</v>
      </c>
    </row>
    <row r="19" spans="1:6" x14ac:dyDescent="0.25">
      <c r="A19" s="8">
        <v>2006</v>
      </c>
      <c r="B19" s="49">
        <v>0.93379999999999996</v>
      </c>
      <c r="D19" s="8">
        <v>2006</v>
      </c>
      <c r="E19" s="14">
        <v>1</v>
      </c>
      <c r="F19" s="46">
        <f t="shared" si="0"/>
        <v>6.6200000000000037E-2</v>
      </c>
    </row>
    <row r="20" spans="1:6" x14ac:dyDescent="0.25">
      <c r="A20" s="8">
        <v>2007</v>
      </c>
      <c r="B20" s="49">
        <v>0.93789999999999996</v>
      </c>
      <c r="D20" s="8">
        <v>2007</v>
      </c>
      <c r="E20" s="14">
        <v>1</v>
      </c>
      <c r="F20" s="46">
        <f t="shared" si="0"/>
        <v>6.2100000000000044E-2</v>
      </c>
    </row>
    <row r="21" spans="1:6" x14ac:dyDescent="0.25">
      <c r="A21" s="8">
        <v>2008</v>
      </c>
      <c r="B21" s="49">
        <v>0.94530000000000003</v>
      </c>
      <c r="D21" s="8">
        <v>2008</v>
      </c>
      <c r="E21" s="14">
        <v>1</v>
      </c>
      <c r="F21" s="46">
        <f t="shared" si="0"/>
        <v>5.4699999999999971E-2</v>
      </c>
    </row>
    <row r="22" spans="1:6" x14ac:dyDescent="0.25">
      <c r="A22" s="8">
        <v>2009</v>
      </c>
      <c r="B22" s="49">
        <v>0.94330000000000003</v>
      </c>
      <c r="D22" s="8">
        <v>2009</v>
      </c>
      <c r="E22" s="14">
        <v>1</v>
      </c>
      <c r="F22" s="46">
        <f t="shared" si="0"/>
        <v>5.6699999999999973E-2</v>
      </c>
    </row>
    <row r="23" spans="1:6" x14ac:dyDescent="0.25">
      <c r="A23" s="8">
        <v>2010</v>
      </c>
      <c r="B23" s="49">
        <v>0.94119999999999993</v>
      </c>
      <c r="D23" s="8">
        <v>2010</v>
      </c>
      <c r="E23" s="14">
        <v>1</v>
      </c>
      <c r="F23" s="46">
        <f t="shared" si="0"/>
        <v>5.8800000000000074E-2</v>
      </c>
    </row>
    <row r="24" spans="1:6" x14ac:dyDescent="0.25">
      <c r="A24" s="8">
        <v>2011</v>
      </c>
      <c r="B24" s="49">
        <v>0.94200000000000006</v>
      </c>
      <c r="D24" s="8">
        <v>2011</v>
      </c>
      <c r="E24" s="14">
        <v>1</v>
      </c>
      <c r="F24" s="46">
        <f t="shared" si="0"/>
        <v>5.799999999999994E-2</v>
      </c>
    </row>
    <row r="25" spans="1:6" x14ac:dyDescent="0.25">
      <c r="A25" s="8">
        <v>2012</v>
      </c>
      <c r="B25" s="49">
        <v>0.9405</v>
      </c>
      <c r="D25" s="8">
        <v>2012</v>
      </c>
      <c r="E25" s="14">
        <v>1</v>
      </c>
      <c r="F25" s="46">
        <f t="shared" si="0"/>
        <v>5.9499999999999997E-2</v>
      </c>
    </row>
    <row r="26" spans="1:6" x14ac:dyDescent="0.25">
      <c r="A26" s="8">
        <v>2013</v>
      </c>
      <c r="B26" s="49">
        <v>0.94140000000000001</v>
      </c>
      <c r="D26" s="8">
        <v>2013</v>
      </c>
      <c r="E26" s="14">
        <v>1</v>
      </c>
      <c r="F26" s="46">
        <f t="shared" si="0"/>
        <v>5.8599999999999985E-2</v>
      </c>
    </row>
    <row r="27" spans="1:6" x14ac:dyDescent="0.25">
      <c r="A27" s="8">
        <v>2014</v>
      </c>
      <c r="B27" s="49">
        <v>0.93920000000000003</v>
      </c>
      <c r="D27" s="8">
        <v>2014</v>
      </c>
      <c r="E27" s="14">
        <v>1</v>
      </c>
      <c r="F27" s="46">
        <f t="shared" si="0"/>
        <v>6.0799999999999965E-2</v>
      </c>
    </row>
    <row r="28" spans="1:6" x14ac:dyDescent="0.25">
      <c r="B28"/>
      <c r="E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workbookViewId="0">
      <selection activeCell="E20" sqref="E20"/>
    </sheetView>
  </sheetViews>
  <sheetFormatPr baseColWidth="10" defaultRowHeight="15" x14ac:dyDescent="0.25"/>
  <cols>
    <col min="1" max="1" width="17.5703125" bestFit="1" customWidth="1"/>
    <col min="2" max="2" width="20.42578125" customWidth="1"/>
    <col min="4" max="4" width="17.5703125" bestFit="1" customWidth="1"/>
    <col min="5" max="5" width="20.42578125" customWidth="1"/>
  </cols>
  <sheetData>
    <row r="1" spans="1:8" x14ac:dyDescent="0.25">
      <c r="A1" s="18" t="s">
        <v>36</v>
      </c>
    </row>
    <row r="2" spans="1:8" x14ac:dyDescent="0.25">
      <c r="A2" s="18" t="s">
        <v>33</v>
      </c>
    </row>
    <row r="3" spans="1:8" x14ac:dyDescent="0.25">
      <c r="A3" s="18" t="s">
        <v>34</v>
      </c>
      <c r="D3" s="42" t="s">
        <v>143</v>
      </c>
    </row>
    <row r="5" spans="1:8" x14ac:dyDescent="0.25">
      <c r="H5" s="18"/>
    </row>
    <row r="6" spans="1:8" x14ac:dyDescent="0.25">
      <c r="A6" s="7" t="s">
        <v>37</v>
      </c>
      <c r="B6" t="s">
        <v>53</v>
      </c>
      <c r="D6" s="7" t="s">
        <v>37</v>
      </c>
      <c r="E6" t="s">
        <v>53</v>
      </c>
    </row>
    <row r="8" spans="1:8" x14ac:dyDescent="0.25">
      <c r="A8" s="7" t="s">
        <v>43</v>
      </c>
      <c r="B8" t="s">
        <v>45</v>
      </c>
      <c r="D8" s="7" t="s">
        <v>43</v>
      </c>
      <c r="E8" t="s">
        <v>45</v>
      </c>
      <c r="F8" s="42" t="s">
        <v>142</v>
      </c>
    </row>
    <row r="9" spans="1:8" x14ac:dyDescent="0.25">
      <c r="A9" s="8">
        <v>1996</v>
      </c>
      <c r="B9" s="14">
        <v>100045</v>
      </c>
      <c r="D9" s="8">
        <v>1996</v>
      </c>
      <c r="E9" s="14">
        <v>100045</v>
      </c>
      <c r="F9" s="14">
        <f>+E9-B9</f>
        <v>0</v>
      </c>
    </row>
    <row r="10" spans="1:8" x14ac:dyDescent="0.25">
      <c r="A10" s="8">
        <v>1997</v>
      </c>
      <c r="B10" s="14">
        <v>98011</v>
      </c>
      <c r="D10" s="8">
        <v>1997</v>
      </c>
      <c r="E10" s="14">
        <v>98011</v>
      </c>
      <c r="F10" s="14">
        <f t="shared" ref="F10:F27" si="0">+E10-B10</f>
        <v>0</v>
      </c>
    </row>
    <row r="11" spans="1:8" x14ac:dyDescent="0.25">
      <c r="A11" s="8">
        <v>1998</v>
      </c>
      <c r="B11" s="14">
        <v>91622</v>
      </c>
      <c r="D11" s="8">
        <v>1998</v>
      </c>
      <c r="E11" s="14">
        <v>100963</v>
      </c>
      <c r="F11" s="14">
        <f t="shared" si="0"/>
        <v>9341</v>
      </c>
    </row>
    <row r="12" spans="1:8" x14ac:dyDescent="0.25">
      <c r="A12" s="8">
        <v>1999</v>
      </c>
      <c r="B12" s="14">
        <v>96319</v>
      </c>
      <c r="D12" s="8">
        <v>1999</v>
      </c>
      <c r="E12" s="14">
        <v>104625</v>
      </c>
      <c r="F12" s="14">
        <f t="shared" si="0"/>
        <v>8306</v>
      </c>
    </row>
    <row r="13" spans="1:8" x14ac:dyDescent="0.25">
      <c r="A13" s="8">
        <v>2000</v>
      </c>
      <c r="B13" s="14">
        <v>97984</v>
      </c>
      <c r="D13" s="8">
        <v>2000</v>
      </c>
      <c r="E13" s="14">
        <v>105948</v>
      </c>
      <c r="F13" s="14">
        <f t="shared" si="0"/>
        <v>7964</v>
      </c>
    </row>
    <row r="14" spans="1:8" x14ac:dyDescent="0.25">
      <c r="A14" s="8">
        <v>2001</v>
      </c>
      <c r="B14" s="14">
        <v>102681</v>
      </c>
      <c r="D14" s="8">
        <v>2001</v>
      </c>
      <c r="E14" s="14">
        <v>110672</v>
      </c>
      <c r="F14" s="14">
        <f t="shared" si="0"/>
        <v>7991</v>
      </c>
    </row>
    <row r="15" spans="1:8" x14ac:dyDescent="0.25">
      <c r="A15" s="8">
        <v>2002</v>
      </c>
      <c r="B15" s="14">
        <v>102826</v>
      </c>
      <c r="D15" s="8">
        <v>2002</v>
      </c>
      <c r="E15" s="14">
        <v>110293</v>
      </c>
      <c r="F15" s="14">
        <f t="shared" si="0"/>
        <v>7467</v>
      </c>
    </row>
    <row r="16" spans="1:8" x14ac:dyDescent="0.25">
      <c r="A16" s="8">
        <v>2003</v>
      </c>
      <c r="B16" s="14">
        <v>113665</v>
      </c>
      <c r="D16" s="8">
        <v>2003</v>
      </c>
      <c r="E16" s="14">
        <v>121864</v>
      </c>
      <c r="F16" s="14">
        <f t="shared" si="0"/>
        <v>8199</v>
      </c>
    </row>
    <row r="17" spans="1:6" x14ac:dyDescent="0.25">
      <c r="A17" s="8">
        <v>2004</v>
      </c>
      <c r="B17" s="14">
        <v>109328</v>
      </c>
      <c r="D17" s="8">
        <v>2004</v>
      </c>
      <c r="E17" s="14">
        <v>117227</v>
      </c>
      <c r="F17" s="14">
        <f t="shared" si="0"/>
        <v>7899</v>
      </c>
    </row>
    <row r="18" spans="1:6" x14ac:dyDescent="0.25">
      <c r="A18" s="8">
        <v>2005</v>
      </c>
      <c r="B18" s="14">
        <v>110034</v>
      </c>
      <c r="D18" s="8">
        <v>2005</v>
      </c>
      <c r="E18" s="14">
        <v>117831</v>
      </c>
      <c r="F18" s="14">
        <f t="shared" si="0"/>
        <v>7797</v>
      </c>
    </row>
    <row r="19" spans="1:6" x14ac:dyDescent="0.25">
      <c r="A19" s="8">
        <v>2006</v>
      </c>
      <c r="B19" s="14">
        <v>113074</v>
      </c>
      <c r="D19" s="8">
        <v>2006</v>
      </c>
      <c r="E19" s="14">
        <v>121586</v>
      </c>
      <c r="F19" s="14">
        <f t="shared" si="0"/>
        <v>8512</v>
      </c>
    </row>
    <row r="20" spans="1:6" x14ac:dyDescent="0.25">
      <c r="A20" s="8">
        <v>2007</v>
      </c>
      <c r="B20" s="14">
        <v>119014</v>
      </c>
      <c r="D20" s="8">
        <v>2007</v>
      </c>
      <c r="E20" s="14">
        <v>127463</v>
      </c>
      <c r="F20" s="14">
        <f t="shared" si="0"/>
        <v>8449</v>
      </c>
    </row>
    <row r="21" spans="1:6" x14ac:dyDescent="0.25">
      <c r="A21" s="8">
        <v>2008</v>
      </c>
      <c r="B21" s="14">
        <v>126304</v>
      </c>
      <c r="D21" s="8">
        <v>2008</v>
      </c>
      <c r="E21" s="14">
        <v>133651</v>
      </c>
      <c r="F21" s="14">
        <f t="shared" si="0"/>
        <v>7347</v>
      </c>
    </row>
    <row r="22" spans="1:6" x14ac:dyDescent="0.25">
      <c r="A22" s="8">
        <v>2009</v>
      </c>
      <c r="B22" s="14">
        <v>127039</v>
      </c>
      <c r="D22" s="8">
        <v>2009</v>
      </c>
      <c r="E22" s="14">
        <v>134731</v>
      </c>
      <c r="F22" s="14">
        <f t="shared" si="0"/>
        <v>7692</v>
      </c>
    </row>
    <row r="23" spans="1:6" x14ac:dyDescent="0.25">
      <c r="A23" s="8">
        <v>2010</v>
      </c>
      <c r="B23" s="14">
        <v>130323</v>
      </c>
      <c r="D23" s="8">
        <v>2010</v>
      </c>
      <c r="E23" s="14">
        <v>138504</v>
      </c>
      <c r="F23" s="14">
        <f t="shared" si="0"/>
        <v>8181</v>
      </c>
    </row>
    <row r="24" spans="1:6" x14ac:dyDescent="0.25">
      <c r="A24" s="8">
        <v>2011</v>
      </c>
      <c r="B24" s="14">
        <v>134675</v>
      </c>
      <c r="D24" s="8">
        <v>2011</v>
      </c>
      <c r="E24" s="14">
        <v>143020</v>
      </c>
      <c r="F24" s="14">
        <f t="shared" si="0"/>
        <v>8345</v>
      </c>
    </row>
    <row r="25" spans="1:6" x14ac:dyDescent="0.25">
      <c r="A25" s="8">
        <v>2012</v>
      </c>
      <c r="B25" s="14">
        <v>139198</v>
      </c>
      <c r="D25" s="8">
        <v>2012</v>
      </c>
      <c r="E25" s="14">
        <v>148058</v>
      </c>
      <c r="F25" s="14">
        <f t="shared" si="0"/>
        <v>8860</v>
      </c>
    </row>
    <row r="26" spans="1:6" x14ac:dyDescent="0.25">
      <c r="A26" s="8">
        <v>2013</v>
      </c>
      <c r="B26" s="14">
        <v>141072</v>
      </c>
      <c r="D26" s="8">
        <v>2013</v>
      </c>
      <c r="E26" s="14">
        <v>149903</v>
      </c>
      <c r="F26" s="14">
        <f t="shared" si="0"/>
        <v>8831</v>
      </c>
    </row>
    <row r="27" spans="1:6" x14ac:dyDescent="0.25">
      <c r="A27" s="8">
        <v>2014</v>
      </c>
      <c r="B27" s="14">
        <v>152230</v>
      </c>
      <c r="D27" s="8">
        <v>2014</v>
      </c>
      <c r="E27" s="14">
        <v>162125</v>
      </c>
      <c r="F27" s="14">
        <f t="shared" si="0"/>
        <v>9895</v>
      </c>
    </row>
    <row r="28" spans="1:6" x14ac:dyDescent="0.25">
      <c r="A28" s="8" t="s">
        <v>44</v>
      </c>
      <c r="B28" s="9">
        <v>2205444</v>
      </c>
      <c r="D28" s="8" t="s">
        <v>44</v>
      </c>
      <c r="E28" s="9">
        <v>2346520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showGridLines="0" workbookViewId="0">
      <selection activeCell="F18" sqref="F18"/>
    </sheetView>
  </sheetViews>
  <sheetFormatPr baseColWidth="10" defaultRowHeight="15" x14ac:dyDescent="0.25"/>
  <cols>
    <col min="1" max="1" width="20.42578125" customWidth="1"/>
    <col min="2" max="2" width="20.42578125" bestFit="1" customWidth="1"/>
    <col min="4" max="4" width="17.5703125" bestFit="1" customWidth="1"/>
    <col min="5" max="5" width="19" bestFit="1" customWidth="1"/>
    <col min="6" max="6" width="11.7109375" bestFit="1" customWidth="1"/>
    <col min="7" max="7" width="35.5703125" bestFit="1" customWidth="1"/>
  </cols>
  <sheetData>
    <row r="2" spans="1:6" x14ac:dyDescent="0.25">
      <c r="A2" s="42" t="s">
        <v>141</v>
      </c>
    </row>
    <row r="3" spans="1:6" x14ac:dyDescent="0.25">
      <c r="A3" s="7" t="s">
        <v>40</v>
      </c>
      <c r="B3" t="s">
        <v>53</v>
      </c>
    </row>
    <row r="5" spans="1:6" x14ac:dyDescent="0.25">
      <c r="A5" s="7" t="s">
        <v>43</v>
      </c>
      <c r="B5" t="s">
        <v>45</v>
      </c>
      <c r="D5" s="7" t="s">
        <v>43</v>
      </c>
      <c r="E5" t="s">
        <v>45</v>
      </c>
      <c r="F5" s="41" t="s">
        <v>142</v>
      </c>
    </row>
    <row r="6" spans="1:6" x14ac:dyDescent="0.25">
      <c r="A6" s="8">
        <v>2008</v>
      </c>
      <c r="B6" s="9">
        <v>118137</v>
      </c>
      <c r="D6" s="8" t="s">
        <v>46</v>
      </c>
      <c r="E6" s="9">
        <v>118137</v>
      </c>
      <c r="F6" s="12">
        <f>+E6-B6</f>
        <v>0</v>
      </c>
    </row>
    <row r="7" spans="1:6" x14ac:dyDescent="0.25">
      <c r="A7" s="8">
        <v>2009</v>
      </c>
      <c r="B7" s="9">
        <v>117739</v>
      </c>
      <c r="D7" s="8" t="s">
        <v>47</v>
      </c>
      <c r="E7" s="9">
        <v>117739</v>
      </c>
      <c r="F7" s="12">
        <f t="shared" ref="F7:F24" si="0">+E7-B7</f>
        <v>0</v>
      </c>
    </row>
    <row r="8" spans="1:6" x14ac:dyDescent="0.25">
      <c r="A8" s="8">
        <v>2010</v>
      </c>
      <c r="B8" s="9">
        <v>121525</v>
      </c>
      <c r="D8" s="8" t="s">
        <v>48</v>
      </c>
      <c r="E8" s="9">
        <v>121525</v>
      </c>
      <c r="F8" s="12">
        <f t="shared" si="0"/>
        <v>0</v>
      </c>
    </row>
    <row r="9" spans="1:6" x14ac:dyDescent="0.25">
      <c r="A9" s="8">
        <v>2011</v>
      </c>
      <c r="B9" s="9">
        <v>125670</v>
      </c>
      <c r="D9" s="8" t="s">
        <v>49</v>
      </c>
      <c r="E9" s="9">
        <v>125670</v>
      </c>
      <c r="F9" s="12">
        <f t="shared" si="0"/>
        <v>0</v>
      </c>
    </row>
    <row r="10" spans="1:6" x14ac:dyDescent="0.25">
      <c r="A10" s="8">
        <v>2012</v>
      </c>
      <c r="B10" s="9">
        <v>129131</v>
      </c>
      <c r="D10" s="8" t="s">
        <v>50</v>
      </c>
      <c r="E10" s="9">
        <v>129131</v>
      </c>
      <c r="F10" s="12">
        <f t="shared" si="0"/>
        <v>0</v>
      </c>
    </row>
    <row r="11" spans="1:6" x14ac:dyDescent="0.25">
      <c r="A11" s="8">
        <v>2013</v>
      </c>
      <c r="B11" s="9">
        <v>130925</v>
      </c>
      <c r="D11" s="8" t="s">
        <v>51</v>
      </c>
      <c r="E11" s="9">
        <v>130925</v>
      </c>
      <c r="F11" s="12">
        <f t="shared" si="0"/>
        <v>0</v>
      </c>
    </row>
    <row r="12" spans="1:6" x14ac:dyDescent="0.25">
      <c r="A12" s="8">
        <v>2014</v>
      </c>
      <c r="B12" s="9">
        <v>142531</v>
      </c>
      <c r="D12" s="8" t="s">
        <v>52</v>
      </c>
      <c r="E12" s="9">
        <v>142531</v>
      </c>
      <c r="F12" s="12">
        <f t="shared" si="0"/>
        <v>0</v>
      </c>
    </row>
    <row r="13" spans="1:6" x14ac:dyDescent="0.25">
      <c r="A13" s="8">
        <v>2007</v>
      </c>
      <c r="B13" s="9">
        <v>111322</v>
      </c>
      <c r="D13" s="8" t="s">
        <v>61</v>
      </c>
      <c r="E13" s="9">
        <v>111322</v>
      </c>
      <c r="F13" s="12">
        <f t="shared" si="0"/>
        <v>0</v>
      </c>
    </row>
    <row r="14" spans="1:6" x14ac:dyDescent="0.25">
      <c r="A14" s="8">
        <v>2006</v>
      </c>
      <c r="B14" s="9">
        <v>106334</v>
      </c>
      <c r="D14" s="8" t="s">
        <v>62</v>
      </c>
      <c r="E14" s="9">
        <v>106334</v>
      </c>
      <c r="F14" s="12">
        <f t="shared" si="0"/>
        <v>0</v>
      </c>
    </row>
    <row r="15" spans="1:6" x14ac:dyDescent="0.25">
      <c r="A15" s="8">
        <v>2005</v>
      </c>
      <c r="B15" s="9">
        <v>104043</v>
      </c>
      <c r="D15" s="8" t="s">
        <v>63</v>
      </c>
      <c r="E15" s="9">
        <v>104043</v>
      </c>
      <c r="F15" s="12">
        <f t="shared" si="0"/>
        <v>0</v>
      </c>
    </row>
    <row r="16" spans="1:6" x14ac:dyDescent="0.25">
      <c r="A16" s="8">
        <v>2004</v>
      </c>
      <c r="B16" s="9">
        <v>102279</v>
      </c>
      <c r="D16" s="8" t="s">
        <v>64</v>
      </c>
      <c r="E16" s="9">
        <v>102279</v>
      </c>
      <c r="F16" s="12">
        <f t="shared" si="0"/>
        <v>0</v>
      </c>
    </row>
    <row r="17" spans="1:7" x14ac:dyDescent="0.25">
      <c r="A17" s="8">
        <v>2003</v>
      </c>
      <c r="B17" s="9">
        <v>106136</v>
      </c>
      <c r="D17" s="8" t="s">
        <v>130</v>
      </c>
      <c r="E17" s="9">
        <v>106136</v>
      </c>
      <c r="F17" s="12">
        <f t="shared" si="0"/>
        <v>0</v>
      </c>
    </row>
    <row r="18" spans="1:7" x14ac:dyDescent="0.25">
      <c r="A18" s="8">
        <v>2002</v>
      </c>
      <c r="B18" s="9">
        <v>96804</v>
      </c>
      <c r="D18" s="8" t="s">
        <v>131</v>
      </c>
      <c r="E18" s="9">
        <v>96804</v>
      </c>
      <c r="F18" s="12">
        <f t="shared" si="0"/>
        <v>0</v>
      </c>
    </row>
    <row r="19" spans="1:7" x14ac:dyDescent="0.25">
      <c r="A19" s="8">
        <v>2001</v>
      </c>
      <c r="B19" s="9">
        <v>97952</v>
      </c>
      <c r="D19" s="8" t="s">
        <v>132</v>
      </c>
      <c r="E19" s="9">
        <v>97952</v>
      </c>
      <c r="F19" s="12">
        <f t="shared" si="0"/>
        <v>0</v>
      </c>
    </row>
    <row r="20" spans="1:7" x14ac:dyDescent="0.25">
      <c r="A20" s="8">
        <v>2000</v>
      </c>
      <c r="B20" s="9">
        <v>93012</v>
      </c>
      <c r="D20" s="8" t="s">
        <v>133</v>
      </c>
      <c r="E20" s="9">
        <v>93012</v>
      </c>
      <c r="F20" s="12">
        <f t="shared" si="0"/>
        <v>0</v>
      </c>
    </row>
    <row r="21" spans="1:7" x14ac:dyDescent="0.25">
      <c r="A21" s="8">
        <v>1999</v>
      </c>
      <c r="B21" s="9">
        <v>91262</v>
      </c>
      <c r="D21" s="8" t="s">
        <v>134</v>
      </c>
      <c r="E21" s="9">
        <v>91262</v>
      </c>
      <c r="F21" s="12">
        <f t="shared" si="0"/>
        <v>0</v>
      </c>
    </row>
    <row r="22" spans="1:7" x14ac:dyDescent="0.25">
      <c r="A22" s="8">
        <v>1998</v>
      </c>
      <c r="B22" s="9">
        <v>87644</v>
      </c>
      <c r="D22" s="8" t="s">
        <v>135</v>
      </c>
      <c r="E22" s="9">
        <v>87042</v>
      </c>
      <c r="F22" s="12">
        <f t="shared" si="0"/>
        <v>-602</v>
      </c>
      <c r="G22" t="s">
        <v>139</v>
      </c>
    </row>
    <row r="23" spans="1:7" x14ac:dyDescent="0.25">
      <c r="A23" s="8">
        <v>1997</v>
      </c>
      <c r="B23" s="9">
        <v>87197</v>
      </c>
      <c r="D23" s="8" t="s">
        <v>136</v>
      </c>
      <c r="E23" s="9">
        <v>86674</v>
      </c>
      <c r="F23" s="12">
        <f t="shared" si="0"/>
        <v>-523</v>
      </c>
      <c r="G23" t="s">
        <v>139</v>
      </c>
    </row>
    <row r="24" spans="1:7" x14ac:dyDescent="0.25">
      <c r="A24" s="8">
        <v>1996</v>
      </c>
      <c r="B24" s="9">
        <v>86530</v>
      </c>
      <c r="D24" s="8" t="s">
        <v>137</v>
      </c>
      <c r="E24" s="9">
        <v>86530</v>
      </c>
      <c r="F24" s="12">
        <f t="shared" si="0"/>
        <v>0</v>
      </c>
    </row>
    <row r="25" spans="1:7" x14ac:dyDescent="0.25">
      <c r="A25" s="8" t="s">
        <v>44</v>
      </c>
      <c r="B25" s="9">
        <v>2056173</v>
      </c>
      <c r="D25" s="8" t="s">
        <v>44</v>
      </c>
      <c r="E25" s="9">
        <v>2055048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6"/>
  <sheetViews>
    <sheetView showGridLines="0" tabSelected="1" zoomScale="115" zoomScaleNormal="115" workbookViewId="0">
      <selection activeCell="D19" sqref="D19"/>
    </sheetView>
  </sheetViews>
  <sheetFormatPr baseColWidth="10" defaultRowHeight="12.75" x14ac:dyDescent="0.2"/>
  <cols>
    <col min="1" max="2" width="11.42578125" style="3"/>
    <col min="3" max="3" width="9" style="3" customWidth="1"/>
    <col min="4" max="4" width="73.7109375" style="3" bestFit="1" customWidth="1"/>
    <col min="5" max="5" width="21.42578125" style="4" customWidth="1"/>
    <col min="6" max="6" width="18.7109375" style="11" customWidth="1"/>
    <col min="7" max="16384" width="11.42578125" style="3"/>
  </cols>
  <sheetData>
    <row r="1" spans="1:7" x14ac:dyDescent="0.2">
      <c r="A1" s="2" t="s">
        <v>140</v>
      </c>
    </row>
    <row r="3" spans="1:7" ht="28.5" customHeight="1" x14ac:dyDescent="0.2">
      <c r="A3" s="15" t="s">
        <v>37</v>
      </c>
      <c r="B3" s="15" t="s">
        <v>39</v>
      </c>
      <c r="C3" s="15" t="s">
        <v>40</v>
      </c>
      <c r="D3" s="15" t="s">
        <v>0</v>
      </c>
      <c r="E3" s="16" t="s">
        <v>1</v>
      </c>
      <c r="F3" s="17" t="s">
        <v>138</v>
      </c>
    </row>
    <row r="4" spans="1:7" x14ac:dyDescent="0.2">
      <c r="A4" s="18" t="str">
        <f>+CONCATENATE(B4,"-",C4)</f>
        <v>2014-1</v>
      </c>
      <c r="B4" s="18">
        <v>2014</v>
      </c>
      <c r="C4" s="18">
        <v>1</v>
      </c>
      <c r="D4" s="19" t="s">
        <v>2</v>
      </c>
      <c r="E4" s="20">
        <v>34672</v>
      </c>
      <c r="F4" s="21">
        <v>0.21390000000000001</v>
      </c>
      <c r="G4" s="5"/>
    </row>
    <row r="5" spans="1:7" x14ac:dyDescent="0.2">
      <c r="A5" s="18" t="str">
        <f t="shared" ref="A5:A68" si="0">+CONCATENATE(B5,"-",C5)</f>
        <v>2014-2</v>
      </c>
      <c r="B5" s="18">
        <v>2014</v>
      </c>
      <c r="C5" s="18">
        <v>2</v>
      </c>
      <c r="D5" s="19" t="s">
        <v>3</v>
      </c>
      <c r="E5" s="22">
        <v>24199</v>
      </c>
      <c r="F5" s="21">
        <v>0.14929999999999999</v>
      </c>
      <c r="G5" s="5"/>
    </row>
    <row r="6" spans="1:7" x14ac:dyDescent="0.2">
      <c r="A6" s="18" t="str">
        <f t="shared" si="0"/>
        <v>2014-3</v>
      </c>
      <c r="B6" s="18">
        <v>2014</v>
      </c>
      <c r="C6" s="18">
        <v>3</v>
      </c>
      <c r="D6" s="19" t="s">
        <v>4</v>
      </c>
      <c r="E6" s="22">
        <v>13422</v>
      </c>
      <c r="F6" s="21">
        <v>8.2799999999999999E-2</v>
      </c>
      <c r="G6" s="5"/>
    </row>
    <row r="7" spans="1:7" x14ac:dyDescent="0.2">
      <c r="A7" s="18" t="str">
        <f t="shared" si="0"/>
        <v>2014-4</v>
      </c>
      <c r="B7" s="18">
        <v>2014</v>
      </c>
      <c r="C7" s="18">
        <v>4</v>
      </c>
      <c r="D7" s="19" t="s">
        <v>5</v>
      </c>
      <c r="E7" s="22">
        <v>11926</v>
      </c>
      <c r="F7" s="21">
        <v>7.3599999999999999E-2</v>
      </c>
      <c r="G7" s="5"/>
    </row>
    <row r="8" spans="1:7" x14ac:dyDescent="0.2">
      <c r="A8" s="18" t="str">
        <f t="shared" si="0"/>
        <v>2014-5</v>
      </c>
      <c r="B8" s="18">
        <v>2014</v>
      </c>
      <c r="C8" s="18">
        <v>5</v>
      </c>
      <c r="D8" s="19" t="s">
        <v>6</v>
      </c>
      <c r="E8" s="22">
        <v>9818</v>
      </c>
      <c r="F8" s="21">
        <v>6.0900000000000003E-2</v>
      </c>
      <c r="G8" s="5"/>
    </row>
    <row r="9" spans="1:7" x14ac:dyDescent="0.2">
      <c r="A9" s="18" t="str">
        <f t="shared" si="0"/>
        <v>2014-6</v>
      </c>
      <c r="B9" s="18">
        <v>2014</v>
      </c>
      <c r="C9" s="18">
        <v>6</v>
      </c>
      <c r="D9" s="19" t="s">
        <v>7</v>
      </c>
      <c r="E9" s="22">
        <v>9209</v>
      </c>
      <c r="F9" s="21">
        <v>5.7099999999999998E-2</v>
      </c>
      <c r="G9" s="5"/>
    </row>
    <row r="10" spans="1:7" x14ac:dyDescent="0.2">
      <c r="A10" s="18" t="str">
        <f t="shared" si="0"/>
        <v>2014-7</v>
      </c>
      <c r="B10" s="18">
        <v>2014</v>
      </c>
      <c r="C10" s="18">
        <v>7</v>
      </c>
      <c r="D10" s="19" t="s">
        <v>8</v>
      </c>
      <c r="E10" s="22">
        <v>5605</v>
      </c>
      <c r="F10" s="21">
        <v>3.4599999999999999E-2</v>
      </c>
      <c r="G10" s="5"/>
    </row>
    <row r="11" spans="1:7" x14ac:dyDescent="0.2">
      <c r="A11" s="18" t="str">
        <f t="shared" si="0"/>
        <v>2014-8</v>
      </c>
      <c r="B11" s="18">
        <v>2014</v>
      </c>
      <c r="C11" s="18">
        <v>8</v>
      </c>
      <c r="D11" s="19" t="s">
        <v>9</v>
      </c>
      <c r="E11" s="22">
        <v>4901</v>
      </c>
      <c r="F11" s="21">
        <v>3.0200000000000001E-2</v>
      </c>
      <c r="G11" s="5"/>
    </row>
    <row r="12" spans="1:7" x14ac:dyDescent="0.2">
      <c r="A12" s="18" t="str">
        <f t="shared" si="0"/>
        <v>2014-9</v>
      </c>
      <c r="B12" s="18">
        <v>2014</v>
      </c>
      <c r="C12" s="18">
        <v>9</v>
      </c>
      <c r="D12" s="19" t="s">
        <v>10</v>
      </c>
      <c r="E12" s="22">
        <v>4779</v>
      </c>
      <c r="F12" s="21">
        <v>2.9499999999999998E-2</v>
      </c>
      <c r="G12" s="5"/>
    </row>
    <row r="13" spans="1:7" x14ac:dyDescent="0.2">
      <c r="A13" s="18" t="str">
        <f t="shared" si="0"/>
        <v>2014-10</v>
      </c>
      <c r="B13" s="18">
        <v>2014</v>
      </c>
      <c r="C13" s="18">
        <v>10</v>
      </c>
      <c r="D13" s="19" t="s">
        <v>11</v>
      </c>
      <c r="E13" s="22">
        <v>3456</v>
      </c>
      <c r="F13" s="21">
        <v>2.1299999999999999E-2</v>
      </c>
      <c r="G13" s="5"/>
    </row>
    <row r="14" spans="1:7" x14ac:dyDescent="0.2">
      <c r="A14" s="18" t="str">
        <f t="shared" si="0"/>
        <v>2014-11</v>
      </c>
      <c r="B14" s="18">
        <v>2014</v>
      </c>
      <c r="C14" s="18">
        <v>11</v>
      </c>
      <c r="D14" s="19" t="s">
        <v>12</v>
      </c>
      <c r="E14" s="22">
        <v>2769</v>
      </c>
      <c r="F14" s="21">
        <v>1.7100000000000001E-2</v>
      </c>
      <c r="G14" s="5"/>
    </row>
    <row r="15" spans="1:7" x14ac:dyDescent="0.2">
      <c r="A15" s="18" t="str">
        <f t="shared" si="0"/>
        <v>2014-12</v>
      </c>
      <c r="B15" s="18">
        <v>2014</v>
      </c>
      <c r="C15" s="18">
        <v>12</v>
      </c>
      <c r="D15" s="19" t="s">
        <v>13</v>
      </c>
      <c r="E15" s="22">
        <v>2474</v>
      </c>
      <c r="F15" s="21">
        <v>1.5299999999999999E-2</v>
      </c>
      <c r="G15" s="5"/>
    </row>
    <row r="16" spans="1:7" x14ac:dyDescent="0.2">
      <c r="A16" s="18" t="str">
        <f t="shared" si="0"/>
        <v>2014-13</v>
      </c>
      <c r="B16" s="18">
        <v>2014</v>
      </c>
      <c r="C16" s="18">
        <v>13</v>
      </c>
      <c r="D16" s="19" t="s">
        <v>14</v>
      </c>
      <c r="E16" s="22">
        <v>2446</v>
      </c>
      <c r="F16" s="21">
        <v>1.5100000000000001E-2</v>
      </c>
      <c r="G16" s="5"/>
    </row>
    <row r="17" spans="1:10" x14ac:dyDescent="0.2">
      <c r="A17" s="18" t="str">
        <f t="shared" si="0"/>
        <v>2014-14</v>
      </c>
      <c r="B17" s="18">
        <v>2014</v>
      </c>
      <c r="C17" s="18">
        <v>14</v>
      </c>
      <c r="D17" s="19" t="s">
        <v>15</v>
      </c>
      <c r="E17" s="22">
        <v>2278</v>
      </c>
      <c r="F17" s="21">
        <v>1.41E-2</v>
      </c>
      <c r="G17" s="5"/>
    </row>
    <row r="18" spans="1:10" x14ac:dyDescent="0.2">
      <c r="A18" s="18" t="str">
        <f t="shared" si="0"/>
        <v>2014-15</v>
      </c>
      <c r="B18" s="18">
        <v>2014</v>
      </c>
      <c r="C18" s="23">
        <v>15</v>
      </c>
      <c r="D18" s="19" t="s">
        <v>16</v>
      </c>
      <c r="E18" s="22">
        <v>2218</v>
      </c>
      <c r="F18" s="21">
        <v>1.37E-2</v>
      </c>
      <c r="G18" s="5"/>
    </row>
    <row r="19" spans="1:10" x14ac:dyDescent="0.2">
      <c r="A19" s="18" t="str">
        <f t="shared" si="0"/>
        <v>2014-16</v>
      </c>
      <c r="B19" s="18">
        <v>2014</v>
      </c>
      <c r="C19" s="23">
        <v>16</v>
      </c>
      <c r="D19" s="19" t="s">
        <v>17</v>
      </c>
      <c r="E19" s="22">
        <v>1390</v>
      </c>
      <c r="F19" s="21">
        <v>8.6E-3</v>
      </c>
      <c r="G19" s="5"/>
    </row>
    <row r="20" spans="1:10" x14ac:dyDescent="0.2">
      <c r="A20" s="18" t="str">
        <f t="shared" si="0"/>
        <v>2014-17</v>
      </c>
      <c r="B20" s="18">
        <v>2014</v>
      </c>
      <c r="C20" s="23">
        <v>17</v>
      </c>
      <c r="D20" s="19" t="s">
        <v>18</v>
      </c>
      <c r="E20" s="22">
        <v>1156</v>
      </c>
      <c r="F20" s="21">
        <v>7.1000000000000004E-3</v>
      </c>
      <c r="G20" s="5"/>
    </row>
    <row r="21" spans="1:10" x14ac:dyDescent="0.2">
      <c r="A21" s="18" t="str">
        <f t="shared" si="0"/>
        <v>2014-18</v>
      </c>
      <c r="B21" s="18">
        <v>2014</v>
      </c>
      <c r="C21" s="23">
        <v>18</v>
      </c>
      <c r="D21" s="19" t="s">
        <v>19</v>
      </c>
      <c r="E21" s="22">
        <v>1018</v>
      </c>
      <c r="F21" s="21">
        <v>6.3E-3</v>
      </c>
      <c r="G21" s="5"/>
    </row>
    <row r="22" spans="1:10" x14ac:dyDescent="0.2">
      <c r="A22" s="18" t="str">
        <f t="shared" si="0"/>
        <v>2014-19</v>
      </c>
      <c r="B22" s="18">
        <v>2014</v>
      </c>
      <c r="C22" s="23">
        <v>19</v>
      </c>
      <c r="D22" s="19" t="s">
        <v>20</v>
      </c>
      <c r="E22" s="24">
        <v>826</v>
      </c>
      <c r="F22" s="21">
        <v>5.1000000000000004E-3</v>
      </c>
      <c r="G22" s="5"/>
    </row>
    <row r="23" spans="1:10" x14ac:dyDescent="0.2">
      <c r="A23" s="18" t="str">
        <f t="shared" si="0"/>
        <v>2014-20</v>
      </c>
      <c r="B23" s="18">
        <v>2014</v>
      </c>
      <c r="C23" s="23">
        <v>20</v>
      </c>
      <c r="D23" s="19" t="s">
        <v>21</v>
      </c>
      <c r="E23" s="24">
        <v>750</v>
      </c>
      <c r="F23" s="21">
        <v>4.5999999999999999E-3</v>
      </c>
      <c r="G23" s="5"/>
    </row>
    <row r="24" spans="1:10" x14ac:dyDescent="0.2">
      <c r="A24" s="18" t="str">
        <f t="shared" si="0"/>
        <v>2014-21</v>
      </c>
      <c r="B24" s="18">
        <v>2014</v>
      </c>
      <c r="C24" s="23">
        <v>21</v>
      </c>
      <c r="D24" s="19" t="s">
        <v>22</v>
      </c>
      <c r="E24" s="24">
        <v>723</v>
      </c>
      <c r="F24" s="21">
        <v>4.4999999999999997E-3</v>
      </c>
      <c r="G24" s="5"/>
    </row>
    <row r="25" spans="1:10" x14ac:dyDescent="0.2">
      <c r="A25" s="18" t="str">
        <f t="shared" si="0"/>
        <v>2014-22</v>
      </c>
      <c r="B25" s="18">
        <v>2014</v>
      </c>
      <c r="C25" s="23">
        <v>22</v>
      </c>
      <c r="D25" s="19" t="s">
        <v>23</v>
      </c>
      <c r="E25" s="24">
        <v>712</v>
      </c>
      <c r="F25" s="21">
        <v>4.4000000000000003E-3</v>
      </c>
      <c r="G25" s="5"/>
    </row>
    <row r="26" spans="1:10" x14ac:dyDescent="0.2">
      <c r="A26" s="18" t="str">
        <f t="shared" si="0"/>
        <v>2014-23</v>
      </c>
      <c r="B26" s="18">
        <v>2014</v>
      </c>
      <c r="C26" s="23">
        <v>23</v>
      </c>
      <c r="D26" s="19" t="s">
        <v>24</v>
      </c>
      <c r="E26" s="24">
        <v>612</v>
      </c>
      <c r="F26" s="21">
        <v>3.8E-3</v>
      </c>
      <c r="G26" s="5"/>
    </row>
    <row r="27" spans="1:10" x14ac:dyDescent="0.2">
      <c r="A27" s="18" t="str">
        <f t="shared" si="0"/>
        <v>2014-24</v>
      </c>
      <c r="B27" s="18">
        <v>2014</v>
      </c>
      <c r="C27" s="23">
        <v>24</v>
      </c>
      <c r="D27" s="19" t="s">
        <v>25</v>
      </c>
      <c r="E27" s="24">
        <v>601</v>
      </c>
      <c r="F27" s="21">
        <v>3.7000000000000002E-3</v>
      </c>
      <c r="G27" s="5"/>
    </row>
    <row r="28" spans="1:10" x14ac:dyDescent="0.2">
      <c r="A28" s="18" t="str">
        <f t="shared" si="0"/>
        <v>2014-25</v>
      </c>
      <c r="B28" s="18">
        <v>2014</v>
      </c>
      <c r="C28" s="23">
        <v>25</v>
      </c>
      <c r="D28" s="19" t="s">
        <v>26</v>
      </c>
      <c r="E28" s="24">
        <v>571</v>
      </c>
      <c r="F28" s="21">
        <v>3.5000000000000001E-3</v>
      </c>
      <c r="G28" s="5"/>
    </row>
    <row r="29" spans="1:10" x14ac:dyDescent="0.2">
      <c r="A29" s="18" t="str">
        <f t="shared" si="0"/>
        <v>2014-TP25C</v>
      </c>
      <c r="B29" s="18">
        <v>2014</v>
      </c>
      <c r="C29" s="18" t="s">
        <v>36</v>
      </c>
      <c r="D29" s="19" t="s">
        <v>27</v>
      </c>
      <c r="E29" s="22">
        <v>142531</v>
      </c>
      <c r="F29" s="21">
        <v>0.87909999999999999</v>
      </c>
      <c r="J29" s="6"/>
    </row>
    <row r="30" spans="1:10" x14ac:dyDescent="0.2">
      <c r="A30" s="18" t="str">
        <f t="shared" si="0"/>
        <v>2014-Desc</v>
      </c>
      <c r="B30" s="18">
        <v>2014</v>
      </c>
      <c r="C30" s="18" t="s">
        <v>33</v>
      </c>
      <c r="D30" s="19" t="s">
        <v>28</v>
      </c>
      <c r="E30" s="24">
        <v>617</v>
      </c>
      <c r="F30" s="21">
        <v>3.8E-3</v>
      </c>
    </row>
    <row r="31" spans="1:10" x14ac:dyDescent="0.2">
      <c r="A31" s="18" t="str">
        <f t="shared" si="0"/>
        <v>2014-MV</v>
      </c>
      <c r="B31" s="18">
        <v>2014</v>
      </c>
      <c r="C31" s="18" t="s">
        <v>34</v>
      </c>
      <c r="D31" s="19" t="s">
        <v>29</v>
      </c>
      <c r="E31" s="22">
        <v>9082</v>
      </c>
      <c r="F31" s="21">
        <v>5.6300000000000003E-2</v>
      </c>
    </row>
    <row r="32" spans="1:10" x14ac:dyDescent="0.2">
      <c r="A32" s="18" t="str">
        <f t="shared" si="0"/>
        <v>2014-TC</v>
      </c>
      <c r="B32" s="18">
        <v>2014</v>
      </c>
      <c r="C32" s="18" t="s">
        <v>35</v>
      </c>
      <c r="D32" s="19" t="s">
        <v>32</v>
      </c>
      <c r="E32" s="22">
        <v>162125</v>
      </c>
      <c r="F32" s="21">
        <v>1</v>
      </c>
    </row>
    <row r="33" spans="1:6" x14ac:dyDescent="0.2">
      <c r="A33" s="18" t="str">
        <f t="shared" si="0"/>
        <v>2013-1</v>
      </c>
      <c r="B33" s="18">
        <v>2013</v>
      </c>
      <c r="C33" s="23">
        <v>1</v>
      </c>
      <c r="D33" s="19" t="s">
        <v>2</v>
      </c>
      <c r="E33" s="22">
        <v>30899</v>
      </c>
      <c r="F33" s="21">
        <v>0.20610000000000001</v>
      </c>
    </row>
    <row r="34" spans="1:6" x14ac:dyDescent="0.2">
      <c r="A34" s="18" t="str">
        <f t="shared" si="0"/>
        <v>2013-2</v>
      </c>
      <c r="B34" s="18">
        <v>2013</v>
      </c>
      <c r="C34" s="23">
        <v>2</v>
      </c>
      <c r="D34" s="19" t="s">
        <v>3</v>
      </c>
      <c r="E34" s="22">
        <v>23121</v>
      </c>
      <c r="F34" s="21">
        <v>0.1542</v>
      </c>
    </row>
    <row r="35" spans="1:6" x14ac:dyDescent="0.2">
      <c r="A35" s="18" t="str">
        <f t="shared" si="0"/>
        <v>2013-3</v>
      </c>
      <c r="B35" s="18">
        <v>2013</v>
      </c>
      <c r="C35" s="23">
        <v>3</v>
      </c>
      <c r="D35" s="19" t="s">
        <v>4</v>
      </c>
      <c r="E35" s="22">
        <v>11459</v>
      </c>
      <c r="F35" s="21">
        <v>7.6399999999999996E-2</v>
      </c>
    </row>
    <row r="36" spans="1:6" x14ac:dyDescent="0.2">
      <c r="A36" s="18" t="str">
        <f t="shared" si="0"/>
        <v>2013-4</v>
      </c>
      <c r="B36" s="18">
        <v>2013</v>
      </c>
      <c r="C36" s="23">
        <v>4</v>
      </c>
      <c r="D36" s="19" t="s">
        <v>5</v>
      </c>
      <c r="E36" s="22">
        <v>11164</v>
      </c>
      <c r="F36" s="21">
        <v>7.4499999999999997E-2</v>
      </c>
    </row>
    <row r="37" spans="1:6" x14ac:dyDescent="0.2">
      <c r="A37" s="18" t="str">
        <f t="shared" si="0"/>
        <v>2013-5</v>
      </c>
      <c r="B37" s="18">
        <v>2013</v>
      </c>
      <c r="C37" s="23">
        <v>5</v>
      </c>
      <c r="D37" s="19" t="s">
        <v>7</v>
      </c>
      <c r="E37" s="22">
        <v>9720</v>
      </c>
      <c r="F37" s="21">
        <v>6.5100000000000005E-2</v>
      </c>
    </row>
    <row r="38" spans="1:6" x14ac:dyDescent="0.2">
      <c r="A38" s="18" t="str">
        <f t="shared" si="0"/>
        <v>2013-6</v>
      </c>
      <c r="B38" s="18">
        <v>2013</v>
      </c>
      <c r="C38" s="23">
        <v>6</v>
      </c>
      <c r="D38" s="19" t="s">
        <v>6</v>
      </c>
      <c r="E38" s="22">
        <v>9458</v>
      </c>
      <c r="F38" s="21">
        <v>6.3399999999999998E-2</v>
      </c>
    </row>
    <row r="39" spans="1:6" x14ac:dyDescent="0.2">
      <c r="A39" s="18" t="str">
        <f t="shared" si="0"/>
        <v>2013-7</v>
      </c>
      <c r="B39" s="18">
        <v>2013</v>
      </c>
      <c r="C39" s="23">
        <v>7</v>
      </c>
      <c r="D39" s="19" t="s">
        <v>8</v>
      </c>
      <c r="E39" s="22">
        <v>5280</v>
      </c>
      <c r="F39" s="21">
        <v>3.5200000000000002E-2</v>
      </c>
    </row>
    <row r="40" spans="1:6" x14ac:dyDescent="0.2">
      <c r="A40" s="18" t="str">
        <f t="shared" si="0"/>
        <v>2013-8</v>
      </c>
      <c r="B40" s="18">
        <v>2013</v>
      </c>
      <c r="C40" s="23">
        <v>8</v>
      </c>
      <c r="D40" s="19" t="s">
        <v>10</v>
      </c>
      <c r="E40" s="22">
        <v>4553</v>
      </c>
      <c r="F40" s="21">
        <v>3.04E-2</v>
      </c>
    </row>
    <row r="41" spans="1:6" x14ac:dyDescent="0.2">
      <c r="A41" s="18" t="str">
        <f t="shared" si="0"/>
        <v>2013-9</v>
      </c>
      <c r="B41" s="18">
        <v>2013</v>
      </c>
      <c r="C41" s="23">
        <v>9</v>
      </c>
      <c r="D41" s="19" t="s">
        <v>9</v>
      </c>
      <c r="E41" s="22">
        <v>4333</v>
      </c>
      <c r="F41" s="21">
        <v>2.8899999999999999E-2</v>
      </c>
    </row>
    <row r="42" spans="1:6" x14ac:dyDescent="0.2">
      <c r="A42" s="18" t="str">
        <f t="shared" si="0"/>
        <v>2013-10</v>
      </c>
      <c r="B42" s="18">
        <v>2013</v>
      </c>
      <c r="C42" s="23">
        <v>10</v>
      </c>
      <c r="D42" s="19" t="s">
        <v>11</v>
      </c>
      <c r="E42" s="22">
        <v>3098</v>
      </c>
      <c r="F42" s="21">
        <v>2.07E-2</v>
      </c>
    </row>
    <row r="43" spans="1:6" x14ac:dyDescent="0.2">
      <c r="A43" s="18" t="str">
        <f t="shared" si="0"/>
        <v>2013-11</v>
      </c>
      <c r="B43" s="18">
        <v>2013</v>
      </c>
      <c r="C43" s="23">
        <v>11</v>
      </c>
      <c r="D43" s="19" t="s">
        <v>30</v>
      </c>
      <c r="E43" s="22">
        <v>2428</v>
      </c>
      <c r="F43" s="21">
        <v>1.6199999999999999E-2</v>
      </c>
    </row>
    <row r="44" spans="1:6" x14ac:dyDescent="0.2">
      <c r="A44" s="18" t="str">
        <f t="shared" si="0"/>
        <v>2013-12</v>
      </c>
      <c r="B44" s="18">
        <v>2013</v>
      </c>
      <c r="C44" s="23">
        <v>12</v>
      </c>
      <c r="D44" s="19" t="s">
        <v>15</v>
      </c>
      <c r="E44" s="22">
        <v>2339</v>
      </c>
      <c r="F44" s="21">
        <v>1.5599999999999999E-2</v>
      </c>
    </row>
    <row r="45" spans="1:6" x14ac:dyDescent="0.2">
      <c r="A45" s="18" t="str">
        <f t="shared" si="0"/>
        <v>2013-13</v>
      </c>
      <c r="B45" s="18">
        <v>2013</v>
      </c>
      <c r="C45" s="23">
        <v>13</v>
      </c>
      <c r="D45" s="19" t="s">
        <v>14</v>
      </c>
      <c r="E45" s="22">
        <v>2139</v>
      </c>
      <c r="F45" s="21">
        <v>1.43E-2</v>
      </c>
    </row>
    <row r="46" spans="1:6" x14ac:dyDescent="0.2">
      <c r="A46" s="18" t="str">
        <f t="shared" si="0"/>
        <v>2013-14</v>
      </c>
      <c r="B46" s="18">
        <v>2013</v>
      </c>
      <c r="C46" s="23">
        <v>14</v>
      </c>
      <c r="D46" s="19" t="s">
        <v>12</v>
      </c>
      <c r="E46" s="22">
        <v>2063</v>
      </c>
      <c r="F46" s="21">
        <v>1.38E-2</v>
      </c>
    </row>
    <row r="47" spans="1:6" x14ac:dyDescent="0.2">
      <c r="A47" s="18" t="str">
        <f t="shared" si="0"/>
        <v>2013-15</v>
      </c>
      <c r="B47" s="18">
        <v>2013</v>
      </c>
      <c r="C47" s="23">
        <v>15</v>
      </c>
      <c r="D47" s="19" t="s">
        <v>16</v>
      </c>
      <c r="E47" s="22">
        <v>2054</v>
      </c>
      <c r="F47" s="21">
        <v>1.37E-2</v>
      </c>
    </row>
    <row r="48" spans="1:6" x14ac:dyDescent="0.2">
      <c r="A48" s="18" t="str">
        <f t="shared" si="0"/>
        <v>2013-16</v>
      </c>
      <c r="B48" s="18">
        <v>2013</v>
      </c>
      <c r="C48" s="23">
        <v>16</v>
      </c>
      <c r="D48" s="19" t="s">
        <v>17</v>
      </c>
      <c r="E48" s="22">
        <v>1017</v>
      </c>
      <c r="F48" s="21">
        <v>6.7999999999999996E-3</v>
      </c>
    </row>
    <row r="49" spans="1:6" x14ac:dyDescent="0.2">
      <c r="A49" s="18" t="str">
        <f t="shared" si="0"/>
        <v>2013-17</v>
      </c>
      <c r="B49" s="18">
        <v>2013</v>
      </c>
      <c r="C49" s="23">
        <v>17</v>
      </c>
      <c r="D49" s="19" t="s">
        <v>18</v>
      </c>
      <c r="E49" s="24">
        <v>935</v>
      </c>
      <c r="F49" s="21">
        <v>6.1999999999999998E-3</v>
      </c>
    </row>
    <row r="50" spans="1:6" x14ac:dyDescent="0.2">
      <c r="A50" s="18" t="str">
        <f t="shared" si="0"/>
        <v>2013-18</v>
      </c>
      <c r="B50" s="18">
        <v>2013</v>
      </c>
      <c r="C50" s="23">
        <v>18</v>
      </c>
      <c r="D50" s="19" t="s">
        <v>19</v>
      </c>
      <c r="E50" s="24">
        <v>769</v>
      </c>
      <c r="F50" s="21">
        <v>5.1000000000000004E-3</v>
      </c>
    </row>
    <row r="51" spans="1:6" x14ac:dyDescent="0.2">
      <c r="A51" s="18" t="str">
        <f t="shared" si="0"/>
        <v>2013-19</v>
      </c>
      <c r="B51" s="18">
        <v>2013</v>
      </c>
      <c r="C51" s="23">
        <v>19</v>
      </c>
      <c r="D51" s="19" t="s">
        <v>23</v>
      </c>
      <c r="E51" s="24">
        <v>695</v>
      </c>
      <c r="F51" s="21">
        <v>4.5999999999999999E-3</v>
      </c>
    </row>
    <row r="52" spans="1:6" x14ac:dyDescent="0.2">
      <c r="A52" s="18" t="str">
        <f t="shared" si="0"/>
        <v>2013-20</v>
      </c>
      <c r="B52" s="18">
        <v>2013</v>
      </c>
      <c r="C52" s="23">
        <v>20</v>
      </c>
      <c r="D52" s="19" t="s">
        <v>20</v>
      </c>
      <c r="E52" s="24">
        <v>685</v>
      </c>
      <c r="F52" s="21">
        <v>4.5999999999999999E-3</v>
      </c>
    </row>
    <row r="53" spans="1:6" x14ac:dyDescent="0.2">
      <c r="A53" s="18" t="str">
        <f t="shared" si="0"/>
        <v>2013-21</v>
      </c>
      <c r="B53" s="18">
        <v>2013</v>
      </c>
      <c r="C53" s="23">
        <v>21</v>
      </c>
      <c r="D53" s="19" t="s">
        <v>21</v>
      </c>
      <c r="E53" s="24">
        <v>637</v>
      </c>
      <c r="F53" s="21">
        <v>4.1999999999999997E-3</v>
      </c>
    </row>
    <row r="54" spans="1:6" x14ac:dyDescent="0.2">
      <c r="A54" s="18" t="str">
        <f t="shared" si="0"/>
        <v>2013-22</v>
      </c>
      <c r="B54" s="18">
        <v>2013</v>
      </c>
      <c r="C54" s="23">
        <v>22</v>
      </c>
      <c r="D54" s="19" t="s">
        <v>26</v>
      </c>
      <c r="E54" s="24">
        <v>538</v>
      </c>
      <c r="F54" s="21">
        <v>3.5999999999999999E-3</v>
      </c>
    </row>
    <row r="55" spans="1:6" x14ac:dyDescent="0.2">
      <c r="A55" s="18" t="str">
        <f t="shared" si="0"/>
        <v>2013-23</v>
      </c>
      <c r="B55" s="18">
        <v>2013</v>
      </c>
      <c r="C55" s="23">
        <v>23</v>
      </c>
      <c r="D55" s="19" t="s">
        <v>25</v>
      </c>
      <c r="E55" s="24">
        <v>524</v>
      </c>
      <c r="F55" s="21">
        <v>3.5000000000000001E-3</v>
      </c>
    </row>
    <row r="56" spans="1:6" x14ac:dyDescent="0.2">
      <c r="A56" s="18" t="str">
        <f t="shared" si="0"/>
        <v>2013-24</v>
      </c>
      <c r="B56" s="18">
        <v>2013</v>
      </c>
      <c r="C56" s="23">
        <v>24</v>
      </c>
      <c r="D56" s="19" t="s">
        <v>31</v>
      </c>
      <c r="E56" s="24">
        <v>515</v>
      </c>
      <c r="F56" s="21">
        <v>3.3999999999999998E-3</v>
      </c>
    </row>
    <row r="57" spans="1:6" x14ac:dyDescent="0.2">
      <c r="A57" s="18" t="str">
        <f t="shared" si="0"/>
        <v>2013-25</v>
      </c>
      <c r="B57" s="18">
        <v>2013</v>
      </c>
      <c r="C57" s="23">
        <v>25</v>
      </c>
      <c r="D57" s="19" t="s">
        <v>24</v>
      </c>
      <c r="E57" s="24">
        <v>502</v>
      </c>
      <c r="F57" s="21">
        <v>3.3E-3</v>
      </c>
    </row>
    <row r="58" spans="1:6" x14ac:dyDescent="0.2">
      <c r="A58" s="18" t="str">
        <f t="shared" si="0"/>
        <v>2013-TP25C</v>
      </c>
      <c r="B58" s="18">
        <v>2013</v>
      </c>
      <c r="C58" s="18" t="s">
        <v>36</v>
      </c>
      <c r="D58" s="19" t="s">
        <v>27</v>
      </c>
      <c r="E58" s="22">
        <v>130925</v>
      </c>
      <c r="F58" s="21">
        <v>0.87339999999999995</v>
      </c>
    </row>
    <row r="59" spans="1:6" x14ac:dyDescent="0.2">
      <c r="A59" s="18" t="str">
        <f t="shared" si="0"/>
        <v>2013-Desc</v>
      </c>
      <c r="B59" s="18">
        <v>2013</v>
      </c>
      <c r="C59" s="18" t="s">
        <v>33</v>
      </c>
      <c r="D59" s="19" t="s">
        <v>28</v>
      </c>
      <c r="E59" s="24">
        <v>430</v>
      </c>
      <c r="F59" s="21">
        <v>2.8999999999999998E-3</v>
      </c>
    </row>
    <row r="60" spans="1:6" x14ac:dyDescent="0.2">
      <c r="A60" s="18" t="str">
        <f t="shared" si="0"/>
        <v>2013-MV</v>
      </c>
      <c r="B60" s="18">
        <v>2013</v>
      </c>
      <c r="C60" s="18" t="s">
        <v>34</v>
      </c>
      <c r="D60" s="19" t="s">
        <v>29</v>
      </c>
      <c r="E60" s="22">
        <v>9717</v>
      </c>
      <c r="F60" s="21">
        <v>6.5100000000000005E-2</v>
      </c>
    </row>
    <row r="61" spans="1:6" x14ac:dyDescent="0.2">
      <c r="A61" s="18" t="str">
        <f t="shared" si="0"/>
        <v>2013-TC</v>
      </c>
      <c r="B61" s="18">
        <v>2013</v>
      </c>
      <c r="C61" s="18" t="s">
        <v>35</v>
      </c>
      <c r="D61" s="19" t="s">
        <v>32</v>
      </c>
      <c r="E61" s="22">
        <v>149903</v>
      </c>
      <c r="F61" s="21">
        <v>1</v>
      </c>
    </row>
    <row r="62" spans="1:6" x14ac:dyDescent="0.2">
      <c r="A62" s="18" t="str">
        <f t="shared" si="0"/>
        <v>2012-1</v>
      </c>
      <c r="B62" s="18">
        <v>2012</v>
      </c>
      <c r="C62" s="18">
        <v>1</v>
      </c>
      <c r="D62" s="19" t="s">
        <v>2</v>
      </c>
      <c r="E62" s="22">
        <v>30467</v>
      </c>
      <c r="F62" s="21">
        <v>0.20580000000000001</v>
      </c>
    </row>
    <row r="63" spans="1:6" x14ac:dyDescent="0.2">
      <c r="A63" s="18" t="str">
        <f t="shared" si="0"/>
        <v>2012-2</v>
      </c>
      <c r="B63" s="18">
        <v>2012</v>
      </c>
      <c r="C63" s="18">
        <v>2</v>
      </c>
      <c r="D63" s="19" t="s">
        <v>3</v>
      </c>
      <c r="E63" s="22">
        <v>22815</v>
      </c>
      <c r="F63" s="21">
        <v>0.15409999999999999</v>
      </c>
    </row>
    <row r="64" spans="1:6" x14ac:dyDescent="0.2">
      <c r="A64" s="18" t="str">
        <f t="shared" si="0"/>
        <v>2012-3</v>
      </c>
      <c r="B64" s="18">
        <v>2012</v>
      </c>
      <c r="C64" s="18">
        <v>3</v>
      </c>
      <c r="D64" s="19" t="s">
        <v>5</v>
      </c>
      <c r="E64" s="22">
        <v>11308</v>
      </c>
      <c r="F64" s="21">
        <v>7.6399999999999996E-2</v>
      </c>
    </row>
    <row r="65" spans="1:6" x14ac:dyDescent="0.2">
      <c r="A65" s="18" t="str">
        <f t="shared" si="0"/>
        <v>2012-4</v>
      </c>
      <c r="B65" s="18">
        <v>2012</v>
      </c>
      <c r="C65" s="18">
        <v>4</v>
      </c>
      <c r="D65" s="19" t="s">
        <v>6</v>
      </c>
      <c r="E65" s="22">
        <v>10671</v>
      </c>
      <c r="F65" s="21">
        <v>7.2400000000000006E-2</v>
      </c>
    </row>
    <row r="66" spans="1:6" x14ac:dyDescent="0.2">
      <c r="A66" s="18" t="str">
        <f t="shared" si="0"/>
        <v>2012-5</v>
      </c>
      <c r="B66" s="18">
        <v>2012</v>
      </c>
      <c r="C66" s="18">
        <v>5</v>
      </c>
      <c r="D66" s="19" t="s">
        <v>4</v>
      </c>
      <c r="E66" s="22">
        <v>10528</v>
      </c>
      <c r="F66" s="21">
        <v>7.1099999999999997E-2</v>
      </c>
    </row>
    <row r="67" spans="1:6" x14ac:dyDescent="0.2">
      <c r="A67" s="18" t="str">
        <f t="shared" si="0"/>
        <v>2012-6</v>
      </c>
      <c r="B67" s="18">
        <v>2012</v>
      </c>
      <c r="C67" s="18">
        <v>6</v>
      </c>
      <c r="D67" s="19" t="s">
        <v>7</v>
      </c>
      <c r="E67" s="22">
        <v>9861</v>
      </c>
      <c r="F67" s="21">
        <v>6.6900000000000001E-2</v>
      </c>
    </row>
    <row r="68" spans="1:6" x14ac:dyDescent="0.2">
      <c r="A68" s="18" t="str">
        <f t="shared" si="0"/>
        <v>2012-7</v>
      </c>
      <c r="B68" s="18">
        <v>2012</v>
      </c>
      <c r="C68" s="18">
        <v>7</v>
      </c>
      <c r="D68" s="19" t="s">
        <v>8</v>
      </c>
      <c r="E68" s="22">
        <v>5445</v>
      </c>
      <c r="F68" s="21">
        <v>3.6799999999999999E-2</v>
      </c>
    </row>
    <row r="69" spans="1:6" x14ac:dyDescent="0.2">
      <c r="A69" s="18" t="str">
        <f t="shared" ref="A69:A132" si="1">+CONCATENATE(B69,"-",C69)</f>
        <v>2012-8</v>
      </c>
      <c r="B69" s="18">
        <v>2012</v>
      </c>
      <c r="C69" s="18">
        <v>8</v>
      </c>
      <c r="D69" s="19" t="s">
        <v>9</v>
      </c>
      <c r="E69" s="22">
        <v>4116</v>
      </c>
      <c r="F69" s="21">
        <v>2.7799999999999998E-2</v>
      </c>
    </row>
    <row r="70" spans="1:6" x14ac:dyDescent="0.2">
      <c r="A70" s="18" t="str">
        <f t="shared" si="1"/>
        <v>2012-9</v>
      </c>
      <c r="B70" s="18">
        <v>2012</v>
      </c>
      <c r="C70" s="18">
        <v>9</v>
      </c>
      <c r="D70" s="19" t="s">
        <v>10</v>
      </c>
      <c r="E70" s="22">
        <v>3779</v>
      </c>
      <c r="F70" s="21">
        <v>2.5499999999999998E-2</v>
      </c>
    </row>
    <row r="71" spans="1:6" x14ac:dyDescent="0.2">
      <c r="A71" s="18" t="str">
        <f t="shared" si="1"/>
        <v>2012-10</v>
      </c>
      <c r="B71" s="18">
        <v>2012</v>
      </c>
      <c r="C71" s="18">
        <v>10</v>
      </c>
      <c r="D71" s="19" t="s">
        <v>11</v>
      </c>
      <c r="E71" s="22">
        <v>2908</v>
      </c>
      <c r="F71" s="21">
        <v>1.9599999999999999E-2</v>
      </c>
    </row>
    <row r="72" spans="1:6" x14ac:dyDescent="0.2">
      <c r="A72" s="18" t="str">
        <f t="shared" si="1"/>
        <v>2012-11</v>
      </c>
      <c r="B72" s="18">
        <v>2012</v>
      </c>
      <c r="C72" s="18">
        <v>11</v>
      </c>
      <c r="D72" s="19" t="s">
        <v>30</v>
      </c>
      <c r="E72" s="22">
        <v>2472</v>
      </c>
      <c r="F72" s="21">
        <v>1.67E-2</v>
      </c>
    </row>
    <row r="73" spans="1:6" x14ac:dyDescent="0.2">
      <c r="A73" s="18" t="str">
        <f t="shared" si="1"/>
        <v>2012-12</v>
      </c>
      <c r="B73" s="18">
        <v>2012</v>
      </c>
      <c r="C73" s="18">
        <v>12</v>
      </c>
      <c r="D73" s="19" t="s">
        <v>15</v>
      </c>
      <c r="E73" s="22">
        <v>2292</v>
      </c>
      <c r="F73" s="21">
        <v>1.55E-2</v>
      </c>
    </row>
    <row r="74" spans="1:6" x14ac:dyDescent="0.2">
      <c r="A74" s="18" t="str">
        <f t="shared" si="1"/>
        <v>2012-13</v>
      </c>
      <c r="B74" s="18">
        <v>2012</v>
      </c>
      <c r="C74" s="18">
        <v>13</v>
      </c>
      <c r="D74" s="19" t="s">
        <v>16</v>
      </c>
      <c r="E74" s="22">
        <v>2161</v>
      </c>
      <c r="F74" s="21">
        <v>1.46E-2</v>
      </c>
    </row>
    <row r="75" spans="1:6" x14ac:dyDescent="0.2">
      <c r="A75" s="18" t="str">
        <f t="shared" si="1"/>
        <v>2012-14</v>
      </c>
      <c r="B75" s="18">
        <v>2012</v>
      </c>
      <c r="C75" s="18">
        <v>14</v>
      </c>
      <c r="D75" s="19" t="s">
        <v>14</v>
      </c>
      <c r="E75" s="22">
        <v>1923</v>
      </c>
      <c r="F75" s="21">
        <v>1.2999999999999999E-2</v>
      </c>
    </row>
    <row r="76" spans="1:6" x14ac:dyDescent="0.2">
      <c r="A76" s="18" t="str">
        <f t="shared" si="1"/>
        <v>2012-15</v>
      </c>
      <c r="B76" s="18">
        <v>2012</v>
      </c>
      <c r="C76" s="23">
        <v>15</v>
      </c>
      <c r="D76" s="19" t="s">
        <v>12</v>
      </c>
      <c r="E76" s="22">
        <v>1848</v>
      </c>
      <c r="F76" s="21">
        <v>1.2500000000000001E-2</v>
      </c>
    </row>
    <row r="77" spans="1:6" x14ac:dyDescent="0.2">
      <c r="A77" s="18" t="str">
        <f t="shared" si="1"/>
        <v>2012-16</v>
      </c>
      <c r="B77" s="18">
        <v>2012</v>
      </c>
      <c r="C77" s="23">
        <v>16</v>
      </c>
      <c r="D77" s="19" t="s">
        <v>17</v>
      </c>
      <c r="E77" s="22">
        <v>1010</v>
      </c>
      <c r="F77" s="21">
        <v>6.7999999999999996E-3</v>
      </c>
    </row>
    <row r="78" spans="1:6" x14ac:dyDescent="0.2">
      <c r="A78" s="18" t="str">
        <f t="shared" si="1"/>
        <v>2012-17</v>
      </c>
      <c r="B78" s="18">
        <v>2012</v>
      </c>
      <c r="C78" s="23">
        <v>17</v>
      </c>
      <c r="D78" s="19" t="s">
        <v>18</v>
      </c>
      <c r="E78" s="24">
        <v>777</v>
      </c>
      <c r="F78" s="21">
        <v>5.1999999999999998E-3</v>
      </c>
    </row>
    <row r="79" spans="1:6" x14ac:dyDescent="0.2">
      <c r="A79" s="18" t="str">
        <f t="shared" si="1"/>
        <v>2012-18</v>
      </c>
      <c r="B79" s="18">
        <v>2012</v>
      </c>
      <c r="C79" s="23">
        <v>18</v>
      </c>
      <c r="D79" s="19" t="s">
        <v>20</v>
      </c>
      <c r="E79" s="24">
        <v>774</v>
      </c>
      <c r="F79" s="21">
        <v>5.1999999999999998E-3</v>
      </c>
    </row>
    <row r="80" spans="1:6" x14ac:dyDescent="0.2">
      <c r="A80" s="18" t="str">
        <f t="shared" si="1"/>
        <v>2012-19</v>
      </c>
      <c r="B80" s="18">
        <v>2012</v>
      </c>
      <c r="C80" s="23">
        <v>19</v>
      </c>
      <c r="D80" s="19" t="s">
        <v>19</v>
      </c>
      <c r="E80" s="24">
        <v>758</v>
      </c>
      <c r="F80" s="21">
        <v>5.1000000000000004E-3</v>
      </c>
    </row>
    <row r="81" spans="1:6" x14ac:dyDescent="0.2">
      <c r="A81" s="18" t="str">
        <f t="shared" si="1"/>
        <v>2012-20</v>
      </c>
      <c r="B81" s="18">
        <v>2012</v>
      </c>
      <c r="C81" s="23">
        <v>20</v>
      </c>
      <c r="D81" s="19" t="s">
        <v>23</v>
      </c>
      <c r="E81" s="24">
        <v>647</v>
      </c>
      <c r="F81" s="21">
        <v>4.4000000000000003E-3</v>
      </c>
    </row>
    <row r="82" spans="1:6" x14ac:dyDescent="0.2">
      <c r="A82" s="18" t="str">
        <f t="shared" si="1"/>
        <v>2012-21</v>
      </c>
      <c r="B82" s="18">
        <v>2012</v>
      </c>
      <c r="C82" s="23">
        <v>21</v>
      </c>
      <c r="D82" s="19" t="s">
        <v>21</v>
      </c>
      <c r="E82" s="24">
        <v>596</v>
      </c>
      <c r="F82" s="21">
        <v>4.0000000000000001E-3</v>
      </c>
    </row>
    <row r="83" spans="1:6" x14ac:dyDescent="0.2">
      <c r="A83" s="18" t="str">
        <f t="shared" si="1"/>
        <v>2012-22</v>
      </c>
      <c r="B83" s="18">
        <v>2012</v>
      </c>
      <c r="C83" s="23">
        <v>22</v>
      </c>
      <c r="D83" s="19" t="s">
        <v>25</v>
      </c>
      <c r="E83" s="24">
        <v>544</v>
      </c>
      <c r="F83" s="21">
        <v>3.7000000000000002E-3</v>
      </c>
    </row>
    <row r="84" spans="1:6" x14ac:dyDescent="0.2">
      <c r="A84" s="18" t="str">
        <f t="shared" si="1"/>
        <v>2012-23</v>
      </c>
      <c r="B84" s="18">
        <v>2012</v>
      </c>
      <c r="C84" s="23">
        <v>23</v>
      </c>
      <c r="D84" s="19" t="s">
        <v>24</v>
      </c>
      <c r="E84" s="24">
        <v>496</v>
      </c>
      <c r="F84" s="21">
        <v>3.3999999999999998E-3</v>
      </c>
    </row>
    <row r="85" spans="1:6" x14ac:dyDescent="0.2">
      <c r="A85" s="18" t="str">
        <f t="shared" si="1"/>
        <v>2012-24</v>
      </c>
      <c r="B85" s="18">
        <v>2012</v>
      </c>
      <c r="C85" s="23">
        <v>24</v>
      </c>
      <c r="D85" s="19" t="s">
        <v>26</v>
      </c>
      <c r="E85" s="24">
        <v>471</v>
      </c>
      <c r="F85" s="21">
        <v>3.2000000000000002E-3</v>
      </c>
    </row>
    <row r="86" spans="1:6" x14ac:dyDescent="0.2">
      <c r="A86" s="18" t="str">
        <f t="shared" si="1"/>
        <v>2012-25</v>
      </c>
      <c r="B86" s="18">
        <v>2012</v>
      </c>
      <c r="C86" s="23">
        <v>25</v>
      </c>
      <c r="D86" s="19" t="s">
        <v>31</v>
      </c>
      <c r="E86" s="24">
        <v>464</v>
      </c>
      <c r="F86" s="21">
        <v>3.0999999999999999E-3</v>
      </c>
    </row>
    <row r="87" spans="1:6" x14ac:dyDescent="0.2">
      <c r="A87" s="18" t="str">
        <f t="shared" si="1"/>
        <v>2012-TP25C</v>
      </c>
      <c r="B87" s="18">
        <v>2012</v>
      </c>
      <c r="C87" s="18" t="s">
        <v>36</v>
      </c>
      <c r="D87" s="19" t="s">
        <v>27</v>
      </c>
      <c r="E87" s="25">
        <v>129131</v>
      </c>
      <c r="F87" s="21">
        <v>0.87219999999999998</v>
      </c>
    </row>
    <row r="88" spans="1:6" x14ac:dyDescent="0.2">
      <c r="A88" s="18" t="str">
        <f t="shared" si="1"/>
        <v>2012-Desc</v>
      </c>
      <c r="B88" s="18">
        <v>2012</v>
      </c>
      <c r="C88" s="18" t="s">
        <v>33</v>
      </c>
      <c r="D88" s="19" t="s">
        <v>28</v>
      </c>
      <c r="E88" s="24">
        <v>518</v>
      </c>
      <c r="F88" s="21">
        <v>3.5000000000000001E-3</v>
      </c>
    </row>
    <row r="89" spans="1:6" x14ac:dyDescent="0.2">
      <c r="A89" s="18" t="str">
        <f t="shared" si="1"/>
        <v>2012-MV</v>
      </c>
      <c r="B89" s="18">
        <v>2012</v>
      </c>
      <c r="C89" s="18" t="s">
        <v>34</v>
      </c>
      <c r="D89" s="19" t="s">
        <v>29</v>
      </c>
      <c r="E89" s="22">
        <v>9549</v>
      </c>
      <c r="F89" s="21">
        <v>6.4799999999999996E-2</v>
      </c>
    </row>
    <row r="90" spans="1:6" x14ac:dyDescent="0.2">
      <c r="A90" s="18" t="str">
        <f t="shared" si="1"/>
        <v>2012-TC</v>
      </c>
      <c r="B90" s="18">
        <v>2012</v>
      </c>
      <c r="C90" s="18" t="s">
        <v>35</v>
      </c>
      <c r="D90" s="19" t="s">
        <v>32</v>
      </c>
      <c r="E90" s="22">
        <v>148058</v>
      </c>
      <c r="F90" s="21">
        <v>1</v>
      </c>
    </row>
    <row r="91" spans="1:6" x14ac:dyDescent="0.2">
      <c r="A91" s="18" t="str">
        <f t="shared" si="1"/>
        <v>2011-1</v>
      </c>
      <c r="B91" s="18">
        <v>2011</v>
      </c>
      <c r="C91" s="24">
        <v>1</v>
      </c>
      <c r="D91" s="19" t="s">
        <v>2</v>
      </c>
      <c r="E91" s="22">
        <v>30548</v>
      </c>
      <c r="F91" s="21">
        <v>0.21360000000000001</v>
      </c>
    </row>
    <row r="92" spans="1:6" x14ac:dyDescent="0.2">
      <c r="A92" s="18" t="str">
        <f t="shared" si="1"/>
        <v>2011-2</v>
      </c>
      <c r="B92" s="18">
        <v>2011</v>
      </c>
      <c r="C92" s="24">
        <v>2</v>
      </c>
      <c r="D92" s="19" t="s">
        <v>3</v>
      </c>
      <c r="E92" s="22">
        <v>22327</v>
      </c>
      <c r="F92" s="21">
        <v>0.15609999999999999</v>
      </c>
    </row>
    <row r="93" spans="1:6" x14ac:dyDescent="0.2">
      <c r="A93" s="18" t="str">
        <f t="shared" si="1"/>
        <v>2011-3</v>
      </c>
      <c r="B93" s="18">
        <v>2011</v>
      </c>
      <c r="C93" s="24">
        <v>3</v>
      </c>
      <c r="D93" s="19" t="s">
        <v>5</v>
      </c>
      <c r="E93" s="22">
        <v>11052</v>
      </c>
      <c r="F93" s="21">
        <v>7.7299999999999994E-2</v>
      </c>
    </row>
    <row r="94" spans="1:6" x14ac:dyDescent="0.2">
      <c r="A94" s="18" t="str">
        <f t="shared" si="1"/>
        <v>2011-4</v>
      </c>
      <c r="B94" s="18">
        <v>2011</v>
      </c>
      <c r="C94" s="24">
        <v>4</v>
      </c>
      <c r="D94" s="19" t="s">
        <v>4</v>
      </c>
      <c r="E94" s="22">
        <v>9854</v>
      </c>
      <c r="F94" s="21">
        <v>6.8900000000000003E-2</v>
      </c>
    </row>
    <row r="95" spans="1:6" x14ac:dyDescent="0.2">
      <c r="A95" s="18" t="str">
        <f t="shared" si="1"/>
        <v>2011-5</v>
      </c>
      <c r="B95" s="18">
        <v>2011</v>
      </c>
      <c r="C95" s="24">
        <v>5</v>
      </c>
      <c r="D95" s="19" t="s">
        <v>6</v>
      </c>
      <c r="E95" s="22">
        <v>9638</v>
      </c>
      <c r="F95" s="21">
        <v>6.7699999999999996E-2</v>
      </c>
    </row>
    <row r="96" spans="1:6" x14ac:dyDescent="0.2">
      <c r="A96" s="18" t="str">
        <f t="shared" si="1"/>
        <v>2011-6</v>
      </c>
      <c r="B96" s="18">
        <v>2011</v>
      </c>
      <c r="C96" s="24">
        <v>6</v>
      </c>
      <c r="D96" s="19" t="s">
        <v>7</v>
      </c>
      <c r="E96" s="22">
        <v>8970</v>
      </c>
      <c r="F96" s="21">
        <v>6.3E-2</v>
      </c>
    </row>
    <row r="97" spans="1:6" x14ac:dyDescent="0.2">
      <c r="A97" s="18" t="str">
        <f t="shared" si="1"/>
        <v>2011-7</v>
      </c>
      <c r="B97" s="18">
        <v>2011</v>
      </c>
      <c r="C97" s="24">
        <v>7</v>
      </c>
      <c r="D97" s="19" t="s">
        <v>8</v>
      </c>
      <c r="E97" s="22">
        <v>5530</v>
      </c>
      <c r="F97" s="21">
        <v>3.8699999999999998E-2</v>
      </c>
    </row>
    <row r="98" spans="1:6" x14ac:dyDescent="0.2">
      <c r="A98" s="18" t="str">
        <f t="shared" si="1"/>
        <v>2011-8</v>
      </c>
      <c r="B98" s="18">
        <v>2011</v>
      </c>
      <c r="C98" s="24">
        <v>8</v>
      </c>
      <c r="D98" s="19" t="s">
        <v>9</v>
      </c>
      <c r="E98" s="22">
        <v>4104</v>
      </c>
      <c r="F98" s="21">
        <v>2.87E-2</v>
      </c>
    </row>
    <row r="99" spans="1:6" x14ac:dyDescent="0.2">
      <c r="A99" s="18" t="str">
        <f t="shared" si="1"/>
        <v>2011-9</v>
      </c>
      <c r="B99" s="18">
        <v>2011</v>
      </c>
      <c r="C99" s="24">
        <v>9</v>
      </c>
      <c r="D99" s="19" t="s">
        <v>10</v>
      </c>
      <c r="E99" s="22">
        <v>3828</v>
      </c>
      <c r="F99" s="21">
        <v>2.6800000000000001E-2</v>
      </c>
    </row>
    <row r="100" spans="1:6" x14ac:dyDescent="0.2">
      <c r="A100" s="18" t="str">
        <f t="shared" si="1"/>
        <v>2011-10</v>
      </c>
      <c r="B100" s="18">
        <v>2011</v>
      </c>
      <c r="C100" s="24">
        <v>10</v>
      </c>
      <c r="D100" s="19" t="s">
        <v>11</v>
      </c>
      <c r="E100" s="22">
        <v>2812</v>
      </c>
      <c r="F100" s="21">
        <v>1.9699999999999999E-2</v>
      </c>
    </row>
    <row r="101" spans="1:6" x14ac:dyDescent="0.2">
      <c r="A101" s="18" t="str">
        <f t="shared" si="1"/>
        <v>2011-11</v>
      </c>
      <c r="B101" s="18">
        <v>2011</v>
      </c>
      <c r="C101" s="24">
        <v>11</v>
      </c>
      <c r="D101" s="19" t="s">
        <v>30</v>
      </c>
      <c r="E101" s="22">
        <v>2301</v>
      </c>
      <c r="F101" s="21">
        <v>1.61E-2</v>
      </c>
    </row>
    <row r="102" spans="1:6" x14ac:dyDescent="0.2">
      <c r="A102" s="18" t="str">
        <f t="shared" si="1"/>
        <v>2011-12</v>
      </c>
      <c r="B102" s="18">
        <v>2011</v>
      </c>
      <c r="C102" s="24">
        <v>12</v>
      </c>
      <c r="D102" s="19" t="s">
        <v>16</v>
      </c>
      <c r="E102" s="22">
        <v>2166</v>
      </c>
      <c r="F102" s="21">
        <v>1.5100000000000001E-2</v>
      </c>
    </row>
    <row r="103" spans="1:6" x14ac:dyDescent="0.2">
      <c r="A103" s="18" t="str">
        <f t="shared" si="1"/>
        <v>2011-13</v>
      </c>
      <c r="B103" s="18">
        <v>2011</v>
      </c>
      <c r="C103" s="24">
        <v>13</v>
      </c>
      <c r="D103" s="19" t="s">
        <v>15</v>
      </c>
      <c r="E103" s="22">
        <v>2045</v>
      </c>
      <c r="F103" s="21">
        <v>1.43E-2</v>
      </c>
    </row>
    <row r="104" spans="1:6" x14ac:dyDescent="0.2">
      <c r="A104" s="18" t="str">
        <f t="shared" si="1"/>
        <v>2011-14</v>
      </c>
      <c r="B104" s="18">
        <v>2011</v>
      </c>
      <c r="C104" s="24">
        <v>14</v>
      </c>
      <c r="D104" s="19" t="s">
        <v>14</v>
      </c>
      <c r="E104" s="22">
        <v>1961</v>
      </c>
      <c r="F104" s="21">
        <v>1.37E-2</v>
      </c>
    </row>
    <row r="105" spans="1:6" x14ac:dyDescent="0.2">
      <c r="A105" s="18" t="str">
        <f t="shared" si="1"/>
        <v>2011-15</v>
      </c>
      <c r="B105" s="18">
        <v>2011</v>
      </c>
      <c r="C105" s="24">
        <v>15</v>
      </c>
      <c r="D105" s="19" t="s">
        <v>12</v>
      </c>
      <c r="E105" s="22">
        <v>1844</v>
      </c>
      <c r="F105" s="21">
        <v>1.29E-2</v>
      </c>
    </row>
    <row r="106" spans="1:6" x14ac:dyDescent="0.2">
      <c r="A106" s="18" t="str">
        <f t="shared" si="1"/>
        <v>2011-16</v>
      </c>
      <c r="B106" s="18">
        <v>2011</v>
      </c>
      <c r="C106" s="24">
        <v>16</v>
      </c>
      <c r="D106" s="19" t="s">
        <v>17</v>
      </c>
      <c r="E106" s="22">
        <v>1050</v>
      </c>
      <c r="F106" s="21">
        <v>7.3000000000000001E-3</v>
      </c>
    </row>
    <row r="107" spans="1:6" x14ac:dyDescent="0.2">
      <c r="A107" s="18" t="str">
        <f t="shared" si="1"/>
        <v>2011-17</v>
      </c>
      <c r="B107" s="18">
        <v>2011</v>
      </c>
      <c r="C107" s="24">
        <v>17</v>
      </c>
      <c r="D107" s="19" t="s">
        <v>18</v>
      </c>
      <c r="E107" s="24">
        <v>953</v>
      </c>
      <c r="F107" s="21">
        <v>6.7000000000000002E-3</v>
      </c>
    </row>
    <row r="108" spans="1:6" x14ac:dyDescent="0.2">
      <c r="A108" s="18" t="str">
        <f t="shared" si="1"/>
        <v>2011-18</v>
      </c>
      <c r="B108" s="18">
        <v>2011</v>
      </c>
      <c r="C108" s="24">
        <v>18</v>
      </c>
      <c r="D108" s="19" t="s">
        <v>20</v>
      </c>
      <c r="E108" s="24">
        <v>844</v>
      </c>
      <c r="F108" s="21">
        <v>5.8999999999999999E-3</v>
      </c>
    </row>
    <row r="109" spans="1:6" x14ac:dyDescent="0.2">
      <c r="A109" s="18" t="str">
        <f t="shared" si="1"/>
        <v>2011-19</v>
      </c>
      <c r="B109" s="18">
        <v>2011</v>
      </c>
      <c r="C109" s="24">
        <v>19</v>
      </c>
      <c r="D109" s="19" t="s">
        <v>19</v>
      </c>
      <c r="E109" s="24">
        <v>600</v>
      </c>
      <c r="F109" s="21">
        <v>4.1999999999999997E-3</v>
      </c>
    </row>
    <row r="110" spans="1:6" x14ac:dyDescent="0.2">
      <c r="A110" s="18" t="str">
        <f t="shared" si="1"/>
        <v>2011-20</v>
      </c>
      <c r="B110" s="18">
        <v>2011</v>
      </c>
      <c r="C110" s="24">
        <v>20</v>
      </c>
      <c r="D110" s="19" t="s">
        <v>23</v>
      </c>
      <c r="E110" s="24">
        <v>588</v>
      </c>
      <c r="F110" s="21">
        <v>4.1000000000000003E-3</v>
      </c>
    </row>
    <row r="111" spans="1:6" x14ac:dyDescent="0.2">
      <c r="A111" s="18" t="str">
        <f t="shared" si="1"/>
        <v>2011-21</v>
      </c>
      <c r="B111" s="18">
        <v>2011</v>
      </c>
      <c r="C111" s="24">
        <v>21</v>
      </c>
      <c r="D111" s="19" t="s">
        <v>21</v>
      </c>
      <c r="E111" s="24">
        <v>587</v>
      </c>
      <c r="F111" s="21">
        <v>4.1000000000000003E-3</v>
      </c>
    </row>
    <row r="112" spans="1:6" x14ac:dyDescent="0.2">
      <c r="A112" s="18" t="str">
        <f t="shared" si="1"/>
        <v>2011-22</v>
      </c>
      <c r="B112" s="18">
        <v>2011</v>
      </c>
      <c r="C112" s="24">
        <v>22</v>
      </c>
      <c r="D112" s="19" t="s">
        <v>25</v>
      </c>
      <c r="E112" s="24">
        <v>542</v>
      </c>
      <c r="F112" s="21">
        <v>3.8E-3</v>
      </c>
    </row>
    <row r="113" spans="1:6" x14ac:dyDescent="0.2">
      <c r="A113" s="18" t="str">
        <f t="shared" si="1"/>
        <v>2011-23</v>
      </c>
      <c r="B113" s="18">
        <v>2011</v>
      </c>
      <c r="C113" s="24">
        <v>23</v>
      </c>
      <c r="D113" s="19" t="s">
        <v>38</v>
      </c>
      <c r="E113" s="24">
        <v>531</v>
      </c>
      <c r="F113" s="21">
        <v>3.7000000000000002E-3</v>
      </c>
    </row>
    <row r="114" spans="1:6" x14ac:dyDescent="0.2">
      <c r="A114" s="18" t="str">
        <f t="shared" si="1"/>
        <v>2011-24</v>
      </c>
      <c r="B114" s="18">
        <v>2011</v>
      </c>
      <c r="C114" s="24">
        <v>24</v>
      </c>
      <c r="D114" s="19" t="s">
        <v>26</v>
      </c>
      <c r="E114" s="24">
        <v>508</v>
      </c>
      <c r="F114" s="21">
        <v>3.5999999999999999E-3</v>
      </c>
    </row>
    <row r="115" spans="1:6" x14ac:dyDescent="0.2">
      <c r="A115" s="18" t="str">
        <f t="shared" si="1"/>
        <v>2011-25</v>
      </c>
      <c r="B115" s="18">
        <v>2011</v>
      </c>
      <c r="C115" s="24">
        <v>25</v>
      </c>
      <c r="D115" s="19" t="s">
        <v>31</v>
      </c>
      <c r="E115" s="24">
        <v>487</v>
      </c>
      <c r="F115" s="21">
        <v>3.3999999999999998E-3</v>
      </c>
    </row>
    <row r="116" spans="1:6" x14ac:dyDescent="0.2">
      <c r="A116" s="18" t="str">
        <f t="shared" si="1"/>
        <v>2011-TP25C</v>
      </c>
      <c r="B116" s="18">
        <v>2011</v>
      </c>
      <c r="C116" s="18" t="s">
        <v>36</v>
      </c>
      <c r="D116" s="19" t="s">
        <v>27</v>
      </c>
      <c r="E116" s="22">
        <v>125670</v>
      </c>
      <c r="F116" s="21">
        <v>0.87870000000000004</v>
      </c>
    </row>
    <row r="117" spans="1:6" x14ac:dyDescent="0.2">
      <c r="A117" s="18" t="str">
        <f t="shared" si="1"/>
        <v>2011-Desc</v>
      </c>
      <c r="B117" s="18">
        <v>2011</v>
      </c>
      <c r="C117" s="18" t="s">
        <v>33</v>
      </c>
      <c r="D117" s="19" t="s">
        <v>28</v>
      </c>
      <c r="E117" s="24">
        <v>483</v>
      </c>
      <c r="F117" s="21">
        <v>3.3999999999999998E-3</v>
      </c>
    </row>
    <row r="118" spans="1:6" x14ac:dyDescent="0.2">
      <c r="A118" s="18" t="str">
        <f t="shared" si="1"/>
        <v>2011-MV</v>
      </c>
      <c r="B118" s="18">
        <v>2011</v>
      </c>
      <c r="C118" s="18" t="s">
        <v>34</v>
      </c>
      <c r="D118" s="19" t="s">
        <v>29</v>
      </c>
      <c r="E118" s="22">
        <v>8522</v>
      </c>
      <c r="F118" s="21">
        <v>5.9900000000000002E-2</v>
      </c>
    </row>
    <row r="119" spans="1:6" x14ac:dyDescent="0.2">
      <c r="A119" s="18" t="str">
        <f t="shared" si="1"/>
        <v>2011-TC</v>
      </c>
      <c r="B119" s="18">
        <v>2011</v>
      </c>
      <c r="C119" s="18" t="s">
        <v>35</v>
      </c>
      <c r="D119" s="19" t="s">
        <v>32</v>
      </c>
      <c r="E119" s="22">
        <v>143020</v>
      </c>
      <c r="F119" s="21">
        <v>1</v>
      </c>
    </row>
    <row r="120" spans="1:6" x14ac:dyDescent="0.2">
      <c r="A120" s="18" t="str">
        <f t="shared" si="1"/>
        <v>2010-1</v>
      </c>
      <c r="B120" s="18">
        <v>2010</v>
      </c>
      <c r="C120" s="18">
        <v>1</v>
      </c>
      <c r="D120" s="19" t="s">
        <v>2</v>
      </c>
      <c r="E120" s="22">
        <v>29078</v>
      </c>
      <c r="F120" s="21">
        <v>0.2099</v>
      </c>
    </row>
    <row r="121" spans="1:6" x14ac:dyDescent="0.2">
      <c r="A121" s="18" t="str">
        <f t="shared" si="1"/>
        <v>2010-2</v>
      </c>
      <c r="B121" s="18">
        <v>2010</v>
      </c>
      <c r="C121" s="18">
        <v>2</v>
      </c>
      <c r="D121" s="19" t="s">
        <v>3</v>
      </c>
      <c r="E121" s="22">
        <v>21185</v>
      </c>
      <c r="F121" s="21">
        <v>0.153</v>
      </c>
    </row>
    <row r="122" spans="1:6" x14ac:dyDescent="0.2">
      <c r="A122" s="18" t="str">
        <f t="shared" si="1"/>
        <v>2010-3</v>
      </c>
      <c r="B122" s="18">
        <v>2010</v>
      </c>
      <c r="C122" s="18">
        <v>3</v>
      </c>
      <c r="D122" s="19" t="s">
        <v>5</v>
      </c>
      <c r="E122" s="22">
        <v>10642</v>
      </c>
      <c r="F122" s="21">
        <v>7.6799999999999993E-2</v>
      </c>
    </row>
    <row r="123" spans="1:6" x14ac:dyDescent="0.2">
      <c r="A123" s="18" t="str">
        <f t="shared" si="1"/>
        <v>2010-4</v>
      </c>
      <c r="B123" s="18">
        <v>2010</v>
      </c>
      <c r="C123" s="18">
        <v>4</v>
      </c>
      <c r="D123" s="19" t="s">
        <v>6</v>
      </c>
      <c r="E123" s="22">
        <v>9817</v>
      </c>
      <c r="F123" s="21">
        <v>7.1199999999999999E-2</v>
      </c>
    </row>
    <row r="124" spans="1:6" x14ac:dyDescent="0.2">
      <c r="A124" s="18" t="str">
        <f t="shared" si="1"/>
        <v>2010-5</v>
      </c>
      <c r="B124" s="18">
        <v>2010</v>
      </c>
      <c r="C124" s="18">
        <v>5</v>
      </c>
      <c r="D124" s="19" t="s">
        <v>4</v>
      </c>
      <c r="E124" s="22">
        <v>9537</v>
      </c>
      <c r="F124" s="21">
        <v>6.8900000000000003E-2</v>
      </c>
    </row>
    <row r="125" spans="1:6" x14ac:dyDescent="0.2">
      <c r="A125" s="18" t="str">
        <f t="shared" si="1"/>
        <v>2010-6</v>
      </c>
      <c r="B125" s="18">
        <v>2010</v>
      </c>
      <c r="C125" s="18">
        <v>6</v>
      </c>
      <c r="D125" s="19" t="s">
        <v>7</v>
      </c>
      <c r="E125" s="22">
        <v>9155</v>
      </c>
      <c r="F125" s="21">
        <v>6.6400000000000001E-2</v>
      </c>
    </row>
    <row r="126" spans="1:6" x14ac:dyDescent="0.2">
      <c r="A126" s="18" t="str">
        <f t="shared" si="1"/>
        <v>2010-7</v>
      </c>
      <c r="B126" s="18">
        <v>2010</v>
      </c>
      <c r="C126" s="18">
        <v>7</v>
      </c>
      <c r="D126" s="19" t="s">
        <v>8</v>
      </c>
      <c r="E126" s="22">
        <v>5427</v>
      </c>
      <c r="F126" s="21">
        <v>3.9199999999999999E-2</v>
      </c>
    </row>
    <row r="127" spans="1:6" x14ac:dyDescent="0.2">
      <c r="A127" s="18" t="str">
        <f t="shared" si="1"/>
        <v>2010-8</v>
      </c>
      <c r="B127" s="18">
        <v>2010</v>
      </c>
      <c r="C127" s="18">
        <v>8</v>
      </c>
      <c r="D127" s="19" t="s">
        <v>9</v>
      </c>
      <c r="E127" s="22">
        <v>3761</v>
      </c>
      <c r="F127" s="21">
        <v>2.7199999999999998E-2</v>
      </c>
    </row>
    <row r="128" spans="1:6" x14ac:dyDescent="0.2">
      <c r="A128" s="18" t="str">
        <f t="shared" si="1"/>
        <v>2010-9</v>
      </c>
      <c r="B128" s="18">
        <v>2010</v>
      </c>
      <c r="C128" s="18">
        <v>9</v>
      </c>
      <c r="D128" s="19" t="s">
        <v>10</v>
      </c>
      <c r="E128" s="22">
        <v>3593</v>
      </c>
      <c r="F128" s="21">
        <v>2.5899999999999999E-2</v>
      </c>
    </row>
    <row r="129" spans="1:6" x14ac:dyDescent="0.2">
      <c r="A129" s="18" t="str">
        <f t="shared" si="1"/>
        <v>2010-10</v>
      </c>
      <c r="B129" s="18">
        <v>2010</v>
      </c>
      <c r="C129" s="18">
        <v>10</v>
      </c>
      <c r="D129" s="19" t="s">
        <v>11</v>
      </c>
      <c r="E129" s="22">
        <v>2692</v>
      </c>
      <c r="F129" s="21">
        <v>1.9400000000000001E-2</v>
      </c>
    </row>
    <row r="130" spans="1:6" x14ac:dyDescent="0.2">
      <c r="A130" s="18" t="str">
        <f t="shared" si="1"/>
        <v>2010-11</v>
      </c>
      <c r="B130" s="18">
        <v>2010</v>
      </c>
      <c r="C130" s="18">
        <v>11</v>
      </c>
      <c r="D130" s="19" t="s">
        <v>30</v>
      </c>
      <c r="E130" s="22">
        <v>2392</v>
      </c>
      <c r="F130" s="21">
        <v>1.7299999999999999E-2</v>
      </c>
    </row>
    <row r="131" spans="1:6" x14ac:dyDescent="0.2">
      <c r="A131" s="18" t="str">
        <f t="shared" si="1"/>
        <v>2010-12</v>
      </c>
      <c r="B131" s="18">
        <v>2010</v>
      </c>
      <c r="C131" s="18">
        <v>12</v>
      </c>
      <c r="D131" s="19" t="s">
        <v>14</v>
      </c>
      <c r="E131" s="22">
        <v>2193</v>
      </c>
      <c r="F131" s="21">
        <v>1.5800000000000002E-2</v>
      </c>
    </row>
    <row r="132" spans="1:6" x14ac:dyDescent="0.2">
      <c r="A132" s="18" t="str">
        <f t="shared" si="1"/>
        <v>2010-13</v>
      </c>
      <c r="B132" s="18">
        <v>2010</v>
      </c>
      <c r="C132" s="18">
        <v>13</v>
      </c>
      <c r="D132" s="19" t="s">
        <v>15</v>
      </c>
      <c r="E132" s="22">
        <v>1981</v>
      </c>
      <c r="F132" s="21">
        <v>1.43E-2</v>
      </c>
    </row>
    <row r="133" spans="1:6" x14ac:dyDescent="0.2">
      <c r="A133" s="18" t="str">
        <f t="shared" ref="A133:A196" si="2">+CONCATENATE(B133,"-",C133)</f>
        <v>2010-14</v>
      </c>
      <c r="B133" s="18">
        <v>2010</v>
      </c>
      <c r="C133" s="18">
        <v>14</v>
      </c>
      <c r="D133" s="19" t="s">
        <v>16</v>
      </c>
      <c r="E133" s="22">
        <v>1830</v>
      </c>
      <c r="F133" s="21">
        <v>1.32E-2</v>
      </c>
    </row>
    <row r="134" spans="1:6" x14ac:dyDescent="0.2">
      <c r="A134" s="18" t="str">
        <f t="shared" si="2"/>
        <v>2010-15</v>
      </c>
      <c r="B134" s="18">
        <v>2010</v>
      </c>
      <c r="C134" s="18">
        <v>15</v>
      </c>
      <c r="D134" s="19" t="s">
        <v>12</v>
      </c>
      <c r="E134" s="22">
        <v>1661</v>
      </c>
      <c r="F134" s="21">
        <v>1.2E-2</v>
      </c>
    </row>
    <row r="135" spans="1:6" x14ac:dyDescent="0.2">
      <c r="A135" s="18" t="str">
        <f t="shared" si="2"/>
        <v>2010-16</v>
      </c>
      <c r="B135" s="18">
        <v>2010</v>
      </c>
      <c r="C135" s="18">
        <v>16</v>
      </c>
      <c r="D135" s="19" t="s">
        <v>17</v>
      </c>
      <c r="E135" s="22">
        <v>1088</v>
      </c>
      <c r="F135" s="21">
        <v>7.9000000000000008E-3</v>
      </c>
    </row>
    <row r="136" spans="1:6" x14ac:dyDescent="0.2">
      <c r="A136" s="18" t="str">
        <f t="shared" si="2"/>
        <v>2010-17</v>
      </c>
      <c r="B136" s="18">
        <v>2010</v>
      </c>
      <c r="C136" s="18">
        <v>17</v>
      </c>
      <c r="D136" s="19" t="s">
        <v>18</v>
      </c>
      <c r="E136" s="24">
        <v>891</v>
      </c>
      <c r="F136" s="21">
        <v>6.4000000000000003E-3</v>
      </c>
    </row>
    <row r="137" spans="1:6" x14ac:dyDescent="0.2">
      <c r="A137" s="18" t="str">
        <f t="shared" si="2"/>
        <v>2010-18</v>
      </c>
      <c r="B137" s="18">
        <v>2010</v>
      </c>
      <c r="C137" s="18">
        <v>18</v>
      </c>
      <c r="D137" s="19" t="s">
        <v>20</v>
      </c>
      <c r="E137" s="24">
        <v>778</v>
      </c>
      <c r="F137" s="21">
        <v>5.5999999999999999E-3</v>
      </c>
    </row>
    <row r="138" spans="1:6" x14ac:dyDescent="0.2">
      <c r="A138" s="18" t="str">
        <f t="shared" si="2"/>
        <v>2010-19</v>
      </c>
      <c r="B138" s="18">
        <v>2010</v>
      </c>
      <c r="C138" s="18">
        <v>19</v>
      </c>
      <c r="D138" s="19" t="s">
        <v>23</v>
      </c>
      <c r="E138" s="24">
        <v>697</v>
      </c>
      <c r="F138" s="21">
        <v>5.0000000000000001E-3</v>
      </c>
    </row>
    <row r="139" spans="1:6" x14ac:dyDescent="0.2">
      <c r="A139" s="18" t="str">
        <f t="shared" si="2"/>
        <v>2010-20</v>
      </c>
      <c r="B139" s="18">
        <v>2010</v>
      </c>
      <c r="C139" s="18">
        <v>20</v>
      </c>
      <c r="D139" s="19" t="s">
        <v>19</v>
      </c>
      <c r="E139" s="24">
        <v>589</v>
      </c>
      <c r="F139" s="21">
        <v>4.3E-3</v>
      </c>
    </row>
    <row r="140" spans="1:6" x14ac:dyDescent="0.2">
      <c r="A140" s="18" t="str">
        <f t="shared" si="2"/>
        <v>2010-21</v>
      </c>
      <c r="B140" s="18">
        <v>2010</v>
      </c>
      <c r="C140" s="18">
        <v>21</v>
      </c>
      <c r="D140" s="19" t="s">
        <v>38</v>
      </c>
      <c r="E140" s="24">
        <v>577</v>
      </c>
      <c r="F140" s="21">
        <v>4.1999999999999997E-3</v>
      </c>
    </row>
    <row r="141" spans="1:6" x14ac:dyDescent="0.2">
      <c r="A141" s="18" t="str">
        <f t="shared" si="2"/>
        <v>2010-22</v>
      </c>
      <c r="B141" s="18">
        <v>2010</v>
      </c>
      <c r="C141" s="18">
        <v>22</v>
      </c>
      <c r="D141" s="19" t="s">
        <v>21</v>
      </c>
      <c r="E141" s="24">
        <v>535</v>
      </c>
      <c r="F141" s="21">
        <v>3.8999999999999998E-3</v>
      </c>
    </row>
    <row r="142" spans="1:6" x14ac:dyDescent="0.2">
      <c r="A142" s="18" t="str">
        <f t="shared" si="2"/>
        <v>2010-23</v>
      </c>
      <c r="B142" s="18">
        <v>2010</v>
      </c>
      <c r="C142" s="18">
        <v>23</v>
      </c>
      <c r="D142" s="19" t="s">
        <v>25</v>
      </c>
      <c r="E142" s="24">
        <v>523</v>
      </c>
      <c r="F142" s="21">
        <v>3.8E-3</v>
      </c>
    </row>
    <row r="143" spans="1:6" x14ac:dyDescent="0.2">
      <c r="A143" s="18" t="str">
        <f t="shared" si="2"/>
        <v>2010-24</v>
      </c>
      <c r="B143" s="18">
        <v>2010</v>
      </c>
      <c r="C143" s="18">
        <v>24</v>
      </c>
      <c r="D143" s="19" t="s">
        <v>41</v>
      </c>
      <c r="E143" s="24">
        <v>459</v>
      </c>
      <c r="F143" s="21">
        <v>3.3E-3</v>
      </c>
    </row>
    <row r="144" spans="1:6" x14ac:dyDescent="0.2">
      <c r="A144" s="18" t="str">
        <f t="shared" si="2"/>
        <v>2010-25</v>
      </c>
      <c r="B144" s="18">
        <v>2010</v>
      </c>
      <c r="C144" s="18">
        <v>25</v>
      </c>
      <c r="D144" s="19" t="s">
        <v>26</v>
      </c>
      <c r="E144" s="24">
        <v>444</v>
      </c>
      <c r="F144" s="21">
        <v>3.2000000000000002E-3</v>
      </c>
    </row>
    <row r="145" spans="1:6" x14ac:dyDescent="0.2">
      <c r="A145" s="18" t="str">
        <f t="shared" si="2"/>
        <v>2010-TP25C</v>
      </c>
      <c r="B145" s="18">
        <v>2010</v>
      </c>
      <c r="C145" s="18" t="s">
        <v>36</v>
      </c>
      <c r="D145" s="19" t="s">
        <v>27</v>
      </c>
      <c r="E145" s="22">
        <v>121525</v>
      </c>
      <c r="F145" s="21">
        <v>0.87739999999999996</v>
      </c>
    </row>
    <row r="146" spans="1:6" x14ac:dyDescent="0.2">
      <c r="A146" s="18" t="str">
        <f t="shared" si="2"/>
        <v>2010-Desc</v>
      </c>
      <c r="B146" s="18">
        <v>2010</v>
      </c>
      <c r="C146" s="18" t="s">
        <v>33</v>
      </c>
      <c r="D146" s="19" t="s">
        <v>28</v>
      </c>
      <c r="E146" s="24">
        <v>486</v>
      </c>
      <c r="F146" s="21">
        <v>3.5000000000000001E-3</v>
      </c>
    </row>
    <row r="147" spans="1:6" x14ac:dyDescent="0.2">
      <c r="A147" s="18" t="str">
        <f t="shared" si="2"/>
        <v>2010-MV</v>
      </c>
      <c r="B147" s="18">
        <v>2010</v>
      </c>
      <c r="C147" s="18" t="s">
        <v>34</v>
      </c>
      <c r="D147" s="19" t="s">
        <v>29</v>
      </c>
      <c r="E147" s="22">
        <v>8312</v>
      </c>
      <c r="F147" s="21">
        <v>6.0299999999999999E-2</v>
      </c>
    </row>
    <row r="148" spans="1:6" x14ac:dyDescent="0.2">
      <c r="A148" s="18" t="str">
        <f t="shared" si="2"/>
        <v>2010-TC</v>
      </c>
      <c r="B148" s="18">
        <v>2010</v>
      </c>
      <c r="C148" s="18" t="s">
        <v>35</v>
      </c>
      <c r="D148" s="19" t="s">
        <v>32</v>
      </c>
      <c r="E148" s="22">
        <v>138504</v>
      </c>
      <c r="F148" s="21">
        <v>1</v>
      </c>
    </row>
    <row r="149" spans="1:6" x14ac:dyDescent="0.2">
      <c r="A149" s="18" t="str">
        <f t="shared" si="2"/>
        <v>2009-1</v>
      </c>
      <c r="B149" s="18">
        <v>2009</v>
      </c>
      <c r="C149" s="18">
        <v>1</v>
      </c>
      <c r="D149" s="19" t="s">
        <v>2</v>
      </c>
      <c r="E149" s="22">
        <v>27353</v>
      </c>
      <c r="F149" s="21">
        <v>0.20300000000000001</v>
      </c>
    </row>
    <row r="150" spans="1:6" x14ac:dyDescent="0.2">
      <c r="A150" s="18" t="str">
        <f t="shared" si="2"/>
        <v>2009-2</v>
      </c>
      <c r="B150" s="18">
        <v>2009</v>
      </c>
      <c r="C150" s="18">
        <v>2</v>
      </c>
      <c r="D150" s="19" t="s">
        <v>3</v>
      </c>
      <c r="E150" s="22">
        <v>20288</v>
      </c>
      <c r="F150" s="21">
        <v>0.15060000000000001</v>
      </c>
    </row>
    <row r="151" spans="1:6" x14ac:dyDescent="0.2">
      <c r="A151" s="18" t="str">
        <f t="shared" si="2"/>
        <v>2009-3</v>
      </c>
      <c r="B151" s="18">
        <v>2009</v>
      </c>
      <c r="C151" s="18">
        <v>3</v>
      </c>
      <c r="D151" s="19" t="s">
        <v>6</v>
      </c>
      <c r="E151" s="22">
        <v>10342</v>
      </c>
      <c r="F151" s="21">
        <v>7.7200000000000005E-2</v>
      </c>
    </row>
    <row r="152" spans="1:6" x14ac:dyDescent="0.2">
      <c r="A152" s="18" t="str">
        <f t="shared" si="2"/>
        <v>2009-4</v>
      </c>
      <c r="B152" s="18">
        <v>2009</v>
      </c>
      <c r="C152" s="18">
        <v>4</v>
      </c>
      <c r="D152" s="19" t="s">
        <v>7</v>
      </c>
      <c r="E152" s="22">
        <v>10146</v>
      </c>
      <c r="F152" s="21">
        <v>7.5700000000000003E-2</v>
      </c>
    </row>
    <row r="153" spans="1:6" x14ac:dyDescent="0.2">
      <c r="A153" s="18" t="str">
        <f t="shared" si="2"/>
        <v>2009-5</v>
      </c>
      <c r="B153" s="18">
        <v>2009</v>
      </c>
      <c r="C153" s="18">
        <v>5</v>
      </c>
      <c r="D153" s="19" t="s">
        <v>5</v>
      </c>
      <c r="E153" s="22">
        <v>10034</v>
      </c>
      <c r="F153" s="21">
        <v>7.4499999999999997E-2</v>
      </c>
    </row>
    <row r="154" spans="1:6" x14ac:dyDescent="0.2">
      <c r="A154" s="18" t="str">
        <f t="shared" si="2"/>
        <v>2009-6</v>
      </c>
      <c r="B154" s="18">
        <v>2009</v>
      </c>
      <c r="C154" s="18">
        <v>6</v>
      </c>
      <c r="D154" s="19" t="s">
        <v>4</v>
      </c>
      <c r="E154" s="22">
        <v>8822</v>
      </c>
      <c r="F154" s="21">
        <v>6.5500000000000003E-2</v>
      </c>
    </row>
    <row r="155" spans="1:6" x14ac:dyDescent="0.2">
      <c r="A155" s="18" t="str">
        <f t="shared" si="2"/>
        <v>2009-7</v>
      </c>
      <c r="B155" s="18">
        <v>2009</v>
      </c>
      <c r="C155" s="18">
        <v>7</v>
      </c>
      <c r="D155" s="19" t="s">
        <v>8</v>
      </c>
      <c r="E155" s="22">
        <v>5303</v>
      </c>
      <c r="F155" s="21">
        <v>3.9399999999999998E-2</v>
      </c>
    </row>
    <row r="156" spans="1:6" x14ac:dyDescent="0.2">
      <c r="A156" s="18" t="str">
        <f t="shared" si="2"/>
        <v>2009-8</v>
      </c>
      <c r="B156" s="18">
        <v>2009</v>
      </c>
      <c r="C156" s="18">
        <v>8</v>
      </c>
      <c r="D156" s="19" t="s">
        <v>9</v>
      </c>
      <c r="E156" s="22">
        <v>3447</v>
      </c>
      <c r="F156" s="21">
        <v>2.5600000000000001E-2</v>
      </c>
    </row>
    <row r="157" spans="1:6" x14ac:dyDescent="0.2">
      <c r="A157" s="18" t="str">
        <f t="shared" si="2"/>
        <v>2009-9</v>
      </c>
      <c r="B157" s="18">
        <v>2009</v>
      </c>
      <c r="C157" s="18">
        <v>9</v>
      </c>
      <c r="D157" s="19" t="s">
        <v>10</v>
      </c>
      <c r="E157" s="22">
        <v>3376</v>
      </c>
      <c r="F157" s="21">
        <v>2.5100000000000001E-2</v>
      </c>
    </row>
    <row r="158" spans="1:6" x14ac:dyDescent="0.2">
      <c r="A158" s="18" t="str">
        <f t="shared" si="2"/>
        <v>2009-10</v>
      </c>
      <c r="B158" s="18">
        <v>2009</v>
      </c>
      <c r="C158" s="18">
        <v>10</v>
      </c>
      <c r="D158" s="19" t="s">
        <v>11</v>
      </c>
      <c r="E158" s="22">
        <v>2895</v>
      </c>
      <c r="F158" s="21">
        <v>2.1499999999999998E-2</v>
      </c>
    </row>
    <row r="159" spans="1:6" x14ac:dyDescent="0.2">
      <c r="A159" s="18" t="str">
        <f t="shared" si="2"/>
        <v>2009-11</v>
      </c>
      <c r="B159" s="18">
        <v>2009</v>
      </c>
      <c r="C159" s="18">
        <v>11</v>
      </c>
      <c r="D159" s="19" t="s">
        <v>14</v>
      </c>
      <c r="E159" s="22">
        <v>2231</v>
      </c>
      <c r="F159" s="21">
        <v>1.66E-2</v>
      </c>
    </row>
    <row r="160" spans="1:6" x14ac:dyDescent="0.2">
      <c r="A160" s="18" t="str">
        <f t="shared" si="2"/>
        <v>2009-12</v>
      </c>
      <c r="B160" s="18">
        <v>2009</v>
      </c>
      <c r="C160" s="18">
        <v>12</v>
      </c>
      <c r="D160" s="19" t="s">
        <v>30</v>
      </c>
      <c r="E160" s="22">
        <v>2145</v>
      </c>
      <c r="F160" s="21">
        <v>1.5900000000000001E-2</v>
      </c>
    </row>
    <row r="161" spans="1:6" x14ac:dyDescent="0.2">
      <c r="A161" s="18" t="str">
        <f t="shared" si="2"/>
        <v>2009-13</v>
      </c>
      <c r="B161" s="18">
        <v>2009</v>
      </c>
      <c r="C161" s="18">
        <v>13</v>
      </c>
      <c r="D161" s="19" t="s">
        <v>15</v>
      </c>
      <c r="E161" s="22">
        <v>1810</v>
      </c>
      <c r="F161" s="21">
        <v>1.34E-2</v>
      </c>
    </row>
    <row r="162" spans="1:6" x14ac:dyDescent="0.2">
      <c r="A162" s="18" t="str">
        <f t="shared" si="2"/>
        <v>2009-14</v>
      </c>
      <c r="B162" s="18">
        <v>2009</v>
      </c>
      <c r="C162" s="18">
        <v>14</v>
      </c>
      <c r="D162" s="19" t="s">
        <v>16</v>
      </c>
      <c r="E162" s="22">
        <v>1735</v>
      </c>
      <c r="F162" s="21">
        <v>1.29E-2</v>
      </c>
    </row>
    <row r="163" spans="1:6" x14ac:dyDescent="0.2">
      <c r="A163" s="18" t="str">
        <f t="shared" si="2"/>
        <v>2009-15</v>
      </c>
      <c r="B163" s="18">
        <v>2009</v>
      </c>
      <c r="C163" s="18">
        <v>15</v>
      </c>
      <c r="D163" s="19" t="s">
        <v>12</v>
      </c>
      <c r="E163" s="22">
        <v>1683</v>
      </c>
      <c r="F163" s="21">
        <v>1.2500000000000001E-2</v>
      </c>
    </row>
    <row r="164" spans="1:6" x14ac:dyDescent="0.2">
      <c r="A164" s="18" t="str">
        <f t="shared" si="2"/>
        <v>2009-16</v>
      </c>
      <c r="B164" s="18">
        <v>2009</v>
      </c>
      <c r="C164" s="18">
        <v>16</v>
      </c>
      <c r="D164" s="19" t="s">
        <v>17</v>
      </c>
      <c r="E164" s="24">
        <v>993</v>
      </c>
      <c r="F164" s="21">
        <v>7.4000000000000003E-3</v>
      </c>
    </row>
    <row r="165" spans="1:6" x14ac:dyDescent="0.2">
      <c r="A165" s="18" t="str">
        <f t="shared" si="2"/>
        <v>2009-17</v>
      </c>
      <c r="B165" s="18">
        <v>2009</v>
      </c>
      <c r="C165" s="18">
        <v>17</v>
      </c>
      <c r="D165" s="19" t="s">
        <v>18</v>
      </c>
      <c r="E165" s="24">
        <v>976</v>
      </c>
      <c r="F165" s="21">
        <v>7.1999999999999998E-3</v>
      </c>
    </row>
    <row r="166" spans="1:6" x14ac:dyDescent="0.2">
      <c r="A166" s="18" t="str">
        <f t="shared" si="2"/>
        <v>2009-18</v>
      </c>
      <c r="B166" s="18">
        <v>2009</v>
      </c>
      <c r="C166" s="18">
        <v>18</v>
      </c>
      <c r="D166" s="19" t="s">
        <v>20</v>
      </c>
      <c r="E166" s="24">
        <v>720</v>
      </c>
      <c r="F166" s="21">
        <v>5.3E-3</v>
      </c>
    </row>
    <row r="167" spans="1:6" x14ac:dyDescent="0.2">
      <c r="A167" s="18" t="str">
        <f t="shared" si="2"/>
        <v>2009-19</v>
      </c>
      <c r="B167" s="18">
        <v>2009</v>
      </c>
      <c r="C167" s="18">
        <v>19</v>
      </c>
      <c r="D167" s="19" t="s">
        <v>23</v>
      </c>
      <c r="E167" s="24">
        <v>582</v>
      </c>
      <c r="F167" s="21">
        <v>4.3E-3</v>
      </c>
    </row>
    <row r="168" spans="1:6" x14ac:dyDescent="0.2">
      <c r="A168" s="18" t="str">
        <f t="shared" si="2"/>
        <v>2009-20</v>
      </c>
      <c r="B168" s="18">
        <v>2009</v>
      </c>
      <c r="C168" s="18">
        <v>20</v>
      </c>
      <c r="D168" s="19" t="s">
        <v>25</v>
      </c>
      <c r="E168" s="24">
        <v>543</v>
      </c>
      <c r="F168" s="21">
        <v>4.0000000000000001E-3</v>
      </c>
    </row>
    <row r="169" spans="1:6" x14ac:dyDescent="0.2">
      <c r="A169" s="18" t="str">
        <f t="shared" si="2"/>
        <v>2009-21</v>
      </c>
      <c r="B169" s="18">
        <v>2009</v>
      </c>
      <c r="C169" s="18">
        <v>21</v>
      </c>
      <c r="D169" s="19" t="s">
        <v>38</v>
      </c>
      <c r="E169" s="24">
        <v>500</v>
      </c>
      <c r="F169" s="21">
        <v>3.7000000000000002E-3</v>
      </c>
    </row>
    <row r="170" spans="1:6" x14ac:dyDescent="0.2">
      <c r="A170" s="18" t="str">
        <f t="shared" si="2"/>
        <v>2009-22</v>
      </c>
      <c r="B170" s="18">
        <v>2009</v>
      </c>
      <c r="C170" s="18">
        <v>22</v>
      </c>
      <c r="D170" s="19" t="s">
        <v>21</v>
      </c>
      <c r="E170" s="24">
        <v>487</v>
      </c>
      <c r="F170" s="21">
        <v>3.5999999999999999E-3</v>
      </c>
    </row>
    <row r="171" spans="1:6" x14ac:dyDescent="0.2">
      <c r="A171" s="18" t="str">
        <f t="shared" si="2"/>
        <v>2009-23</v>
      </c>
      <c r="B171" s="18">
        <v>2009</v>
      </c>
      <c r="C171" s="18">
        <v>23</v>
      </c>
      <c r="D171" s="19" t="s">
        <v>24</v>
      </c>
      <c r="E171" s="24">
        <v>453</v>
      </c>
      <c r="F171" s="21">
        <v>3.3999999999999998E-3</v>
      </c>
    </row>
    <row r="172" spans="1:6" x14ac:dyDescent="0.2">
      <c r="A172" s="18" t="str">
        <f t="shared" si="2"/>
        <v>2009-24</v>
      </c>
      <c r="B172" s="18">
        <v>2009</v>
      </c>
      <c r="C172" s="18">
        <v>24</v>
      </c>
      <c r="D172" s="19" t="s">
        <v>19</v>
      </c>
      <c r="E172" s="24">
        <v>452</v>
      </c>
      <c r="F172" s="21">
        <v>3.3999999999999998E-3</v>
      </c>
    </row>
    <row r="173" spans="1:6" x14ac:dyDescent="0.2">
      <c r="A173" s="18" t="str">
        <f t="shared" si="2"/>
        <v>2009-25</v>
      </c>
      <c r="B173" s="18">
        <v>2009</v>
      </c>
      <c r="C173" s="18">
        <v>25</v>
      </c>
      <c r="D173" s="19" t="s">
        <v>26</v>
      </c>
      <c r="E173" s="24">
        <v>423</v>
      </c>
      <c r="F173" s="21">
        <v>3.0999999999999999E-3</v>
      </c>
    </row>
    <row r="174" spans="1:6" x14ac:dyDescent="0.2">
      <c r="A174" s="18" t="str">
        <f t="shared" si="2"/>
        <v>2009-TP25C</v>
      </c>
      <c r="B174" s="18">
        <v>2009</v>
      </c>
      <c r="C174" s="18" t="s">
        <v>36</v>
      </c>
      <c r="D174" s="19" t="s">
        <v>27</v>
      </c>
      <c r="E174" s="22">
        <v>117739</v>
      </c>
      <c r="F174" s="21">
        <v>0.87390000000000001</v>
      </c>
    </row>
    <row r="175" spans="1:6" x14ac:dyDescent="0.2">
      <c r="A175" s="18" t="str">
        <f t="shared" si="2"/>
        <v>2009-Desc</v>
      </c>
      <c r="B175" s="18">
        <v>2009</v>
      </c>
      <c r="C175" s="18" t="s">
        <v>33</v>
      </c>
      <c r="D175" s="19" t="s">
        <v>28</v>
      </c>
      <c r="E175" s="24">
        <v>529</v>
      </c>
      <c r="F175" s="21">
        <v>3.8999999999999998E-3</v>
      </c>
    </row>
    <row r="176" spans="1:6" x14ac:dyDescent="0.2">
      <c r="A176" s="18" t="str">
        <f t="shared" si="2"/>
        <v>2009-MV</v>
      </c>
      <c r="B176" s="18">
        <v>2009</v>
      </c>
      <c r="C176" s="18" t="s">
        <v>34</v>
      </c>
      <c r="D176" s="19" t="s">
        <v>29</v>
      </c>
      <c r="E176" s="22">
        <v>8771</v>
      </c>
      <c r="F176" s="21">
        <v>6.5500000000000003E-2</v>
      </c>
    </row>
    <row r="177" spans="1:6" x14ac:dyDescent="0.2">
      <c r="A177" s="18" t="str">
        <f t="shared" si="2"/>
        <v>2009-TC</v>
      </c>
      <c r="B177" s="18">
        <v>2009</v>
      </c>
      <c r="C177" s="18" t="s">
        <v>35</v>
      </c>
      <c r="D177" s="19" t="s">
        <v>32</v>
      </c>
      <c r="E177" s="22">
        <v>134731</v>
      </c>
      <c r="F177" s="21">
        <v>1</v>
      </c>
    </row>
    <row r="178" spans="1:6" x14ac:dyDescent="0.2">
      <c r="A178" s="18" t="str">
        <f t="shared" si="2"/>
        <v>2008-1</v>
      </c>
      <c r="B178" s="18">
        <v>2008</v>
      </c>
      <c r="C178" s="24">
        <v>1</v>
      </c>
      <c r="D178" s="19" t="s">
        <v>2</v>
      </c>
      <c r="E178" s="22">
        <v>27542</v>
      </c>
      <c r="F178" s="21">
        <v>0.20610000000000001</v>
      </c>
    </row>
    <row r="179" spans="1:6" x14ac:dyDescent="0.2">
      <c r="A179" s="18" t="str">
        <f t="shared" si="2"/>
        <v>2008-2</v>
      </c>
      <c r="B179" s="18">
        <v>2008</v>
      </c>
      <c r="C179" s="24">
        <v>2</v>
      </c>
      <c r="D179" s="19" t="s">
        <v>3</v>
      </c>
      <c r="E179" s="22">
        <v>19796</v>
      </c>
      <c r="F179" s="21">
        <v>0.14810000000000001</v>
      </c>
    </row>
    <row r="180" spans="1:6" x14ac:dyDescent="0.2">
      <c r="A180" s="18" t="str">
        <f t="shared" si="2"/>
        <v>2008-3</v>
      </c>
      <c r="B180" s="18">
        <v>2008</v>
      </c>
      <c r="C180" s="24">
        <v>3</v>
      </c>
      <c r="D180" s="19" t="s">
        <v>6</v>
      </c>
      <c r="E180" s="22">
        <v>11357</v>
      </c>
      <c r="F180" s="21">
        <v>8.5400000000000004E-2</v>
      </c>
    </row>
    <row r="181" spans="1:6" x14ac:dyDescent="0.2">
      <c r="A181" s="18" t="str">
        <f t="shared" si="2"/>
        <v>2008-4</v>
      </c>
      <c r="B181" s="18">
        <v>2008</v>
      </c>
      <c r="C181" s="24">
        <v>4</v>
      </c>
      <c r="D181" s="19" t="s">
        <v>7</v>
      </c>
      <c r="E181" s="22">
        <v>10885</v>
      </c>
      <c r="F181" s="21">
        <v>8.1900000000000001E-2</v>
      </c>
    </row>
    <row r="182" spans="1:6" x14ac:dyDescent="0.2">
      <c r="A182" s="18" t="str">
        <f t="shared" si="2"/>
        <v>2008-5</v>
      </c>
      <c r="B182" s="18">
        <v>2008</v>
      </c>
      <c r="C182" s="24">
        <v>5</v>
      </c>
      <c r="D182" s="19" t="s">
        <v>5</v>
      </c>
      <c r="E182" s="22">
        <v>10007</v>
      </c>
      <c r="F182" s="21">
        <v>7.4899999999999994E-2</v>
      </c>
    </row>
    <row r="183" spans="1:6" x14ac:dyDescent="0.2">
      <c r="A183" s="18" t="str">
        <f t="shared" si="2"/>
        <v>2008-6</v>
      </c>
      <c r="B183" s="18">
        <v>2008</v>
      </c>
      <c r="C183" s="24">
        <v>6</v>
      </c>
      <c r="D183" s="19" t="s">
        <v>4</v>
      </c>
      <c r="E183" s="22">
        <v>8387</v>
      </c>
      <c r="F183" s="21">
        <v>6.2799999999999995E-2</v>
      </c>
    </row>
    <row r="184" spans="1:6" x14ac:dyDescent="0.2">
      <c r="A184" s="18" t="str">
        <f t="shared" si="2"/>
        <v>2008-7</v>
      </c>
      <c r="B184" s="18">
        <v>2008</v>
      </c>
      <c r="C184" s="24">
        <v>7</v>
      </c>
      <c r="D184" s="19" t="s">
        <v>8</v>
      </c>
      <c r="E184" s="22">
        <v>5027</v>
      </c>
      <c r="F184" s="21">
        <v>3.7600000000000001E-2</v>
      </c>
    </row>
    <row r="185" spans="1:6" x14ac:dyDescent="0.2">
      <c r="A185" s="18" t="str">
        <f t="shared" si="2"/>
        <v>2008-8</v>
      </c>
      <c r="B185" s="18">
        <v>2008</v>
      </c>
      <c r="C185" s="24">
        <v>8</v>
      </c>
      <c r="D185" s="19" t="s">
        <v>9</v>
      </c>
      <c r="E185" s="22">
        <v>3585</v>
      </c>
      <c r="F185" s="21">
        <v>2.6800000000000001E-2</v>
      </c>
    </row>
    <row r="186" spans="1:6" x14ac:dyDescent="0.2">
      <c r="A186" s="18" t="str">
        <f t="shared" si="2"/>
        <v>2008-9</v>
      </c>
      <c r="B186" s="18">
        <v>2008</v>
      </c>
      <c r="C186" s="24">
        <v>9</v>
      </c>
      <c r="D186" s="19" t="s">
        <v>10</v>
      </c>
      <c r="E186" s="22">
        <v>3136</v>
      </c>
      <c r="F186" s="21">
        <v>2.35E-2</v>
      </c>
    </row>
    <row r="187" spans="1:6" x14ac:dyDescent="0.2">
      <c r="A187" s="18" t="str">
        <f t="shared" si="2"/>
        <v>2008-10</v>
      </c>
      <c r="B187" s="18">
        <v>2008</v>
      </c>
      <c r="C187" s="24">
        <v>10</v>
      </c>
      <c r="D187" s="19" t="s">
        <v>11</v>
      </c>
      <c r="E187" s="22">
        <v>2869</v>
      </c>
      <c r="F187" s="21">
        <v>2.1499999999999998E-2</v>
      </c>
    </row>
    <row r="188" spans="1:6" x14ac:dyDescent="0.2">
      <c r="A188" s="18" t="str">
        <f t="shared" si="2"/>
        <v>2008-11</v>
      </c>
      <c r="B188" s="18">
        <v>2008</v>
      </c>
      <c r="C188" s="24">
        <v>11</v>
      </c>
      <c r="D188" s="19" t="s">
        <v>30</v>
      </c>
      <c r="E188" s="22">
        <v>2158</v>
      </c>
      <c r="F188" s="21">
        <v>1.61E-2</v>
      </c>
    </row>
    <row r="189" spans="1:6" x14ac:dyDescent="0.2">
      <c r="A189" s="18" t="str">
        <f t="shared" si="2"/>
        <v>2008-12</v>
      </c>
      <c r="B189" s="18">
        <v>2008</v>
      </c>
      <c r="C189" s="24">
        <v>12</v>
      </c>
      <c r="D189" s="19" t="s">
        <v>14</v>
      </c>
      <c r="E189" s="22">
        <v>1923</v>
      </c>
      <c r="F189" s="21">
        <v>1.44E-2</v>
      </c>
    </row>
    <row r="190" spans="1:6" x14ac:dyDescent="0.2">
      <c r="A190" s="18" t="str">
        <f t="shared" si="2"/>
        <v>2008-13</v>
      </c>
      <c r="B190" s="18">
        <v>2008</v>
      </c>
      <c r="C190" s="24">
        <v>13</v>
      </c>
      <c r="D190" s="19" t="s">
        <v>15</v>
      </c>
      <c r="E190" s="22">
        <v>1714</v>
      </c>
      <c r="F190" s="21">
        <v>1.2800000000000001E-2</v>
      </c>
    </row>
    <row r="191" spans="1:6" x14ac:dyDescent="0.2">
      <c r="A191" s="18" t="str">
        <f t="shared" si="2"/>
        <v>2008-14</v>
      </c>
      <c r="B191" s="18">
        <v>2008</v>
      </c>
      <c r="C191" s="24">
        <v>14</v>
      </c>
      <c r="D191" s="19" t="s">
        <v>12</v>
      </c>
      <c r="E191" s="22">
        <v>1637</v>
      </c>
      <c r="F191" s="21">
        <v>1.2200000000000001E-2</v>
      </c>
    </row>
    <row r="192" spans="1:6" x14ac:dyDescent="0.2">
      <c r="A192" s="18" t="str">
        <f t="shared" si="2"/>
        <v>2008-15</v>
      </c>
      <c r="B192" s="18">
        <v>2008</v>
      </c>
      <c r="C192" s="24">
        <v>15</v>
      </c>
      <c r="D192" s="19" t="s">
        <v>16</v>
      </c>
      <c r="E192" s="22">
        <v>1632</v>
      </c>
      <c r="F192" s="21">
        <v>1.2200000000000001E-2</v>
      </c>
    </row>
    <row r="193" spans="1:6" x14ac:dyDescent="0.2">
      <c r="A193" s="18" t="str">
        <f t="shared" si="2"/>
        <v>2008-16</v>
      </c>
      <c r="B193" s="18">
        <v>2008</v>
      </c>
      <c r="C193" s="24">
        <v>16</v>
      </c>
      <c r="D193" s="19" t="s">
        <v>17</v>
      </c>
      <c r="E193" s="22">
        <v>1100</v>
      </c>
      <c r="F193" s="21">
        <v>8.2000000000000007E-3</v>
      </c>
    </row>
    <row r="194" spans="1:6" x14ac:dyDescent="0.2">
      <c r="A194" s="18" t="str">
        <f t="shared" si="2"/>
        <v>2008-17</v>
      </c>
      <c r="B194" s="18">
        <v>2008</v>
      </c>
      <c r="C194" s="24">
        <v>17</v>
      </c>
      <c r="D194" s="19" t="s">
        <v>42</v>
      </c>
      <c r="E194" s="24">
        <v>918</v>
      </c>
      <c r="F194" s="21">
        <v>6.8999999999999999E-3</v>
      </c>
    </row>
    <row r="195" spans="1:6" x14ac:dyDescent="0.2">
      <c r="A195" s="18" t="str">
        <f t="shared" si="2"/>
        <v>2008-18</v>
      </c>
      <c r="B195" s="18">
        <v>2008</v>
      </c>
      <c r="C195" s="24">
        <v>18</v>
      </c>
      <c r="D195" s="19" t="s">
        <v>20</v>
      </c>
      <c r="E195" s="24">
        <v>782</v>
      </c>
      <c r="F195" s="21">
        <v>5.8999999999999999E-3</v>
      </c>
    </row>
    <row r="196" spans="1:6" x14ac:dyDescent="0.2">
      <c r="A196" s="18" t="str">
        <f t="shared" si="2"/>
        <v>2008-19</v>
      </c>
      <c r="B196" s="18">
        <v>2008</v>
      </c>
      <c r="C196" s="24">
        <v>19</v>
      </c>
      <c r="D196" s="19" t="s">
        <v>23</v>
      </c>
      <c r="E196" s="24">
        <v>660</v>
      </c>
      <c r="F196" s="21">
        <v>4.8999999999999998E-3</v>
      </c>
    </row>
    <row r="197" spans="1:6" x14ac:dyDescent="0.2">
      <c r="A197" s="18" t="str">
        <f t="shared" ref="A197:A202" si="3">+CONCATENATE(B197,"-",C197)</f>
        <v>2008-20</v>
      </c>
      <c r="B197" s="18">
        <v>2008</v>
      </c>
      <c r="C197" s="24">
        <v>20</v>
      </c>
      <c r="D197" s="19" t="s">
        <v>25</v>
      </c>
      <c r="E197" s="24">
        <v>585</v>
      </c>
      <c r="F197" s="21">
        <v>4.4000000000000003E-3</v>
      </c>
    </row>
    <row r="198" spans="1:6" x14ac:dyDescent="0.2">
      <c r="A198" s="18" t="str">
        <f t="shared" si="3"/>
        <v>2008-21</v>
      </c>
      <c r="B198" s="18">
        <v>2008</v>
      </c>
      <c r="C198" s="24">
        <v>21</v>
      </c>
      <c r="D198" s="19" t="s">
        <v>38</v>
      </c>
      <c r="E198" s="24">
        <v>570</v>
      </c>
      <c r="F198" s="21">
        <v>4.3E-3</v>
      </c>
    </row>
    <row r="199" spans="1:6" x14ac:dyDescent="0.2">
      <c r="A199" s="18" t="str">
        <f t="shared" si="3"/>
        <v>2008-22</v>
      </c>
      <c r="B199" s="18">
        <v>2008</v>
      </c>
      <c r="C199" s="24">
        <v>22</v>
      </c>
      <c r="D199" s="19" t="s">
        <v>19</v>
      </c>
      <c r="E199" s="24">
        <v>498</v>
      </c>
      <c r="F199" s="21">
        <v>3.7000000000000002E-3</v>
      </c>
    </row>
    <row r="200" spans="1:6" x14ac:dyDescent="0.2">
      <c r="A200" s="18" t="str">
        <f t="shared" si="3"/>
        <v>2008-23</v>
      </c>
      <c r="B200" s="18">
        <v>2008</v>
      </c>
      <c r="C200" s="24">
        <v>23</v>
      </c>
      <c r="D200" s="19" t="s">
        <v>26</v>
      </c>
      <c r="E200" s="24">
        <v>495</v>
      </c>
      <c r="F200" s="21">
        <v>3.7000000000000002E-3</v>
      </c>
    </row>
    <row r="201" spans="1:6" x14ac:dyDescent="0.2">
      <c r="A201" s="18" t="str">
        <f t="shared" si="3"/>
        <v>2008-24</v>
      </c>
      <c r="B201" s="18">
        <v>2008</v>
      </c>
      <c r="C201" s="24">
        <v>24</v>
      </c>
      <c r="D201" s="19" t="s">
        <v>24</v>
      </c>
      <c r="E201" s="24">
        <v>446</v>
      </c>
      <c r="F201" s="21">
        <v>3.3E-3</v>
      </c>
    </row>
    <row r="202" spans="1:6" x14ac:dyDescent="0.2">
      <c r="A202" s="18" t="str">
        <f t="shared" si="3"/>
        <v>2008-25</v>
      </c>
      <c r="B202" s="18">
        <v>2008</v>
      </c>
      <c r="C202" s="24">
        <v>25</v>
      </c>
      <c r="D202" s="19" t="s">
        <v>21</v>
      </c>
      <c r="E202" s="24">
        <v>428</v>
      </c>
      <c r="F202" s="21">
        <v>3.2000000000000002E-3</v>
      </c>
    </row>
    <row r="203" spans="1:6" x14ac:dyDescent="0.2">
      <c r="A203" s="18" t="str">
        <f t="shared" ref="A203:A266" si="4">+CONCATENATE(B203,"-",C203)</f>
        <v>2008-TP25C</v>
      </c>
      <c r="B203" s="18">
        <v>2008</v>
      </c>
      <c r="C203" s="18" t="s">
        <v>36</v>
      </c>
      <c r="D203" s="19" t="s">
        <v>27</v>
      </c>
      <c r="E203" s="22">
        <v>118137</v>
      </c>
      <c r="F203" s="21">
        <v>0.88390000000000002</v>
      </c>
    </row>
    <row r="204" spans="1:6" x14ac:dyDescent="0.2">
      <c r="A204" s="18" t="str">
        <f t="shared" si="4"/>
        <v>2008-Desc</v>
      </c>
      <c r="B204" s="18">
        <v>2008</v>
      </c>
      <c r="C204" s="18" t="s">
        <v>33</v>
      </c>
      <c r="D204" s="19" t="s">
        <v>28</v>
      </c>
      <c r="E204" s="24">
        <v>530</v>
      </c>
      <c r="F204" s="21">
        <v>4.0000000000000001E-3</v>
      </c>
    </row>
    <row r="205" spans="1:6" x14ac:dyDescent="0.2">
      <c r="A205" s="18" t="str">
        <f t="shared" si="4"/>
        <v>2008-MV</v>
      </c>
      <c r="B205" s="18">
        <v>2008</v>
      </c>
      <c r="C205" s="18" t="s">
        <v>34</v>
      </c>
      <c r="D205" s="19" t="s">
        <v>29</v>
      </c>
      <c r="E205" s="22">
        <v>7637</v>
      </c>
      <c r="F205" s="21">
        <v>5.74E-2</v>
      </c>
    </row>
    <row r="206" spans="1:6" x14ac:dyDescent="0.2">
      <c r="A206" s="18" t="str">
        <f t="shared" si="4"/>
        <v>2008-TC</v>
      </c>
      <c r="B206" s="18">
        <v>2008</v>
      </c>
      <c r="C206" s="18" t="s">
        <v>35</v>
      </c>
      <c r="D206" s="19" t="s">
        <v>32</v>
      </c>
      <c r="E206" s="22">
        <v>133651</v>
      </c>
      <c r="F206" s="21">
        <v>1</v>
      </c>
    </row>
    <row r="207" spans="1:6" x14ac:dyDescent="0.2">
      <c r="A207" s="18" t="str">
        <f t="shared" si="4"/>
        <v>2007-1</v>
      </c>
      <c r="B207" s="18">
        <v>2007</v>
      </c>
      <c r="C207" s="24">
        <v>1</v>
      </c>
      <c r="D207" s="19" t="s">
        <v>2</v>
      </c>
      <c r="E207" s="22">
        <v>25600</v>
      </c>
      <c r="F207" s="21">
        <v>0.20180000000000001</v>
      </c>
    </row>
    <row r="208" spans="1:6" x14ac:dyDescent="0.2">
      <c r="A208" s="18" t="str">
        <f t="shared" si="4"/>
        <v>2007-2</v>
      </c>
      <c r="B208" s="18">
        <v>2007</v>
      </c>
      <c r="C208" s="24">
        <v>2</v>
      </c>
      <c r="D208" s="19" t="s">
        <v>3</v>
      </c>
      <c r="E208" s="22">
        <v>19254</v>
      </c>
      <c r="F208" s="21">
        <v>0.1517</v>
      </c>
    </row>
    <row r="209" spans="1:6" x14ac:dyDescent="0.2">
      <c r="A209" s="18" t="str">
        <f t="shared" si="4"/>
        <v>2007-3</v>
      </c>
      <c r="B209" s="18">
        <v>2007</v>
      </c>
      <c r="C209" s="24">
        <v>3</v>
      </c>
      <c r="D209" s="19" t="s">
        <v>7</v>
      </c>
      <c r="E209" s="22">
        <v>10465</v>
      </c>
      <c r="F209" s="21">
        <v>8.2500000000000004E-2</v>
      </c>
    </row>
    <row r="210" spans="1:6" x14ac:dyDescent="0.2">
      <c r="A210" s="18" t="str">
        <f t="shared" si="4"/>
        <v>2007-4</v>
      </c>
      <c r="B210" s="18">
        <v>2007</v>
      </c>
      <c r="C210" s="24">
        <v>4</v>
      </c>
      <c r="D210" s="19" t="s">
        <v>6</v>
      </c>
      <c r="E210" s="22">
        <v>10366</v>
      </c>
      <c r="F210" s="21">
        <v>8.1699999999999995E-2</v>
      </c>
    </row>
    <row r="211" spans="1:6" x14ac:dyDescent="0.2">
      <c r="A211" s="18" t="str">
        <f t="shared" si="4"/>
        <v>2007-5</v>
      </c>
      <c r="B211" s="18">
        <v>2007</v>
      </c>
      <c r="C211" s="24">
        <v>5</v>
      </c>
      <c r="D211" s="19" t="s">
        <v>5</v>
      </c>
      <c r="E211" s="22">
        <v>9699</v>
      </c>
      <c r="F211" s="21">
        <v>7.6399999999999996E-2</v>
      </c>
    </row>
    <row r="212" spans="1:6" x14ac:dyDescent="0.2">
      <c r="A212" s="18" t="str">
        <f t="shared" si="4"/>
        <v>2007-6</v>
      </c>
      <c r="B212" s="18">
        <v>2007</v>
      </c>
      <c r="C212" s="24">
        <v>6</v>
      </c>
      <c r="D212" s="19" t="s">
        <v>4</v>
      </c>
      <c r="E212" s="22">
        <v>7829</v>
      </c>
      <c r="F212" s="21">
        <v>6.1699999999999998E-2</v>
      </c>
    </row>
    <row r="213" spans="1:6" x14ac:dyDescent="0.2">
      <c r="A213" s="18" t="str">
        <f t="shared" si="4"/>
        <v>2007-7</v>
      </c>
      <c r="B213" s="18">
        <v>2007</v>
      </c>
      <c r="C213" s="24">
        <v>7</v>
      </c>
      <c r="D213" s="19" t="s">
        <v>8</v>
      </c>
      <c r="E213" s="22">
        <v>4979</v>
      </c>
      <c r="F213" s="21">
        <v>3.9199999999999999E-2</v>
      </c>
    </row>
    <row r="214" spans="1:6" x14ac:dyDescent="0.2">
      <c r="A214" s="18" t="str">
        <f t="shared" si="4"/>
        <v>2007-8</v>
      </c>
      <c r="B214" s="18">
        <v>2007</v>
      </c>
      <c r="C214" s="24">
        <v>8</v>
      </c>
      <c r="D214" s="19" t="s">
        <v>9</v>
      </c>
      <c r="E214" s="22">
        <v>3442</v>
      </c>
      <c r="F214" s="21">
        <v>2.7099999999999999E-2</v>
      </c>
    </row>
    <row r="215" spans="1:6" x14ac:dyDescent="0.2">
      <c r="A215" s="18" t="str">
        <f t="shared" si="4"/>
        <v>2007-9</v>
      </c>
      <c r="B215" s="18">
        <v>2007</v>
      </c>
      <c r="C215" s="24">
        <v>9</v>
      </c>
      <c r="D215" s="19" t="s">
        <v>10</v>
      </c>
      <c r="E215" s="22">
        <v>3065</v>
      </c>
      <c r="F215" s="21">
        <v>2.4199999999999999E-2</v>
      </c>
    </row>
    <row r="216" spans="1:6" x14ac:dyDescent="0.2">
      <c r="A216" s="18" t="str">
        <f t="shared" si="4"/>
        <v>2007-10</v>
      </c>
      <c r="B216" s="18">
        <v>2007</v>
      </c>
      <c r="C216" s="24">
        <v>10</v>
      </c>
      <c r="D216" s="19" t="s">
        <v>11</v>
      </c>
      <c r="E216" s="22">
        <v>2785</v>
      </c>
      <c r="F216" s="21">
        <v>2.1899999999999999E-2</v>
      </c>
    </row>
    <row r="217" spans="1:6" x14ac:dyDescent="0.2">
      <c r="A217" s="18" t="str">
        <f t="shared" si="4"/>
        <v>2007-11</v>
      </c>
      <c r="B217" s="18">
        <v>2007</v>
      </c>
      <c r="C217" s="24">
        <v>11</v>
      </c>
      <c r="D217" s="19" t="s">
        <v>30</v>
      </c>
      <c r="E217" s="22">
        <v>2210</v>
      </c>
      <c r="F217" s="21">
        <v>1.7399999999999999E-2</v>
      </c>
    </row>
    <row r="218" spans="1:6" x14ac:dyDescent="0.2">
      <c r="A218" s="18" t="str">
        <f t="shared" si="4"/>
        <v>2007-12</v>
      </c>
      <c r="B218" s="18">
        <v>2007</v>
      </c>
      <c r="C218" s="24">
        <v>12</v>
      </c>
      <c r="D218" s="19" t="s">
        <v>16</v>
      </c>
      <c r="E218" s="22">
        <v>1670</v>
      </c>
      <c r="F218" s="21">
        <v>1.32E-2</v>
      </c>
    </row>
    <row r="219" spans="1:6" x14ac:dyDescent="0.2">
      <c r="A219" s="18" t="str">
        <f t="shared" si="4"/>
        <v>2007-13</v>
      </c>
      <c r="B219" s="18">
        <v>2007</v>
      </c>
      <c r="C219" s="24">
        <v>13</v>
      </c>
      <c r="D219" s="19" t="s">
        <v>14</v>
      </c>
      <c r="E219" s="22">
        <v>1610</v>
      </c>
      <c r="F219" s="21">
        <v>1.2699999999999999E-2</v>
      </c>
    </row>
    <row r="220" spans="1:6" x14ac:dyDescent="0.2">
      <c r="A220" s="18" t="str">
        <f t="shared" si="4"/>
        <v>2007-14</v>
      </c>
      <c r="B220" s="18">
        <v>2007</v>
      </c>
      <c r="C220" s="24">
        <v>14</v>
      </c>
      <c r="D220" s="19" t="s">
        <v>15</v>
      </c>
      <c r="E220" s="22">
        <v>1585</v>
      </c>
      <c r="F220" s="21">
        <v>1.2500000000000001E-2</v>
      </c>
    </row>
    <row r="221" spans="1:6" x14ac:dyDescent="0.2">
      <c r="A221" s="18" t="str">
        <f t="shared" si="4"/>
        <v>2007-15</v>
      </c>
      <c r="B221" s="18">
        <v>2007</v>
      </c>
      <c r="C221" s="24">
        <v>15</v>
      </c>
      <c r="D221" s="19" t="s">
        <v>17</v>
      </c>
      <c r="E221" s="22">
        <v>1294</v>
      </c>
      <c r="F221" s="21">
        <v>1.0200000000000001E-2</v>
      </c>
    </row>
    <row r="222" spans="1:6" x14ac:dyDescent="0.2">
      <c r="A222" s="18" t="str">
        <f t="shared" si="4"/>
        <v>2007-16</v>
      </c>
      <c r="B222" s="18">
        <v>2007</v>
      </c>
      <c r="C222" s="24">
        <v>16</v>
      </c>
      <c r="D222" s="19" t="s">
        <v>18</v>
      </c>
      <c r="E222" s="24">
        <v>881</v>
      </c>
      <c r="F222" s="21">
        <v>6.8999999999999999E-3</v>
      </c>
    </row>
    <row r="223" spans="1:6" x14ac:dyDescent="0.2">
      <c r="A223" s="18" t="str">
        <f t="shared" si="4"/>
        <v>2007-17</v>
      </c>
      <c r="B223" s="18">
        <v>2007</v>
      </c>
      <c r="C223" s="24">
        <v>17</v>
      </c>
      <c r="D223" s="19" t="s">
        <v>20</v>
      </c>
      <c r="E223" s="24">
        <v>722</v>
      </c>
      <c r="F223" s="21">
        <v>5.7000000000000002E-3</v>
      </c>
    </row>
    <row r="224" spans="1:6" x14ac:dyDescent="0.2">
      <c r="A224" s="18" t="str">
        <f t="shared" si="4"/>
        <v>2007-18</v>
      </c>
      <c r="B224" s="18">
        <v>2007</v>
      </c>
      <c r="C224" s="24">
        <v>18</v>
      </c>
      <c r="D224" s="19" t="s">
        <v>23</v>
      </c>
      <c r="E224" s="24">
        <v>692</v>
      </c>
      <c r="F224" s="21">
        <v>5.4999999999999997E-3</v>
      </c>
    </row>
    <row r="225" spans="1:6" x14ac:dyDescent="0.2">
      <c r="A225" s="18" t="str">
        <f t="shared" si="4"/>
        <v>2007-19</v>
      </c>
      <c r="B225" s="18">
        <v>2007</v>
      </c>
      <c r="C225" s="24">
        <v>19</v>
      </c>
      <c r="D225" s="19" t="s">
        <v>25</v>
      </c>
      <c r="E225" s="24">
        <v>625</v>
      </c>
      <c r="F225" s="21">
        <v>4.8999999999999998E-3</v>
      </c>
    </row>
    <row r="226" spans="1:6" x14ac:dyDescent="0.2">
      <c r="A226" s="18" t="str">
        <f t="shared" si="4"/>
        <v>2007-20</v>
      </c>
      <c r="B226" s="18">
        <v>2007</v>
      </c>
      <c r="C226" s="24">
        <v>20</v>
      </c>
      <c r="D226" s="19" t="s">
        <v>38</v>
      </c>
      <c r="E226" s="24">
        <v>612</v>
      </c>
      <c r="F226" s="21">
        <v>4.7999999999999996E-3</v>
      </c>
    </row>
    <row r="227" spans="1:6" x14ac:dyDescent="0.2">
      <c r="A227" s="18" t="str">
        <f t="shared" si="4"/>
        <v>2007-21</v>
      </c>
      <c r="B227" s="18">
        <v>2007</v>
      </c>
      <c r="C227" s="24">
        <v>21</v>
      </c>
      <c r="D227" s="19" t="s">
        <v>26</v>
      </c>
      <c r="E227" s="24">
        <v>413</v>
      </c>
      <c r="F227" s="21">
        <v>3.3E-3</v>
      </c>
    </row>
    <row r="228" spans="1:6" x14ac:dyDescent="0.2">
      <c r="A228" s="18" t="str">
        <f t="shared" si="4"/>
        <v>2007-22</v>
      </c>
      <c r="B228" s="18">
        <v>2007</v>
      </c>
      <c r="C228" s="24">
        <v>22</v>
      </c>
      <c r="D228" s="19" t="s">
        <v>24</v>
      </c>
      <c r="E228" s="24">
        <v>393</v>
      </c>
      <c r="F228" s="21">
        <v>3.0999999999999999E-3</v>
      </c>
    </row>
    <row r="229" spans="1:6" x14ac:dyDescent="0.2">
      <c r="A229" s="18" t="str">
        <f t="shared" si="4"/>
        <v>2007-23</v>
      </c>
      <c r="B229" s="18">
        <v>2007</v>
      </c>
      <c r="C229" s="24">
        <v>23</v>
      </c>
      <c r="D229" s="19" t="s">
        <v>19</v>
      </c>
      <c r="E229" s="24">
        <v>392</v>
      </c>
      <c r="F229" s="21">
        <v>3.0999999999999999E-3</v>
      </c>
    </row>
    <row r="230" spans="1:6" x14ac:dyDescent="0.2">
      <c r="A230" s="18" t="str">
        <f t="shared" si="4"/>
        <v>2007-24</v>
      </c>
      <c r="B230" s="18">
        <v>2007</v>
      </c>
      <c r="C230" s="24">
        <v>24</v>
      </c>
      <c r="D230" s="19" t="s">
        <v>21</v>
      </c>
      <c r="E230" s="24">
        <v>387</v>
      </c>
      <c r="F230" s="21">
        <v>3.0000000000000001E-3</v>
      </c>
    </row>
    <row r="231" spans="1:6" x14ac:dyDescent="0.2">
      <c r="A231" s="18" t="str">
        <f t="shared" si="4"/>
        <v>2007-25</v>
      </c>
      <c r="B231" s="18">
        <v>2007</v>
      </c>
      <c r="C231" s="24">
        <v>25</v>
      </c>
      <c r="D231" s="19" t="s">
        <v>41</v>
      </c>
      <c r="E231" s="24">
        <v>352</v>
      </c>
      <c r="F231" s="21">
        <v>2.8E-3</v>
      </c>
    </row>
    <row r="232" spans="1:6" x14ac:dyDescent="0.2">
      <c r="A232" s="18" t="str">
        <f t="shared" si="4"/>
        <v>2007-TP25C</v>
      </c>
      <c r="B232" s="18">
        <v>2007</v>
      </c>
      <c r="C232" s="18" t="s">
        <v>36</v>
      </c>
      <c r="D232" s="19" t="s">
        <v>27</v>
      </c>
      <c r="E232" s="22">
        <v>111322</v>
      </c>
      <c r="F232" s="21">
        <v>0.87729999999999997</v>
      </c>
    </row>
    <row r="233" spans="1:6" x14ac:dyDescent="0.2">
      <c r="A233" s="18" t="str">
        <f t="shared" si="4"/>
        <v>2007-Desc</v>
      </c>
      <c r="B233" s="18">
        <v>2007</v>
      </c>
      <c r="C233" s="18" t="s">
        <v>33</v>
      </c>
      <c r="D233" s="19" t="s">
        <v>28</v>
      </c>
      <c r="E233" s="24">
        <v>576</v>
      </c>
      <c r="F233" s="21">
        <v>4.4999999999999997E-3</v>
      </c>
    </row>
    <row r="234" spans="1:6" x14ac:dyDescent="0.2">
      <c r="A234" s="18" t="str">
        <f t="shared" si="4"/>
        <v>2007-MV</v>
      </c>
      <c r="B234" s="18">
        <v>2007</v>
      </c>
      <c r="C234" s="18" t="s">
        <v>34</v>
      </c>
      <c r="D234" s="19" t="s">
        <v>29</v>
      </c>
      <c r="E234" s="22">
        <v>7116</v>
      </c>
      <c r="F234" s="21">
        <v>5.6099999999999997E-2</v>
      </c>
    </row>
    <row r="235" spans="1:6" x14ac:dyDescent="0.2">
      <c r="A235" s="18" t="str">
        <f t="shared" si="4"/>
        <v>2007-TC</v>
      </c>
      <c r="B235" s="18">
        <v>2007</v>
      </c>
      <c r="C235" s="18" t="s">
        <v>35</v>
      </c>
      <c r="D235" s="19" t="s">
        <v>32</v>
      </c>
      <c r="E235" s="22">
        <v>127463</v>
      </c>
      <c r="F235" s="21">
        <v>1</v>
      </c>
    </row>
    <row r="236" spans="1:6" x14ac:dyDescent="0.2">
      <c r="A236" s="18" t="str">
        <f t="shared" si="4"/>
        <v>2006-1</v>
      </c>
      <c r="B236" s="18">
        <v>2006</v>
      </c>
      <c r="C236" s="24">
        <v>1</v>
      </c>
      <c r="D236" s="19" t="s">
        <v>2</v>
      </c>
      <c r="E236" s="22">
        <v>24977</v>
      </c>
      <c r="F236" s="21">
        <v>0.20630000000000001</v>
      </c>
    </row>
    <row r="237" spans="1:6" x14ac:dyDescent="0.2">
      <c r="A237" s="18" t="str">
        <f t="shared" si="4"/>
        <v>2006-2</v>
      </c>
      <c r="B237" s="18">
        <v>2006</v>
      </c>
      <c r="C237" s="24">
        <v>2</v>
      </c>
      <c r="D237" s="19" t="s">
        <v>3</v>
      </c>
      <c r="E237" s="22">
        <v>18543</v>
      </c>
      <c r="F237" s="21">
        <v>0.1532</v>
      </c>
    </row>
    <row r="238" spans="1:6" x14ac:dyDescent="0.2">
      <c r="A238" s="18" t="str">
        <f t="shared" si="4"/>
        <v>2006-3</v>
      </c>
      <c r="B238" s="18">
        <v>2006</v>
      </c>
      <c r="C238" s="24">
        <v>3</v>
      </c>
      <c r="D238" s="19" t="s">
        <v>6</v>
      </c>
      <c r="E238" s="22">
        <v>9748</v>
      </c>
      <c r="F238" s="21">
        <v>8.0500000000000002E-2</v>
      </c>
    </row>
    <row r="239" spans="1:6" x14ac:dyDescent="0.2">
      <c r="A239" s="18" t="str">
        <f t="shared" si="4"/>
        <v>2006-4</v>
      </c>
      <c r="B239" s="18">
        <v>2006</v>
      </c>
      <c r="C239" s="24">
        <v>4</v>
      </c>
      <c r="D239" s="19" t="s">
        <v>5</v>
      </c>
      <c r="E239" s="22">
        <v>9391</v>
      </c>
      <c r="F239" s="21">
        <v>7.7600000000000002E-2</v>
      </c>
    </row>
    <row r="240" spans="1:6" x14ac:dyDescent="0.2">
      <c r="A240" s="18" t="str">
        <f t="shared" si="4"/>
        <v>2006-5</v>
      </c>
      <c r="B240" s="18">
        <v>2006</v>
      </c>
      <c r="C240" s="24">
        <v>5</v>
      </c>
      <c r="D240" s="19" t="s">
        <v>7</v>
      </c>
      <c r="E240" s="22">
        <v>9353</v>
      </c>
      <c r="F240" s="21">
        <v>7.6899999999999996E-2</v>
      </c>
    </row>
    <row r="241" spans="1:6" x14ac:dyDescent="0.2">
      <c r="A241" s="18" t="str">
        <f t="shared" si="4"/>
        <v>2006-6</v>
      </c>
      <c r="B241" s="18">
        <v>2006</v>
      </c>
      <c r="C241" s="24">
        <v>6</v>
      </c>
      <c r="D241" s="19" t="s">
        <v>4</v>
      </c>
      <c r="E241" s="22">
        <v>7181</v>
      </c>
      <c r="F241" s="21">
        <v>5.91E-2</v>
      </c>
    </row>
    <row r="242" spans="1:6" x14ac:dyDescent="0.2">
      <c r="A242" s="18" t="str">
        <f t="shared" si="4"/>
        <v>2006-7</v>
      </c>
      <c r="B242" s="18">
        <v>2006</v>
      </c>
      <c r="C242" s="24">
        <v>7</v>
      </c>
      <c r="D242" s="19" t="s">
        <v>8</v>
      </c>
      <c r="E242" s="22">
        <v>4959</v>
      </c>
      <c r="F242" s="21">
        <v>4.1000000000000002E-2</v>
      </c>
    </row>
    <row r="243" spans="1:6" x14ac:dyDescent="0.2">
      <c r="A243" s="18" t="str">
        <f t="shared" si="4"/>
        <v>2006-8</v>
      </c>
      <c r="B243" s="18">
        <v>2006</v>
      </c>
      <c r="C243" s="24">
        <v>8</v>
      </c>
      <c r="D243" s="19" t="s">
        <v>9</v>
      </c>
      <c r="E243" s="22">
        <v>3225</v>
      </c>
      <c r="F243" s="21">
        <v>2.6599999999999999E-2</v>
      </c>
    </row>
    <row r="244" spans="1:6" x14ac:dyDescent="0.2">
      <c r="A244" s="18" t="str">
        <f t="shared" si="4"/>
        <v>2006-9</v>
      </c>
      <c r="B244" s="18">
        <v>2006</v>
      </c>
      <c r="C244" s="24">
        <v>9</v>
      </c>
      <c r="D244" s="19" t="s">
        <v>54</v>
      </c>
      <c r="E244" s="22">
        <v>2856</v>
      </c>
      <c r="F244" s="21">
        <v>2.3599999999999999E-2</v>
      </c>
    </row>
    <row r="245" spans="1:6" x14ac:dyDescent="0.2">
      <c r="A245" s="18" t="str">
        <f t="shared" si="4"/>
        <v>2006-10</v>
      </c>
      <c r="B245" s="18">
        <v>2006</v>
      </c>
      <c r="C245" s="24">
        <v>10</v>
      </c>
      <c r="D245" s="19" t="s">
        <v>11</v>
      </c>
      <c r="E245" s="22">
        <v>2483</v>
      </c>
      <c r="F245" s="21">
        <v>2.0500000000000001E-2</v>
      </c>
    </row>
    <row r="246" spans="1:6" x14ac:dyDescent="0.2">
      <c r="A246" s="18" t="str">
        <f t="shared" si="4"/>
        <v>2006-11</v>
      </c>
      <c r="B246" s="18">
        <v>2006</v>
      </c>
      <c r="C246" s="24">
        <v>11</v>
      </c>
      <c r="D246" s="19" t="s">
        <v>30</v>
      </c>
      <c r="E246" s="22">
        <v>2212</v>
      </c>
      <c r="F246" s="21">
        <v>1.83E-2</v>
      </c>
    </row>
    <row r="247" spans="1:6" x14ac:dyDescent="0.2">
      <c r="A247" s="18" t="str">
        <f t="shared" si="4"/>
        <v>2006-12</v>
      </c>
      <c r="B247" s="18">
        <v>2006</v>
      </c>
      <c r="C247" s="24">
        <v>12</v>
      </c>
      <c r="D247" s="19" t="s">
        <v>16</v>
      </c>
      <c r="E247" s="22">
        <v>1567</v>
      </c>
      <c r="F247" s="21">
        <v>1.29E-2</v>
      </c>
    </row>
    <row r="248" spans="1:6" x14ac:dyDescent="0.2">
      <c r="A248" s="18" t="str">
        <f t="shared" si="4"/>
        <v>2006-13</v>
      </c>
      <c r="B248" s="18">
        <v>2006</v>
      </c>
      <c r="C248" s="24">
        <v>13</v>
      </c>
      <c r="D248" s="19" t="s">
        <v>15</v>
      </c>
      <c r="E248" s="22">
        <v>1519</v>
      </c>
      <c r="F248" s="21">
        <v>1.2500000000000001E-2</v>
      </c>
    </row>
    <row r="249" spans="1:6" x14ac:dyDescent="0.2">
      <c r="A249" s="18" t="str">
        <f t="shared" si="4"/>
        <v>2006-14</v>
      </c>
      <c r="B249" s="18">
        <v>2006</v>
      </c>
      <c r="C249" s="24">
        <v>14</v>
      </c>
      <c r="D249" s="19" t="s">
        <v>14</v>
      </c>
      <c r="E249" s="22">
        <v>1480</v>
      </c>
      <c r="F249" s="21">
        <v>1.2200000000000001E-2</v>
      </c>
    </row>
    <row r="250" spans="1:6" x14ac:dyDescent="0.2">
      <c r="A250" s="18" t="str">
        <f t="shared" si="4"/>
        <v>2006-15</v>
      </c>
      <c r="B250" s="18">
        <v>2006</v>
      </c>
      <c r="C250" s="24">
        <v>15</v>
      </c>
      <c r="D250" s="19" t="s">
        <v>17</v>
      </c>
      <c r="E250" s="22">
        <v>1450</v>
      </c>
      <c r="F250" s="21">
        <v>1.2E-2</v>
      </c>
    </row>
    <row r="251" spans="1:6" x14ac:dyDescent="0.2">
      <c r="A251" s="18" t="str">
        <f t="shared" si="4"/>
        <v>2006-16</v>
      </c>
      <c r="B251" s="18">
        <v>2006</v>
      </c>
      <c r="C251" s="24">
        <v>16</v>
      </c>
      <c r="D251" s="19" t="s">
        <v>20</v>
      </c>
      <c r="E251" s="24">
        <v>707</v>
      </c>
      <c r="F251" s="21">
        <v>5.7999999999999996E-3</v>
      </c>
    </row>
    <row r="252" spans="1:6" x14ac:dyDescent="0.2">
      <c r="A252" s="18" t="str">
        <f t="shared" si="4"/>
        <v>2006-17</v>
      </c>
      <c r="B252" s="18">
        <v>2006</v>
      </c>
      <c r="C252" s="24">
        <v>17</v>
      </c>
      <c r="D252" s="19" t="s">
        <v>18</v>
      </c>
      <c r="E252" s="24">
        <v>705</v>
      </c>
      <c r="F252" s="21">
        <v>5.7999999999999996E-3</v>
      </c>
    </row>
    <row r="253" spans="1:6" x14ac:dyDescent="0.2">
      <c r="A253" s="18" t="str">
        <f t="shared" si="4"/>
        <v>2006-18</v>
      </c>
      <c r="B253" s="18">
        <v>2006</v>
      </c>
      <c r="C253" s="24">
        <v>18</v>
      </c>
      <c r="D253" s="19" t="s">
        <v>23</v>
      </c>
      <c r="E253" s="24">
        <v>674</v>
      </c>
      <c r="F253" s="21">
        <v>5.5999999999999999E-3</v>
      </c>
    </row>
    <row r="254" spans="1:6" x14ac:dyDescent="0.2">
      <c r="A254" s="18" t="str">
        <f t="shared" si="4"/>
        <v>2006-19</v>
      </c>
      <c r="B254" s="18">
        <v>2006</v>
      </c>
      <c r="C254" s="24">
        <v>19</v>
      </c>
      <c r="D254" s="19" t="s">
        <v>38</v>
      </c>
      <c r="E254" s="24">
        <v>627</v>
      </c>
      <c r="F254" s="21">
        <v>5.1999999999999998E-3</v>
      </c>
    </row>
    <row r="255" spans="1:6" x14ac:dyDescent="0.2">
      <c r="A255" s="18" t="str">
        <f t="shared" si="4"/>
        <v>2006-20</v>
      </c>
      <c r="B255" s="18">
        <v>2006</v>
      </c>
      <c r="C255" s="24">
        <v>20</v>
      </c>
      <c r="D255" s="19" t="s">
        <v>25</v>
      </c>
      <c r="E255" s="24">
        <v>592</v>
      </c>
      <c r="F255" s="21">
        <v>4.8999999999999998E-3</v>
      </c>
    </row>
    <row r="256" spans="1:6" x14ac:dyDescent="0.2">
      <c r="A256" s="18" t="str">
        <f t="shared" si="4"/>
        <v>2006-21</v>
      </c>
      <c r="B256" s="18">
        <v>2006</v>
      </c>
      <c r="C256" s="24">
        <v>21</v>
      </c>
      <c r="D256" s="19" t="s">
        <v>19</v>
      </c>
      <c r="E256" s="24">
        <v>460</v>
      </c>
      <c r="F256" s="21">
        <v>3.8E-3</v>
      </c>
    </row>
    <row r="257" spans="1:6" x14ac:dyDescent="0.2">
      <c r="A257" s="18" t="str">
        <f t="shared" si="4"/>
        <v>2006-22</v>
      </c>
      <c r="B257" s="18">
        <v>2006</v>
      </c>
      <c r="C257" s="24">
        <v>22</v>
      </c>
      <c r="D257" s="19" t="s">
        <v>41</v>
      </c>
      <c r="E257" s="24">
        <v>429</v>
      </c>
      <c r="F257" s="21">
        <v>3.5000000000000001E-3</v>
      </c>
    </row>
    <row r="258" spans="1:6" x14ac:dyDescent="0.2">
      <c r="A258" s="18" t="str">
        <f t="shared" si="4"/>
        <v>2006-23</v>
      </c>
      <c r="B258" s="18">
        <v>2006</v>
      </c>
      <c r="C258" s="24">
        <v>23</v>
      </c>
      <c r="D258" s="19" t="s">
        <v>26</v>
      </c>
      <c r="E258" s="24">
        <v>418</v>
      </c>
      <c r="F258" s="21">
        <v>3.5000000000000001E-3</v>
      </c>
    </row>
    <row r="259" spans="1:6" x14ac:dyDescent="0.2">
      <c r="A259" s="18" t="str">
        <f t="shared" si="4"/>
        <v>2006-24</v>
      </c>
      <c r="B259" s="18">
        <v>2006</v>
      </c>
      <c r="C259" s="24">
        <v>24</v>
      </c>
      <c r="D259" s="19" t="s">
        <v>24</v>
      </c>
      <c r="E259" s="24">
        <v>410</v>
      </c>
      <c r="F259" s="21">
        <v>3.3999999999999998E-3</v>
      </c>
    </row>
    <row r="260" spans="1:6" x14ac:dyDescent="0.2">
      <c r="A260" s="18" t="str">
        <f t="shared" si="4"/>
        <v>2006-25</v>
      </c>
      <c r="B260" s="18">
        <v>2006</v>
      </c>
      <c r="C260" s="24">
        <v>25</v>
      </c>
      <c r="D260" s="19" t="s">
        <v>21</v>
      </c>
      <c r="E260" s="24">
        <v>368</v>
      </c>
      <c r="F260" s="21">
        <v>3.0000000000000001E-3</v>
      </c>
    </row>
    <row r="261" spans="1:6" x14ac:dyDescent="0.2">
      <c r="A261" s="18" t="str">
        <f t="shared" si="4"/>
        <v>2006-TP25C</v>
      </c>
      <c r="B261" s="18">
        <v>2006</v>
      </c>
      <c r="C261" s="18" t="s">
        <v>36</v>
      </c>
      <c r="D261" s="19" t="s">
        <v>27</v>
      </c>
      <c r="E261" s="22">
        <v>106334</v>
      </c>
      <c r="F261" s="21">
        <v>0.87839999999999996</v>
      </c>
    </row>
    <row r="262" spans="1:6" x14ac:dyDescent="0.2">
      <c r="A262" s="18" t="str">
        <f t="shared" si="4"/>
        <v>2006-Desc</v>
      </c>
      <c r="B262" s="18">
        <v>2006</v>
      </c>
      <c r="C262" s="18" t="s">
        <v>33</v>
      </c>
      <c r="D262" s="19" t="s">
        <v>28</v>
      </c>
      <c r="E262" s="24">
        <v>526</v>
      </c>
      <c r="F262" s="21">
        <v>4.3E-3</v>
      </c>
    </row>
    <row r="263" spans="1:6" x14ac:dyDescent="0.2">
      <c r="A263" s="18" t="str">
        <f t="shared" si="4"/>
        <v>2006-MV</v>
      </c>
      <c r="B263" s="18">
        <v>2006</v>
      </c>
      <c r="C263" s="18" t="s">
        <v>34</v>
      </c>
      <c r="D263" s="19" t="s">
        <v>29</v>
      </c>
      <c r="E263" s="22">
        <v>6214</v>
      </c>
      <c r="F263" s="21">
        <v>5.11E-2</v>
      </c>
    </row>
    <row r="264" spans="1:6" x14ac:dyDescent="0.2">
      <c r="A264" s="18" t="str">
        <f t="shared" si="4"/>
        <v>2006-TC</v>
      </c>
      <c r="B264" s="18">
        <v>2006</v>
      </c>
      <c r="C264" s="18" t="s">
        <v>35</v>
      </c>
      <c r="D264" s="19" t="s">
        <v>32</v>
      </c>
      <c r="E264" s="22">
        <v>121586</v>
      </c>
      <c r="F264" s="21">
        <v>1</v>
      </c>
    </row>
    <row r="265" spans="1:6" x14ac:dyDescent="0.2">
      <c r="A265" s="18" t="str">
        <f t="shared" si="4"/>
        <v>2005-1</v>
      </c>
      <c r="B265" s="18">
        <v>2005</v>
      </c>
      <c r="C265" s="24">
        <v>1</v>
      </c>
      <c r="D265" s="19" t="s">
        <v>2</v>
      </c>
      <c r="E265" s="22">
        <v>24353</v>
      </c>
      <c r="F265" s="21">
        <v>0.20730000000000001</v>
      </c>
    </row>
    <row r="266" spans="1:6" x14ac:dyDescent="0.2">
      <c r="A266" s="18" t="str">
        <f t="shared" si="4"/>
        <v>2005-2</v>
      </c>
      <c r="B266" s="18">
        <v>2005</v>
      </c>
      <c r="C266" s="24">
        <v>2</v>
      </c>
      <c r="D266" s="19" t="s">
        <v>55</v>
      </c>
      <c r="E266" s="22">
        <v>18155</v>
      </c>
      <c r="F266" s="21">
        <v>0.1545</v>
      </c>
    </row>
    <row r="267" spans="1:6" x14ac:dyDescent="0.2">
      <c r="A267" s="18" t="str">
        <f t="shared" ref="A267:A323" si="5">+CONCATENATE(B267,"-",C267)</f>
        <v>2005-3</v>
      </c>
      <c r="B267" s="18">
        <v>2005</v>
      </c>
      <c r="C267" s="24">
        <v>3</v>
      </c>
      <c r="D267" s="19" t="s">
        <v>5</v>
      </c>
      <c r="E267" s="22">
        <v>8695</v>
      </c>
      <c r="F267" s="21">
        <v>7.3999999999999996E-2</v>
      </c>
    </row>
    <row r="268" spans="1:6" x14ac:dyDescent="0.2">
      <c r="A268" s="18" t="str">
        <f t="shared" si="5"/>
        <v>2005-4</v>
      </c>
      <c r="B268" s="18">
        <v>2005</v>
      </c>
      <c r="C268" s="24">
        <v>4</v>
      </c>
      <c r="D268" s="19" t="s">
        <v>6</v>
      </c>
      <c r="E268" s="22">
        <v>8614</v>
      </c>
      <c r="F268" s="21">
        <v>7.3099999999999998E-2</v>
      </c>
    </row>
    <row r="269" spans="1:6" x14ac:dyDescent="0.2">
      <c r="A269" s="18" t="str">
        <f t="shared" si="5"/>
        <v>2005-5</v>
      </c>
      <c r="B269" s="18">
        <v>2005</v>
      </c>
      <c r="C269" s="24">
        <v>5</v>
      </c>
      <c r="D269" s="19" t="s">
        <v>56</v>
      </c>
      <c r="E269" s="22">
        <v>8471</v>
      </c>
      <c r="F269" s="21">
        <v>7.1900000000000006E-2</v>
      </c>
    </row>
    <row r="270" spans="1:6" x14ac:dyDescent="0.2">
      <c r="A270" s="18" t="str">
        <f t="shared" si="5"/>
        <v>2005-6</v>
      </c>
      <c r="B270" s="18">
        <v>2005</v>
      </c>
      <c r="C270" s="24">
        <v>6</v>
      </c>
      <c r="D270" s="19" t="s">
        <v>4</v>
      </c>
      <c r="E270" s="22">
        <v>7312</v>
      </c>
      <c r="F270" s="21">
        <v>6.5199999999999994E-2</v>
      </c>
    </row>
    <row r="271" spans="1:6" x14ac:dyDescent="0.2">
      <c r="A271" s="18" t="str">
        <f t="shared" si="5"/>
        <v>2005-7</v>
      </c>
      <c r="B271" s="18">
        <v>2005</v>
      </c>
      <c r="C271" s="24">
        <v>7</v>
      </c>
      <c r="D271" s="19" t="s">
        <v>8</v>
      </c>
      <c r="E271" s="22">
        <v>5457</v>
      </c>
      <c r="F271" s="21">
        <v>4.6399999999999997E-2</v>
      </c>
    </row>
    <row r="272" spans="1:6" x14ac:dyDescent="0.2">
      <c r="A272" s="18" t="str">
        <f t="shared" si="5"/>
        <v>2005-8</v>
      </c>
      <c r="B272" s="18">
        <v>2005</v>
      </c>
      <c r="C272" s="24">
        <v>8</v>
      </c>
      <c r="D272" s="19" t="s">
        <v>9</v>
      </c>
      <c r="E272" s="22">
        <v>3397</v>
      </c>
      <c r="F272" s="21">
        <v>2.8899999999999999E-2</v>
      </c>
    </row>
    <row r="273" spans="1:6" x14ac:dyDescent="0.2">
      <c r="A273" s="18" t="str">
        <f t="shared" si="5"/>
        <v>2005-9</v>
      </c>
      <c r="B273" s="18">
        <v>2005</v>
      </c>
      <c r="C273" s="24">
        <v>9</v>
      </c>
      <c r="D273" s="19" t="s">
        <v>54</v>
      </c>
      <c r="E273" s="22">
        <v>2659</v>
      </c>
      <c r="F273" s="21">
        <v>2.2599999999999999E-2</v>
      </c>
    </row>
    <row r="274" spans="1:6" x14ac:dyDescent="0.2">
      <c r="A274" s="18" t="str">
        <f t="shared" si="5"/>
        <v>2005-10</v>
      </c>
      <c r="B274" s="18">
        <v>2005</v>
      </c>
      <c r="C274" s="24">
        <v>10</v>
      </c>
      <c r="D274" s="19" t="s">
        <v>11</v>
      </c>
      <c r="E274" s="22">
        <v>2449</v>
      </c>
      <c r="F274" s="21">
        <v>2.0799999999999999E-2</v>
      </c>
    </row>
    <row r="275" spans="1:6" x14ac:dyDescent="0.2">
      <c r="A275" s="18" t="str">
        <f t="shared" si="5"/>
        <v>2005-11</v>
      </c>
      <c r="B275" s="18">
        <v>2005</v>
      </c>
      <c r="C275" s="24">
        <v>11</v>
      </c>
      <c r="D275" s="19" t="s">
        <v>30</v>
      </c>
      <c r="E275" s="22">
        <v>2184</v>
      </c>
      <c r="F275" s="21">
        <v>1.8599999999999998E-2</v>
      </c>
    </row>
    <row r="276" spans="1:6" x14ac:dyDescent="0.2">
      <c r="A276" s="18" t="str">
        <f t="shared" si="5"/>
        <v>2005-12</v>
      </c>
      <c r="B276" s="18">
        <v>2005</v>
      </c>
      <c r="C276" s="24">
        <v>12</v>
      </c>
      <c r="D276" s="19" t="s">
        <v>17</v>
      </c>
      <c r="E276" s="22">
        <v>1675</v>
      </c>
      <c r="F276" s="21">
        <v>1.43E-2</v>
      </c>
    </row>
    <row r="277" spans="1:6" x14ac:dyDescent="0.2">
      <c r="A277" s="18" t="str">
        <f t="shared" si="5"/>
        <v>2005-13</v>
      </c>
      <c r="B277" s="18">
        <v>2005</v>
      </c>
      <c r="C277" s="24">
        <v>13</v>
      </c>
      <c r="D277" s="19" t="s">
        <v>16</v>
      </c>
      <c r="E277" s="22">
        <v>1478</v>
      </c>
      <c r="F277" s="21">
        <v>1.26E-2</v>
      </c>
    </row>
    <row r="278" spans="1:6" x14ac:dyDescent="0.2">
      <c r="A278" s="18" t="str">
        <f t="shared" si="5"/>
        <v>2005-14</v>
      </c>
      <c r="B278" s="18">
        <v>2005</v>
      </c>
      <c r="C278" s="24">
        <v>14</v>
      </c>
      <c r="D278" s="19" t="s">
        <v>12</v>
      </c>
      <c r="E278" s="22">
        <v>1460</v>
      </c>
      <c r="F278" s="21">
        <v>1.24E-2</v>
      </c>
    </row>
    <row r="279" spans="1:6" x14ac:dyDescent="0.2">
      <c r="A279" s="18" t="str">
        <f t="shared" si="5"/>
        <v>2005-15</v>
      </c>
      <c r="B279" s="18">
        <v>2005</v>
      </c>
      <c r="C279" s="24">
        <v>15</v>
      </c>
      <c r="D279" s="19" t="s">
        <v>14</v>
      </c>
      <c r="E279" s="22">
        <v>1434</v>
      </c>
      <c r="F279" s="21">
        <v>1.2200000000000001E-2</v>
      </c>
    </row>
    <row r="280" spans="1:6" x14ac:dyDescent="0.2">
      <c r="A280" s="18" t="str">
        <f t="shared" si="5"/>
        <v>2005-16</v>
      </c>
      <c r="B280" s="18">
        <v>2005</v>
      </c>
      <c r="C280" s="24">
        <v>16</v>
      </c>
      <c r="D280" s="19" t="s">
        <v>15</v>
      </c>
      <c r="E280" s="22">
        <v>1404</v>
      </c>
      <c r="F280" s="21">
        <v>1.2E-2</v>
      </c>
    </row>
    <row r="281" spans="1:6" x14ac:dyDescent="0.2">
      <c r="A281" s="18" t="str">
        <f t="shared" si="5"/>
        <v>2005-17</v>
      </c>
      <c r="B281" s="18">
        <v>2005</v>
      </c>
      <c r="C281" s="24">
        <v>17</v>
      </c>
      <c r="D281" s="19" t="s">
        <v>20</v>
      </c>
      <c r="E281" s="24">
        <v>773</v>
      </c>
      <c r="F281" s="21">
        <v>6.6E-3</v>
      </c>
    </row>
    <row r="282" spans="1:6" x14ac:dyDescent="0.2">
      <c r="A282" s="18" t="str">
        <f t="shared" si="5"/>
        <v>2005-18</v>
      </c>
      <c r="B282" s="18">
        <v>2005</v>
      </c>
      <c r="C282" s="24">
        <v>18</v>
      </c>
      <c r="D282" s="19" t="s">
        <v>23</v>
      </c>
      <c r="E282" s="24">
        <v>679</v>
      </c>
      <c r="F282" s="21">
        <v>5.7999999999999996E-3</v>
      </c>
    </row>
    <row r="283" spans="1:6" x14ac:dyDescent="0.2">
      <c r="A283" s="18" t="str">
        <f t="shared" si="5"/>
        <v>2005-19</v>
      </c>
      <c r="B283" s="18">
        <v>2005</v>
      </c>
      <c r="C283" s="24">
        <v>19</v>
      </c>
      <c r="D283" s="19" t="s">
        <v>38</v>
      </c>
      <c r="E283" s="24">
        <v>648</v>
      </c>
      <c r="F283" s="21">
        <v>5.4999999999999997E-3</v>
      </c>
    </row>
    <row r="284" spans="1:6" x14ac:dyDescent="0.2">
      <c r="A284" s="18" t="str">
        <f t="shared" si="5"/>
        <v>2005-20</v>
      </c>
      <c r="B284" s="18">
        <v>2005</v>
      </c>
      <c r="C284" s="24">
        <v>20</v>
      </c>
      <c r="D284" s="19" t="s">
        <v>25</v>
      </c>
      <c r="E284" s="24">
        <v>579</v>
      </c>
      <c r="F284" s="21">
        <v>4.8999999999999998E-3</v>
      </c>
    </row>
    <row r="285" spans="1:6" x14ac:dyDescent="0.2">
      <c r="A285" s="18" t="str">
        <f t="shared" si="5"/>
        <v>2005-21</v>
      </c>
      <c r="B285" s="18">
        <v>2005</v>
      </c>
      <c r="C285" s="24">
        <v>21</v>
      </c>
      <c r="D285" s="19" t="s">
        <v>18</v>
      </c>
      <c r="E285" s="24">
        <v>577</v>
      </c>
      <c r="F285" s="21">
        <v>4.8999999999999998E-3</v>
      </c>
    </row>
    <row r="286" spans="1:6" x14ac:dyDescent="0.2">
      <c r="A286" s="18" t="str">
        <f t="shared" si="5"/>
        <v>2005-22</v>
      </c>
      <c r="B286" s="18">
        <v>2005</v>
      </c>
      <c r="C286" s="24">
        <v>22</v>
      </c>
      <c r="D286" s="19" t="s">
        <v>19</v>
      </c>
      <c r="E286" s="24">
        <v>465</v>
      </c>
      <c r="F286" s="21">
        <v>4.0000000000000001E-3</v>
      </c>
    </row>
    <row r="287" spans="1:6" x14ac:dyDescent="0.2">
      <c r="A287" s="18" t="str">
        <f t="shared" si="5"/>
        <v>2005-23</v>
      </c>
      <c r="B287" s="18">
        <v>2005</v>
      </c>
      <c r="C287" s="24">
        <v>23</v>
      </c>
      <c r="D287" s="19" t="s">
        <v>26</v>
      </c>
      <c r="E287" s="24">
        <v>404</v>
      </c>
      <c r="F287" s="21">
        <v>3.3999999999999998E-3</v>
      </c>
    </row>
    <row r="288" spans="1:6" x14ac:dyDescent="0.2">
      <c r="A288" s="18" t="str">
        <f t="shared" si="5"/>
        <v>2005-24</v>
      </c>
      <c r="B288" s="18">
        <v>2005</v>
      </c>
      <c r="C288" s="24">
        <v>24</v>
      </c>
      <c r="D288" s="19" t="s">
        <v>24</v>
      </c>
      <c r="E288" s="24">
        <v>379</v>
      </c>
      <c r="F288" s="21">
        <v>3.2000000000000002E-3</v>
      </c>
    </row>
    <row r="289" spans="1:6" x14ac:dyDescent="0.2">
      <c r="A289" s="18" t="str">
        <f t="shared" si="5"/>
        <v>2005-25</v>
      </c>
      <c r="B289" s="18">
        <v>2005</v>
      </c>
      <c r="C289" s="24">
        <v>25</v>
      </c>
      <c r="D289" s="19" t="s">
        <v>57</v>
      </c>
      <c r="E289" s="24">
        <v>342</v>
      </c>
      <c r="F289" s="21">
        <v>2.8999999999999998E-3</v>
      </c>
    </row>
    <row r="290" spans="1:6" x14ac:dyDescent="0.2">
      <c r="A290" s="18" t="str">
        <f t="shared" si="5"/>
        <v>2005-TP25C</v>
      </c>
      <c r="B290" s="18">
        <v>2005</v>
      </c>
      <c r="C290" s="18" t="s">
        <v>36</v>
      </c>
      <c r="D290" s="19" t="s">
        <v>27</v>
      </c>
      <c r="E290" s="22">
        <v>104043</v>
      </c>
      <c r="F290" s="21">
        <v>0.88300000000000001</v>
      </c>
    </row>
    <row r="291" spans="1:6" x14ac:dyDescent="0.2">
      <c r="A291" s="18" t="str">
        <f t="shared" si="5"/>
        <v>2005-Desc</v>
      </c>
      <c r="B291" s="18">
        <v>2005</v>
      </c>
      <c r="C291" s="18" t="s">
        <v>33</v>
      </c>
      <c r="D291" s="19" t="s">
        <v>28</v>
      </c>
      <c r="E291" s="24">
        <v>343</v>
      </c>
      <c r="F291" s="21">
        <v>2.8999999999999998E-3</v>
      </c>
    </row>
    <row r="292" spans="1:6" x14ac:dyDescent="0.2">
      <c r="A292" s="18" t="str">
        <f t="shared" si="5"/>
        <v>2005-MV</v>
      </c>
      <c r="B292" s="18">
        <v>2005</v>
      </c>
      <c r="C292" s="18" t="s">
        <v>34</v>
      </c>
      <c r="D292" s="19" t="s">
        <v>29</v>
      </c>
      <c r="E292" s="22">
        <v>5648</v>
      </c>
      <c r="F292" s="21">
        <v>4.7899999999999998E-2</v>
      </c>
    </row>
    <row r="293" spans="1:6" x14ac:dyDescent="0.2">
      <c r="A293" s="18" t="str">
        <f t="shared" si="5"/>
        <v>2005-TC</v>
      </c>
      <c r="B293" s="18">
        <v>2005</v>
      </c>
      <c r="C293" s="18" t="s">
        <v>35</v>
      </c>
      <c r="D293" s="19" t="s">
        <v>32</v>
      </c>
      <c r="E293" s="22">
        <v>117831</v>
      </c>
      <c r="F293" s="21">
        <v>1</v>
      </c>
    </row>
    <row r="294" spans="1:6" x14ac:dyDescent="0.2">
      <c r="A294" s="18" t="str">
        <f t="shared" si="5"/>
        <v>2004-1</v>
      </c>
      <c r="B294" s="18">
        <v>2004</v>
      </c>
      <c r="C294" s="24">
        <v>1</v>
      </c>
      <c r="D294" s="19" t="s">
        <v>58</v>
      </c>
      <c r="E294" s="25">
        <v>24281</v>
      </c>
      <c r="F294" s="21">
        <v>0.20799999999999999</v>
      </c>
    </row>
    <row r="295" spans="1:6" x14ac:dyDescent="0.2">
      <c r="A295" s="18" t="str">
        <f t="shared" si="5"/>
        <v>2004-2</v>
      </c>
      <c r="B295" s="18">
        <v>2004</v>
      </c>
      <c r="C295" s="24">
        <v>2</v>
      </c>
      <c r="D295" s="19" t="s">
        <v>55</v>
      </c>
      <c r="E295" s="25">
        <v>17507</v>
      </c>
      <c r="F295" s="21">
        <v>0.15</v>
      </c>
    </row>
    <row r="296" spans="1:6" x14ac:dyDescent="0.2">
      <c r="A296" s="18" t="str">
        <f t="shared" si="5"/>
        <v>2004-3</v>
      </c>
      <c r="B296" s="18">
        <v>2004</v>
      </c>
      <c r="C296" s="24">
        <v>3</v>
      </c>
      <c r="D296" s="19" t="s">
        <v>56</v>
      </c>
      <c r="E296" s="25">
        <v>8386</v>
      </c>
      <c r="F296" s="21">
        <v>7.1499999999999994E-2</v>
      </c>
    </row>
    <row r="297" spans="1:6" x14ac:dyDescent="0.2">
      <c r="A297" s="18" t="str">
        <f t="shared" si="5"/>
        <v>2004-4</v>
      </c>
      <c r="B297" s="18">
        <v>2004</v>
      </c>
      <c r="C297" s="24">
        <v>4</v>
      </c>
      <c r="D297" s="19" t="s">
        <v>6</v>
      </c>
      <c r="E297" s="25">
        <v>8382</v>
      </c>
      <c r="F297" s="21">
        <v>7.1499999999999994E-2</v>
      </c>
    </row>
    <row r="298" spans="1:6" x14ac:dyDescent="0.2">
      <c r="A298" s="18" t="str">
        <f t="shared" si="5"/>
        <v>2004-5</v>
      </c>
      <c r="B298" s="18">
        <v>2004</v>
      </c>
      <c r="C298" s="24">
        <v>5</v>
      </c>
      <c r="D298" s="19" t="s">
        <v>5</v>
      </c>
      <c r="E298" s="25">
        <v>8286</v>
      </c>
      <c r="F298" s="21">
        <v>7.0999999999999994E-2</v>
      </c>
    </row>
    <row r="299" spans="1:6" x14ac:dyDescent="0.2">
      <c r="A299" s="18" t="str">
        <f t="shared" si="5"/>
        <v>2004-6</v>
      </c>
      <c r="B299" s="18">
        <v>2004</v>
      </c>
      <c r="C299" s="24">
        <v>6</v>
      </c>
      <c r="D299" s="19" t="s">
        <v>4</v>
      </c>
      <c r="E299" s="25">
        <v>7123</v>
      </c>
      <c r="F299" s="21">
        <v>6.0999999999999999E-2</v>
      </c>
    </row>
    <row r="300" spans="1:6" x14ac:dyDescent="0.2">
      <c r="A300" s="18" t="str">
        <f t="shared" si="5"/>
        <v>2004-7</v>
      </c>
      <c r="B300" s="18">
        <v>2004</v>
      </c>
      <c r="C300" s="24">
        <v>7</v>
      </c>
      <c r="D300" s="19" t="s">
        <v>8</v>
      </c>
      <c r="E300" s="25">
        <v>5253</v>
      </c>
      <c r="F300" s="21">
        <v>4.4999999999999998E-2</v>
      </c>
    </row>
    <row r="301" spans="1:6" x14ac:dyDescent="0.2">
      <c r="A301" s="18" t="str">
        <f t="shared" si="5"/>
        <v>2004-8</v>
      </c>
      <c r="B301" s="18">
        <v>2004</v>
      </c>
      <c r="C301" s="24">
        <v>8</v>
      </c>
      <c r="D301" s="19" t="s">
        <v>9</v>
      </c>
      <c r="E301" s="25">
        <v>3166</v>
      </c>
      <c r="F301" s="21">
        <v>2.7099999999999999E-2</v>
      </c>
    </row>
    <row r="302" spans="1:6" x14ac:dyDescent="0.2">
      <c r="A302" s="18" t="str">
        <f t="shared" si="5"/>
        <v>2004-9</v>
      </c>
      <c r="B302" s="18">
        <v>2004</v>
      </c>
      <c r="C302" s="24">
        <v>9</v>
      </c>
      <c r="D302" s="19" t="s">
        <v>54</v>
      </c>
      <c r="E302" s="25">
        <v>2883</v>
      </c>
      <c r="F302" s="21">
        <v>2.47E-2</v>
      </c>
    </row>
    <row r="303" spans="1:6" x14ac:dyDescent="0.2">
      <c r="A303" s="18" t="str">
        <f t="shared" si="5"/>
        <v>2004-10</v>
      </c>
      <c r="B303" s="18">
        <v>2004</v>
      </c>
      <c r="C303" s="24">
        <v>10</v>
      </c>
      <c r="D303" s="19" t="s">
        <v>11</v>
      </c>
      <c r="E303" s="25">
        <v>2209</v>
      </c>
      <c r="F303" s="21">
        <v>1.89E-2</v>
      </c>
    </row>
    <row r="304" spans="1:6" x14ac:dyDescent="0.2">
      <c r="A304" s="18" t="str">
        <f t="shared" si="5"/>
        <v>2004-11</v>
      </c>
      <c r="B304" s="18">
        <v>2004</v>
      </c>
      <c r="C304" s="24">
        <v>11</v>
      </c>
      <c r="D304" s="19" t="s">
        <v>30</v>
      </c>
      <c r="E304" s="25">
        <v>2132</v>
      </c>
      <c r="F304" s="21">
        <v>1.83E-2</v>
      </c>
    </row>
    <row r="305" spans="1:6" x14ac:dyDescent="0.2">
      <c r="A305" s="18" t="str">
        <f t="shared" si="5"/>
        <v>2004-12</v>
      </c>
      <c r="B305" s="18">
        <v>2004</v>
      </c>
      <c r="C305" s="24">
        <v>12</v>
      </c>
      <c r="D305" s="19" t="s">
        <v>17</v>
      </c>
      <c r="E305" s="25">
        <v>1865</v>
      </c>
      <c r="F305" s="21">
        <v>1.6E-2</v>
      </c>
    </row>
    <row r="306" spans="1:6" x14ac:dyDescent="0.2">
      <c r="A306" s="18" t="str">
        <f t="shared" si="5"/>
        <v>2004-13</v>
      </c>
      <c r="B306" s="18">
        <v>2004</v>
      </c>
      <c r="C306" s="24">
        <v>13</v>
      </c>
      <c r="D306" s="19" t="s">
        <v>14</v>
      </c>
      <c r="E306" s="25">
        <v>1429</v>
      </c>
      <c r="F306" s="21">
        <v>1.2200000000000001E-2</v>
      </c>
    </row>
    <row r="307" spans="1:6" x14ac:dyDescent="0.2">
      <c r="A307" s="18" t="str">
        <f t="shared" si="5"/>
        <v>2004-14</v>
      </c>
      <c r="B307" s="18">
        <v>2004</v>
      </c>
      <c r="C307" s="24">
        <v>14</v>
      </c>
      <c r="D307" s="19" t="s">
        <v>12</v>
      </c>
      <c r="E307" s="25">
        <v>1410</v>
      </c>
      <c r="F307" s="21">
        <v>1.21E-2</v>
      </c>
    </row>
    <row r="308" spans="1:6" x14ac:dyDescent="0.2">
      <c r="A308" s="18" t="str">
        <f t="shared" si="5"/>
        <v>2004-15</v>
      </c>
      <c r="B308" s="18">
        <v>2004</v>
      </c>
      <c r="C308" s="24">
        <v>15</v>
      </c>
      <c r="D308" s="19" t="s">
        <v>16</v>
      </c>
      <c r="E308" s="25">
        <v>1396</v>
      </c>
      <c r="F308" s="21">
        <v>1.2E-2</v>
      </c>
    </row>
    <row r="309" spans="1:6" x14ac:dyDescent="0.2">
      <c r="A309" s="18" t="str">
        <f t="shared" si="5"/>
        <v>2004-16</v>
      </c>
      <c r="B309" s="18">
        <v>2004</v>
      </c>
      <c r="C309" s="24">
        <v>16</v>
      </c>
      <c r="D309" s="19" t="s">
        <v>15</v>
      </c>
      <c r="E309" s="25">
        <v>1244</v>
      </c>
      <c r="F309" s="21">
        <v>1.0699999999999999E-2</v>
      </c>
    </row>
    <row r="310" spans="1:6" x14ac:dyDescent="0.2">
      <c r="A310" s="18" t="str">
        <f t="shared" si="5"/>
        <v>2004-17</v>
      </c>
      <c r="B310" s="18">
        <v>2004</v>
      </c>
      <c r="C310" s="24">
        <v>17</v>
      </c>
      <c r="D310" s="19" t="s">
        <v>38</v>
      </c>
      <c r="E310" s="25">
        <v>963</v>
      </c>
      <c r="F310" s="21">
        <v>8.2000000000000007E-3</v>
      </c>
    </row>
    <row r="311" spans="1:6" x14ac:dyDescent="0.2">
      <c r="A311" s="18" t="str">
        <f t="shared" si="5"/>
        <v>2004-18</v>
      </c>
      <c r="B311" s="18">
        <v>2004</v>
      </c>
      <c r="C311" s="24">
        <v>18</v>
      </c>
      <c r="D311" s="19" t="s">
        <v>20</v>
      </c>
      <c r="E311" s="25">
        <v>767</v>
      </c>
      <c r="F311" s="21">
        <v>6.6E-3</v>
      </c>
    </row>
    <row r="312" spans="1:6" x14ac:dyDescent="0.2">
      <c r="A312" s="18" t="str">
        <f t="shared" si="5"/>
        <v>2004-19</v>
      </c>
      <c r="B312" s="18">
        <v>2004</v>
      </c>
      <c r="C312" s="24">
        <v>19</v>
      </c>
      <c r="D312" s="19" t="s">
        <v>23</v>
      </c>
      <c r="E312" s="25">
        <v>738</v>
      </c>
      <c r="F312" s="21">
        <v>6.3E-3</v>
      </c>
    </row>
    <row r="313" spans="1:6" x14ac:dyDescent="0.2">
      <c r="A313" s="18" t="str">
        <f t="shared" si="5"/>
        <v>2004-20</v>
      </c>
      <c r="B313" s="18">
        <v>2004</v>
      </c>
      <c r="C313" s="24">
        <v>20</v>
      </c>
      <c r="D313" s="19" t="s">
        <v>18</v>
      </c>
      <c r="E313" s="25">
        <v>653</v>
      </c>
      <c r="F313" s="21">
        <v>5.5999999999999999E-3</v>
      </c>
    </row>
    <row r="314" spans="1:6" x14ac:dyDescent="0.2">
      <c r="A314" s="18" t="str">
        <f t="shared" si="5"/>
        <v>2004-21</v>
      </c>
      <c r="B314" s="18">
        <v>2004</v>
      </c>
      <c r="C314" s="24">
        <v>21</v>
      </c>
      <c r="D314" s="19" t="s">
        <v>25</v>
      </c>
      <c r="E314" s="25">
        <v>612</v>
      </c>
      <c r="F314" s="21">
        <v>5.1999999999999998E-3</v>
      </c>
    </row>
    <row r="315" spans="1:6" x14ac:dyDescent="0.2">
      <c r="A315" s="18" t="str">
        <f t="shared" si="5"/>
        <v>2004-22</v>
      </c>
      <c r="B315" s="18">
        <v>2004</v>
      </c>
      <c r="C315" s="24">
        <v>22</v>
      </c>
      <c r="D315" s="19" t="s">
        <v>19</v>
      </c>
      <c r="E315" s="25">
        <v>440</v>
      </c>
      <c r="F315" s="21">
        <v>3.8E-3</v>
      </c>
    </row>
    <row r="316" spans="1:6" x14ac:dyDescent="0.2">
      <c r="A316" s="18" t="str">
        <f t="shared" si="5"/>
        <v>2004-23</v>
      </c>
      <c r="B316" s="18">
        <v>2004</v>
      </c>
      <c r="C316" s="24">
        <v>23</v>
      </c>
      <c r="D316" s="19" t="s">
        <v>24</v>
      </c>
      <c r="E316" s="25">
        <v>390</v>
      </c>
      <c r="F316" s="21">
        <v>3.3E-3</v>
      </c>
    </row>
    <row r="317" spans="1:6" x14ac:dyDescent="0.2">
      <c r="A317" s="18" t="str">
        <f t="shared" si="5"/>
        <v>2004-24</v>
      </c>
      <c r="B317" s="18">
        <v>2004</v>
      </c>
      <c r="C317" s="24">
        <v>24</v>
      </c>
      <c r="D317" s="19" t="s">
        <v>59</v>
      </c>
      <c r="E317" s="25">
        <v>388</v>
      </c>
      <c r="F317" s="21">
        <v>3.3E-3</v>
      </c>
    </row>
    <row r="318" spans="1:6" x14ac:dyDescent="0.2">
      <c r="A318" s="18" t="str">
        <f t="shared" si="5"/>
        <v>2004-25</v>
      </c>
      <c r="B318" s="18">
        <v>2004</v>
      </c>
      <c r="C318" s="24">
        <v>25</v>
      </c>
      <c r="D318" s="19" t="s">
        <v>60</v>
      </c>
      <c r="E318" s="25">
        <v>376</v>
      </c>
      <c r="F318" s="21">
        <v>3.2000000000000002E-3</v>
      </c>
    </row>
    <row r="319" spans="1:6" x14ac:dyDescent="0.2">
      <c r="A319" s="18" t="str">
        <f t="shared" si="5"/>
        <v>2004-TP25C</v>
      </c>
      <c r="B319" s="18">
        <v>2004</v>
      </c>
      <c r="C319" s="18" t="s">
        <v>36</v>
      </c>
      <c r="D319" s="19" t="s">
        <v>27</v>
      </c>
      <c r="E319" s="26">
        <v>102279</v>
      </c>
      <c r="F319" s="21">
        <v>0.87250000000000005</v>
      </c>
    </row>
    <row r="320" spans="1:6" x14ac:dyDescent="0.2">
      <c r="A320" s="18" t="str">
        <f t="shared" si="5"/>
        <v>2004-Desc</v>
      </c>
      <c r="B320" s="18">
        <v>2004</v>
      </c>
      <c r="C320" s="18" t="s">
        <v>33</v>
      </c>
      <c r="D320" s="19" t="s">
        <v>28</v>
      </c>
      <c r="E320" s="24">
        <v>477</v>
      </c>
      <c r="F320" s="21">
        <v>4.1000000000000003E-3</v>
      </c>
    </row>
    <row r="321" spans="1:6" x14ac:dyDescent="0.2">
      <c r="A321" s="18" t="str">
        <f t="shared" si="5"/>
        <v>2004-MV</v>
      </c>
      <c r="B321" s="18">
        <v>2004</v>
      </c>
      <c r="C321" s="18" t="s">
        <v>34</v>
      </c>
      <c r="D321" s="19" t="s">
        <v>29</v>
      </c>
      <c r="E321" s="26">
        <v>6572</v>
      </c>
      <c r="F321" s="21">
        <v>5.6099999999999997E-2</v>
      </c>
    </row>
    <row r="322" spans="1:6" x14ac:dyDescent="0.2">
      <c r="A322" s="18" t="str">
        <f t="shared" si="5"/>
        <v>2004-TC</v>
      </c>
      <c r="B322" s="18">
        <v>2004</v>
      </c>
      <c r="C322" s="18" t="s">
        <v>35</v>
      </c>
      <c r="D322" s="19" t="s">
        <v>32</v>
      </c>
      <c r="E322" s="26">
        <v>117227</v>
      </c>
      <c r="F322" s="21">
        <v>1</v>
      </c>
    </row>
    <row r="323" spans="1:6" x14ac:dyDescent="0.2">
      <c r="A323" s="18" t="str">
        <f t="shared" si="5"/>
        <v>2003-1</v>
      </c>
      <c r="B323" s="18">
        <v>2003</v>
      </c>
      <c r="C323" s="24">
        <v>1</v>
      </c>
      <c r="D323" s="19" t="s">
        <v>65</v>
      </c>
      <c r="E323" s="26">
        <v>24564</v>
      </c>
      <c r="F323" s="21">
        <v>0.20250000000000001</v>
      </c>
    </row>
    <row r="324" spans="1:6" x14ac:dyDescent="0.2">
      <c r="A324" s="18" t="str">
        <f t="shared" ref="A324:A387" si="6">+CONCATENATE(B324,"-",C324)</f>
        <v>2003-2</v>
      </c>
      <c r="B324" s="18">
        <v>2003</v>
      </c>
      <c r="C324" s="24">
        <v>2</v>
      </c>
      <c r="D324" s="19" t="s">
        <v>55</v>
      </c>
      <c r="E324" s="26">
        <v>17234</v>
      </c>
      <c r="F324" s="21">
        <v>0.1421</v>
      </c>
    </row>
    <row r="325" spans="1:6" x14ac:dyDescent="0.2">
      <c r="A325" s="18" t="str">
        <f t="shared" si="6"/>
        <v>2003-3</v>
      </c>
      <c r="B325" s="18">
        <v>2003</v>
      </c>
      <c r="C325" s="24">
        <v>3</v>
      </c>
      <c r="D325" s="19" t="s">
        <v>6</v>
      </c>
      <c r="E325" s="27">
        <v>9940</v>
      </c>
      <c r="F325" s="21">
        <v>8.1600000000000006E-2</v>
      </c>
    </row>
    <row r="326" spans="1:6" x14ac:dyDescent="0.2">
      <c r="A326" s="18" t="str">
        <f t="shared" si="6"/>
        <v>2003-4</v>
      </c>
      <c r="B326" s="18">
        <v>2003</v>
      </c>
      <c r="C326" s="24">
        <v>4</v>
      </c>
      <c r="D326" s="19" t="s">
        <v>5</v>
      </c>
      <c r="E326" s="26">
        <v>8782</v>
      </c>
      <c r="F326" s="21">
        <v>7.2400000000000006E-2</v>
      </c>
    </row>
    <row r="327" spans="1:6" x14ac:dyDescent="0.2">
      <c r="A327" s="18" t="str">
        <f t="shared" si="6"/>
        <v>2003-5</v>
      </c>
      <c r="B327" s="18">
        <v>2003</v>
      </c>
      <c r="C327" s="24">
        <v>5</v>
      </c>
      <c r="D327" s="19" t="s">
        <v>7</v>
      </c>
      <c r="E327" s="26">
        <v>8298</v>
      </c>
      <c r="F327" s="21">
        <v>6.8099999999999994E-2</v>
      </c>
    </row>
    <row r="328" spans="1:6" x14ac:dyDescent="0.2">
      <c r="A328" s="18" t="str">
        <f t="shared" si="6"/>
        <v>2003-6</v>
      </c>
      <c r="B328" s="18">
        <v>2003</v>
      </c>
      <c r="C328" s="24">
        <v>6</v>
      </c>
      <c r="D328" s="19" t="s">
        <v>4</v>
      </c>
      <c r="E328" s="27">
        <v>7060</v>
      </c>
      <c r="F328" s="21">
        <v>5.8200000000000002E-2</v>
      </c>
    </row>
    <row r="329" spans="1:6" x14ac:dyDescent="0.2">
      <c r="A329" s="18" t="str">
        <f t="shared" si="6"/>
        <v>2003-7</v>
      </c>
      <c r="B329" s="18">
        <v>2003</v>
      </c>
      <c r="C329" s="24">
        <v>7</v>
      </c>
      <c r="D329" s="19" t="s">
        <v>8</v>
      </c>
      <c r="E329" s="26">
        <v>5417</v>
      </c>
      <c r="F329" s="21">
        <v>4.4699999999999997E-2</v>
      </c>
    </row>
    <row r="330" spans="1:6" x14ac:dyDescent="0.2">
      <c r="A330" s="18" t="str">
        <f t="shared" si="6"/>
        <v>2003-8</v>
      </c>
      <c r="B330" s="18">
        <v>2003</v>
      </c>
      <c r="C330" s="24">
        <v>8</v>
      </c>
      <c r="D330" s="19" t="s">
        <v>9</v>
      </c>
      <c r="E330" s="26">
        <v>3355</v>
      </c>
      <c r="F330" s="21">
        <v>2.7699999999999999E-2</v>
      </c>
    </row>
    <row r="331" spans="1:6" x14ac:dyDescent="0.2">
      <c r="A331" s="18" t="str">
        <f t="shared" si="6"/>
        <v>2003-9</v>
      </c>
      <c r="B331" s="18">
        <v>2003</v>
      </c>
      <c r="C331" s="24">
        <v>9</v>
      </c>
      <c r="D331" s="19" t="s">
        <v>54</v>
      </c>
      <c r="E331" s="26">
        <v>3296</v>
      </c>
      <c r="F331" s="21">
        <v>2.7200000000000002E-2</v>
      </c>
    </row>
    <row r="332" spans="1:6" x14ac:dyDescent="0.2">
      <c r="A332" s="18" t="str">
        <f t="shared" si="6"/>
        <v>2003-10</v>
      </c>
      <c r="B332" s="18">
        <v>2003</v>
      </c>
      <c r="C332" s="24">
        <v>10</v>
      </c>
      <c r="D332" s="19" t="s">
        <v>17</v>
      </c>
      <c r="E332" s="26">
        <v>2568</v>
      </c>
      <c r="F332" s="21">
        <v>2.12E-2</v>
      </c>
    </row>
    <row r="333" spans="1:6" x14ac:dyDescent="0.2">
      <c r="A333" s="18" t="str">
        <f t="shared" si="6"/>
        <v>2003-11</v>
      </c>
      <c r="B333" s="18">
        <v>2003</v>
      </c>
      <c r="C333" s="24">
        <v>11</v>
      </c>
      <c r="D333" s="19" t="s">
        <v>11</v>
      </c>
      <c r="E333" s="26">
        <v>2237</v>
      </c>
      <c r="F333" s="21">
        <v>1.84E-2</v>
      </c>
    </row>
    <row r="334" spans="1:6" x14ac:dyDescent="0.2">
      <c r="A334" s="18" t="str">
        <f t="shared" si="6"/>
        <v>2003-12</v>
      </c>
      <c r="B334" s="18">
        <v>2003</v>
      </c>
      <c r="C334" s="24">
        <v>12</v>
      </c>
      <c r="D334" s="19" t="s">
        <v>30</v>
      </c>
      <c r="E334" s="27">
        <v>2120</v>
      </c>
      <c r="F334" s="21">
        <v>1.7500000000000002E-2</v>
      </c>
    </row>
    <row r="335" spans="1:6" x14ac:dyDescent="0.2">
      <c r="A335" s="18" t="str">
        <f t="shared" si="6"/>
        <v>2003-13</v>
      </c>
      <c r="B335" s="18">
        <v>2003</v>
      </c>
      <c r="C335" s="24">
        <v>13</v>
      </c>
      <c r="D335" s="19" t="s">
        <v>14</v>
      </c>
      <c r="E335" s="26">
        <v>1408</v>
      </c>
      <c r="F335" s="21">
        <v>1.1599999999999999E-2</v>
      </c>
    </row>
    <row r="336" spans="1:6" x14ac:dyDescent="0.2">
      <c r="A336" s="18" t="str">
        <f t="shared" si="6"/>
        <v>2003-14</v>
      </c>
      <c r="B336" s="18">
        <v>2003</v>
      </c>
      <c r="C336" s="24">
        <v>14</v>
      </c>
      <c r="D336" s="19" t="s">
        <v>12</v>
      </c>
      <c r="E336" s="26">
        <v>1348</v>
      </c>
      <c r="F336" s="21">
        <v>1.11E-2</v>
      </c>
    </row>
    <row r="337" spans="1:6" x14ac:dyDescent="0.2">
      <c r="A337" s="18" t="str">
        <f t="shared" si="6"/>
        <v>2003-15</v>
      </c>
      <c r="B337" s="18">
        <v>2003</v>
      </c>
      <c r="C337" s="24">
        <v>15</v>
      </c>
      <c r="D337" s="19" t="s">
        <v>38</v>
      </c>
      <c r="E337" s="26">
        <v>1342</v>
      </c>
      <c r="F337" s="21">
        <v>1.11E-2</v>
      </c>
    </row>
    <row r="338" spans="1:6" x14ac:dyDescent="0.2">
      <c r="A338" s="18" t="str">
        <f t="shared" si="6"/>
        <v>2003-16</v>
      </c>
      <c r="B338" s="18">
        <v>2003</v>
      </c>
      <c r="C338" s="24">
        <v>16</v>
      </c>
      <c r="D338" s="19" t="s">
        <v>16</v>
      </c>
      <c r="E338" s="26">
        <v>1267</v>
      </c>
      <c r="F338" s="21">
        <v>1.04E-2</v>
      </c>
    </row>
    <row r="339" spans="1:6" x14ac:dyDescent="0.2">
      <c r="A339" s="18" t="str">
        <f t="shared" si="6"/>
        <v>2003-17</v>
      </c>
      <c r="B339" s="18">
        <v>2003</v>
      </c>
      <c r="C339" s="24">
        <v>17</v>
      </c>
      <c r="D339" s="19" t="s">
        <v>15</v>
      </c>
      <c r="E339" s="26">
        <v>1151</v>
      </c>
      <c r="F339" s="21">
        <v>9.4999999999999998E-3</v>
      </c>
    </row>
    <row r="340" spans="1:6" x14ac:dyDescent="0.2">
      <c r="A340" s="18" t="str">
        <f t="shared" si="6"/>
        <v>2003-18</v>
      </c>
      <c r="B340" s="18">
        <v>2003</v>
      </c>
      <c r="C340" s="24">
        <v>18</v>
      </c>
      <c r="D340" s="19" t="s">
        <v>20</v>
      </c>
      <c r="E340" s="24">
        <v>925</v>
      </c>
      <c r="F340" s="21">
        <v>7.6E-3</v>
      </c>
    </row>
    <row r="341" spans="1:6" x14ac:dyDescent="0.2">
      <c r="A341" s="18" t="str">
        <f t="shared" si="6"/>
        <v>2003-19</v>
      </c>
      <c r="B341" s="18">
        <v>2003</v>
      </c>
      <c r="C341" s="24">
        <v>19</v>
      </c>
      <c r="D341" s="19" t="s">
        <v>23</v>
      </c>
      <c r="E341" s="24">
        <v>764</v>
      </c>
      <c r="F341" s="21">
        <v>6.3E-3</v>
      </c>
    </row>
    <row r="342" spans="1:6" x14ac:dyDescent="0.2">
      <c r="A342" s="18" t="str">
        <f t="shared" si="6"/>
        <v>2003-20</v>
      </c>
      <c r="B342" s="18">
        <v>2003</v>
      </c>
      <c r="C342" s="24">
        <v>20</v>
      </c>
      <c r="D342" s="19" t="s">
        <v>25</v>
      </c>
      <c r="E342" s="24">
        <v>672</v>
      </c>
      <c r="F342" s="21">
        <v>5.5000000000000005E-3</v>
      </c>
    </row>
    <row r="343" spans="1:6" x14ac:dyDescent="0.2">
      <c r="A343" s="18" t="str">
        <f t="shared" si="6"/>
        <v>2003-21</v>
      </c>
      <c r="B343" s="18">
        <v>2003</v>
      </c>
      <c r="C343" s="24">
        <v>21</v>
      </c>
      <c r="D343" s="19" t="s">
        <v>18</v>
      </c>
      <c r="E343" s="24">
        <v>653</v>
      </c>
      <c r="F343" s="21">
        <v>5.4000000000000003E-3</v>
      </c>
    </row>
    <row r="344" spans="1:6" x14ac:dyDescent="0.2">
      <c r="A344" s="18" t="str">
        <f t="shared" si="6"/>
        <v>2003-22</v>
      </c>
      <c r="B344" s="18">
        <v>2003</v>
      </c>
      <c r="C344" s="24">
        <v>22</v>
      </c>
      <c r="D344" s="19" t="s">
        <v>24</v>
      </c>
      <c r="E344" s="24">
        <v>504</v>
      </c>
      <c r="F344" s="21">
        <v>4.1999999999999997E-3</v>
      </c>
    </row>
    <row r="345" spans="1:6" x14ac:dyDescent="0.2">
      <c r="A345" s="18" t="str">
        <f t="shared" si="6"/>
        <v>2003-23</v>
      </c>
      <c r="B345" s="18">
        <v>2003</v>
      </c>
      <c r="C345" s="24">
        <v>23</v>
      </c>
      <c r="D345" s="19" t="s">
        <v>19</v>
      </c>
      <c r="E345" s="24">
        <v>454</v>
      </c>
      <c r="F345" s="21">
        <v>3.7000000000000002E-3</v>
      </c>
    </row>
    <row r="346" spans="1:6" x14ac:dyDescent="0.2">
      <c r="A346" s="18" t="str">
        <f t="shared" si="6"/>
        <v>2003-24</v>
      </c>
      <c r="B346" s="18">
        <v>2003</v>
      </c>
      <c r="C346" s="24">
        <v>24</v>
      </c>
      <c r="D346" s="19" t="s">
        <v>59</v>
      </c>
      <c r="E346" s="24">
        <v>408</v>
      </c>
      <c r="F346" s="21">
        <v>3.4000000000000002E-3</v>
      </c>
    </row>
    <row r="347" spans="1:6" x14ac:dyDescent="0.2">
      <c r="A347" s="18" t="str">
        <f t="shared" si="6"/>
        <v>2003-25</v>
      </c>
      <c r="B347" s="18">
        <v>2003</v>
      </c>
      <c r="C347" s="24">
        <v>25</v>
      </c>
      <c r="D347" s="19" t="s">
        <v>26</v>
      </c>
      <c r="E347" s="24">
        <v>369</v>
      </c>
      <c r="F347" s="21">
        <v>3.0000000000000001E-3</v>
      </c>
    </row>
    <row r="348" spans="1:6" x14ac:dyDescent="0.2">
      <c r="A348" s="18" t="str">
        <f t="shared" si="6"/>
        <v>2003-TP25C</v>
      </c>
      <c r="B348" s="18">
        <v>2003</v>
      </c>
      <c r="C348" s="18" t="s">
        <v>36</v>
      </c>
      <c r="D348" s="19" t="s">
        <v>27</v>
      </c>
      <c r="E348" s="26">
        <v>106136</v>
      </c>
      <c r="F348" s="21">
        <v>0.87090000000000001</v>
      </c>
    </row>
    <row r="349" spans="1:6" x14ac:dyDescent="0.2">
      <c r="A349" s="18" t="str">
        <f t="shared" si="6"/>
        <v>2003-Desc</v>
      </c>
      <c r="B349" s="18">
        <v>2003</v>
      </c>
      <c r="C349" s="18" t="s">
        <v>33</v>
      </c>
      <c r="D349" s="19" t="s">
        <v>28</v>
      </c>
      <c r="E349" s="24">
        <v>581</v>
      </c>
      <c r="F349" s="21">
        <v>4.7999999999999996E-3</v>
      </c>
    </row>
    <row r="350" spans="1:6" x14ac:dyDescent="0.2">
      <c r="A350" s="18" t="str">
        <f t="shared" si="6"/>
        <v>2003-MV</v>
      </c>
      <c r="B350" s="18">
        <v>2003</v>
      </c>
      <c r="C350" s="18" t="s">
        <v>34</v>
      </c>
      <c r="D350" s="19" t="s">
        <v>29</v>
      </c>
      <c r="E350" s="26">
        <v>6948</v>
      </c>
      <c r="F350" s="21">
        <v>5.7000000000000002E-2</v>
      </c>
    </row>
    <row r="351" spans="1:6" x14ac:dyDescent="0.2">
      <c r="A351" s="18" t="str">
        <f t="shared" si="6"/>
        <v>2003-TC</v>
      </c>
      <c r="B351" s="18">
        <v>2003</v>
      </c>
      <c r="C351" s="18" t="s">
        <v>35</v>
      </c>
      <c r="D351" s="19" t="s">
        <v>32</v>
      </c>
      <c r="E351" s="26">
        <v>121864</v>
      </c>
      <c r="F351" s="21">
        <v>1</v>
      </c>
    </row>
    <row r="352" spans="1:6" x14ac:dyDescent="0.2">
      <c r="A352" s="18" t="str">
        <f t="shared" si="6"/>
        <v>2002-1</v>
      </c>
      <c r="B352" s="18">
        <v>2002</v>
      </c>
      <c r="C352" s="24">
        <v>1</v>
      </c>
      <c r="D352" s="19" t="s">
        <v>58</v>
      </c>
      <c r="E352" s="26">
        <v>22349</v>
      </c>
      <c r="F352" s="21">
        <v>0.21329999999999999</v>
      </c>
    </row>
    <row r="353" spans="1:6" x14ac:dyDescent="0.2">
      <c r="A353" s="18" t="str">
        <f t="shared" si="6"/>
        <v>2002-2</v>
      </c>
      <c r="B353" s="18">
        <v>2002</v>
      </c>
      <c r="C353" s="24">
        <v>2</v>
      </c>
      <c r="D353" s="19" t="s">
        <v>66</v>
      </c>
      <c r="E353" s="26">
        <v>16391</v>
      </c>
      <c r="F353" s="21">
        <v>0.1565</v>
      </c>
    </row>
    <row r="354" spans="1:6" x14ac:dyDescent="0.2">
      <c r="A354" s="18" t="str">
        <f t="shared" si="6"/>
        <v>2002-3</v>
      </c>
      <c r="B354" s="18">
        <v>2002</v>
      </c>
      <c r="C354" s="24">
        <v>3</v>
      </c>
      <c r="D354" s="19" t="s">
        <v>67</v>
      </c>
      <c r="E354" s="26">
        <v>8781</v>
      </c>
      <c r="F354" s="21">
        <v>7.9600000000000004E-2</v>
      </c>
    </row>
    <row r="355" spans="1:6" x14ac:dyDescent="0.2">
      <c r="A355" s="18" t="str">
        <f t="shared" si="6"/>
        <v>2002-4</v>
      </c>
      <c r="B355" s="18">
        <v>2002</v>
      </c>
      <c r="C355" s="24">
        <v>4</v>
      </c>
      <c r="D355" s="19" t="s">
        <v>68</v>
      </c>
      <c r="E355" s="27">
        <v>8680</v>
      </c>
      <c r="F355" s="21">
        <v>7.8700000000000006E-2</v>
      </c>
    </row>
    <row r="356" spans="1:6" x14ac:dyDescent="0.2">
      <c r="A356" s="18" t="str">
        <f t="shared" si="6"/>
        <v>2002-5</v>
      </c>
      <c r="B356" s="18">
        <v>2002</v>
      </c>
      <c r="C356" s="24">
        <v>5</v>
      </c>
      <c r="D356" s="19" t="s">
        <v>5</v>
      </c>
      <c r="E356" s="26">
        <v>8131</v>
      </c>
      <c r="F356" s="21">
        <v>7.7600000000000002E-2</v>
      </c>
    </row>
    <row r="357" spans="1:6" x14ac:dyDescent="0.2">
      <c r="A357" s="18" t="str">
        <f t="shared" si="6"/>
        <v>2002-6</v>
      </c>
      <c r="B357" s="18">
        <v>2002</v>
      </c>
      <c r="C357" s="24">
        <v>6</v>
      </c>
      <c r="D357" s="19" t="s">
        <v>69</v>
      </c>
      <c r="E357" s="26">
        <v>6234</v>
      </c>
      <c r="F357" s="21">
        <v>5.9499999999999997E-2</v>
      </c>
    </row>
    <row r="358" spans="1:6" x14ac:dyDescent="0.2">
      <c r="A358" s="18" t="str">
        <f t="shared" si="6"/>
        <v>2002-7</v>
      </c>
      <c r="B358" s="18">
        <v>2002</v>
      </c>
      <c r="C358" s="24">
        <v>7</v>
      </c>
      <c r="D358" s="19" t="s">
        <v>8</v>
      </c>
      <c r="E358" s="26">
        <v>4982</v>
      </c>
      <c r="F358" s="21">
        <v>4.7600000000000003E-2</v>
      </c>
    </row>
    <row r="359" spans="1:6" x14ac:dyDescent="0.2">
      <c r="A359" s="18" t="str">
        <f t="shared" si="6"/>
        <v>2002-8</v>
      </c>
      <c r="B359" s="18">
        <v>2002</v>
      </c>
      <c r="C359" s="24">
        <v>8</v>
      </c>
      <c r="D359" s="19" t="s">
        <v>70</v>
      </c>
      <c r="E359" s="26">
        <v>2845</v>
      </c>
      <c r="F359" s="21">
        <v>2.7199999999999998E-2</v>
      </c>
    </row>
    <row r="360" spans="1:6" x14ac:dyDescent="0.2">
      <c r="A360" s="18" t="str">
        <f t="shared" si="6"/>
        <v>2002-9</v>
      </c>
      <c r="B360" s="18">
        <v>2002</v>
      </c>
      <c r="C360" s="24">
        <v>9</v>
      </c>
      <c r="D360" s="19" t="s">
        <v>54</v>
      </c>
      <c r="E360" s="26">
        <v>2451</v>
      </c>
      <c r="F360" s="21">
        <v>2.3400000000000001E-2</v>
      </c>
    </row>
    <row r="361" spans="1:6" x14ac:dyDescent="0.2">
      <c r="A361" s="18" t="str">
        <f t="shared" si="6"/>
        <v>2002-10</v>
      </c>
      <c r="B361" s="18">
        <v>2002</v>
      </c>
      <c r="C361" s="24">
        <v>10</v>
      </c>
      <c r="D361" s="19" t="s">
        <v>71</v>
      </c>
      <c r="E361" s="26">
        <v>2342</v>
      </c>
      <c r="F361" s="21">
        <v>2.24E-2</v>
      </c>
    </row>
    <row r="362" spans="1:6" x14ac:dyDescent="0.2">
      <c r="A362" s="18" t="str">
        <f t="shared" si="6"/>
        <v>2002-11</v>
      </c>
      <c r="B362" s="18">
        <v>2002</v>
      </c>
      <c r="C362" s="24">
        <v>11</v>
      </c>
      <c r="D362" s="19" t="s">
        <v>72</v>
      </c>
      <c r="E362" s="26">
        <v>2114</v>
      </c>
      <c r="F362" s="21">
        <v>2.0199999999999999E-2</v>
      </c>
    </row>
    <row r="363" spans="1:6" x14ac:dyDescent="0.2">
      <c r="A363" s="18" t="str">
        <f t="shared" si="6"/>
        <v>2002-12</v>
      </c>
      <c r="B363" s="18">
        <v>2002</v>
      </c>
      <c r="C363" s="24">
        <v>12</v>
      </c>
      <c r="D363" s="19" t="s">
        <v>17</v>
      </c>
      <c r="E363" s="26">
        <v>1713</v>
      </c>
      <c r="F363" s="21">
        <v>1.6400000000000001E-2</v>
      </c>
    </row>
    <row r="364" spans="1:6" x14ac:dyDescent="0.2">
      <c r="A364" s="18" t="str">
        <f t="shared" si="6"/>
        <v>2002-13</v>
      </c>
      <c r="B364" s="18">
        <v>2002</v>
      </c>
      <c r="C364" s="24">
        <v>13</v>
      </c>
      <c r="D364" s="19" t="s">
        <v>73</v>
      </c>
      <c r="E364" s="26">
        <v>1313</v>
      </c>
      <c r="F364" s="21">
        <v>1.2500000000000001E-2</v>
      </c>
    </row>
    <row r="365" spans="1:6" x14ac:dyDescent="0.2">
      <c r="A365" s="18" t="str">
        <f t="shared" si="6"/>
        <v>2002-14</v>
      </c>
      <c r="B365" s="18">
        <v>2002</v>
      </c>
      <c r="C365" s="24">
        <v>14</v>
      </c>
      <c r="D365" s="19" t="s">
        <v>12</v>
      </c>
      <c r="E365" s="26">
        <v>1217</v>
      </c>
      <c r="F365" s="21">
        <v>1.1599999999999999E-2</v>
      </c>
    </row>
    <row r="366" spans="1:6" x14ac:dyDescent="0.2">
      <c r="A366" s="18" t="str">
        <f t="shared" si="6"/>
        <v>2002-15</v>
      </c>
      <c r="B366" s="18">
        <v>2002</v>
      </c>
      <c r="C366" s="24">
        <v>15</v>
      </c>
      <c r="D366" s="19" t="s">
        <v>16</v>
      </c>
      <c r="E366" s="26">
        <v>1173</v>
      </c>
      <c r="F366" s="21">
        <v>1.12E-2</v>
      </c>
    </row>
    <row r="367" spans="1:6" x14ac:dyDescent="0.2">
      <c r="A367" s="18" t="str">
        <f t="shared" si="6"/>
        <v>2002-16</v>
      </c>
      <c r="B367" s="18">
        <v>2002</v>
      </c>
      <c r="C367" s="24">
        <v>16</v>
      </c>
      <c r="D367" s="19" t="s">
        <v>74</v>
      </c>
      <c r="E367" s="26">
        <v>1059</v>
      </c>
      <c r="F367" s="21">
        <v>1.01E-2</v>
      </c>
    </row>
    <row r="368" spans="1:6" x14ac:dyDescent="0.2">
      <c r="A368" s="18" t="str">
        <f t="shared" si="6"/>
        <v>2002-17</v>
      </c>
      <c r="B368" s="18">
        <v>2002</v>
      </c>
      <c r="C368" s="24">
        <v>17</v>
      </c>
      <c r="D368" s="19" t="s">
        <v>75</v>
      </c>
      <c r="E368" s="24">
        <v>954</v>
      </c>
      <c r="F368" s="21">
        <v>9.1000000000000004E-3</v>
      </c>
    </row>
    <row r="369" spans="1:6" x14ac:dyDescent="0.2">
      <c r="A369" s="18" t="str">
        <f t="shared" si="6"/>
        <v>2002-18</v>
      </c>
      <c r="B369" s="18">
        <v>2002</v>
      </c>
      <c r="C369" s="24">
        <v>18</v>
      </c>
      <c r="D369" s="19" t="s">
        <v>76</v>
      </c>
      <c r="E369" s="24">
        <v>808</v>
      </c>
      <c r="F369" s="21">
        <v>7.7000000000000002E-3</v>
      </c>
    </row>
    <row r="370" spans="1:6" x14ac:dyDescent="0.2">
      <c r="A370" s="18" t="str">
        <f t="shared" si="6"/>
        <v>2002-19</v>
      </c>
      <c r="B370" s="18">
        <v>2002</v>
      </c>
      <c r="C370" s="24">
        <v>19</v>
      </c>
      <c r="D370" s="19" t="s">
        <v>77</v>
      </c>
      <c r="E370" s="24">
        <v>700</v>
      </c>
      <c r="F370" s="21">
        <v>6.7000000000000002E-3</v>
      </c>
    </row>
    <row r="371" spans="1:6" x14ac:dyDescent="0.2">
      <c r="A371" s="18" t="str">
        <f t="shared" si="6"/>
        <v>2002-20</v>
      </c>
      <c r="B371" s="18">
        <v>2002</v>
      </c>
      <c r="C371" s="24">
        <v>20</v>
      </c>
      <c r="D371" s="19" t="s">
        <v>25</v>
      </c>
      <c r="E371" s="24">
        <v>591</v>
      </c>
      <c r="F371" s="21">
        <v>5.5999999999999999E-3</v>
      </c>
    </row>
    <row r="372" spans="1:6" x14ac:dyDescent="0.2">
      <c r="A372" s="18" t="str">
        <f t="shared" si="6"/>
        <v>2002-21</v>
      </c>
      <c r="B372" s="18">
        <v>2002</v>
      </c>
      <c r="C372" s="24">
        <v>21</v>
      </c>
      <c r="D372" s="19" t="s">
        <v>78</v>
      </c>
      <c r="E372" s="24">
        <v>507</v>
      </c>
      <c r="F372" s="21">
        <v>4.7999999999999996E-3</v>
      </c>
    </row>
    <row r="373" spans="1:6" x14ac:dyDescent="0.2">
      <c r="A373" s="18" t="str">
        <f t="shared" si="6"/>
        <v>2002-22</v>
      </c>
      <c r="B373" s="18">
        <v>2002</v>
      </c>
      <c r="C373" s="24">
        <v>22</v>
      </c>
      <c r="D373" s="19" t="s">
        <v>26</v>
      </c>
      <c r="E373" s="24">
        <v>388</v>
      </c>
      <c r="F373" s="21">
        <v>3.7000000000000002E-3</v>
      </c>
    </row>
    <row r="374" spans="1:6" x14ac:dyDescent="0.2">
      <c r="A374" s="18" t="str">
        <f t="shared" si="6"/>
        <v>2002-23</v>
      </c>
      <c r="B374" s="18">
        <v>2002</v>
      </c>
      <c r="C374" s="24">
        <v>23</v>
      </c>
      <c r="D374" s="19" t="s">
        <v>24</v>
      </c>
      <c r="E374" s="24">
        <v>380</v>
      </c>
      <c r="F374" s="21">
        <v>3.5999999999999999E-3</v>
      </c>
    </row>
    <row r="375" spans="1:6" x14ac:dyDescent="0.2">
      <c r="A375" s="18" t="str">
        <f t="shared" si="6"/>
        <v>2002-24</v>
      </c>
      <c r="B375" s="18">
        <v>2002</v>
      </c>
      <c r="C375" s="24">
        <v>24</v>
      </c>
      <c r="D375" s="19" t="s">
        <v>59</v>
      </c>
      <c r="E375" s="24">
        <v>356</v>
      </c>
      <c r="F375" s="21">
        <v>3.3999999999999998E-3</v>
      </c>
    </row>
    <row r="376" spans="1:6" x14ac:dyDescent="0.2">
      <c r="A376" s="18" t="str">
        <f t="shared" si="6"/>
        <v>2002-25</v>
      </c>
      <c r="B376" s="18">
        <v>2002</v>
      </c>
      <c r="C376" s="24">
        <v>25</v>
      </c>
      <c r="D376" s="19" t="s">
        <v>79</v>
      </c>
      <c r="E376" s="24">
        <v>345</v>
      </c>
      <c r="F376" s="21">
        <v>3.3E-3</v>
      </c>
    </row>
    <row r="377" spans="1:6" x14ac:dyDescent="0.2">
      <c r="A377" s="18" t="str">
        <f t="shared" si="6"/>
        <v>2002-TP25C</v>
      </c>
      <c r="B377" s="18">
        <v>2002</v>
      </c>
      <c r="C377" s="18" t="s">
        <v>36</v>
      </c>
      <c r="D377" s="19" t="s">
        <v>27</v>
      </c>
      <c r="E377" s="26">
        <v>96804</v>
      </c>
      <c r="F377" s="21">
        <v>0.91569999999999996</v>
      </c>
    </row>
    <row r="378" spans="1:6" x14ac:dyDescent="0.2">
      <c r="A378" s="18" t="str">
        <f t="shared" si="6"/>
        <v>2002-Desc</v>
      </c>
      <c r="B378" s="18">
        <v>2002</v>
      </c>
      <c r="C378" s="18" t="s">
        <v>33</v>
      </c>
      <c r="D378" s="19" t="s">
        <v>28</v>
      </c>
      <c r="E378" s="24">
        <v>484</v>
      </c>
      <c r="F378" s="21">
        <v>4.4000000000000003E-3</v>
      </c>
    </row>
    <row r="379" spans="1:6" x14ac:dyDescent="0.2">
      <c r="A379" s="18" t="str">
        <f t="shared" si="6"/>
        <v>2002-MV</v>
      </c>
      <c r="B379" s="18">
        <v>2002</v>
      </c>
      <c r="C379" s="18" t="s">
        <v>34</v>
      </c>
      <c r="D379" s="19" t="s">
        <v>29</v>
      </c>
      <c r="E379" s="26">
        <v>5538</v>
      </c>
      <c r="F379" s="21">
        <v>5.0200000000000002E-2</v>
      </c>
    </row>
    <row r="380" spans="1:6" x14ac:dyDescent="0.2">
      <c r="A380" s="18" t="str">
        <f t="shared" si="6"/>
        <v>2002-TC</v>
      </c>
      <c r="B380" s="18">
        <v>2002</v>
      </c>
      <c r="C380" s="18" t="s">
        <v>35</v>
      </c>
      <c r="D380" s="19" t="s">
        <v>32</v>
      </c>
      <c r="E380" s="26">
        <v>110293</v>
      </c>
      <c r="F380" s="28">
        <v>1</v>
      </c>
    </row>
    <row r="381" spans="1:6" x14ac:dyDescent="0.2">
      <c r="A381" s="18" t="str">
        <f t="shared" si="6"/>
        <v>2001-1</v>
      </c>
      <c r="B381" s="18">
        <v>2001</v>
      </c>
      <c r="C381" s="24">
        <v>1</v>
      </c>
      <c r="D381" s="19" t="s">
        <v>2</v>
      </c>
      <c r="E381" s="26">
        <v>23251</v>
      </c>
      <c r="F381" s="21">
        <v>0.2112</v>
      </c>
    </row>
    <row r="382" spans="1:6" x14ac:dyDescent="0.2">
      <c r="A382" s="18" t="str">
        <f t="shared" si="6"/>
        <v>2001-2</v>
      </c>
      <c r="B382" s="18">
        <v>2001</v>
      </c>
      <c r="C382" s="24">
        <v>2</v>
      </c>
      <c r="D382" s="19" t="s">
        <v>55</v>
      </c>
      <c r="E382" s="26">
        <v>15729</v>
      </c>
      <c r="F382" s="21">
        <v>0.1429</v>
      </c>
    </row>
    <row r="383" spans="1:6" x14ac:dyDescent="0.2">
      <c r="A383" s="18" t="str">
        <f t="shared" si="6"/>
        <v>2001-3</v>
      </c>
      <c r="B383" s="18">
        <v>2001</v>
      </c>
      <c r="C383" s="24">
        <v>3</v>
      </c>
      <c r="D383" s="19" t="s">
        <v>56</v>
      </c>
      <c r="E383" s="26">
        <v>8808</v>
      </c>
      <c r="F383" s="21">
        <v>7.9600000000000004E-2</v>
      </c>
    </row>
    <row r="384" spans="1:6" x14ac:dyDescent="0.2">
      <c r="A384" s="18" t="str">
        <f t="shared" si="6"/>
        <v>2001-4</v>
      </c>
      <c r="B384" s="18">
        <v>2001</v>
      </c>
      <c r="C384" s="24">
        <v>4</v>
      </c>
      <c r="D384" s="19" t="s">
        <v>5</v>
      </c>
      <c r="E384" s="26">
        <v>8317</v>
      </c>
      <c r="F384" s="21">
        <v>7.5600000000000001E-2</v>
      </c>
    </row>
    <row r="385" spans="1:6" x14ac:dyDescent="0.2">
      <c r="A385" s="18" t="str">
        <f t="shared" si="6"/>
        <v>2001-5</v>
      </c>
      <c r="B385" s="18">
        <v>2001</v>
      </c>
      <c r="C385" s="24">
        <v>5</v>
      </c>
      <c r="D385" s="19" t="s">
        <v>6</v>
      </c>
      <c r="E385" s="26">
        <v>7951</v>
      </c>
      <c r="F385" s="21">
        <v>7.1800000000000003E-2</v>
      </c>
    </row>
    <row r="386" spans="1:6" x14ac:dyDescent="0.2">
      <c r="A386" s="18" t="str">
        <f t="shared" si="6"/>
        <v>2001-6</v>
      </c>
      <c r="B386" s="18">
        <v>2001</v>
      </c>
      <c r="C386" s="24">
        <v>6</v>
      </c>
      <c r="D386" s="19" t="s">
        <v>4</v>
      </c>
      <c r="E386" s="26">
        <v>6297</v>
      </c>
      <c r="F386" s="21">
        <v>5.7200000000000001E-2</v>
      </c>
    </row>
    <row r="387" spans="1:6" x14ac:dyDescent="0.2">
      <c r="A387" s="18" t="str">
        <f t="shared" si="6"/>
        <v>2001-7</v>
      </c>
      <c r="B387" s="18">
        <v>2001</v>
      </c>
      <c r="C387" s="24">
        <v>7</v>
      </c>
      <c r="D387" s="19" t="s">
        <v>8</v>
      </c>
      <c r="E387" s="26">
        <v>4937</v>
      </c>
      <c r="F387" s="21">
        <v>4.4900000000000002E-2</v>
      </c>
    </row>
    <row r="388" spans="1:6" x14ac:dyDescent="0.2">
      <c r="A388" s="18" t="str">
        <f t="shared" ref="A388:A451" si="7">+CONCATENATE(B388,"-",C388)</f>
        <v>2001-8</v>
      </c>
      <c r="B388" s="18">
        <v>2001</v>
      </c>
      <c r="C388" s="24">
        <v>8</v>
      </c>
      <c r="D388" s="19" t="s">
        <v>9</v>
      </c>
      <c r="E388" s="26">
        <v>3204</v>
      </c>
      <c r="F388" s="21">
        <v>2.9100000000000001E-2</v>
      </c>
    </row>
    <row r="389" spans="1:6" x14ac:dyDescent="0.2">
      <c r="A389" s="18" t="str">
        <f t="shared" si="7"/>
        <v>2001-9</v>
      </c>
      <c r="B389" s="18">
        <v>2001</v>
      </c>
      <c r="C389" s="24">
        <v>9</v>
      </c>
      <c r="D389" s="19" t="s">
        <v>54</v>
      </c>
      <c r="E389" s="26">
        <v>2938</v>
      </c>
      <c r="F389" s="21">
        <v>2.6700000000000002E-2</v>
      </c>
    </row>
    <row r="390" spans="1:6" x14ac:dyDescent="0.2">
      <c r="A390" s="18" t="str">
        <f t="shared" si="7"/>
        <v>2001-10</v>
      </c>
      <c r="B390" s="18">
        <v>2001</v>
      </c>
      <c r="C390" s="24">
        <v>10</v>
      </c>
      <c r="D390" s="19" t="s">
        <v>11</v>
      </c>
      <c r="E390" s="26">
        <v>2271</v>
      </c>
      <c r="F390" s="21">
        <v>2.06E-2</v>
      </c>
    </row>
    <row r="391" spans="1:6" x14ac:dyDescent="0.2">
      <c r="A391" s="18" t="str">
        <f t="shared" si="7"/>
        <v>2001-11</v>
      </c>
      <c r="B391" s="18">
        <v>2001</v>
      </c>
      <c r="C391" s="24">
        <v>11</v>
      </c>
      <c r="D391" s="19" t="s">
        <v>30</v>
      </c>
      <c r="E391" s="26">
        <v>2108</v>
      </c>
      <c r="F391" s="21">
        <v>1.9199999999999998E-2</v>
      </c>
    </row>
    <row r="392" spans="1:6" x14ac:dyDescent="0.2">
      <c r="A392" s="18" t="str">
        <f t="shared" si="7"/>
        <v>2001-12</v>
      </c>
      <c r="B392" s="18">
        <v>2001</v>
      </c>
      <c r="C392" s="24">
        <v>12</v>
      </c>
      <c r="D392" s="19" t="s">
        <v>17</v>
      </c>
      <c r="E392" s="27">
        <v>1850</v>
      </c>
      <c r="F392" s="21">
        <v>1.6799999999999999E-2</v>
      </c>
    </row>
    <row r="393" spans="1:6" x14ac:dyDescent="0.2">
      <c r="A393" s="18" t="str">
        <f t="shared" si="7"/>
        <v>2001-13</v>
      </c>
      <c r="B393" s="18">
        <v>2001</v>
      </c>
      <c r="C393" s="24">
        <v>13</v>
      </c>
      <c r="D393" s="19" t="s">
        <v>14</v>
      </c>
      <c r="E393" s="26">
        <v>1359</v>
      </c>
      <c r="F393" s="21">
        <v>1.23E-2</v>
      </c>
    </row>
    <row r="394" spans="1:6" x14ac:dyDescent="0.2">
      <c r="A394" s="18" t="str">
        <f t="shared" si="7"/>
        <v>2001-14</v>
      </c>
      <c r="B394" s="18">
        <v>2001</v>
      </c>
      <c r="C394" s="24">
        <v>14</v>
      </c>
      <c r="D394" s="19" t="s">
        <v>12</v>
      </c>
      <c r="E394" s="26">
        <v>1213</v>
      </c>
      <c r="F394" s="21">
        <v>1.0999999999999999E-2</v>
      </c>
    </row>
    <row r="395" spans="1:6" x14ac:dyDescent="0.2">
      <c r="A395" s="18" t="str">
        <f t="shared" si="7"/>
        <v>2001-15</v>
      </c>
      <c r="B395" s="18">
        <v>2001</v>
      </c>
      <c r="C395" s="24">
        <v>15</v>
      </c>
      <c r="D395" s="19" t="s">
        <v>16</v>
      </c>
      <c r="E395" s="26">
        <v>1183</v>
      </c>
      <c r="F395" s="21">
        <v>1.0699999999999999E-2</v>
      </c>
    </row>
    <row r="396" spans="1:6" x14ac:dyDescent="0.2">
      <c r="A396" s="18" t="str">
        <f t="shared" si="7"/>
        <v>2001-16</v>
      </c>
      <c r="B396" s="18">
        <v>2001</v>
      </c>
      <c r="C396" s="24">
        <v>16</v>
      </c>
      <c r="D396" s="19" t="s">
        <v>15</v>
      </c>
      <c r="E396" s="26">
        <v>1111</v>
      </c>
      <c r="F396" s="21">
        <v>1.01E-2</v>
      </c>
    </row>
    <row r="397" spans="1:6" x14ac:dyDescent="0.2">
      <c r="A397" s="18" t="str">
        <f t="shared" si="7"/>
        <v>2001-17</v>
      </c>
      <c r="B397" s="18">
        <v>2001</v>
      </c>
      <c r="C397" s="24">
        <v>17</v>
      </c>
      <c r="D397" s="19" t="s">
        <v>38</v>
      </c>
      <c r="E397" s="24">
        <v>982</v>
      </c>
      <c r="F397" s="21">
        <v>8.8999999999999999E-3</v>
      </c>
    </row>
    <row r="398" spans="1:6" x14ac:dyDescent="0.2">
      <c r="A398" s="18" t="str">
        <f t="shared" si="7"/>
        <v>2001-18</v>
      </c>
      <c r="B398" s="18">
        <v>2001</v>
      </c>
      <c r="C398" s="24">
        <v>18</v>
      </c>
      <c r="D398" s="19" t="s">
        <v>20</v>
      </c>
      <c r="E398" s="24">
        <v>816</v>
      </c>
      <c r="F398" s="21">
        <v>7.4000000000000003E-3</v>
      </c>
    </row>
    <row r="399" spans="1:6" x14ac:dyDescent="0.2">
      <c r="A399" s="18" t="str">
        <f t="shared" si="7"/>
        <v>2001-19</v>
      </c>
      <c r="B399" s="18">
        <v>2001</v>
      </c>
      <c r="C399" s="24">
        <v>19</v>
      </c>
      <c r="D399" s="19" t="s">
        <v>23</v>
      </c>
      <c r="E399" s="24">
        <v>763</v>
      </c>
      <c r="F399" s="21">
        <v>6.8999999999999999E-3</v>
      </c>
    </row>
    <row r="400" spans="1:6" x14ac:dyDescent="0.2">
      <c r="A400" s="18" t="str">
        <f t="shared" si="7"/>
        <v>2001-20</v>
      </c>
      <c r="B400" s="18">
        <v>2001</v>
      </c>
      <c r="C400" s="24">
        <v>20</v>
      </c>
      <c r="D400" s="19" t="s">
        <v>25</v>
      </c>
      <c r="E400" s="24">
        <v>639</v>
      </c>
      <c r="F400" s="21">
        <v>5.7999999999999996E-3</v>
      </c>
    </row>
    <row r="401" spans="1:6" x14ac:dyDescent="0.2">
      <c r="A401" s="18" t="str">
        <f t="shared" si="7"/>
        <v>2001-21</v>
      </c>
      <c r="B401" s="18">
        <v>2001</v>
      </c>
      <c r="C401" s="24">
        <v>21</v>
      </c>
      <c r="D401" s="19" t="s">
        <v>18</v>
      </c>
      <c r="E401" s="24">
        <v>586</v>
      </c>
      <c r="F401" s="21">
        <v>5.3E-3</v>
      </c>
    </row>
    <row r="402" spans="1:6" x14ac:dyDescent="0.2">
      <c r="A402" s="18" t="str">
        <f t="shared" si="7"/>
        <v>2001-22</v>
      </c>
      <c r="B402" s="18">
        <v>2001</v>
      </c>
      <c r="C402" s="24">
        <v>22</v>
      </c>
      <c r="D402" s="19" t="s">
        <v>19</v>
      </c>
      <c r="E402" s="24">
        <v>431</v>
      </c>
      <c r="F402" s="21">
        <v>3.8999999999999998E-3</v>
      </c>
    </row>
    <row r="403" spans="1:6" x14ac:dyDescent="0.2">
      <c r="A403" s="18" t="str">
        <f t="shared" si="7"/>
        <v>2001-23</v>
      </c>
      <c r="B403" s="18">
        <v>2001</v>
      </c>
      <c r="C403" s="24">
        <v>23</v>
      </c>
      <c r="D403" s="19" t="s">
        <v>59</v>
      </c>
      <c r="E403" s="24">
        <v>431</v>
      </c>
      <c r="F403" s="21">
        <v>3.8999999999999998E-3</v>
      </c>
    </row>
    <row r="404" spans="1:6" x14ac:dyDescent="0.2">
      <c r="A404" s="18" t="str">
        <f t="shared" si="7"/>
        <v>2001-24</v>
      </c>
      <c r="B404" s="18">
        <v>2001</v>
      </c>
      <c r="C404" s="24">
        <v>24</v>
      </c>
      <c r="D404" s="19" t="s">
        <v>24</v>
      </c>
      <c r="E404" s="24">
        <v>418</v>
      </c>
      <c r="F404" s="21">
        <v>3.8E-3</v>
      </c>
    </row>
    <row r="405" spans="1:6" x14ac:dyDescent="0.2">
      <c r="A405" s="18" t="str">
        <f t="shared" si="7"/>
        <v>2001-25</v>
      </c>
      <c r="B405" s="18">
        <v>2001</v>
      </c>
      <c r="C405" s="24">
        <v>25</v>
      </c>
      <c r="D405" s="19" t="s">
        <v>26</v>
      </c>
      <c r="E405" s="24">
        <v>359</v>
      </c>
      <c r="F405" s="21">
        <v>3.3E-3</v>
      </c>
    </row>
    <row r="406" spans="1:6" x14ac:dyDescent="0.2">
      <c r="A406" s="18" t="str">
        <f t="shared" si="7"/>
        <v>2001-TP25C</v>
      </c>
      <c r="B406" s="18">
        <v>2001</v>
      </c>
      <c r="C406" s="18" t="s">
        <v>36</v>
      </c>
      <c r="D406" s="19" t="s">
        <v>27</v>
      </c>
      <c r="E406" s="26">
        <v>97952</v>
      </c>
      <c r="F406" s="21">
        <v>0.88990000000000002</v>
      </c>
    </row>
    <row r="407" spans="1:6" x14ac:dyDescent="0.2">
      <c r="A407" s="18" t="str">
        <f t="shared" si="7"/>
        <v>2001-Desc</v>
      </c>
      <c r="B407" s="18">
        <v>2001</v>
      </c>
      <c r="C407" s="18" t="s">
        <v>33</v>
      </c>
      <c r="D407" s="19" t="s">
        <v>28</v>
      </c>
      <c r="E407" s="24">
        <v>604</v>
      </c>
      <c r="F407" s="21">
        <v>5.4999999999999997E-3</v>
      </c>
    </row>
    <row r="408" spans="1:6" x14ac:dyDescent="0.2">
      <c r="A408" s="18" t="str">
        <f t="shared" si="7"/>
        <v>2001-MV</v>
      </c>
      <c r="B408" s="18">
        <v>2001</v>
      </c>
      <c r="C408" s="18" t="s">
        <v>34</v>
      </c>
      <c r="D408" s="19" t="s">
        <v>29</v>
      </c>
      <c r="E408" s="26">
        <v>4125</v>
      </c>
      <c r="F408" s="21">
        <v>3.73E-2</v>
      </c>
    </row>
    <row r="409" spans="1:6" x14ac:dyDescent="0.2">
      <c r="A409" s="18" t="str">
        <f t="shared" si="7"/>
        <v>2001-TC</v>
      </c>
      <c r="B409" s="18">
        <v>2001</v>
      </c>
      <c r="C409" s="18" t="s">
        <v>35</v>
      </c>
      <c r="D409" s="19" t="s">
        <v>32</v>
      </c>
      <c r="E409" s="25">
        <v>110672</v>
      </c>
      <c r="F409" s="21">
        <v>1</v>
      </c>
    </row>
    <row r="410" spans="1:6" x14ac:dyDescent="0.2">
      <c r="A410" s="18" t="str">
        <f t="shared" si="7"/>
        <v>2000-1</v>
      </c>
      <c r="B410" s="18">
        <v>2000</v>
      </c>
      <c r="C410" s="24">
        <v>1</v>
      </c>
      <c r="D410" s="19" t="s">
        <v>58</v>
      </c>
      <c r="E410" s="25">
        <v>22091</v>
      </c>
      <c r="F410" s="21">
        <v>0.2097</v>
      </c>
    </row>
    <row r="411" spans="1:6" x14ac:dyDescent="0.2">
      <c r="A411" s="18" t="str">
        <f t="shared" si="7"/>
        <v>2000-2</v>
      </c>
      <c r="B411" s="18">
        <v>2000</v>
      </c>
      <c r="C411" s="24">
        <v>2</v>
      </c>
      <c r="D411" s="19" t="s">
        <v>66</v>
      </c>
      <c r="E411" s="25">
        <v>15211</v>
      </c>
      <c r="F411" s="21">
        <v>0.1444</v>
      </c>
    </row>
    <row r="412" spans="1:6" x14ac:dyDescent="0.2">
      <c r="A412" s="18" t="str">
        <f t="shared" si="7"/>
        <v>2000-3</v>
      </c>
      <c r="B412" s="18">
        <v>2000</v>
      </c>
      <c r="C412" s="24">
        <v>3</v>
      </c>
      <c r="D412" s="19" t="s">
        <v>5</v>
      </c>
      <c r="E412" s="25">
        <v>8000</v>
      </c>
      <c r="F412" s="21">
        <v>7.5899999999999995E-2</v>
      </c>
    </row>
    <row r="413" spans="1:6" x14ac:dyDescent="0.2">
      <c r="A413" s="18" t="str">
        <f t="shared" si="7"/>
        <v>2000-4</v>
      </c>
      <c r="B413" s="18">
        <v>2000</v>
      </c>
      <c r="C413" s="24">
        <v>4</v>
      </c>
      <c r="D413" s="19" t="s">
        <v>68</v>
      </c>
      <c r="E413" s="25">
        <v>7933</v>
      </c>
      <c r="F413" s="21">
        <v>7.4899999999999994E-2</v>
      </c>
    </row>
    <row r="414" spans="1:6" x14ac:dyDescent="0.2">
      <c r="A414" s="18" t="str">
        <f t="shared" si="7"/>
        <v>2000-5</v>
      </c>
      <c r="B414" s="18">
        <v>2000</v>
      </c>
      <c r="C414" s="24">
        <v>5</v>
      </c>
      <c r="D414" s="19" t="s">
        <v>67</v>
      </c>
      <c r="E414" s="25">
        <v>7633</v>
      </c>
      <c r="F414" s="21">
        <v>7.1999999999999995E-2</v>
      </c>
    </row>
    <row r="415" spans="1:6" x14ac:dyDescent="0.2">
      <c r="A415" s="18" t="str">
        <f t="shared" si="7"/>
        <v>2000-6</v>
      </c>
      <c r="B415" s="18">
        <v>2000</v>
      </c>
      <c r="C415" s="24">
        <v>6</v>
      </c>
      <c r="D415" s="19" t="s">
        <v>69</v>
      </c>
      <c r="E415" s="25">
        <v>5941</v>
      </c>
      <c r="F415" s="21">
        <v>5.6399999999999999E-2</v>
      </c>
    </row>
    <row r="416" spans="1:6" x14ac:dyDescent="0.2">
      <c r="A416" s="18" t="str">
        <f t="shared" si="7"/>
        <v>2000-7</v>
      </c>
      <c r="B416" s="18">
        <v>2000</v>
      </c>
      <c r="C416" s="24">
        <v>7</v>
      </c>
      <c r="D416" s="19" t="s">
        <v>8</v>
      </c>
      <c r="E416" s="25">
        <v>5279</v>
      </c>
      <c r="F416" s="21">
        <v>5.0099999999999999E-2</v>
      </c>
    </row>
    <row r="417" spans="1:6" x14ac:dyDescent="0.2">
      <c r="A417" s="18" t="str">
        <f t="shared" si="7"/>
        <v>2000-8</v>
      </c>
      <c r="B417" s="18">
        <v>2000</v>
      </c>
      <c r="C417" s="24">
        <v>8</v>
      </c>
      <c r="D417" s="19" t="s">
        <v>70</v>
      </c>
      <c r="E417" s="25">
        <v>2634</v>
      </c>
      <c r="F417" s="21">
        <v>2.5000000000000001E-2</v>
      </c>
    </row>
    <row r="418" spans="1:6" x14ac:dyDescent="0.2">
      <c r="A418" s="18" t="str">
        <f t="shared" si="7"/>
        <v>2000-9</v>
      </c>
      <c r="B418" s="18">
        <v>2000</v>
      </c>
      <c r="C418" s="24">
        <v>9</v>
      </c>
      <c r="D418" s="19" t="s">
        <v>54</v>
      </c>
      <c r="E418" s="25">
        <v>2391</v>
      </c>
      <c r="F418" s="21">
        <v>2.2700000000000001E-2</v>
      </c>
    </row>
    <row r="419" spans="1:6" x14ac:dyDescent="0.2">
      <c r="A419" s="18" t="str">
        <f t="shared" si="7"/>
        <v>2000-10</v>
      </c>
      <c r="B419" s="18">
        <v>2000</v>
      </c>
      <c r="C419" s="24">
        <v>10</v>
      </c>
      <c r="D419" s="19" t="s">
        <v>71</v>
      </c>
      <c r="E419" s="25">
        <v>2118</v>
      </c>
      <c r="F419" s="21">
        <v>2.01E-2</v>
      </c>
    </row>
    <row r="420" spans="1:6" x14ac:dyDescent="0.2">
      <c r="A420" s="18" t="str">
        <f t="shared" si="7"/>
        <v>2000-11</v>
      </c>
      <c r="B420" s="18">
        <v>2000</v>
      </c>
      <c r="C420" s="24">
        <v>11</v>
      </c>
      <c r="D420" s="19" t="s">
        <v>72</v>
      </c>
      <c r="E420" s="25">
        <v>2036</v>
      </c>
      <c r="F420" s="21">
        <v>1.9300000000000001E-2</v>
      </c>
    </row>
    <row r="421" spans="1:6" x14ac:dyDescent="0.2">
      <c r="A421" s="18" t="str">
        <f t="shared" si="7"/>
        <v>2000-12</v>
      </c>
      <c r="B421" s="18">
        <v>2000</v>
      </c>
      <c r="C421" s="24">
        <v>12</v>
      </c>
      <c r="D421" s="19" t="s">
        <v>17</v>
      </c>
      <c r="E421" s="25">
        <v>1784</v>
      </c>
      <c r="F421" s="21">
        <v>1.6899999999999998E-2</v>
      </c>
    </row>
    <row r="422" spans="1:6" x14ac:dyDescent="0.2">
      <c r="A422" s="18" t="str">
        <f t="shared" si="7"/>
        <v>2000-13</v>
      </c>
      <c r="B422" s="18">
        <v>2000</v>
      </c>
      <c r="C422" s="24">
        <v>13</v>
      </c>
      <c r="D422" s="19" t="s">
        <v>73</v>
      </c>
      <c r="E422" s="25">
        <v>1378</v>
      </c>
      <c r="F422" s="21">
        <v>1.3100000000000001E-2</v>
      </c>
    </row>
    <row r="423" spans="1:6" x14ac:dyDescent="0.2">
      <c r="A423" s="18" t="str">
        <f t="shared" si="7"/>
        <v>2000-14</v>
      </c>
      <c r="B423" s="18">
        <v>2000</v>
      </c>
      <c r="C423" s="24">
        <v>14</v>
      </c>
      <c r="D423" s="19" t="s">
        <v>16</v>
      </c>
      <c r="E423" s="25">
        <v>1287</v>
      </c>
      <c r="F423" s="21">
        <v>1.2200000000000001E-2</v>
      </c>
    </row>
    <row r="424" spans="1:6" x14ac:dyDescent="0.2">
      <c r="A424" s="18" t="str">
        <f t="shared" si="7"/>
        <v>2000-15</v>
      </c>
      <c r="B424" s="18">
        <v>2000</v>
      </c>
      <c r="C424" s="24">
        <v>15</v>
      </c>
      <c r="D424" s="19" t="s">
        <v>12</v>
      </c>
      <c r="E424" s="25">
        <v>1063</v>
      </c>
      <c r="F424" s="21">
        <v>1.01E-2</v>
      </c>
    </row>
    <row r="425" spans="1:6" x14ac:dyDescent="0.2">
      <c r="A425" s="18" t="str">
        <f t="shared" si="7"/>
        <v>2000-16</v>
      </c>
      <c r="B425" s="18">
        <v>2000</v>
      </c>
      <c r="C425" s="24">
        <v>16</v>
      </c>
      <c r="D425" s="19" t="s">
        <v>74</v>
      </c>
      <c r="E425" s="25">
        <v>999</v>
      </c>
      <c r="F425" s="21">
        <v>9.4999999999999998E-3</v>
      </c>
    </row>
    <row r="426" spans="1:6" x14ac:dyDescent="0.2">
      <c r="A426" s="18" t="str">
        <f t="shared" si="7"/>
        <v>2000-17</v>
      </c>
      <c r="B426" s="18">
        <v>2000</v>
      </c>
      <c r="C426" s="24">
        <v>17</v>
      </c>
      <c r="D426" s="19" t="s">
        <v>75</v>
      </c>
      <c r="E426" s="25">
        <v>926</v>
      </c>
      <c r="F426" s="21">
        <v>8.8000000000000005E-3</v>
      </c>
    </row>
    <row r="427" spans="1:6" x14ac:dyDescent="0.2">
      <c r="A427" s="18" t="str">
        <f t="shared" si="7"/>
        <v>2000-18</v>
      </c>
      <c r="B427" s="18">
        <v>2000</v>
      </c>
      <c r="C427" s="24">
        <v>18</v>
      </c>
      <c r="D427" s="19" t="s">
        <v>76</v>
      </c>
      <c r="E427" s="25">
        <v>924</v>
      </c>
      <c r="F427" s="21">
        <v>8.8000000000000005E-3</v>
      </c>
    </row>
    <row r="428" spans="1:6" x14ac:dyDescent="0.2">
      <c r="A428" s="18" t="str">
        <f t="shared" si="7"/>
        <v>2000-19</v>
      </c>
      <c r="B428" s="18">
        <v>2000</v>
      </c>
      <c r="C428" s="24">
        <v>19</v>
      </c>
      <c r="D428" s="19" t="s">
        <v>77</v>
      </c>
      <c r="E428" s="25">
        <v>658</v>
      </c>
      <c r="F428" s="21">
        <v>6.1999999999999998E-3</v>
      </c>
    </row>
    <row r="429" spans="1:6" x14ac:dyDescent="0.2">
      <c r="A429" s="18" t="str">
        <f t="shared" si="7"/>
        <v>2000-20</v>
      </c>
      <c r="B429" s="18">
        <v>2000</v>
      </c>
      <c r="C429" s="24">
        <v>20</v>
      </c>
      <c r="D429" s="19" t="s">
        <v>78</v>
      </c>
      <c r="E429" s="25">
        <v>630</v>
      </c>
      <c r="F429" s="21">
        <v>6.0000000000000001E-3</v>
      </c>
    </row>
    <row r="430" spans="1:6" x14ac:dyDescent="0.2">
      <c r="A430" s="18" t="str">
        <f t="shared" si="7"/>
        <v>2000-21</v>
      </c>
      <c r="B430" s="18">
        <v>2000</v>
      </c>
      <c r="C430" s="24">
        <v>21</v>
      </c>
      <c r="D430" s="19" t="s">
        <v>25</v>
      </c>
      <c r="E430" s="25">
        <v>569</v>
      </c>
      <c r="F430" s="21">
        <v>5.4000000000000003E-3</v>
      </c>
    </row>
    <row r="431" spans="1:6" x14ac:dyDescent="0.2">
      <c r="A431" s="18" t="str">
        <f t="shared" si="7"/>
        <v>2000-22</v>
      </c>
      <c r="B431" s="18">
        <v>2000</v>
      </c>
      <c r="C431" s="24">
        <v>22</v>
      </c>
      <c r="D431" s="19" t="s">
        <v>59</v>
      </c>
      <c r="E431" s="25">
        <v>427</v>
      </c>
      <c r="F431" s="21">
        <v>4.1000000000000003E-3</v>
      </c>
    </row>
    <row r="432" spans="1:6" x14ac:dyDescent="0.2">
      <c r="A432" s="18" t="str">
        <f t="shared" si="7"/>
        <v>2000-23</v>
      </c>
      <c r="B432" s="18">
        <v>2000</v>
      </c>
      <c r="C432" s="24">
        <v>23</v>
      </c>
      <c r="D432" s="19" t="s">
        <v>26</v>
      </c>
      <c r="E432" s="25">
        <v>401</v>
      </c>
      <c r="F432" s="21">
        <v>3.8E-3</v>
      </c>
    </row>
    <row r="433" spans="1:6" x14ac:dyDescent="0.2">
      <c r="A433" s="18" t="str">
        <f t="shared" si="7"/>
        <v>2000-24</v>
      </c>
      <c r="B433" s="18">
        <v>2000</v>
      </c>
      <c r="C433" s="24">
        <v>24</v>
      </c>
      <c r="D433" s="19" t="s">
        <v>24</v>
      </c>
      <c r="E433" s="25">
        <v>365</v>
      </c>
      <c r="F433" s="21">
        <v>3.5000000000000001E-3</v>
      </c>
    </row>
    <row r="434" spans="1:6" x14ac:dyDescent="0.2">
      <c r="A434" s="18" t="str">
        <f t="shared" si="7"/>
        <v>2000-25</v>
      </c>
      <c r="B434" s="18">
        <v>2000</v>
      </c>
      <c r="C434" s="24">
        <v>25</v>
      </c>
      <c r="D434" s="19" t="s">
        <v>80</v>
      </c>
      <c r="E434" s="25">
        <v>334</v>
      </c>
      <c r="F434" s="21">
        <v>3.2000000000000002E-3</v>
      </c>
    </row>
    <row r="435" spans="1:6" x14ac:dyDescent="0.2">
      <c r="A435" s="18" t="str">
        <f t="shared" si="7"/>
        <v>2000-TP25C</v>
      </c>
      <c r="B435" s="18">
        <v>2000</v>
      </c>
      <c r="C435" s="18" t="s">
        <v>36</v>
      </c>
      <c r="D435" s="19" t="s">
        <v>27</v>
      </c>
      <c r="E435" s="26">
        <v>93012</v>
      </c>
      <c r="F435" s="21">
        <v>0.87790000000000001</v>
      </c>
    </row>
    <row r="436" spans="1:6" x14ac:dyDescent="0.2">
      <c r="A436" s="18" t="str">
        <f t="shared" si="7"/>
        <v>2000-Desc</v>
      </c>
      <c r="B436" s="18">
        <v>2000</v>
      </c>
      <c r="C436" s="18" t="s">
        <v>33</v>
      </c>
      <c r="D436" s="19" t="s">
        <v>28</v>
      </c>
      <c r="E436" s="24">
        <v>596</v>
      </c>
      <c r="F436" s="21">
        <v>5.5999999999999999E-3</v>
      </c>
    </row>
    <row r="437" spans="1:6" x14ac:dyDescent="0.2">
      <c r="A437" s="18" t="str">
        <f t="shared" si="7"/>
        <v>2000-MV</v>
      </c>
      <c r="B437" s="18">
        <v>2000</v>
      </c>
      <c r="C437" s="18" t="s">
        <v>34</v>
      </c>
      <c r="D437" s="19" t="s">
        <v>29</v>
      </c>
      <c r="E437" s="26">
        <v>4376</v>
      </c>
      <c r="F437" s="21">
        <v>4.1300000000000003E-2</v>
      </c>
    </row>
    <row r="438" spans="1:6" x14ac:dyDescent="0.2">
      <c r="A438" s="18" t="str">
        <f t="shared" si="7"/>
        <v>2000-TC</v>
      </c>
      <c r="B438" s="18">
        <v>2000</v>
      </c>
      <c r="C438" s="18" t="s">
        <v>35</v>
      </c>
      <c r="D438" s="19" t="s">
        <v>32</v>
      </c>
      <c r="E438" s="26">
        <v>105948</v>
      </c>
      <c r="F438" s="28">
        <v>1</v>
      </c>
    </row>
    <row r="439" spans="1:6" x14ac:dyDescent="0.2">
      <c r="A439" s="18" t="str">
        <f t="shared" si="7"/>
        <v>1999-1</v>
      </c>
      <c r="B439" s="18">
        <v>1999</v>
      </c>
      <c r="C439" s="24">
        <v>1</v>
      </c>
      <c r="D439" s="19" t="s">
        <v>58</v>
      </c>
      <c r="E439" s="26">
        <v>21777</v>
      </c>
      <c r="F439" s="21">
        <v>0.2097</v>
      </c>
    </row>
    <row r="440" spans="1:6" x14ac:dyDescent="0.2">
      <c r="A440" s="18" t="str">
        <f t="shared" si="7"/>
        <v>1999-2</v>
      </c>
      <c r="B440" s="18">
        <v>1999</v>
      </c>
      <c r="C440" s="24">
        <v>2</v>
      </c>
      <c r="D440" s="19" t="s">
        <v>66</v>
      </c>
      <c r="E440" s="26">
        <v>14892</v>
      </c>
      <c r="F440" s="21">
        <v>0.1434</v>
      </c>
    </row>
    <row r="441" spans="1:6" x14ac:dyDescent="0.2">
      <c r="A441" s="18" t="str">
        <f t="shared" si="7"/>
        <v>1999-3</v>
      </c>
      <c r="B441" s="18">
        <v>1999</v>
      </c>
      <c r="C441" s="24">
        <v>3</v>
      </c>
      <c r="D441" s="19" t="s">
        <v>5</v>
      </c>
      <c r="E441" s="26">
        <v>8165</v>
      </c>
      <c r="F441" s="21">
        <v>7.8600000000000003E-2</v>
      </c>
    </row>
    <row r="442" spans="1:6" x14ac:dyDescent="0.2">
      <c r="A442" s="18" t="str">
        <f t="shared" si="7"/>
        <v>1999-4</v>
      </c>
      <c r="B442" s="18">
        <v>1999</v>
      </c>
      <c r="C442" s="24">
        <v>4</v>
      </c>
      <c r="D442" s="19" t="s">
        <v>68</v>
      </c>
      <c r="E442" s="26">
        <v>7826</v>
      </c>
      <c r="F442" s="21">
        <v>7.4800000000000005E-2</v>
      </c>
    </row>
    <row r="443" spans="1:6" x14ac:dyDescent="0.2">
      <c r="A443" s="18" t="str">
        <f t="shared" si="7"/>
        <v>1999-5</v>
      </c>
      <c r="B443" s="18">
        <v>1999</v>
      </c>
      <c r="C443" s="24">
        <v>5</v>
      </c>
      <c r="D443" s="19" t="s">
        <v>69</v>
      </c>
      <c r="E443" s="26">
        <v>5724</v>
      </c>
      <c r="F443" s="21">
        <v>5.5100000000000003E-2</v>
      </c>
    </row>
    <row r="444" spans="1:6" x14ac:dyDescent="0.2">
      <c r="A444" s="18" t="str">
        <f t="shared" si="7"/>
        <v>1999-6</v>
      </c>
      <c r="B444" s="18">
        <v>1999</v>
      </c>
      <c r="C444" s="24">
        <v>6</v>
      </c>
      <c r="D444" s="19" t="s">
        <v>8</v>
      </c>
      <c r="E444" s="26">
        <v>5309</v>
      </c>
      <c r="F444" s="21">
        <v>5.11E-2</v>
      </c>
    </row>
    <row r="445" spans="1:6" x14ac:dyDescent="0.2">
      <c r="A445" s="18" t="str">
        <f t="shared" si="7"/>
        <v>1999-7</v>
      </c>
      <c r="B445" s="18">
        <v>1999</v>
      </c>
      <c r="C445" s="24">
        <v>7</v>
      </c>
      <c r="D445" s="19" t="s">
        <v>67</v>
      </c>
      <c r="E445" s="26">
        <v>5262</v>
      </c>
      <c r="F445" s="21">
        <v>5.0299999999999997E-2</v>
      </c>
    </row>
    <row r="446" spans="1:6" x14ac:dyDescent="0.2">
      <c r="A446" s="18" t="str">
        <f t="shared" si="7"/>
        <v>1999-8</v>
      </c>
      <c r="B446" s="18">
        <v>1999</v>
      </c>
      <c r="C446" s="24">
        <v>8</v>
      </c>
      <c r="D446" s="19" t="s">
        <v>70</v>
      </c>
      <c r="E446" s="26">
        <v>3004</v>
      </c>
      <c r="F446" s="21">
        <v>2.8899999999999999E-2</v>
      </c>
    </row>
    <row r="447" spans="1:6" x14ac:dyDescent="0.2">
      <c r="A447" s="18" t="str">
        <f t="shared" si="7"/>
        <v>1999-9</v>
      </c>
      <c r="B447" s="18">
        <v>1999</v>
      </c>
      <c r="C447" s="24">
        <v>9</v>
      </c>
      <c r="D447" s="19" t="s">
        <v>54</v>
      </c>
      <c r="E447" s="26">
        <v>2886</v>
      </c>
      <c r="F447" s="21">
        <v>2.7799999999999998E-2</v>
      </c>
    </row>
    <row r="448" spans="1:6" x14ac:dyDescent="0.2">
      <c r="A448" s="18" t="str">
        <f t="shared" si="7"/>
        <v>1999-10</v>
      </c>
      <c r="B448" s="18">
        <v>1999</v>
      </c>
      <c r="C448" s="24">
        <v>10</v>
      </c>
      <c r="D448" s="19" t="s">
        <v>17</v>
      </c>
      <c r="E448" s="26">
        <v>2106</v>
      </c>
      <c r="F448" s="21">
        <v>2.0299999999999999E-2</v>
      </c>
    </row>
    <row r="449" spans="1:6" x14ac:dyDescent="0.2">
      <c r="A449" s="18" t="str">
        <f t="shared" si="7"/>
        <v>1999-11</v>
      </c>
      <c r="B449" s="18">
        <v>1999</v>
      </c>
      <c r="C449" s="24">
        <v>11</v>
      </c>
      <c r="D449" s="19" t="s">
        <v>71</v>
      </c>
      <c r="E449" s="26">
        <v>2013</v>
      </c>
      <c r="F449" s="21">
        <v>1.9400000000000001E-2</v>
      </c>
    </row>
    <row r="450" spans="1:6" x14ac:dyDescent="0.2">
      <c r="A450" s="18" t="str">
        <f t="shared" si="7"/>
        <v>1999-12</v>
      </c>
      <c r="B450" s="18">
        <v>1999</v>
      </c>
      <c r="C450" s="24">
        <v>12</v>
      </c>
      <c r="D450" s="19" t="s">
        <v>72</v>
      </c>
      <c r="E450" s="26">
        <v>1996</v>
      </c>
      <c r="F450" s="21">
        <v>1.9199999999999998E-2</v>
      </c>
    </row>
    <row r="451" spans="1:6" x14ac:dyDescent="0.2">
      <c r="A451" s="18" t="str">
        <f t="shared" si="7"/>
        <v>1999-13</v>
      </c>
      <c r="B451" s="18">
        <v>1999</v>
      </c>
      <c r="C451" s="24">
        <v>13</v>
      </c>
      <c r="D451" s="19" t="s">
        <v>73</v>
      </c>
      <c r="E451" s="26">
        <v>1559</v>
      </c>
      <c r="F451" s="21">
        <v>1.4999999999999999E-2</v>
      </c>
    </row>
    <row r="452" spans="1:6" x14ac:dyDescent="0.2">
      <c r="A452" s="18" t="str">
        <f t="shared" ref="A452:A515" si="8">+CONCATENATE(B452,"-",C452)</f>
        <v>1999-14</v>
      </c>
      <c r="B452" s="18">
        <v>1999</v>
      </c>
      <c r="C452" s="24">
        <v>14</v>
      </c>
      <c r="D452" s="19" t="s">
        <v>16</v>
      </c>
      <c r="E452" s="26">
        <v>1242</v>
      </c>
      <c r="F452" s="21">
        <v>1.2E-2</v>
      </c>
    </row>
    <row r="453" spans="1:6" x14ac:dyDescent="0.2">
      <c r="A453" s="18" t="str">
        <f t="shared" si="8"/>
        <v>1999-15</v>
      </c>
      <c r="B453" s="18">
        <v>1999</v>
      </c>
      <c r="C453" s="24">
        <v>15</v>
      </c>
      <c r="D453" s="19" t="s">
        <v>12</v>
      </c>
      <c r="E453" s="26">
        <v>1135</v>
      </c>
      <c r="F453" s="21">
        <v>1.09E-2</v>
      </c>
    </row>
    <row r="454" spans="1:6" x14ac:dyDescent="0.2">
      <c r="A454" s="18" t="str">
        <f t="shared" si="8"/>
        <v>1999-16</v>
      </c>
      <c r="B454" s="18">
        <v>1999</v>
      </c>
      <c r="C454" s="24">
        <v>16</v>
      </c>
      <c r="D454" s="19" t="s">
        <v>75</v>
      </c>
      <c r="E454" s="26">
        <v>1023</v>
      </c>
      <c r="F454" s="21">
        <v>9.9000000000000008E-3</v>
      </c>
    </row>
    <row r="455" spans="1:6" x14ac:dyDescent="0.2">
      <c r="A455" s="18" t="str">
        <f t="shared" si="8"/>
        <v>1999-17</v>
      </c>
      <c r="B455" s="18">
        <v>1999</v>
      </c>
      <c r="C455" s="24">
        <v>17</v>
      </c>
      <c r="D455" s="19" t="s">
        <v>74</v>
      </c>
      <c r="E455" s="24">
        <v>878</v>
      </c>
      <c r="F455" s="21">
        <v>8.5000000000000006E-3</v>
      </c>
    </row>
    <row r="456" spans="1:6" x14ac:dyDescent="0.2">
      <c r="A456" s="18" t="str">
        <f t="shared" si="8"/>
        <v>1999-18</v>
      </c>
      <c r="B456" s="18">
        <v>1999</v>
      </c>
      <c r="C456" s="24">
        <v>18</v>
      </c>
      <c r="D456" s="19" t="s">
        <v>76</v>
      </c>
      <c r="E456" s="24">
        <v>831</v>
      </c>
      <c r="F456" s="21">
        <v>8.0000000000000002E-3</v>
      </c>
    </row>
    <row r="457" spans="1:6" x14ac:dyDescent="0.2">
      <c r="A457" s="18" t="str">
        <f t="shared" si="8"/>
        <v>1999-19</v>
      </c>
      <c r="B457" s="18">
        <v>1999</v>
      </c>
      <c r="C457" s="24">
        <v>19</v>
      </c>
      <c r="D457" s="19" t="s">
        <v>77</v>
      </c>
      <c r="E457" s="24">
        <v>758</v>
      </c>
      <c r="F457" s="21">
        <v>7.3000000000000001E-3</v>
      </c>
    </row>
    <row r="458" spans="1:6" x14ac:dyDescent="0.2">
      <c r="A458" s="18" t="str">
        <f t="shared" si="8"/>
        <v>1999-20</v>
      </c>
      <c r="B458" s="18">
        <v>1999</v>
      </c>
      <c r="C458" s="24">
        <v>20</v>
      </c>
      <c r="D458" s="19" t="s">
        <v>25</v>
      </c>
      <c r="E458" s="24">
        <v>626</v>
      </c>
      <c r="F458" s="21">
        <v>6.0000000000000001E-3</v>
      </c>
    </row>
    <row r="459" spans="1:6" x14ac:dyDescent="0.2">
      <c r="A459" s="18" t="str">
        <f t="shared" si="8"/>
        <v>1999-21</v>
      </c>
      <c r="B459" s="18">
        <v>1999</v>
      </c>
      <c r="C459" s="24">
        <v>21</v>
      </c>
      <c r="D459" s="19" t="s">
        <v>78</v>
      </c>
      <c r="E459" s="24">
        <v>619</v>
      </c>
      <c r="F459" s="21">
        <v>6.0000000000000001E-3</v>
      </c>
    </row>
    <row r="460" spans="1:6" x14ac:dyDescent="0.2">
      <c r="A460" s="18" t="str">
        <f t="shared" si="8"/>
        <v>1999-22</v>
      </c>
      <c r="B460" s="18">
        <v>1999</v>
      </c>
      <c r="C460" s="24">
        <v>22</v>
      </c>
      <c r="D460" s="19" t="s">
        <v>59</v>
      </c>
      <c r="E460" s="24">
        <v>501</v>
      </c>
      <c r="F460" s="21">
        <v>4.7999999999999996E-3</v>
      </c>
    </row>
    <row r="461" spans="1:6" x14ac:dyDescent="0.2">
      <c r="A461" s="18" t="str">
        <f t="shared" si="8"/>
        <v>1999-23</v>
      </c>
      <c r="B461" s="18">
        <v>1999</v>
      </c>
      <c r="C461" s="24">
        <v>23</v>
      </c>
      <c r="D461" s="19" t="s">
        <v>19</v>
      </c>
      <c r="E461" s="24">
        <v>410</v>
      </c>
      <c r="F461" s="21">
        <v>3.8999999999999998E-3</v>
      </c>
    </row>
    <row r="462" spans="1:6" x14ac:dyDescent="0.2">
      <c r="A462" s="18" t="str">
        <f t="shared" si="8"/>
        <v>1999-24</v>
      </c>
      <c r="B462" s="18">
        <v>1999</v>
      </c>
      <c r="C462" s="24">
        <v>24</v>
      </c>
      <c r="D462" s="19" t="s">
        <v>26</v>
      </c>
      <c r="E462" s="24">
        <v>369</v>
      </c>
      <c r="F462" s="21">
        <v>3.5999999999999999E-3</v>
      </c>
    </row>
    <row r="463" spans="1:6" x14ac:dyDescent="0.2">
      <c r="A463" s="18" t="str">
        <f t="shared" si="8"/>
        <v>1999-25</v>
      </c>
      <c r="B463" s="18">
        <v>1999</v>
      </c>
      <c r="C463" s="24">
        <v>25</v>
      </c>
      <c r="D463" s="19" t="s">
        <v>24</v>
      </c>
      <c r="E463" s="24">
        <v>351</v>
      </c>
      <c r="F463" s="21">
        <v>3.3999999999999998E-3</v>
      </c>
    </row>
    <row r="464" spans="1:6" x14ac:dyDescent="0.2">
      <c r="A464" s="18" t="str">
        <f t="shared" si="8"/>
        <v>1999-TP25C</v>
      </c>
      <c r="B464" s="18">
        <v>1999</v>
      </c>
      <c r="C464" s="18" t="s">
        <v>36</v>
      </c>
      <c r="D464" s="19" t="s">
        <v>27</v>
      </c>
      <c r="E464" s="26">
        <v>91262</v>
      </c>
      <c r="F464" s="21">
        <v>0.87229999999999996</v>
      </c>
    </row>
    <row r="465" spans="1:6" x14ac:dyDescent="0.2">
      <c r="A465" s="18" t="str">
        <f t="shared" si="8"/>
        <v>1999-Desc</v>
      </c>
      <c r="B465" s="18">
        <v>1999</v>
      </c>
      <c r="C465" s="18" t="s">
        <v>33</v>
      </c>
      <c r="D465" s="19" t="s">
        <v>28</v>
      </c>
      <c r="E465" s="24">
        <v>769</v>
      </c>
      <c r="F465" s="21">
        <v>7.4000000000000003E-3</v>
      </c>
    </row>
    <row r="466" spans="1:6" x14ac:dyDescent="0.2">
      <c r="A466" s="18" t="str">
        <f t="shared" si="8"/>
        <v>1999-MV</v>
      </c>
      <c r="B466" s="18">
        <v>1999</v>
      </c>
      <c r="C466" s="18" t="s">
        <v>34</v>
      </c>
      <c r="D466" s="19" t="s">
        <v>29</v>
      </c>
      <c r="E466" s="26">
        <v>4288</v>
      </c>
      <c r="F466" s="21">
        <v>4.1000000000000002E-2</v>
      </c>
    </row>
    <row r="467" spans="1:6" x14ac:dyDescent="0.2">
      <c r="A467" s="18" t="str">
        <f t="shared" si="8"/>
        <v>1999-TC</v>
      </c>
      <c r="B467" s="18">
        <v>1999</v>
      </c>
      <c r="C467" s="18" t="s">
        <v>35</v>
      </c>
      <c r="D467" s="19" t="s">
        <v>32</v>
      </c>
      <c r="E467" s="26">
        <v>104625</v>
      </c>
      <c r="F467" s="28">
        <v>1</v>
      </c>
    </row>
    <row r="468" spans="1:6" x14ac:dyDescent="0.2">
      <c r="A468" s="18" t="str">
        <f t="shared" si="8"/>
        <v>1998-1</v>
      </c>
      <c r="B468" s="18">
        <v>1998</v>
      </c>
      <c r="C468" s="24">
        <v>1</v>
      </c>
      <c r="D468" s="19" t="s">
        <v>58</v>
      </c>
      <c r="E468" s="26">
        <v>21606</v>
      </c>
      <c r="F468" s="29">
        <v>0.216</v>
      </c>
    </row>
    <row r="469" spans="1:6" x14ac:dyDescent="0.2">
      <c r="A469" s="18" t="str">
        <f t="shared" si="8"/>
        <v>1998-2</v>
      </c>
      <c r="B469" s="18">
        <v>1998</v>
      </c>
      <c r="C469" s="24">
        <v>2</v>
      </c>
      <c r="D469" s="19" t="s">
        <v>81</v>
      </c>
      <c r="E469" s="26">
        <v>14155</v>
      </c>
      <c r="F469" s="29">
        <v>0.14149999999999999</v>
      </c>
    </row>
    <row r="470" spans="1:6" x14ac:dyDescent="0.2">
      <c r="A470" s="18" t="str">
        <f t="shared" si="8"/>
        <v>1998-3</v>
      </c>
      <c r="B470" s="18">
        <v>1998</v>
      </c>
      <c r="C470" s="24">
        <v>3</v>
      </c>
      <c r="D470" s="19" t="s">
        <v>82</v>
      </c>
      <c r="E470" s="26">
        <v>7784</v>
      </c>
      <c r="F470" s="29">
        <v>7.7100000000000002E-2</v>
      </c>
    </row>
    <row r="471" spans="1:6" x14ac:dyDescent="0.2">
      <c r="A471" s="18" t="str">
        <f t="shared" si="8"/>
        <v>1998-4</v>
      </c>
      <c r="B471" s="18">
        <v>1998</v>
      </c>
      <c r="C471" s="24">
        <v>4</v>
      </c>
      <c r="D471" s="19" t="s">
        <v>83</v>
      </c>
      <c r="E471" s="26">
        <v>7607</v>
      </c>
      <c r="F471" s="29">
        <v>7.6100000000000001E-2</v>
      </c>
    </row>
    <row r="472" spans="1:6" x14ac:dyDescent="0.2">
      <c r="A472" s="18" t="str">
        <f t="shared" si="8"/>
        <v>1998-5</v>
      </c>
      <c r="B472" s="18">
        <v>1998</v>
      </c>
      <c r="C472" s="24">
        <v>5</v>
      </c>
      <c r="D472" s="19" t="s">
        <v>84</v>
      </c>
      <c r="E472" s="26">
        <v>5241</v>
      </c>
      <c r="F472" s="29">
        <v>5.2400000000000002E-2</v>
      </c>
    </row>
    <row r="473" spans="1:6" x14ac:dyDescent="0.2">
      <c r="A473" s="18" t="str">
        <f t="shared" si="8"/>
        <v>1998-6</v>
      </c>
      <c r="B473" s="18">
        <v>1998</v>
      </c>
      <c r="C473" s="24">
        <v>6</v>
      </c>
      <c r="D473" s="19" t="s">
        <v>85</v>
      </c>
      <c r="E473" s="26">
        <v>4867</v>
      </c>
      <c r="F473" s="29">
        <v>4.87E-2</v>
      </c>
    </row>
    <row r="474" spans="1:6" x14ac:dyDescent="0.2">
      <c r="A474" s="18" t="str">
        <f t="shared" si="8"/>
        <v>1998-7</v>
      </c>
      <c r="B474" s="18">
        <v>1998</v>
      </c>
      <c r="C474" s="24">
        <v>7</v>
      </c>
      <c r="D474" s="19" t="s">
        <v>86</v>
      </c>
      <c r="E474" s="26">
        <v>3961</v>
      </c>
      <c r="F474" s="29">
        <v>3.9199999999999999E-2</v>
      </c>
    </row>
    <row r="475" spans="1:6" x14ac:dyDescent="0.2">
      <c r="A475" s="18" t="str">
        <f t="shared" si="8"/>
        <v>1998-8</v>
      </c>
      <c r="B475" s="18">
        <v>1998</v>
      </c>
      <c r="C475" s="24">
        <v>8</v>
      </c>
      <c r="D475" s="19" t="s">
        <v>87</v>
      </c>
      <c r="E475" s="26">
        <v>2981</v>
      </c>
      <c r="F475" s="29">
        <v>2.98E-2</v>
      </c>
    </row>
    <row r="476" spans="1:6" x14ac:dyDescent="0.2">
      <c r="A476" s="18" t="str">
        <f t="shared" si="8"/>
        <v>1998-9</v>
      </c>
      <c r="B476" s="18">
        <v>1998</v>
      </c>
      <c r="C476" s="24">
        <v>9</v>
      </c>
      <c r="D476" s="19" t="s">
        <v>88</v>
      </c>
      <c r="E476" s="26">
        <v>2758</v>
      </c>
      <c r="F476" s="29">
        <v>2.76E-2</v>
      </c>
    </row>
    <row r="477" spans="1:6" x14ac:dyDescent="0.2">
      <c r="A477" s="18" t="str">
        <f t="shared" si="8"/>
        <v>1998-10</v>
      </c>
      <c r="B477" s="18">
        <v>1998</v>
      </c>
      <c r="C477" s="24">
        <v>10</v>
      </c>
      <c r="D477" s="19" t="s">
        <v>89</v>
      </c>
      <c r="E477" s="26">
        <v>2593</v>
      </c>
      <c r="F477" s="29">
        <v>2.5899999999999999E-2</v>
      </c>
    </row>
    <row r="478" spans="1:6" x14ac:dyDescent="0.2">
      <c r="A478" s="18" t="str">
        <f t="shared" si="8"/>
        <v>1998-11</v>
      </c>
      <c r="B478" s="18">
        <v>1998</v>
      </c>
      <c r="C478" s="24">
        <v>11</v>
      </c>
      <c r="D478" s="19" t="s">
        <v>90</v>
      </c>
      <c r="E478" s="26">
        <v>1954</v>
      </c>
      <c r="F478" s="29">
        <v>1.95E-2</v>
      </c>
    </row>
    <row r="479" spans="1:6" x14ac:dyDescent="0.2">
      <c r="A479" s="18" t="str">
        <f t="shared" si="8"/>
        <v>1998-12</v>
      </c>
      <c r="B479" s="18">
        <v>1998</v>
      </c>
      <c r="C479" s="24">
        <v>12</v>
      </c>
      <c r="D479" s="19" t="s">
        <v>91</v>
      </c>
      <c r="E479" s="26">
        <v>1854</v>
      </c>
      <c r="F479" s="29">
        <v>1.8499999999999999E-2</v>
      </c>
    </row>
    <row r="480" spans="1:6" x14ac:dyDescent="0.2">
      <c r="A480" s="18" t="str">
        <f t="shared" si="8"/>
        <v>1998-13</v>
      </c>
      <c r="B480" s="18">
        <v>1998</v>
      </c>
      <c r="C480" s="24">
        <v>13</v>
      </c>
      <c r="D480" s="19" t="s">
        <v>92</v>
      </c>
      <c r="E480" s="26">
        <v>1406</v>
      </c>
      <c r="F480" s="29">
        <v>1.41E-2</v>
      </c>
    </row>
    <row r="481" spans="1:6" x14ac:dyDescent="0.2">
      <c r="A481" s="18" t="str">
        <f t="shared" si="8"/>
        <v>1998-14</v>
      </c>
      <c r="B481" s="18">
        <v>1998</v>
      </c>
      <c r="C481" s="24">
        <v>14</v>
      </c>
      <c r="D481" s="19" t="s">
        <v>93</v>
      </c>
      <c r="E481" s="26">
        <v>1173</v>
      </c>
      <c r="F481" s="29">
        <v>1.17E-2</v>
      </c>
    </row>
    <row r="482" spans="1:6" x14ac:dyDescent="0.2">
      <c r="A482" s="18" t="str">
        <f t="shared" si="8"/>
        <v>1998-15</v>
      </c>
      <c r="B482" s="18">
        <v>1998</v>
      </c>
      <c r="C482" s="24">
        <v>15</v>
      </c>
      <c r="D482" s="19" t="s">
        <v>94</v>
      </c>
      <c r="E482" s="26">
        <v>1149</v>
      </c>
      <c r="F482" s="29">
        <v>1.15E-2</v>
      </c>
    </row>
    <row r="483" spans="1:6" x14ac:dyDescent="0.2">
      <c r="A483" s="18" t="str">
        <f t="shared" si="8"/>
        <v>1998-16</v>
      </c>
      <c r="B483" s="18">
        <v>1998</v>
      </c>
      <c r="C483" s="24">
        <v>16</v>
      </c>
      <c r="D483" s="19" t="s">
        <v>95</v>
      </c>
      <c r="E483" s="26">
        <v>1126</v>
      </c>
      <c r="F483" s="29">
        <v>1.1299999999999999E-2</v>
      </c>
    </row>
    <row r="484" spans="1:6" x14ac:dyDescent="0.2">
      <c r="A484" s="18" t="str">
        <f t="shared" si="8"/>
        <v>1998-17</v>
      </c>
      <c r="B484" s="18">
        <v>1998</v>
      </c>
      <c r="C484" s="24">
        <v>17</v>
      </c>
      <c r="D484" s="19" t="s">
        <v>20</v>
      </c>
      <c r="E484" s="24">
        <v>888</v>
      </c>
      <c r="F484" s="29">
        <v>8.8999999999999999E-3</v>
      </c>
    </row>
    <row r="485" spans="1:6" x14ac:dyDescent="0.2">
      <c r="A485" s="18" t="str">
        <f t="shared" si="8"/>
        <v>1998-18</v>
      </c>
      <c r="B485" s="18">
        <v>1998</v>
      </c>
      <c r="C485" s="24">
        <v>18</v>
      </c>
      <c r="D485" s="19" t="s">
        <v>15</v>
      </c>
      <c r="E485" s="24">
        <v>877</v>
      </c>
      <c r="F485" s="29">
        <v>8.8000000000000005E-3</v>
      </c>
    </row>
    <row r="486" spans="1:6" x14ac:dyDescent="0.2">
      <c r="A486" s="18" t="str">
        <f t="shared" si="8"/>
        <v>1998-19</v>
      </c>
      <c r="B486" s="18">
        <v>1998</v>
      </c>
      <c r="C486" s="24">
        <v>19</v>
      </c>
      <c r="D486" s="19" t="s">
        <v>96</v>
      </c>
      <c r="E486" s="24">
        <v>764</v>
      </c>
      <c r="F486" s="29">
        <v>7.6E-3</v>
      </c>
    </row>
    <row r="487" spans="1:6" x14ac:dyDescent="0.2">
      <c r="A487" s="18" t="str">
        <f t="shared" si="8"/>
        <v>1998-20</v>
      </c>
      <c r="B487" s="18">
        <v>1998</v>
      </c>
      <c r="C487" s="24">
        <v>20</v>
      </c>
      <c r="D487" s="19" t="s">
        <v>97</v>
      </c>
      <c r="E487" s="24">
        <v>639</v>
      </c>
      <c r="F487" s="29">
        <v>6.4000000000000003E-3</v>
      </c>
    </row>
    <row r="488" spans="1:6" x14ac:dyDescent="0.2">
      <c r="A488" s="18" t="str">
        <f t="shared" si="8"/>
        <v>1998-21</v>
      </c>
      <c r="B488" s="18">
        <v>1998</v>
      </c>
      <c r="C488" s="24">
        <v>21</v>
      </c>
      <c r="D488" s="19" t="s">
        <v>98</v>
      </c>
      <c r="E488" s="24">
        <v>602</v>
      </c>
      <c r="F488" s="29">
        <v>6.0000000000000001E-3</v>
      </c>
    </row>
    <row r="489" spans="1:6" x14ac:dyDescent="0.2">
      <c r="A489" s="18" t="str">
        <f t="shared" si="8"/>
        <v>1998-22</v>
      </c>
      <c r="B489" s="18">
        <v>1998</v>
      </c>
      <c r="C489" s="24">
        <v>22</v>
      </c>
      <c r="D489" s="19" t="s">
        <v>99</v>
      </c>
      <c r="E489" s="24">
        <v>462</v>
      </c>
      <c r="F489" s="29">
        <v>4.5999999999999999E-3</v>
      </c>
    </row>
    <row r="490" spans="1:6" x14ac:dyDescent="0.2">
      <c r="A490" s="18" t="str">
        <f t="shared" si="8"/>
        <v>1998-23</v>
      </c>
      <c r="B490" s="18">
        <v>1998</v>
      </c>
      <c r="C490" s="24">
        <v>23</v>
      </c>
      <c r="D490" s="19" t="s">
        <v>19</v>
      </c>
      <c r="E490" s="24">
        <v>448</v>
      </c>
      <c r="F490" s="29">
        <v>4.4999999999999997E-3</v>
      </c>
    </row>
    <row r="491" spans="1:6" x14ac:dyDescent="0.2">
      <c r="A491" s="18" t="str">
        <f t="shared" si="8"/>
        <v>1998-24</v>
      </c>
      <c r="B491" s="18">
        <v>1998</v>
      </c>
      <c r="C491" s="24">
        <v>24</v>
      </c>
      <c r="D491" s="19" t="s">
        <v>100</v>
      </c>
      <c r="E491" s="24">
        <v>392</v>
      </c>
      <c r="F491" s="29">
        <v>3.8999999999999998E-3</v>
      </c>
    </row>
    <row r="492" spans="1:6" x14ac:dyDescent="0.2">
      <c r="A492" s="18" t="str">
        <f t="shared" si="8"/>
        <v>1998-25</v>
      </c>
      <c r="B492" s="18">
        <v>1998</v>
      </c>
      <c r="C492" s="24">
        <v>25</v>
      </c>
      <c r="D492" s="19" t="s">
        <v>101</v>
      </c>
      <c r="E492" s="24">
        <v>357</v>
      </c>
      <c r="F492" s="29">
        <v>3.5999999999999999E-3</v>
      </c>
    </row>
    <row r="493" spans="1:6" x14ac:dyDescent="0.2">
      <c r="A493" s="18" t="str">
        <f t="shared" si="8"/>
        <v>1998-TP25C</v>
      </c>
      <c r="B493" s="18">
        <v>1998</v>
      </c>
      <c r="C493" s="18" t="s">
        <v>36</v>
      </c>
      <c r="D493" s="19" t="s">
        <v>27</v>
      </c>
      <c r="E493" s="26">
        <v>87042</v>
      </c>
      <c r="F493" s="29">
        <v>0.86209999999999998</v>
      </c>
    </row>
    <row r="494" spans="1:6" x14ac:dyDescent="0.2">
      <c r="A494" s="18" t="str">
        <f t="shared" si="8"/>
        <v>1998-Desc</v>
      </c>
      <c r="B494" s="18">
        <v>1998</v>
      </c>
      <c r="C494" s="18" t="s">
        <v>33</v>
      </c>
      <c r="D494" s="19" t="s">
        <v>28</v>
      </c>
      <c r="E494" s="24">
        <v>956</v>
      </c>
      <c r="F494" s="29">
        <v>9.4999999999999998E-3</v>
      </c>
    </row>
    <row r="495" spans="1:6" x14ac:dyDescent="0.2">
      <c r="A495" s="18" t="str">
        <f t="shared" si="8"/>
        <v>1998-MV</v>
      </c>
      <c r="B495" s="18">
        <v>1998</v>
      </c>
      <c r="C495" s="18" t="s">
        <v>34</v>
      </c>
      <c r="D495" s="19" t="s">
        <v>29</v>
      </c>
      <c r="E495" s="26">
        <v>3624</v>
      </c>
      <c r="F495" s="29">
        <v>3.5900000000000001E-2</v>
      </c>
    </row>
    <row r="496" spans="1:6" x14ac:dyDescent="0.2">
      <c r="A496" s="18" t="str">
        <f t="shared" si="8"/>
        <v>1998-TC</v>
      </c>
      <c r="B496" s="18">
        <v>1998</v>
      </c>
      <c r="C496" s="18" t="s">
        <v>35</v>
      </c>
      <c r="D496" s="19" t="s">
        <v>32</v>
      </c>
      <c r="E496" s="26">
        <v>100963</v>
      </c>
      <c r="F496" s="30">
        <v>1</v>
      </c>
    </row>
    <row r="497" spans="1:6" x14ac:dyDescent="0.2">
      <c r="A497" s="18" t="str">
        <f t="shared" si="8"/>
        <v>1997-1</v>
      </c>
      <c r="B497" s="18">
        <v>1997</v>
      </c>
      <c r="C497" s="24">
        <v>1</v>
      </c>
      <c r="D497" s="19" t="s">
        <v>58</v>
      </c>
      <c r="E497" s="31">
        <v>20840</v>
      </c>
      <c r="F497" s="29">
        <v>0.217</v>
      </c>
    </row>
    <row r="498" spans="1:6" x14ac:dyDescent="0.2">
      <c r="A498" s="18" t="str">
        <f t="shared" si="8"/>
        <v>1997-2</v>
      </c>
      <c r="B498" s="18">
        <v>1997</v>
      </c>
      <c r="C498" s="24">
        <v>2</v>
      </c>
      <c r="D498" s="19" t="s">
        <v>81</v>
      </c>
      <c r="E498" s="31">
        <v>14024</v>
      </c>
      <c r="F498" s="29">
        <v>0.14599999999999999</v>
      </c>
    </row>
    <row r="499" spans="1:6" x14ac:dyDescent="0.2">
      <c r="A499" s="18" t="str">
        <f t="shared" si="8"/>
        <v>1997-3</v>
      </c>
      <c r="B499" s="18">
        <v>1997</v>
      </c>
      <c r="C499" s="24">
        <v>3</v>
      </c>
      <c r="D499" s="19" t="s">
        <v>83</v>
      </c>
      <c r="E499" s="31">
        <v>7530</v>
      </c>
      <c r="F499" s="29">
        <v>7.8399999999999997E-2</v>
      </c>
    </row>
    <row r="500" spans="1:6" x14ac:dyDescent="0.2">
      <c r="A500" s="18" t="str">
        <f t="shared" si="8"/>
        <v>1997-4</v>
      </c>
      <c r="B500" s="18">
        <v>1997</v>
      </c>
      <c r="C500" s="24">
        <v>4</v>
      </c>
      <c r="D500" s="19" t="s">
        <v>82</v>
      </c>
      <c r="E500" s="31">
        <v>7066</v>
      </c>
      <c r="F500" s="29">
        <v>7.2099999999999997E-2</v>
      </c>
    </row>
    <row r="501" spans="1:6" x14ac:dyDescent="0.2">
      <c r="A501" s="18" t="str">
        <f t="shared" si="8"/>
        <v>1997-5</v>
      </c>
      <c r="B501" s="18">
        <v>1997</v>
      </c>
      <c r="C501" s="24">
        <v>5</v>
      </c>
      <c r="D501" s="19" t="s">
        <v>84</v>
      </c>
      <c r="E501" s="31">
        <v>5503</v>
      </c>
      <c r="F501" s="29">
        <v>5.7299999999999997E-2</v>
      </c>
    </row>
    <row r="502" spans="1:6" x14ac:dyDescent="0.2">
      <c r="A502" s="18" t="str">
        <f t="shared" si="8"/>
        <v>1997-6</v>
      </c>
      <c r="B502" s="18">
        <v>1997</v>
      </c>
      <c r="C502" s="24">
        <v>6</v>
      </c>
      <c r="D502" s="19" t="s">
        <v>85</v>
      </c>
      <c r="E502" s="31">
        <v>4833</v>
      </c>
      <c r="F502" s="29">
        <v>5.0299999999999997E-2</v>
      </c>
    </row>
    <row r="503" spans="1:6" x14ac:dyDescent="0.2">
      <c r="A503" s="18" t="str">
        <f t="shared" si="8"/>
        <v>1997-7</v>
      </c>
      <c r="B503" s="18">
        <v>1997</v>
      </c>
      <c r="C503" s="24">
        <v>7</v>
      </c>
      <c r="D503" s="19" t="s">
        <v>86</v>
      </c>
      <c r="E503" s="31">
        <v>3939</v>
      </c>
      <c r="F503" s="29">
        <v>4.02E-2</v>
      </c>
    </row>
    <row r="504" spans="1:6" x14ac:dyDescent="0.2">
      <c r="A504" s="18" t="str">
        <f t="shared" si="8"/>
        <v>1997-8</v>
      </c>
      <c r="B504" s="18">
        <v>1997</v>
      </c>
      <c r="C504" s="24">
        <v>8</v>
      </c>
      <c r="D504" s="19" t="s">
        <v>87</v>
      </c>
      <c r="E504" s="31">
        <v>2726</v>
      </c>
      <c r="F504" s="29">
        <v>2.8400000000000002E-2</v>
      </c>
    </row>
    <row r="505" spans="1:6" x14ac:dyDescent="0.2">
      <c r="A505" s="18" t="str">
        <f t="shared" si="8"/>
        <v>1997-9</v>
      </c>
      <c r="B505" s="18">
        <v>1997</v>
      </c>
      <c r="C505" s="24">
        <v>9</v>
      </c>
      <c r="D505" s="19" t="s">
        <v>89</v>
      </c>
      <c r="E505" s="31">
        <v>2630</v>
      </c>
      <c r="F505" s="29">
        <v>2.7400000000000001E-2</v>
      </c>
    </row>
    <row r="506" spans="1:6" x14ac:dyDescent="0.2">
      <c r="A506" s="18" t="str">
        <f t="shared" si="8"/>
        <v>1997-10</v>
      </c>
      <c r="B506" s="18">
        <v>1997</v>
      </c>
      <c r="C506" s="24">
        <v>10</v>
      </c>
      <c r="D506" s="19" t="s">
        <v>88</v>
      </c>
      <c r="E506" s="31">
        <v>2401</v>
      </c>
      <c r="F506" s="29">
        <v>2.5000000000000001E-2</v>
      </c>
    </row>
    <row r="507" spans="1:6" x14ac:dyDescent="0.2">
      <c r="A507" s="18" t="str">
        <f t="shared" si="8"/>
        <v>1997-11</v>
      </c>
      <c r="B507" s="18">
        <v>1997</v>
      </c>
      <c r="C507" s="24">
        <v>11</v>
      </c>
      <c r="D507" s="19" t="s">
        <v>91</v>
      </c>
      <c r="E507" s="31">
        <v>1911</v>
      </c>
      <c r="F507" s="29">
        <v>1.9900000000000001E-2</v>
      </c>
    </row>
    <row r="508" spans="1:6" x14ac:dyDescent="0.2">
      <c r="A508" s="18" t="str">
        <f t="shared" si="8"/>
        <v>1997-12</v>
      </c>
      <c r="B508" s="18">
        <v>1997</v>
      </c>
      <c r="C508" s="24">
        <v>12</v>
      </c>
      <c r="D508" s="19" t="s">
        <v>90</v>
      </c>
      <c r="E508" s="31">
        <v>1801</v>
      </c>
      <c r="F508" s="29">
        <v>1.8700000000000001E-2</v>
      </c>
    </row>
    <row r="509" spans="1:6" x14ac:dyDescent="0.2">
      <c r="A509" s="18" t="str">
        <f t="shared" si="8"/>
        <v>1997-13</v>
      </c>
      <c r="B509" s="18">
        <v>1997</v>
      </c>
      <c r="C509" s="24">
        <v>13</v>
      </c>
      <c r="D509" s="19" t="s">
        <v>102</v>
      </c>
      <c r="E509" s="31">
        <v>1666</v>
      </c>
      <c r="F509" s="29">
        <v>1.7000000000000001E-2</v>
      </c>
    </row>
    <row r="510" spans="1:6" x14ac:dyDescent="0.2">
      <c r="A510" s="18" t="str">
        <f t="shared" si="8"/>
        <v>1997-14</v>
      </c>
      <c r="B510" s="18">
        <v>1997</v>
      </c>
      <c r="C510" s="24">
        <v>14</v>
      </c>
      <c r="D510" s="19" t="s">
        <v>92</v>
      </c>
      <c r="E510" s="31">
        <v>1517</v>
      </c>
      <c r="F510" s="29">
        <v>1.5800000000000002E-2</v>
      </c>
    </row>
    <row r="511" spans="1:6" x14ac:dyDescent="0.2">
      <c r="A511" s="18" t="str">
        <f t="shared" si="8"/>
        <v>1997-15</v>
      </c>
      <c r="B511" s="18">
        <v>1997</v>
      </c>
      <c r="C511" s="24">
        <v>15</v>
      </c>
      <c r="D511" s="19" t="s">
        <v>93</v>
      </c>
      <c r="E511" s="31">
        <v>1145</v>
      </c>
      <c r="F511" s="29">
        <v>1.17E-2</v>
      </c>
    </row>
    <row r="512" spans="1:6" x14ac:dyDescent="0.2">
      <c r="A512" s="18" t="str">
        <f t="shared" si="8"/>
        <v>1997-16</v>
      </c>
      <c r="B512" s="18">
        <v>1997</v>
      </c>
      <c r="C512" s="24">
        <v>16</v>
      </c>
      <c r="D512" s="19" t="s">
        <v>95</v>
      </c>
      <c r="E512" s="31">
        <v>1087</v>
      </c>
      <c r="F512" s="29">
        <v>1.1299999999999999E-2</v>
      </c>
    </row>
    <row r="513" spans="1:7" x14ac:dyDescent="0.2">
      <c r="A513" s="18" t="str">
        <f t="shared" si="8"/>
        <v>1997-17</v>
      </c>
      <c r="B513" s="18">
        <v>1997</v>
      </c>
      <c r="C513" s="24">
        <v>17</v>
      </c>
      <c r="D513" s="19" t="s">
        <v>94</v>
      </c>
      <c r="E513" s="31">
        <v>1083</v>
      </c>
      <c r="F513" s="29">
        <v>1.1299999999999999E-2</v>
      </c>
    </row>
    <row r="514" spans="1:7" x14ac:dyDescent="0.2">
      <c r="A514" s="18" t="str">
        <f t="shared" si="8"/>
        <v>1997-18</v>
      </c>
      <c r="B514" s="18">
        <v>1997</v>
      </c>
      <c r="C514" s="24">
        <v>18</v>
      </c>
      <c r="D514" s="19" t="s">
        <v>20</v>
      </c>
      <c r="E514" s="31">
        <v>861</v>
      </c>
      <c r="F514" s="29">
        <v>8.9999999999999993E-3</v>
      </c>
    </row>
    <row r="515" spans="1:7" x14ac:dyDescent="0.2">
      <c r="A515" s="18" t="str">
        <f t="shared" si="8"/>
        <v>1997-19</v>
      </c>
      <c r="B515" s="18">
        <v>1997</v>
      </c>
      <c r="C515" s="24">
        <v>19</v>
      </c>
      <c r="D515" s="19" t="s">
        <v>15</v>
      </c>
      <c r="E515" s="31">
        <v>776</v>
      </c>
      <c r="F515" s="29">
        <v>8.0999999999999996E-3</v>
      </c>
    </row>
    <row r="516" spans="1:7" x14ac:dyDescent="0.2">
      <c r="A516" s="18" t="str">
        <f t="shared" ref="A516:A555" si="9">+CONCATENATE(B516,"-",C516)</f>
        <v>1997-20</v>
      </c>
      <c r="B516" s="18">
        <v>1997</v>
      </c>
      <c r="C516" s="24">
        <v>20</v>
      </c>
      <c r="D516" s="19" t="s">
        <v>96</v>
      </c>
      <c r="E516" s="31">
        <v>753</v>
      </c>
      <c r="F516" s="29">
        <v>7.7999999999999996E-3</v>
      </c>
    </row>
    <row r="517" spans="1:7" x14ac:dyDescent="0.2">
      <c r="A517" s="18" t="str">
        <f t="shared" si="9"/>
        <v>1997-21</v>
      </c>
      <c r="B517" s="18">
        <v>1997</v>
      </c>
      <c r="C517" s="24">
        <v>21</v>
      </c>
      <c r="D517" s="19" t="s">
        <v>103</v>
      </c>
      <c r="E517" s="31">
        <v>682</v>
      </c>
      <c r="F517" s="29">
        <v>7.0000000000000001E-3</v>
      </c>
    </row>
    <row r="518" spans="1:7" x14ac:dyDescent="0.2">
      <c r="A518" s="18" t="str">
        <f t="shared" si="9"/>
        <v>1997-22</v>
      </c>
      <c r="B518" s="18">
        <v>1997</v>
      </c>
      <c r="C518" s="24">
        <v>22</v>
      </c>
      <c r="D518" s="19" t="s">
        <v>97</v>
      </c>
      <c r="E518" s="31">
        <v>662</v>
      </c>
      <c r="F518" s="29">
        <v>6.8999999999999999E-3</v>
      </c>
    </row>
    <row r="519" spans="1:7" x14ac:dyDescent="0.2">
      <c r="A519" s="32" t="str">
        <f t="shared" si="9"/>
        <v>1997-23</v>
      </c>
      <c r="B519" s="32">
        <v>1997</v>
      </c>
      <c r="C519" s="33">
        <v>23</v>
      </c>
      <c r="D519" s="34" t="s">
        <v>98</v>
      </c>
      <c r="E519" s="35">
        <v>523</v>
      </c>
      <c r="F519" s="50">
        <v>5.4000000000000003E-3</v>
      </c>
    </row>
    <row r="520" spans="1:7" x14ac:dyDescent="0.2">
      <c r="A520" s="18" t="str">
        <f t="shared" si="9"/>
        <v>1997-24</v>
      </c>
      <c r="B520" s="18">
        <v>1997</v>
      </c>
      <c r="C520" s="24">
        <v>24</v>
      </c>
      <c r="D520" s="19" t="s">
        <v>99</v>
      </c>
      <c r="E520" s="31">
        <v>495</v>
      </c>
      <c r="F520" s="29">
        <v>5.1999999999999998E-3</v>
      </c>
    </row>
    <row r="521" spans="1:7" x14ac:dyDescent="0.2">
      <c r="A521" s="18" t="str">
        <f t="shared" si="9"/>
        <v>1997-24</v>
      </c>
      <c r="B521" s="18">
        <v>1997</v>
      </c>
      <c r="C521" s="24">
        <v>24</v>
      </c>
      <c r="D521" s="19" t="s">
        <v>104</v>
      </c>
      <c r="E521" s="31">
        <v>352</v>
      </c>
      <c r="F521" s="29">
        <v>3.7000000000000002E-3</v>
      </c>
    </row>
    <row r="522" spans="1:7" x14ac:dyDescent="0.2">
      <c r="A522" s="18" t="str">
        <f t="shared" si="9"/>
        <v>1997-25</v>
      </c>
      <c r="B522" s="18">
        <v>1997</v>
      </c>
      <c r="C522" s="24">
        <v>25</v>
      </c>
      <c r="D522" s="19" t="s">
        <v>100</v>
      </c>
      <c r="E522" s="31">
        <v>391</v>
      </c>
      <c r="F522" s="29">
        <v>4.1000000000000003E-3</v>
      </c>
      <c r="G522" s="13"/>
    </row>
    <row r="523" spans="1:7" x14ac:dyDescent="0.2">
      <c r="A523" s="18" t="str">
        <f t="shared" si="9"/>
        <v>1997-TP25C</v>
      </c>
      <c r="B523" s="36">
        <v>1997</v>
      </c>
      <c r="C523" s="36" t="s">
        <v>36</v>
      </c>
      <c r="D523" s="19" t="s">
        <v>27</v>
      </c>
      <c r="E523" s="37">
        <v>86674</v>
      </c>
      <c r="F523" s="51">
        <v>0.88429999999999997</v>
      </c>
      <c r="G523" s="4"/>
    </row>
    <row r="524" spans="1:7" x14ac:dyDescent="0.2">
      <c r="A524" s="18" t="str">
        <f t="shared" si="9"/>
        <v>1997-Desc</v>
      </c>
      <c r="B524" s="36">
        <v>1997</v>
      </c>
      <c r="C524" s="36" t="s">
        <v>33</v>
      </c>
      <c r="D524" s="19" t="s">
        <v>28</v>
      </c>
      <c r="E524" s="38">
        <v>9383</v>
      </c>
      <c r="F524" s="51">
        <v>9.5699999999999993E-2</v>
      </c>
    </row>
    <row r="525" spans="1:7" x14ac:dyDescent="0.2">
      <c r="A525" s="18" t="str">
        <f t="shared" si="9"/>
        <v>1997-MV</v>
      </c>
      <c r="B525" s="36">
        <v>1997</v>
      </c>
      <c r="C525" s="36" t="s">
        <v>34</v>
      </c>
      <c r="D525" s="19" t="s">
        <v>29</v>
      </c>
      <c r="E525" s="38">
        <v>1954</v>
      </c>
      <c r="F525" s="51">
        <v>1.9900000000000001E-2</v>
      </c>
    </row>
    <row r="526" spans="1:7" x14ac:dyDescent="0.2">
      <c r="A526" s="18" t="str">
        <f t="shared" si="9"/>
        <v>1997-TC</v>
      </c>
      <c r="B526" s="36">
        <v>1997</v>
      </c>
      <c r="C526" s="36" t="s">
        <v>35</v>
      </c>
      <c r="D526" s="19" t="s">
        <v>32</v>
      </c>
      <c r="E526" s="39">
        <v>98011</v>
      </c>
      <c r="F526" s="40">
        <v>1</v>
      </c>
    </row>
    <row r="527" spans="1:7" x14ac:dyDescent="0.2">
      <c r="A527" s="18" t="str">
        <f t="shared" si="9"/>
        <v>1996-1</v>
      </c>
      <c r="B527" s="18">
        <v>1996</v>
      </c>
      <c r="C527" s="18">
        <v>1</v>
      </c>
      <c r="D527" s="19" t="s">
        <v>105</v>
      </c>
      <c r="E527" s="26">
        <v>21309</v>
      </c>
      <c r="F527" s="29">
        <v>0.2167</v>
      </c>
    </row>
    <row r="528" spans="1:7" x14ac:dyDescent="0.2">
      <c r="A528" s="18" t="str">
        <f t="shared" si="9"/>
        <v>1996-2</v>
      </c>
      <c r="B528" s="18">
        <v>1996</v>
      </c>
      <c r="C528" s="18">
        <v>2</v>
      </c>
      <c r="D528" s="19" t="s">
        <v>106</v>
      </c>
      <c r="E528" s="27">
        <v>13620</v>
      </c>
      <c r="F528" s="29">
        <v>0.13850000000000001</v>
      </c>
    </row>
    <row r="529" spans="1:6" x14ac:dyDescent="0.2">
      <c r="A529" s="18" t="str">
        <f t="shared" si="9"/>
        <v>1996-3</v>
      </c>
      <c r="B529" s="18">
        <v>1996</v>
      </c>
      <c r="C529" s="18">
        <v>3</v>
      </c>
      <c r="D529" s="19" t="s">
        <v>107</v>
      </c>
      <c r="E529" s="26">
        <v>7618</v>
      </c>
      <c r="F529" s="29">
        <v>7.6100000000000001E-2</v>
      </c>
    </row>
    <row r="530" spans="1:6" x14ac:dyDescent="0.2">
      <c r="A530" s="18" t="str">
        <f t="shared" si="9"/>
        <v>1996-4</v>
      </c>
      <c r="B530" s="18">
        <v>1996</v>
      </c>
      <c r="C530" s="18">
        <v>4</v>
      </c>
      <c r="D530" s="19" t="s">
        <v>108</v>
      </c>
      <c r="E530" s="26">
        <v>7182</v>
      </c>
      <c r="F530" s="29">
        <v>7.1800000000000003E-2</v>
      </c>
    </row>
    <row r="531" spans="1:6" x14ac:dyDescent="0.2">
      <c r="A531" s="18" t="str">
        <f t="shared" si="9"/>
        <v>1996-5</v>
      </c>
      <c r="B531" s="18">
        <v>1996</v>
      </c>
      <c r="C531" s="18">
        <v>5</v>
      </c>
      <c r="D531" s="19" t="s">
        <v>109</v>
      </c>
      <c r="E531" s="26">
        <v>5643</v>
      </c>
      <c r="F531" s="29">
        <v>5.74E-2</v>
      </c>
    </row>
    <row r="532" spans="1:6" x14ac:dyDescent="0.2">
      <c r="A532" s="18" t="str">
        <f t="shared" si="9"/>
        <v>1996-6</v>
      </c>
      <c r="B532" s="18">
        <v>1996</v>
      </c>
      <c r="C532" s="18">
        <v>6</v>
      </c>
      <c r="D532" s="19" t="s">
        <v>110</v>
      </c>
      <c r="E532" s="27">
        <v>4450</v>
      </c>
      <c r="F532" s="29">
        <v>4.53E-2</v>
      </c>
    </row>
    <row r="533" spans="1:6" x14ac:dyDescent="0.2">
      <c r="A533" s="18" t="str">
        <f t="shared" si="9"/>
        <v>1996-7</v>
      </c>
      <c r="B533" s="18">
        <v>1996</v>
      </c>
      <c r="C533" s="18">
        <v>7</v>
      </c>
      <c r="D533" s="19" t="s">
        <v>111</v>
      </c>
      <c r="E533" s="26">
        <v>4337</v>
      </c>
      <c r="F533" s="29">
        <v>4.41E-2</v>
      </c>
    </row>
    <row r="534" spans="1:6" x14ac:dyDescent="0.2">
      <c r="A534" s="18" t="str">
        <f t="shared" si="9"/>
        <v>1996-8</v>
      </c>
      <c r="B534" s="18">
        <v>1996</v>
      </c>
      <c r="C534" s="18">
        <v>8</v>
      </c>
      <c r="D534" s="19" t="s">
        <v>112</v>
      </c>
      <c r="E534" s="26">
        <v>3109</v>
      </c>
      <c r="F534" s="29">
        <v>3.1099999999999999E-2</v>
      </c>
    </row>
    <row r="535" spans="1:6" x14ac:dyDescent="0.2">
      <c r="A535" s="18" t="str">
        <f t="shared" si="9"/>
        <v>1996-9</v>
      </c>
      <c r="B535" s="18">
        <v>1996</v>
      </c>
      <c r="C535" s="18">
        <v>9</v>
      </c>
      <c r="D535" s="19" t="s">
        <v>113</v>
      </c>
      <c r="E535" s="26">
        <v>2634</v>
      </c>
      <c r="F535" s="29">
        <v>2.6800000000000001E-2</v>
      </c>
    </row>
    <row r="536" spans="1:6" x14ac:dyDescent="0.2">
      <c r="A536" s="18" t="str">
        <f t="shared" si="9"/>
        <v>1996-10</v>
      </c>
      <c r="B536" s="18">
        <v>1996</v>
      </c>
      <c r="C536" s="18">
        <v>10</v>
      </c>
      <c r="D536" s="19" t="s">
        <v>114</v>
      </c>
      <c r="E536" s="26">
        <v>1917</v>
      </c>
      <c r="F536" s="29">
        <v>1.95E-2</v>
      </c>
    </row>
    <row r="537" spans="1:6" x14ac:dyDescent="0.2">
      <c r="A537" s="18" t="str">
        <f t="shared" si="9"/>
        <v>1996-11</v>
      </c>
      <c r="B537" s="18">
        <v>1996</v>
      </c>
      <c r="C537" s="18">
        <v>11</v>
      </c>
      <c r="D537" s="19" t="s">
        <v>115</v>
      </c>
      <c r="E537" s="27">
        <v>1850</v>
      </c>
      <c r="F537" s="29">
        <v>1.8800000000000001E-2</v>
      </c>
    </row>
    <row r="538" spans="1:6" x14ac:dyDescent="0.2">
      <c r="A538" s="18" t="str">
        <f t="shared" si="9"/>
        <v>1996-12</v>
      </c>
      <c r="B538" s="18">
        <v>1996</v>
      </c>
      <c r="C538" s="18">
        <v>12</v>
      </c>
      <c r="D538" s="19" t="s">
        <v>116</v>
      </c>
      <c r="E538" s="26">
        <v>1511</v>
      </c>
      <c r="F538" s="29">
        <v>1.54E-2</v>
      </c>
    </row>
    <row r="539" spans="1:6" x14ac:dyDescent="0.2">
      <c r="A539" s="18" t="str">
        <f t="shared" si="9"/>
        <v>1996-13</v>
      </c>
      <c r="B539" s="18">
        <v>1996</v>
      </c>
      <c r="C539" s="18">
        <v>13</v>
      </c>
      <c r="D539" s="19" t="s">
        <v>117</v>
      </c>
      <c r="E539" s="26">
        <v>1484</v>
      </c>
      <c r="F539" s="29">
        <v>1.5100000000000001E-2</v>
      </c>
    </row>
    <row r="540" spans="1:6" x14ac:dyDescent="0.2">
      <c r="A540" s="18" t="str">
        <f t="shared" si="9"/>
        <v>1996-14</v>
      </c>
      <c r="B540" s="18">
        <v>1996</v>
      </c>
      <c r="C540" s="18">
        <v>14</v>
      </c>
      <c r="D540" s="19" t="s">
        <v>118</v>
      </c>
      <c r="E540" s="26">
        <v>1459</v>
      </c>
      <c r="F540" s="29">
        <v>1.4800000000000001E-2</v>
      </c>
    </row>
    <row r="541" spans="1:6" x14ac:dyDescent="0.2">
      <c r="A541" s="18" t="str">
        <f t="shared" si="9"/>
        <v>1996-15</v>
      </c>
      <c r="B541" s="18">
        <v>1996</v>
      </c>
      <c r="C541" s="18">
        <v>15</v>
      </c>
      <c r="D541" s="19" t="s">
        <v>119</v>
      </c>
      <c r="E541" s="26">
        <v>1368</v>
      </c>
      <c r="F541" s="29">
        <v>1.3899999999999999E-2</v>
      </c>
    </row>
    <row r="542" spans="1:6" x14ac:dyDescent="0.2">
      <c r="A542" s="18" t="str">
        <f t="shared" si="9"/>
        <v>1996-16</v>
      </c>
      <c r="B542" s="18">
        <v>1996</v>
      </c>
      <c r="C542" s="18">
        <v>16</v>
      </c>
      <c r="D542" s="19" t="s">
        <v>120</v>
      </c>
      <c r="E542" s="24">
        <v>931</v>
      </c>
      <c r="F542" s="29">
        <v>9.4999999999999998E-3</v>
      </c>
    </row>
    <row r="543" spans="1:6" x14ac:dyDescent="0.2">
      <c r="A543" s="18" t="str">
        <f t="shared" si="9"/>
        <v>1996-17</v>
      </c>
      <c r="B543" s="18">
        <v>1996</v>
      </c>
      <c r="C543" s="18">
        <v>17</v>
      </c>
      <c r="D543" s="19" t="s">
        <v>121</v>
      </c>
      <c r="E543" s="24">
        <v>863</v>
      </c>
      <c r="F543" s="29">
        <v>8.8000000000000005E-3</v>
      </c>
    </row>
    <row r="544" spans="1:6" x14ac:dyDescent="0.2">
      <c r="A544" s="18" t="str">
        <f t="shared" si="9"/>
        <v>1996-18</v>
      </c>
      <c r="B544" s="18">
        <v>1996</v>
      </c>
      <c r="C544" s="18">
        <v>18</v>
      </c>
      <c r="D544" s="19" t="s">
        <v>122</v>
      </c>
      <c r="E544" s="24">
        <v>856</v>
      </c>
      <c r="F544" s="29">
        <v>8.6999999999999994E-3</v>
      </c>
    </row>
    <row r="545" spans="1:6" x14ac:dyDescent="0.2">
      <c r="A545" s="18" t="str">
        <f t="shared" si="9"/>
        <v>1996-19</v>
      </c>
      <c r="B545" s="18">
        <v>1996</v>
      </c>
      <c r="C545" s="18">
        <v>19</v>
      </c>
      <c r="D545" s="19" t="s">
        <v>123</v>
      </c>
      <c r="E545" s="24">
        <v>760</v>
      </c>
      <c r="F545" s="29">
        <v>7.7000000000000002E-3</v>
      </c>
    </row>
    <row r="546" spans="1:6" x14ac:dyDescent="0.2">
      <c r="A546" s="18" t="str">
        <f t="shared" si="9"/>
        <v>1996-20</v>
      </c>
      <c r="B546" s="18">
        <v>1996</v>
      </c>
      <c r="C546" s="18">
        <v>20</v>
      </c>
      <c r="D546" s="19" t="s">
        <v>124</v>
      </c>
      <c r="E546" s="24">
        <v>746</v>
      </c>
      <c r="F546" s="29">
        <v>7.6E-3</v>
      </c>
    </row>
    <row r="547" spans="1:6" x14ac:dyDescent="0.2">
      <c r="A547" s="18" t="str">
        <f t="shared" si="9"/>
        <v>1996-21</v>
      </c>
      <c r="B547" s="18">
        <v>1996</v>
      </c>
      <c r="C547" s="18">
        <v>21</v>
      </c>
      <c r="D547" s="19" t="s">
        <v>125</v>
      </c>
      <c r="E547" s="24">
        <v>743</v>
      </c>
      <c r="F547" s="29">
        <v>7.6E-3</v>
      </c>
    </row>
    <row r="548" spans="1:6" x14ac:dyDescent="0.2">
      <c r="A548" s="18" t="str">
        <f t="shared" si="9"/>
        <v>1996-22</v>
      </c>
      <c r="B548" s="18">
        <v>1996</v>
      </c>
      <c r="C548" s="18">
        <v>22</v>
      </c>
      <c r="D548" s="19" t="s">
        <v>126</v>
      </c>
      <c r="E548" s="24">
        <v>651</v>
      </c>
      <c r="F548" s="29">
        <v>6.6E-3</v>
      </c>
    </row>
    <row r="549" spans="1:6" x14ac:dyDescent="0.2">
      <c r="A549" s="18" t="str">
        <f t="shared" si="9"/>
        <v>1996-23</v>
      </c>
      <c r="B549" s="18">
        <v>1996</v>
      </c>
      <c r="C549" s="18">
        <v>23</v>
      </c>
      <c r="D549" s="19" t="s">
        <v>127</v>
      </c>
      <c r="E549" s="24">
        <v>617</v>
      </c>
      <c r="F549" s="29">
        <v>6.3E-3</v>
      </c>
    </row>
    <row r="550" spans="1:6" x14ac:dyDescent="0.2">
      <c r="A550" s="18" t="str">
        <f t="shared" si="9"/>
        <v>1996-24</v>
      </c>
      <c r="B550" s="18">
        <v>1996</v>
      </c>
      <c r="C550" s="18">
        <v>24</v>
      </c>
      <c r="D550" s="19" t="s">
        <v>128</v>
      </c>
      <c r="E550" s="24">
        <v>437</v>
      </c>
      <c r="F550" s="29">
        <v>4.4000000000000003E-3</v>
      </c>
    </row>
    <row r="551" spans="1:6" x14ac:dyDescent="0.2">
      <c r="A551" s="18" t="str">
        <f t="shared" si="9"/>
        <v>1996-25</v>
      </c>
      <c r="B551" s="18">
        <v>1996</v>
      </c>
      <c r="C551" s="18">
        <v>25</v>
      </c>
      <c r="D551" s="19" t="s">
        <v>129</v>
      </c>
      <c r="E551" s="24">
        <v>435</v>
      </c>
      <c r="F551" s="29">
        <v>4.4000000000000003E-3</v>
      </c>
    </row>
    <row r="552" spans="1:6" x14ac:dyDescent="0.2">
      <c r="A552" s="18" t="str">
        <f t="shared" si="9"/>
        <v>1996-TP25C</v>
      </c>
      <c r="B552" s="18">
        <v>1996</v>
      </c>
      <c r="C552" s="36" t="s">
        <v>36</v>
      </c>
      <c r="D552" s="19" t="s">
        <v>27</v>
      </c>
      <c r="E552" s="27">
        <v>86530</v>
      </c>
      <c r="F552" s="29">
        <v>0.8649</v>
      </c>
    </row>
    <row r="553" spans="1:6" x14ac:dyDescent="0.2">
      <c r="A553" s="18" t="str">
        <f t="shared" si="9"/>
        <v>1996-Desc</v>
      </c>
      <c r="B553" s="18">
        <v>1996</v>
      </c>
      <c r="C553" s="36" t="s">
        <v>33</v>
      </c>
      <c r="D553" s="19" t="s">
        <v>28</v>
      </c>
      <c r="E553" s="26">
        <v>11803</v>
      </c>
      <c r="F553" s="29">
        <v>0.11799999999999999</v>
      </c>
    </row>
    <row r="554" spans="1:6" x14ac:dyDescent="0.2">
      <c r="A554" s="18" t="str">
        <f t="shared" si="9"/>
        <v>1996-MV</v>
      </c>
      <c r="B554" s="18">
        <v>1996</v>
      </c>
      <c r="C554" s="36" t="s">
        <v>34</v>
      </c>
      <c r="D554" s="19" t="s">
        <v>29</v>
      </c>
      <c r="E554" s="26">
        <v>1712</v>
      </c>
      <c r="F554" s="29">
        <v>1.7100000000000001E-2</v>
      </c>
    </row>
    <row r="555" spans="1:6" x14ac:dyDescent="0.2">
      <c r="A555" s="18" t="str">
        <f t="shared" si="9"/>
        <v>1996-TC</v>
      </c>
      <c r="B555" s="18">
        <v>1996</v>
      </c>
      <c r="C555" s="36" t="s">
        <v>35</v>
      </c>
      <c r="D555" s="19" t="s">
        <v>32</v>
      </c>
      <c r="E555" s="26">
        <v>100045</v>
      </c>
      <c r="F555" s="29">
        <v>1</v>
      </c>
    </row>
    <row r="556" spans="1:6" x14ac:dyDescent="0.2">
      <c r="D556" s="1"/>
      <c r="E556" s="10"/>
      <c r="F556" s="4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Validacion 3</vt:lpstr>
      <vt:lpstr>Validacion 4</vt:lpstr>
      <vt:lpstr>Validacion 2</vt:lpstr>
      <vt:lpstr>Validacion 1</vt:lpstr>
      <vt:lpstr>Mortalidad General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Dorielys</dc:creator>
  <cp:lastModifiedBy>Dorielys</cp:lastModifiedBy>
  <dcterms:created xsi:type="dcterms:W3CDTF">2022-12-13T18:17:41Z</dcterms:created>
  <dcterms:modified xsi:type="dcterms:W3CDTF">2023-02-01T01:57:22Z</dcterms:modified>
</cp:coreProperties>
</file>