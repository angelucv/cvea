
<file path=[Content_Types].xml><?xml version="1.0" encoding="utf-8"?>
<Types xmlns="http://schemas.openxmlformats.org/package/2006/content-types">
  <Override PartName="/xl/worksheets/sheet15.xml" ContentType="application/vnd.openxmlformats-officedocument.spreadsheetml.worksheet+xml"/>
  <Override PartName="/xl/charts/chart6.xml" ContentType="application/vnd.openxmlformats-officedocument.drawingml.chart+xml"/>
  <Override PartName="/xl/charts/chart20.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7.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pivotTables/pivotTable2.xml" ContentType="application/vnd.openxmlformats-officedocument.spreadsheetml.pivotTable+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harts/chart29.xml" ContentType="application/vnd.openxmlformats-officedocument.drawingml.chart+xml"/>
  <Override PartName="/xl/comments4.xml" ContentType="application/vnd.openxmlformats-officedocument.spreadsheetml.comments+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charts/chart18.xml" ContentType="application/vnd.openxmlformats-officedocument.drawingml.chart+xml"/>
  <Override PartName="/xl/charts/chart27.xml" ContentType="application/vnd.openxmlformats-officedocument.drawingml.chart+xml"/>
  <Override PartName="/xl/charts/chart36.xml" ContentType="application/vnd.openxmlformats-officedocument.drawingml.chart+xml"/>
  <Override PartName="/xl/charts/chart38.xml" ContentType="application/vnd.openxmlformats-officedocument.drawingml.chart+xml"/>
  <Override PartName="/xl/comments2.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Override PartName="/xl/charts/chart16.xml" ContentType="application/vnd.openxmlformats-officedocument.drawingml.chart+xml"/>
  <Override PartName="/xl/charts/chart25.xml" ContentType="application/vnd.openxmlformats-officedocument.drawingml.chart+xml"/>
  <Override PartName="/xl/charts/chart34.xml" ContentType="application/vnd.openxmlformats-officedocument.drawingml.chart+xml"/>
  <Override PartName="/xl/sharedStrings.xml" ContentType="application/vnd.openxmlformats-officedocument.spreadsheetml.sharedString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charts/chart10.xml" ContentType="application/vnd.openxmlformats-officedocument.drawingml.chart+xml"/>
  <Override PartName="/xl/worksheets/sheet14.xml" ContentType="application/vnd.openxmlformats-officedocument.spreadsheetml.worksheet+xml"/>
  <Override PartName="/xl/charts/chart5.xml" ContentType="application/vnd.openxmlformats-officedocument.drawingml.char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pivotTables/pivotTable1.xml" ContentType="application/vnd.openxmlformats-officedocument.spreadsheetml.pivotTable+xml"/>
  <Override PartName="/xl/charts/chart3.xml" ContentType="application/vnd.openxmlformats-officedocument.drawingml.char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charts/chart39.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harts/chart19.xml" ContentType="application/vnd.openxmlformats-officedocument.drawingml.chart+xml"/>
  <Override PartName="/xl/charts/chart28.xml" ContentType="application/vnd.openxmlformats-officedocument.drawingml.chart+xml"/>
  <Override PartName="/xl/charts/chart37.xml" ContentType="application/vnd.openxmlformats-officedocument.drawingml.chart+xml"/>
  <Override PartName="/xl/comments3.xml" ContentType="application/vnd.openxmlformats-officedocument.spreadsheetml.comments+xml"/>
  <Override PartName="/xl/pivotCache/pivotCacheDefinition1.xml" ContentType="application/vnd.openxmlformats-officedocument.spreadsheetml.pivotCacheDefinition+xml"/>
  <Override PartName="/xl/charts/chart17.xml" ContentType="application/vnd.openxmlformats-officedocument.drawingml.chart+xml"/>
  <Override PartName="/xl/charts/chart26.xml" ContentType="application/vnd.openxmlformats-officedocument.drawingml.chart+xml"/>
  <Override PartName="/xl/charts/chart35.xml" ContentType="application/vnd.openxmlformats-officedocument.drawingml.char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240" yWindow="-60" windowWidth="14370" windowHeight="12120" tabRatio="885" activeTab="2"/>
  </bookViews>
  <sheets>
    <sheet name="Resumen" sheetId="10" r:id="rId1"/>
    <sheet name="info ine" sheetId="4" r:id="rId2"/>
    <sheet name="Mortalidad" sheetId="1" r:id="rId3"/>
    <sheet name="Mortalidad M" sheetId="2" r:id="rId4"/>
    <sheet name="Mortalidad F" sheetId="14" r:id="rId5"/>
    <sheet name="Población M" sheetId="3" r:id="rId6"/>
    <sheet name="Población F" sheetId="15" r:id="rId7"/>
    <sheet name="Población por Edad M" sheetId="6" r:id="rId8"/>
    <sheet name="Población por Edad F" sheetId="16" r:id="rId9"/>
    <sheet name="Muertes por Edad M" sheetId="7" r:id="rId10"/>
    <sheet name="Muertes por Edad F" sheetId="17" r:id="rId11"/>
    <sheet name="QxM" sheetId="8" r:id="rId12"/>
    <sheet name="QxF" sheetId="18" r:id="rId13"/>
    <sheet name="ComparaciónM" sheetId="9" r:id="rId14"/>
    <sheet name="ComparaciónM (2)" sheetId="21" r:id="rId15"/>
    <sheet name="ComparaciónF" sheetId="19" r:id="rId16"/>
    <sheet name="ComparaciónF (2)" sheetId="22" r:id="rId17"/>
    <sheet name="Hoja1" sheetId="20" r:id="rId18"/>
  </sheets>
  <externalReferences>
    <externalReference r:id="rId19"/>
    <externalReference r:id="rId20"/>
  </externalReferences>
  <definedNames>
    <definedName name="\a" localSheetId="15">#REF!</definedName>
    <definedName name="\a" localSheetId="16">#REF!</definedName>
    <definedName name="\a" localSheetId="14">#REF!</definedName>
    <definedName name="\a" localSheetId="4">#REF!</definedName>
    <definedName name="\a" localSheetId="10">#REF!</definedName>
    <definedName name="\a" localSheetId="9">#REF!</definedName>
    <definedName name="\a" localSheetId="6">#REF!</definedName>
    <definedName name="\a" localSheetId="8">#REF!</definedName>
    <definedName name="\a" localSheetId="12">#REF!</definedName>
    <definedName name="\a">#REF!</definedName>
    <definedName name="\b">[1]CEN90PU8!$IN$96</definedName>
    <definedName name="\c">[1]CEN90PU8!$IH$96</definedName>
    <definedName name="\d">[1]CE90PU26!$IS$97</definedName>
    <definedName name="\e">[1]CE90PU26!$IV$8192</definedName>
    <definedName name="\f">[1]CE90PU25!$IS$100</definedName>
    <definedName name="\g">[1]CE90PU25!$IC$248</definedName>
    <definedName name="\h">[1]CE90PU25!$IL$105</definedName>
    <definedName name="\i">[1]CE90PU25!$C$113</definedName>
    <definedName name="\j">[1]CE90PU25!$F$113</definedName>
    <definedName name="\k">[1]CE90PU25!$M$100</definedName>
    <definedName name="\u">[1]CEN90PU8!$IH$264</definedName>
    <definedName name="\w">[1]CE90PU26!$IV$8192</definedName>
    <definedName name="\x">[1]CE90PU25!$C$101</definedName>
    <definedName name="\y">[1]CE90PU25!$IE$255</definedName>
    <definedName name="\z">[1]CEN90PU8!$IN$102</definedName>
    <definedName name="_1" localSheetId="16">#REF!</definedName>
    <definedName name="_1" localSheetId="14">#REF!</definedName>
    <definedName name="_1" localSheetId="10">#REF!</definedName>
    <definedName name="_1" localSheetId="9">#REF!</definedName>
    <definedName name="_1">#REF!</definedName>
    <definedName name="_2" localSheetId="16">#REF!</definedName>
    <definedName name="_2" localSheetId="14">#REF!</definedName>
    <definedName name="_2" localSheetId="10">#REF!</definedName>
    <definedName name="_2" localSheetId="9">#REF!</definedName>
    <definedName name="_2">#REF!</definedName>
    <definedName name="_3" localSheetId="16">#REF!</definedName>
    <definedName name="_3" localSheetId="14">#REF!</definedName>
    <definedName name="_3" localSheetId="10">#REF!</definedName>
    <definedName name="_3" localSheetId="9">#REF!</definedName>
    <definedName name="_3">#REF!</definedName>
    <definedName name="_4" localSheetId="16">#REF!</definedName>
    <definedName name="_4" localSheetId="14">#REF!</definedName>
    <definedName name="_4" localSheetId="10">#REF!</definedName>
    <definedName name="_4" localSheetId="9">#REF!</definedName>
    <definedName name="_4">#REF!</definedName>
    <definedName name="_5" localSheetId="16">#REF!</definedName>
    <definedName name="_5" localSheetId="14">#REF!</definedName>
    <definedName name="_5" localSheetId="10">#REF!</definedName>
    <definedName name="_5" localSheetId="9">#REF!</definedName>
    <definedName name="_5">#REF!</definedName>
    <definedName name="_Fill" localSheetId="16" hidden="1">#REF!</definedName>
    <definedName name="_Fill" localSheetId="14" hidden="1">#REF!</definedName>
    <definedName name="_Fill" localSheetId="10" hidden="1">#REF!</definedName>
    <definedName name="_Fill" localSheetId="9" hidden="1">#REF!</definedName>
    <definedName name="_Fill" hidden="1">#REF!</definedName>
    <definedName name="_xlnm._FilterDatabase" localSheetId="17" hidden="1">Hoja1!$B$19:$F$34</definedName>
    <definedName name="_xlnm._FilterDatabase" localSheetId="2" hidden="1">Mortalidad!$A$2:$Z$53</definedName>
    <definedName name="_xlnm._FilterDatabase" localSheetId="4" hidden="1">'Mortalidad F'!$A$2:$Z$19</definedName>
    <definedName name="_xlnm._FilterDatabase" localSheetId="3" hidden="1">'Mortalidad M'!$A$2:$Z$19</definedName>
    <definedName name="_xlnm._FilterDatabase" localSheetId="10" hidden="1">'Muertes por Edad F'!#REF!</definedName>
    <definedName name="_xlnm._FilterDatabase" localSheetId="9" hidden="1">'Muertes por Edad M'!#REF!</definedName>
    <definedName name="_xlnm._FilterDatabase" localSheetId="6" hidden="1">'Población F'!$B$2:$F$197</definedName>
    <definedName name="_xlnm._FilterDatabase" localSheetId="5" hidden="1">'Población M'!$B$2:$F$197</definedName>
    <definedName name="_xlnm._FilterDatabase" localSheetId="8" hidden="1">'Población por Edad F'!#REF!</definedName>
    <definedName name="_xlnm._FilterDatabase" localSheetId="7" hidden="1">'Población por Edad M'!#REF!</definedName>
    <definedName name="_Key1" localSheetId="15" hidden="1">#REF!</definedName>
    <definedName name="_Key1" localSheetId="16" hidden="1">#REF!</definedName>
    <definedName name="_Key1" localSheetId="14" hidden="1">#REF!</definedName>
    <definedName name="_Key1" localSheetId="4" hidden="1">#REF!</definedName>
    <definedName name="_Key1" localSheetId="10" hidden="1">#REF!</definedName>
    <definedName name="_Key1" localSheetId="9" hidden="1">#REF!</definedName>
    <definedName name="_Key1" localSheetId="6" hidden="1">#REF!</definedName>
    <definedName name="_Key1" localSheetId="8" hidden="1">#REF!</definedName>
    <definedName name="_Key1" localSheetId="12" hidden="1">#REF!</definedName>
    <definedName name="_Key1" hidden="1">#REF!</definedName>
    <definedName name="_Order1" hidden="1">0</definedName>
    <definedName name="_PAS1" localSheetId="15">[2]Anaco!#REF!</definedName>
    <definedName name="_PAS1" localSheetId="16">[2]Anaco!#REF!</definedName>
    <definedName name="_PAS1" localSheetId="14">[2]Anaco!#REF!</definedName>
    <definedName name="_PAS1" localSheetId="4">[2]Anaco!#REF!</definedName>
    <definedName name="_PAS1" localSheetId="10">[2]Anaco!#REF!</definedName>
    <definedName name="_PAS1" localSheetId="9">[2]Anaco!#REF!</definedName>
    <definedName name="_PAS1" localSheetId="6">[2]Anaco!#REF!</definedName>
    <definedName name="_PAS1" localSheetId="8">[2]Anaco!#REF!</definedName>
    <definedName name="_PAS1" localSheetId="12">[2]Anaco!#REF!</definedName>
    <definedName name="_PAS1">[2]Anaco!#REF!</definedName>
    <definedName name="_PAS2" localSheetId="16">[2]Anaco!#REF!</definedName>
    <definedName name="_PAS2" localSheetId="14">[2]Anaco!#REF!</definedName>
    <definedName name="_PAS2" localSheetId="10">[2]Anaco!#REF!</definedName>
    <definedName name="_PAS2" localSheetId="9">[2]Anaco!#REF!</definedName>
    <definedName name="_PAS2">[2]Anaco!#REF!</definedName>
    <definedName name="_Sort" localSheetId="15" hidden="1">#REF!</definedName>
    <definedName name="_Sort" localSheetId="16" hidden="1">#REF!</definedName>
    <definedName name="_Sort" localSheetId="14" hidden="1">#REF!</definedName>
    <definedName name="_Sort" localSheetId="4" hidden="1">#REF!</definedName>
    <definedName name="_Sort" localSheetId="10" hidden="1">#REF!</definedName>
    <definedName name="_Sort" localSheetId="9" hidden="1">#REF!</definedName>
    <definedName name="_Sort" localSheetId="6" hidden="1">#REF!</definedName>
    <definedName name="_Sort" localSheetId="8" hidden="1">#REF!</definedName>
    <definedName name="_Sort" localSheetId="12" hidden="1">#REF!</definedName>
    <definedName name="_Sort" hidden="1">#REF!</definedName>
    <definedName name="_Table1_In1" localSheetId="16" hidden="1">#REF!</definedName>
    <definedName name="_Table1_In1" localSheetId="14" hidden="1">#REF!</definedName>
    <definedName name="_Table1_In1" localSheetId="10" hidden="1">#REF!</definedName>
    <definedName name="_Table1_In1" localSheetId="9" hidden="1">#REF!</definedName>
    <definedName name="_Table1_In1" hidden="1">#REF!</definedName>
    <definedName name="_Table1_Out" localSheetId="16" hidden="1">#REF!</definedName>
    <definedName name="_Table1_Out" localSheetId="14" hidden="1">#REF!</definedName>
    <definedName name="_Table1_Out" localSheetId="10" hidden="1">#REF!</definedName>
    <definedName name="_Table1_Out" localSheetId="9" hidden="1">#REF!</definedName>
    <definedName name="_Table1_Out" hidden="1">#REF!</definedName>
    <definedName name="_xlnm.Print_Area" localSheetId="1">'info ine'!$A$1:$AD$304</definedName>
    <definedName name="_xlnm.Print_Area" localSheetId="0">Resumen!$A$1:$B$9</definedName>
    <definedName name="ddd" localSheetId="15">#REF!</definedName>
    <definedName name="ddd" localSheetId="16">#REF!</definedName>
    <definedName name="ddd" localSheetId="14">#REF!</definedName>
    <definedName name="ddd" localSheetId="4">#REF!</definedName>
    <definedName name="ddd" localSheetId="10">#REF!</definedName>
    <definedName name="ddd" localSheetId="9">#REF!</definedName>
    <definedName name="ddd" localSheetId="6">#REF!</definedName>
    <definedName name="ddd" localSheetId="8">#REF!</definedName>
    <definedName name="ddd" localSheetId="12">#REF!</definedName>
    <definedName name="ddd">#REF!</definedName>
    <definedName name="Muertes_por_Edad_F" localSheetId="16">#REF!</definedName>
    <definedName name="Muertes_por_Edad_F" localSheetId="14">#REF!</definedName>
    <definedName name="Muertes_por_Edad_F">#REF!</definedName>
    <definedName name="PAS" localSheetId="15">[2]Anaco!#REF!</definedName>
    <definedName name="PAS" localSheetId="16">[2]Anaco!#REF!</definedName>
    <definedName name="PAS" localSheetId="14">[2]Anaco!#REF!</definedName>
    <definedName name="PAS" localSheetId="4">[2]Anaco!#REF!</definedName>
    <definedName name="PAS" localSheetId="10">[2]Anaco!#REF!</definedName>
    <definedName name="PAS" localSheetId="9">[2]Anaco!#REF!</definedName>
    <definedName name="PAS" localSheetId="6">[2]Anaco!#REF!</definedName>
    <definedName name="PAS" localSheetId="8">[2]Anaco!#REF!</definedName>
    <definedName name="PAS" localSheetId="12">[2]Anaco!#REF!</definedName>
    <definedName name="PAS">[2]Anaco!#REF!</definedName>
    <definedName name="PRINT_TITLES" localSheetId="15">#REF!</definedName>
    <definedName name="PRINT_TITLES" localSheetId="16">#REF!</definedName>
    <definedName name="PRINT_TITLES" localSheetId="14">#REF!</definedName>
    <definedName name="PRINT_TITLES" localSheetId="4">#REF!</definedName>
    <definedName name="PRINT_TITLES" localSheetId="10">#REF!</definedName>
    <definedName name="PRINT_TITLES" localSheetId="9">#REF!</definedName>
    <definedName name="PRINT_TITLES" localSheetId="6">#REF!</definedName>
    <definedName name="PRINT_TITLES" localSheetId="8">#REF!</definedName>
    <definedName name="PRINT_TITLES" localSheetId="12">#REF!</definedName>
    <definedName name="PRINT_TITLES">#REF!</definedName>
    <definedName name="PRINT_TITLES_MI" localSheetId="16">#REF!</definedName>
    <definedName name="PRINT_TITLES_MI" localSheetId="14">#REF!</definedName>
    <definedName name="PRINT_TITLES_MI" localSheetId="10">#REF!</definedName>
    <definedName name="PRINT_TITLES_MI" localSheetId="9">#REF!</definedName>
    <definedName name="PRINT_TITLES_MI">#REF!</definedName>
    <definedName name="_xlnm.Print_Titles" localSheetId="1">'info ine'!$A$1:$A$65536,'info ine'!$A$1:$IW$6</definedName>
  </definedNames>
  <calcPr calcId="124519" concurrentCalc="0"/>
  <pivotCaches>
    <pivotCache cacheId="6" r:id="rId21"/>
    <pivotCache cacheId="7" r:id="rId22"/>
  </pivotCaches>
</workbook>
</file>

<file path=xl/calcChain.xml><?xml version="1.0" encoding="utf-8"?>
<calcChain xmlns="http://schemas.openxmlformats.org/spreadsheetml/2006/main">
  <c r="U8" i="18"/>
  <c r="U9"/>
  <c r="U10"/>
  <c r="U11"/>
  <c r="U12"/>
  <c r="U13"/>
  <c r="U14"/>
  <c r="U15"/>
  <c r="U16"/>
  <c r="U17"/>
  <c r="U18"/>
  <c r="U19"/>
  <c r="U20"/>
  <c r="U21"/>
  <c r="U22"/>
  <c r="U23"/>
  <c r="U24"/>
  <c r="U25"/>
  <c r="U26"/>
  <c r="U27"/>
  <c r="U28"/>
  <c r="U29"/>
  <c r="U30"/>
  <c r="U31"/>
  <c r="U32"/>
  <c r="U33"/>
  <c r="U34"/>
  <c r="U35"/>
  <c r="U36"/>
  <c r="U37"/>
  <c r="U38"/>
  <c r="U39"/>
  <c r="U40"/>
  <c r="U41"/>
  <c r="U42"/>
  <c r="U43"/>
  <c r="U44"/>
  <c r="U45"/>
  <c r="U46"/>
  <c r="U47"/>
  <c r="U48"/>
  <c r="U49"/>
  <c r="U50"/>
  <c r="U51"/>
  <c r="U52"/>
  <c r="U53"/>
  <c r="U54"/>
  <c r="U55"/>
  <c r="U56"/>
  <c r="U57"/>
  <c r="U58"/>
  <c r="U59"/>
  <c r="U60"/>
  <c r="U61"/>
  <c r="U62"/>
  <c r="U63"/>
  <c r="U64"/>
  <c r="U65"/>
  <c r="U66"/>
  <c r="U67"/>
  <c r="U68"/>
  <c r="U69"/>
  <c r="U70"/>
  <c r="U71"/>
  <c r="U72"/>
  <c r="U73"/>
  <c r="U74"/>
  <c r="U75"/>
  <c r="U76"/>
  <c r="U77"/>
  <c r="U78"/>
  <c r="U79"/>
  <c r="U80"/>
  <c r="U81"/>
  <c r="U82"/>
  <c r="U83"/>
  <c r="U84"/>
  <c r="U85"/>
  <c r="U86"/>
  <c r="U87"/>
  <c r="U88"/>
  <c r="U89"/>
  <c r="U90"/>
  <c r="U91"/>
  <c r="U92"/>
  <c r="U93"/>
  <c r="U94"/>
  <c r="U95"/>
  <c r="U96"/>
  <c r="U97"/>
  <c r="U98"/>
  <c r="U99"/>
  <c r="U100"/>
  <c r="U101"/>
  <c r="U7"/>
  <c r="B85" i="22" l="1"/>
  <c r="B86"/>
  <c r="B87"/>
  <c r="B88"/>
  <c r="B89"/>
  <c r="B90"/>
  <c r="B91"/>
  <c r="B92"/>
  <c r="B93"/>
  <c r="B94"/>
  <c r="B95"/>
  <c r="B96"/>
  <c r="B97"/>
  <c r="B98"/>
  <c r="B99"/>
  <c r="B100"/>
  <c r="B101"/>
  <c r="B102"/>
  <c r="B103"/>
  <c r="B104"/>
  <c r="B85" i="21"/>
  <c r="B86"/>
  <c r="B87"/>
  <c r="B88"/>
  <c r="B89"/>
  <c r="B90"/>
  <c r="B91"/>
  <c r="B92"/>
  <c r="B93"/>
  <c r="B94"/>
  <c r="B95"/>
  <c r="B96"/>
  <c r="B97"/>
  <c r="B98"/>
  <c r="B99"/>
  <c r="B100"/>
  <c r="B101"/>
  <c r="B102"/>
  <c r="B103"/>
  <c r="B104"/>
  <c r="B10" i="9"/>
  <c r="B11"/>
  <c r="B12"/>
  <c r="B13"/>
  <c r="B14"/>
  <c r="B15"/>
  <c r="B16"/>
  <c r="B17"/>
  <c r="B18"/>
  <c r="B19"/>
  <c r="B20"/>
  <c r="T20" s="1"/>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62"/>
  <c r="B63"/>
  <c r="B64"/>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AD86" i="22" l="1"/>
  <c r="AD90"/>
  <c r="AD94"/>
  <c r="AD98"/>
  <c r="AD102"/>
  <c r="Z86" i="21"/>
  <c r="H87"/>
  <c r="V90"/>
  <c r="Z91"/>
  <c r="AD95"/>
  <c r="V99"/>
  <c r="P103"/>
  <c r="AD87" i="22"/>
  <c r="AD91"/>
  <c r="AD95"/>
  <c r="AD99"/>
  <c r="AD103"/>
  <c r="Z118"/>
  <c r="Z117"/>
  <c r="Z116"/>
  <c r="AF115"/>
  <c r="Z115"/>
  <c r="AF114"/>
  <c r="Z114"/>
  <c r="AF113"/>
  <c r="AB113"/>
  <c r="Z113"/>
  <c r="AF112"/>
  <c r="AB112"/>
  <c r="Z112"/>
  <c r="AF111"/>
  <c r="AB111"/>
  <c r="Z111"/>
  <c r="AF110"/>
  <c r="AB110"/>
  <c r="Z110"/>
  <c r="AF109"/>
  <c r="AB109"/>
  <c r="Z109"/>
  <c r="AF108"/>
  <c r="AB108"/>
  <c r="Z108"/>
  <c r="H108"/>
  <c r="AF107"/>
  <c r="AB107"/>
  <c r="Z107"/>
  <c r="H107"/>
  <c r="AF106"/>
  <c r="AB106"/>
  <c r="Z106"/>
  <c r="H106"/>
  <c r="AF105"/>
  <c r="AD105"/>
  <c r="AB105"/>
  <c r="Z105"/>
  <c r="H105"/>
  <c r="AF104"/>
  <c r="AD101"/>
  <c r="AD100"/>
  <c r="AD97"/>
  <c r="AD96"/>
  <c r="AD93"/>
  <c r="AD92"/>
  <c r="AD89"/>
  <c r="AD88"/>
  <c r="AD85"/>
  <c r="V88" i="21"/>
  <c r="AD89"/>
  <c r="AF91"/>
  <c r="N92"/>
  <c r="V93"/>
  <c r="AD96"/>
  <c r="P97"/>
  <c r="AF100"/>
  <c r="AF101"/>
  <c r="AD85"/>
  <c r="AF88"/>
  <c r="V91"/>
  <c r="AF92"/>
  <c r="AD93"/>
  <c r="AF96"/>
  <c r="AD97"/>
  <c r="AD101"/>
  <c r="AB104"/>
  <c r="X118"/>
  <c r="X117"/>
  <c r="X116"/>
  <c r="X115"/>
  <c r="X114"/>
  <c r="AB113"/>
  <c r="X113"/>
  <c r="AD112"/>
  <c r="AB112"/>
  <c r="X112"/>
  <c r="AD111"/>
  <c r="AB111"/>
  <c r="X111"/>
  <c r="AD110"/>
  <c r="AB110"/>
  <c r="X110"/>
  <c r="AD109"/>
  <c r="AB109"/>
  <c r="X109"/>
  <c r="AF108"/>
  <c r="AD108"/>
  <c r="AB108"/>
  <c r="X108"/>
  <c r="AF107"/>
  <c r="AD107"/>
  <c r="AB107"/>
  <c r="X107"/>
  <c r="AF106"/>
  <c r="AD106"/>
  <c r="AB106"/>
  <c r="X106"/>
  <c r="AF105"/>
  <c r="AD105"/>
  <c r="AB105"/>
  <c r="Z105"/>
  <c r="X105"/>
  <c r="H105"/>
  <c r="AF104"/>
  <c r="Z104"/>
  <c r="X104"/>
  <c r="H103"/>
  <c r="X101"/>
  <c r="V101"/>
  <c r="P101"/>
  <c r="F101"/>
  <c r="Z101"/>
  <c r="AD100"/>
  <c r="V100"/>
  <c r="N100"/>
  <c r="H100"/>
  <c r="N99"/>
  <c r="AF97"/>
  <c r="X97"/>
  <c r="V97"/>
  <c r="H97"/>
  <c r="F97"/>
  <c r="Z97"/>
  <c r="X96"/>
  <c r="V96"/>
  <c r="N96"/>
  <c r="F96"/>
  <c r="P95"/>
  <c r="AF93"/>
  <c r="X93"/>
  <c r="P93"/>
  <c r="H93"/>
  <c r="F93"/>
  <c r="AD92"/>
  <c r="X92"/>
  <c r="V92"/>
  <c r="H92"/>
  <c r="F92"/>
  <c r="X91"/>
  <c r="AF89"/>
  <c r="V89"/>
  <c r="P89"/>
  <c r="H89"/>
  <c r="Z89"/>
  <c r="AD88"/>
  <c r="X88"/>
  <c r="N88"/>
  <c r="H88"/>
  <c r="F88"/>
  <c r="P86"/>
  <c r="AF85"/>
  <c r="X85"/>
  <c r="V85"/>
  <c r="P85"/>
  <c r="H85"/>
  <c r="F85"/>
  <c r="Z85"/>
  <c r="F90" l="1"/>
  <c r="AD102"/>
  <c r="N102"/>
  <c r="AF102"/>
  <c r="P102"/>
  <c r="Z102"/>
  <c r="V102"/>
  <c r="F102"/>
  <c r="X98"/>
  <c r="H98"/>
  <c r="AD98"/>
  <c r="N98"/>
  <c r="AF98"/>
  <c r="P98"/>
  <c r="Z98"/>
  <c r="X94"/>
  <c r="H94"/>
  <c r="AD94"/>
  <c r="N94"/>
  <c r="AF94"/>
  <c r="P94"/>
  <c r="Z94"/>
  <c r="AF86"/>
  <c r="F94"/>
  <c r="X90"/>
  <c r="H90"/>
  <c r="AD90"/>
  <c r="N90"/>
  <c r="AF90"/>
  <c r="P90"/>
  <c r="Z90"/>
  <c r="V98"/>
  <c r="X102"/>
  <c r="V86"/>
  <c r="F86"/>
  <c r="X86"/>
  <c r="H86"/>
  <c r="AD86"/>
  <c r="N86"/>
  <c r="V94"/>
  <c r="F98"/>
  <c r="H102"/>
  <c r="AF99"/>
  <c r="AD103"/>
  <c r="AD87"/>
  <c r="P87"/>
  <c r="D85" i="22"/>
  <c r="L85"/>
  <c r="T85"/>
  <c r="AB85"/>
  <c r="D86"/>
  <c r="L86"/>
  <c r="T86"/>
  <c r="AB86"/>
  <c r="D87"/>
  <c r="L87"/>
  <c r="T87"/>
  <c r="AB87"/>
  <c r="D88"/>
  <c r="L88"/>
  <c r="T88"/>
  <c r="AB88"/>
  <c r="D89"/>
  <c r="L89"/>
  <c r="T89"/>
  <c r="AB89"/>
  <c r="D90"/>
  <c r="L90"/>
  <c r="T90"/>
  <c r="AB90"/>
  <c r="D91"/>
  <c r="L91"/>
  <c r="T91"/>
  <c r="AB91"/>
  <c r="D92"/>
  <c r="L92"/>
  <c r="T92"/>
  <c r="AB92"/>
  <c r="D93"/>
  <c r="L93"/>
  <c r="T93"/>
  <c r="AB93"/>
  <c r="D94"/>
  <c r="L94"/>
  <c r="T94"/>
  <c r="AB94"/>
  <c r="D95"/>
  <c r="L95"/>
  <c r="T95"/>
  <c r="AB95"/>
  <c r="D96"/>
  <c r="L96"/>
  <c r="T96"/>
  <c r="AB96"/>
  <c r="D97"/>
  <c r="L97"/>
  <c r="T97"/>
  <c r="AB97"/>
  <c r="D98"/>
  <c r="L98"/>
  <c r="T98"/>
  <c r="AB98"/>
  <c r="D99"/>
  <c r="L99"/>
  <c r="T99"/>
  <c r="AB99"/>
  <c r="D100"/>
  <c r="L100"/>
  <c r="T100"/>
  <c r="AB100"/>
  <c r="D101"/>
  <c r="L101"/>
  <c r="T101"/>
  <c r="AB101"/>
  <c r="D102"/>
  <c r="L102"/>
  <c r="T102"/>
  <c r="AB102"/>
  <c r="D103"/>
  <c r="L103"/>
  <c r="T103"/>
  <c r="AB103"/>
  <c r="H104"/>
  <c r="AD104"/>
  <c r="J85"/>
  <c r="R85"/>
  <c r="Z85"/>
  <c r="J86"/>
  <c r="R86"/>
  <c r="Z86"/>
  <c r="J87"/>
  <c r="R87"/>
  <c r="Z87"/>
  <c r="J88"/>
  <c r="R88"/>
  <c r="Z88"/>
  <c r="J89"/>
  <c r="R89"/>
  <c r="Z89"/>
  <c r="J90"/>
  <c r="R90"/>
  <c r="Z90"/>
  <c r="J91"/>
  <c r="R91"/>
  <c r="Z91"/>
  <c r="J92"/>
  <c r="R92"/>
  <c r="Z92"/>
  <c r="J93"/>
  <c r="R93"/>
  <c r="Z93"/>
  <c r="J94"/>
  <c r="R94"/>
  <c r="Z94"/>
  <c r="J95"/>
  <c r="R95"/>
  <c r="Z95"/>
  <c r="J96"/>
  <c r="R96"/>
  <c r="Z96"/>
  <c r="J97"/>
  <c r="R97"/>
  <c r="Z97"/>
  <c r="J98"/>
  <c r="R98"/>
  <c r="Z98"/>
  <c r="J99"/>
  <c r="R99"/>
  <c r="Z99"/>
  <c r="J100"/>
  <c r="R100"/>
  <c r="Z100"/>
  <c r="J101"/>
  <c r="R101"/>
  <c r="Z101"/>
  <c r="J102"/>
  <c r="R102"/>
  <c r="Z102"/>
  <c r="J103"/>
  <c r="R103"/>
  <c r="Z103"/>
  <c r="AB104"/>
  <c r="H85"/>
  <c r="P85"/>
  <c r="X85"/>
  <c r="AF85"/>
  <c r="H86"/>
  <c r="P86"/>
  <c r="X86"/>
  <c r="AF86"/>
  <c r="H87"/>
  <c r="P87"/>
  <c r="X87"/>
  <c r="AF87"/>
  <c r="H88"/>
  <c r="P88"/>
  <c r="X88"/>
  <c r="AF88"/>
  <c r="H89"/>
  <c r="P89"/>
  <c r="X89"/>
  <c r="AF89"/>
  <c r="H90"/>
  <c r="P90"/>
  <c r="X90"/>
  <c r="AF90"/>
  <c r="H91"/>
  <c r="P91"/>
  <c r="X91"/>
  <c r="AF91"/>
  <c r="H92"/>
  <c r="P92"/>
  <c r="X92"/>
  <c r="AF92"/>
  <c r="H93"/>
  <c r="P93"/>
  <c r="X93"/>
  <c r="AF93"/>
  <c r="H94"/>
  <c r="P94"/>
  <c r="X94"/>
  <c r="AF94"/>
  <c r="H95"/>
  <c r="P95"/>
  <c r="X95"/>
  <c r="AF95"/>
  <c r="H96"/>
  <c r="P96"/>
  <c r="X96"/>
  <c r="AF96"/>
  <c r="H97"/>
  <c r="P97"/>
  <c r="X97"/>
  <c r="AF97"/>
  <c r="H98"/>
  <c r="P98"/>
  <c r="X98"/>
  <c r="AF98"/>
  <c r="H99"/>
  <c r="P99"/>
  <c r="X99"/>
  <c r="AF99"/>
  <c r="H100"/>
  <c r="P100"/>
  <c r="X100"/>
  <c r="AF100"/>
  <c r="H101"/>
  <c r="P101"/>
  <c r="X101"/>
  <c r="AF101"/>
  <c r="H102"/>
  <c r="P102"/>
  <c r="X102"/>
  <c r="AF102"/>
  <c r="H103"/>
  <c r="P103"/>
  <c r="X103"/>
  <c r="AF103"/>
  <c r="Z104"/>
  <c r="F85"/>
  <c r="N85"/>
  <c r="V85"/>
  <c r="F86"/>
  <c r="N86"/>
  <c r="V86"/>
  <c r="F87"/>
  <c r="N87"/>
  <c r="V87"/>
  <c r="F88"/>
  <c r="N88"/>
  <c r="V88"/>
  <c r="F89"/>
  <c r="N89"/>
  <c r="V89"/>
  <c r="F90"/>
  <c r="N90"/>
  <c r="V90"/>
  <c r="F91"/>
  <c r="N91"/>
  <c r="V91"/>
  <c r="F92"/>
  <c r="N92"/>
  <c r="V92"/>
  <c r="F93"/>
  <c r="N93"/>
  <c r="V93"/>
  <c r="F94"/>
  <c r="N94"/>
  <c r="V94"/>
  <c r="F95"/>
  <c r="N95"/>
  <c r="V95"/>
  <c r="F96"/>
  <c r="N96"/>
  <c r="V96"/>
  <c r="F97"/>
  <c r="N97"/>
  <c r="V97"/>
  <c r="F98"/>
  <c r="N98"/>
  <c r="V98"/>
  <c r="F99"/>
  <c r="N99"/>
  <c r="V99"/>
  <c r="F100"/>
  <c r="N100"/>
  <c r="V100"/>
  <c r="F101"/>
  <c r="N101"/>
  <c r="V101"/>
  <c r="F102"/>
  <c r="N102"/>
  <c r="V102"/>
  <c r="F103"/>
  <c r="N103"/>
  <c r="V103"/>
  <c r="J104"/>
  <c r="N87" i="21"/>
  <c r="AF87"/>
  <c r="F89"/>
  <c r="X89"/>
  <c r="H91"/>
  <c r="AD91"/>
  <c r="Z93"/>
  <c r="Z95"/>
  <c r="X95"/>
  <c r="H96"/>
  <c r="P99"/>
  <c r="F100"/>
  <c r="X100"/>
  <c r="H101"/>
  <c r="N103"/>
  <c r="AF103"/>
  <c r="V95"/>
  <c r="Z87"/>
  <c r="X87"/>
  <c r="P91"/>
  <c r="N95"/>
  <c r="AF95"/>
  <c r="H99"/>
  <c r="AD99"/>
  <c r="Z103"/>
  <c r="X103"/>
  <c r="V103"/>
  <c r="V87"/>
  <c r="N91"/>
  <c r="H95"/>
  <c r="Z99"/>
  <c r="X99"/>
  <c r="N85"/>
  <c r="F87"/>
  <c r="Z88"/>
  <c r="P88"/>
  <c r="N89"/>
  <c r="F91"/>
  <c r="Z92"/>
  <c r="P92"/>
  <c r="N93"/>
  <c r="F95"/>
  <c r="Z96"/>
  <c r="P96"/>
  <c r="N97"/>
  <c r="F99"/>
  <c r="Z100"/>
  <c r="P100"/>
  <c r="N101"/>
  <c r="F103"/>
  <c r="D85"/>
  <c r="L85"/>
  <c r="T85"/>
  <c r="AB85"/>
  <c r="D86"/>
  <c r="L86"/>
  <c r="T86"/>
  <c r="AB86"/>
  <c r="D87"/>
  <c r="L87"/>
  <c r="T87"/>
  <c r="AB87"/>
  <c r="D88"/>
  <c r="L88"/>
  <c r="T88"/>
  <c r="AB88"/>
  <c r="D89"/>
  <c r="L89"/>
  <c r="T89"/>
  <c r="AB89"/>
  <c r="D90"/>
  <c r="L90"/>
  <c r="T90"/>
  <c r="AB90"/>
  <c r="D91"/>
  <c r="L91"/>
  <c r="T91"/>
  <c r="AB91"/>
  <c r="D92"/>
  <c r="L92"/>
  <c r="T92"/>
  <c r="AB92"/>
  <c r="D93"/>
  <c r="L93"/>
  <c r="T93"/>
  <c r="AB93"/>
  <c r="D94"/>
  <c r="L94"/>
  <c r="T94"/>
  <c r="AB94"/>
  <c r="D95"/>
  <c r="L95"/>
  <c r="T95"/>
  <c r="AB95"/>
  <c r="D96"/>
  <c r="L96"/>
  <c r="T96"/>
  <c r="AB96"/>
  <c r="D97"/>
  <c r="L97"/>
  <c r="T97"/>
  <c r="AB97"/>
  <c r="D98"/>
  <c r="L98"/>
  <c r="T98"/>
  <c r="AB98"/>
  <c r="D99"/>
  <c r="L99"/>
  <c r="T99"/>
  <c r="AB99"/>
  <c r="D100"/>
  <c r="L100"/>
  <c r="T100"/>
  <c r="AB100"/>
  <c r="D101"/>
  <c r="L101"/>
  <c r="T101"/>
  <c r="AB101"/>
  <c r="D102"/>
  <c r="L102"/>
  <c r="T102"/>
  <c r="AB102"/>
  <c r="D103"/>
  <c r="L103"/>
  <c r="T103"/>
  <c r="AB103"/>
  <c r="H104"/>
  <c r="AD104"/>
  <c r="J85"/>
  <c r="R85"/>
  <c r="J86"/>
  <c r="R86"/>
  <c r="J87"/>
  <c r="R87"/>
  <c r="J88"/>
  <c r="R88"/>
  <c r="J89"/>
  <c r="R89"/>
  <c r="J90"/>
  <c r="R90"/>
  <c r="J91"/>
  <c r="R91"/>
  <c r="J92"/>
  <c r="R92"/>
  <c r="J93"/>
  <c r="R93"/>
  <c r="J94"/>
  <c r="R94"/>
  <c r="J95"/>
  <c r="R95"/>
  <c r="J96"/>
  <c r="R96"/>
  <c r="J97"/>
  <c r="R97"/>
  <c r="J98"/>
  <c r="R98"/>
  <c r="J99"/>
  <c r="R99"/>
  <c r="J100"/>
  <c r="R100"/>
  <c r="J101"/>
  <c r="R101"/>
  <c r="J102"/>
  <c r="R102"/>
  <c r="J103"/>
  <c r="R103"/>
  <c r="B7" i="18"/>
  <c r="C7"/>
  <c r="D7"/>
  <c r="E7"/>
  <c r="F7"/>
  <c r="G7"/>
  <c r="B10" i="22" s="1"/>
  <c r="H7" i="18"/>
  <c r="I7"/>
  <c r="J7"/>
  <c r="K7"/>
  <c r="L7"/>
  <c r="M7"/>
  <c r="N7"/>
  <c r="O7"/>
  <c r="P7"/>
  <c r="Q7"/>
  <c r="R7"/>
  <c r="B8"/>
  <c r="C8"/>
  <c r="D8"/>
  <c r="E8"/>
  <c r="F8"/>
  <c r="G8"/>
  <c r="B11" i="22" s="1"/>
  <c r="H8" i="18"/>
  <c r="I8"/>
  <c r="J8"/>
  <c r="K8"/>
  <c r="L8"/>
  <c r="M8"/>
  <c r="N8"/>
  <c r="O8"/>
  <c r="P8"/>
  <c r="Q8"/>
  <c r="R8"/>
  <c r="B9"/>
  <c r="C9"/>
  <c r="D9"/>
  <c r="E9"/>
  <c r="F9"/>
  <c r="G9"/>
  <c r="B12" i="22" s="1"/>
  <c r="H9" i="18"/>
  <c r="I9"/>
  <c r="J9"/>
  <c r="K9"/>
  <c r="L9"/>
  <c r="M9"/>
  <c r="N9"/>
  <c r="O9"/>
  <c r="P9"/>
  <c r="Q9"/>
  <c r="R9"/>
  <c r="B10"/>
  <c r="C10"/>
  <c r="D10"/>
  <c r="E10"/>
  <c r="F10"/>
  <c r="G10"/>
  <c r="B13" i="22" s="1"/>
  <c r="H10" i="18"/>
  <c r="I10"/>
  <c r="J10"/>
  <c r="K10"/>
  <c r="L10"/>
  <c r="M10"/>
  <c r="N10"/>
  <c r="O10"/>
  <c r="P10"/>
  <c r="Q10"/>
  <c r="R10"/>
  <c r="B11"/>
  <c r="C11"/>
  <c r="D11"/>
  <c r="E11"/>
  <c r="F11"/>
  <c r="G11"/>
  <c r="B14" i="22" s="1"/>
  <c r="H11" i="18"/>
  <c r="I11"/>
  <c r="J11"/>
  <c r="K11"/>
  <c r="L11"/>
  <c r="M11"/>
  <c r="N11"/>
  <c r="O11"/>
  <c r="P11"/>
  <c r="Q11"/>
  <c r="R11"/>
  <c r="B12"/>
  <c r="C12"/>
  <c r="D12"/>
  <c r="E12"/>
  <c r="F12"/>
  <c r="G12"/>
  <c r="B15" i="22" s="1"/>
  <c r="H12" i="18"/>
  <c r="I12"/>
  <c r="J12"/>
  <c r="K12"/>
  <c r="L12"/>
  <c r="M12"/>
  <c r="N12"/>
  <c r="O12"/>
  <c r="P12"/>
  <c r="Q12"/>
  <c r="R12"/>
  <c r="B13"/>
  <c r="C13"/>
  <c r="D13"/>
  <c r="E13"/>
  <c r="F13"/>
  <c r="G13"/>
  <c r="B16" i="22" s="1"/>
  <c r="H13" i="18"/>
  <c r="I13"/>
  <c r="J13"/>
  <c r="K13"/>
  <c r="L13"/>
  <c r="M13"/>
  <c r="N13"/>
  <c r="O13"/>
  <c r="P13"/>
  <c r="Q13"/>
  <c r="R13"/>
  <c r="B14"/>
  <c r="C14"/>
  <c r="D14"/>
  <c r="E14"/>
  <c r="F14"/>
  <c r="G14"/>
  <c r="B17" i="22" s="1"/>
  <c r="H14" i="18"/>
  <c r="I14"/>
  <c r="J14"/>
  <c r="K14"/>
  <c r="L14"/>
  <c r="M14"/>
  <c r="N14"/>
  <c r="O14"/>
  <c r="P14"/>
  <c r="Q14"/>
  <c r="R14"/>
  <c r="B15"/>
  <c r="C15"/>
  <c r="D15"/>
  <c r="E15"/>
  <c r="F15"/>
  <c r="G15"/>
  <c r="B18" i="22" s="1"/>
  <c r="H18" s="1"/>
  <c r="H15" i="18"/>
  <c r="I15"/>
  <c r="J15"/>
  <c r="K15"/>
  <c r="L15"/>
  <c r="M15"/>
  <c r="N15"/>
  <c r="O15"/>
  <c r="P15"/>
  <c r="Q15"/>
  <c r="R15"/>
  <c r="B16"/>
  <c r="C16"/>
  <c r="D16"/>
  <c r="E16"/>
  <c r="F16"/>
  <c r="G16"/>
  <c r="B19" i="22" s="1"/>
  <c r="H16" i="18"/>
  <c r="I16"/>
  <c r="J16"/>
  <c r="K16"/>
  <c r="L16"/>
  <c r="M16"/>
  <c r="N16"/>
  <c r="O16"/>
  <c r="P16"/>
  <c r="Q16"/>
  <c r="R16"/>
  <c r="B17"/>
  <c r="C17"/>
  <c r="D17"/>
  <c r="E17"/>
  <c r="F17"/>
  <c r="G17"/>
  <c r="B20" i="22" s="1"/>
  <c r="H17" i="18"/>
  <c r="I17"/>
  <c r="J17"/>
  <c r="K17"/>
  <c r="L17"/>
  <c r="M17"/>
  <c r="N17"/>
  <c r="O17"/>
  <c r="P17"/>
  <c r="Q17"/>
  <c r="R17"/>
  <c r="B18"/>
  <c r="C18"/>
  <c r="D18"/>
  <c r="E18"/>
  <c r="F18"/>
  <c r="G18"/>
  <c r="B21" i="22" s="1"/>
  <c r="H18" i="18"/>
  <c r="I18"/>
  <c r="J18"/>
  <c r="K18"/>
  <c r="L18"/>
  <c r="M18"/>
  <c r="N18"/>
  <c r="O18"/>
  <c r="P18"/>
  <c r="Q18"/>
  <c r="R18"/>
  <c r="B19"/>
  <c r="C19"/>
  <c r="D19"/>
  <c r="E19"/>
  <c r="F19"/>
  <c r="G19"/>
  <c r="B22" i="22" s="1"/>
  <c r="H19" i="18"/>
  <c r="I19"/>
  <c r="J19"/>
  <c r="K19"/>
  <c r="L19"/>
  <c r="M19"/>
  <c r="N19"/>
  <c r="O19"/>
  <c r="P19"/>
  <c r="Q19"/>
  <c r="R19"/>
  <c r="B20"/>
  <c r="C20"/>
  <c r="D20"/>
  <c r="E20"/>
  <c r="F20"/>
  <c r="G20"/>
  <c r="B23" i="22" s="1"/>
  <c r="H20" i="18"/>
  <c r="I20"/>
  <c r="J20"/>
  <c r="K20"/>
  <c r="L20"/>
  <c r="M20"/>
  <c r="N20"/>
  <c r="O20"/>
  <c r="P20"/>
  <c r="Q20"/>
  <c r="R20"/>
  <c r="B21"/>
  <c r="C21"/>
  <c r="D21"/>
  <c r="E21"/>
  <c r="F21"/>
  <c r="G21"/>
  <c r="B24" i="22" s="1"/>
  <c r="H21" i="18"/>
  <c r="I21"/>
  <c r="J21"/>
  <c r="K21"/>
  <c r="L21"/>
  <c r="M21"/>
  <c r="N21"/>
  <c r="O21"/>
  <c r="P21"/>
  <c r="Q21"/>
  <c r="R21"/>
  <c r="B22"/>
  <c r="C22"/>
  <c r="D22"/>
  <c r="E22"/>
  <c r="F22"/>
  <c r="G22"/>
  <c r="B25" i="22" s="1"/>
  <c r="H22" i="18"/>
  <c r="I22"/>
  <c r="J22"/>
  <c r="K22"/>
  <c r="L22"/>
  <c r="M22"/>
  <c r="N22"/>
  <c r="O22"/>
  <c r="P22"/>
  <c r="Q22"/>
  <c r="R22"/>
  <c r="B23"/>
  <c r="C23"/>
  <c r="D23"/>
  <c r="E23"/>
  <c r="F23"/>
  <c r="G23"/>
  <c r="B26" i="22" s="1"/>
  <c r="F26" s="1"/>
  <c r="H23" i="18"/>
  <c r="I23"/>
  <c r="J23"/>
  <c r="K23"/>
  <c r="L23"/>
  <c r="M23"/>
  <c r="N23"/>
  <c r="O23"/>
  <c r="P23"/>
  <c r="Q23"/>
  <c r="R23"/>
  <c r="B24"/>
  <c r="C24"/>
  <c r="D24"/>
  <c r="E24"/>
  <c r="F24"/>
  <c r="G24"/>
  <c r="B27" i="22" s="1"/>
  <c r="H24" i="18"/>
  <c r="I24"/>
  <c r="J24"/>
  <c r="K24"/>
  <c r="L24"/>
  <c r="M24"/>
  <c r="N24"/>
  <c r="O24"/>
  <c r="P24"/>
  <c r="Q24"/>
  <c r="R24"/>
  <c r="B25"/>
  <c r="C25"/>
  <c r="D25"/>
  <c r="E25"/>
  <c r="F25"/>
  <c r="G25"/>
  <c r="B28" i="22" s="1"/>
  <c r="H25" i="18"/>
  <c r="I25"/>
  <c r="J25"/>
  <c r="K25"/>
  <c r="L25"/>
  <c r="M25"/>
  <c r="N25"/>
  <c r="O25"/>
  <c r="P25"/>
  <c r="Q25"/>
  <c r="R25"/>
  <c r="B26"/>
  <c r="C26"/>
  <c r="D26"/>
  <c r="E26"/>
  <c r="F26"/>
  <c r="G26"/>
  <c r="B29" i="22" s="1"/>
  <c r="H26" i="18"/>
  <c r="I26"/>
  <c r="J26"/>
  <c r="K26"/>
  <c r="L26"/>
  <c r="M26"/>
  <c r="N26"/>
  <c r="O26"/>
  <c r="P26"/>
  <c r="Q26"/>
  <c r="R26"/>
  <c r="B27"/>
  <c r="C27"/>
  <c r="D27"/>
  <c r="E27"/>
  <c r="F27"/>
  <c r="G27"/>
  <c r="B30" i="22" s="1"/>
  <c r="H27" i="18"/>
  <c r="I27"/>
  <c r="J27"/>
  <c r="K27"/>
  <c r="L27"/>
  <c r="M27"/>
  <c r="N27"/>
  <c r="O27"/>
  <c r="P27"/>
  <c r="Q27"/>
  <c r="R27"/>
  <c r="B28"/>
  <c r="C28"/>
  <c r="D28"/>
  <c r="E28"/>
  <c r="F28"/>
  <c r="G28"/>
  <c r="B31" i="22" s="1"/>
  <c r="H28" i="18"/>
  <c r="I28"/>
  <c r="J28"/>
  <c r="K28"/>
  <c r="L28"/>
  <c r="M28"/>
  <c r="N28"/>
  <c r="O28"/>
  <c r="P28"/>
  <c r="Q28"/>
  <c r="R28"/>
  <c r="B29"/>
  <c r="C29"/>
  <c r="D29"/>
  <c r="E29"/>
  <c r="F29"/>
  <c r="G29"/>
  <c r="B32" i="22" s="1"/>
  <c r="AF32" s="1"/>
  <c r="H29" i="18"/>
  <c r="I29"/>
  <c r="J29"/>
  <c r="K29"/>
  <c r="L29"/>
  <c r="M29"/>
  <c r="N29"/>
  <c r="O29"/>
  <c r="P29"/>
  <c r="Q29"/>
  <c r="R29"/>
  <c r="B30"/>
  <c r="C30"/>
  <c r="D30"/>
  <c r="E30"/>
  <c r="F30"/>
  <c r="G30"/>
  <c r="B33" i="22" s="1"/>
  <c r="H30" i="18"/>
  <c r="I30"/>
  <c r="J30"/>
  <c r="K30"/>
  <c r="L30"/>
  <c r="M30"/>
  <c r="N30"/>
  <c r="O30"/>
  <c r="P30"/>
  <c r="Q30"/>
  <c r="R30"/>
  <c r="B31"/>
  <c r="C31"/>
  <c r="D31"/>
  <c r="E31"/>
  <c r="F31"/>
  <c r="G31"/>
  <c r="B34" i="22" s="1"/>
  <c r="H31" i="18"/>
  <c r="I31"/>
  <c r="J31"/>
  <c r="K31"/>
  <c r="L31"/>
  <c r="M31"/>
  <c r="N31"/>
  <c r="O31"/>
  <c r="P31"/>
  <c r="Q31"/>
  <c r="R31"/>
  <c r="B32"/>
  <c r="C32"/>
  <c r="D32"/>
  <c r="E32"/>
  <c r="F32"/>
  <c r="G32"/>
  <c r="B35" i="22" s="1"/>
  <c r="H32" i="18"/>
  <c r="I32"/>
  <c r="J32"/>
  <c r="K32"/>
  <c r="L32"/>
  <c r="M32"/>
  <c r="N32"/>
  <c r="O32"/>
  <c r="P32"/>
  <c r="Q32"/>
  <c r="R32"/>
  <c r="B33"/>
  <c r="C33"/>
  <c r="D33"/>
  <c r="E33"/>
  <c r="F33"/>
  <c r="G33"/>
  <c r="B36" i="22" s="1"/>
  <c r="H33" i="18"/>
  <c r="I33"/>
  <c r="J33"/>
  <c r="K33"/>
  <c r="L33"/>
  <c r="M33"/>
  <c r="N33"/>
  <c r="O33"/>
  <c r="P33"/>
  <c r="Q33"/>
  <c r="R33"/>
  <c r="B34"/>
  <c r="C34"/>
  <c r="D34"/>
  <c r="E34"/>
  <c r="F34"/>
  <c r="G34"/>
  <c r="B37" i="22" s="1"/>
  <c r="H34" i="18"/>
  <c r="I34"/>
  <c r="J34"/>
  <c r="K34"/>
  <c r="L34"/>
  <c r="M34"/>
  <c r="N34"/>
  <c r="O34"/>
  <c r="P34"/>
  <c r="Q34"/>
  <c r="R34"/>
  <c r="B35"/>
  <c r="C35"/>
  <c r="D35"/>
  <c r="E35"/>
  <c r="F35"/>
  <c r="G35"/>
  <c r="B38" i="22" s="1"/>
  <c r="H35" i="18"/>
  <c r="I35"/>
  <c r="J35"/>
  <c r="K35"/>
  <c r="L35"/>
  <c r="M35"/>
  <c r="N35"/>
  <c r="O35"/>
  <c r="P35"/>
  <c r="Q35"/>
  <c r="R35"/>
  <c r="B36"/>
  <c r="C36"/>
  <c r="D36"/>
  <c r="E36"/>
  <c r="F36"/>
  <c r="G36"/>
  <c r="B39" i="22" s="1"/>
  <c r="H36" i="18"/>
  <c r="I36"/>
  <c r="J36"/>
  <c r="K36"/>
  <c r="L36"/>
  <c r="M36"/>
  <c r="N36"/>
  <c r="O36"/>
  <c r="P36"/>
  <c r="Q36"/>
  <c r="R36"/>
  <c r="B37"/>
  <c r="C37"/>
  <c r="D37"/>
  <c r="E37"/>
  <c r="F37"/>
  <c r="G37"/>
  <c r="B40" i="22" s="1"/>
  <c r="H37" i="18"/>
  <c r="I37"/>
  <c r="J37"/>
  <c r="K37"/>
  <c r="L37"/>
  <c r="M37"/>
  <c r="N37"/>
  <c r="O37"/>
  <c r="P37"/>
  <c r="Q37"/>
  <c r="R37"/>
  <c r="B38"/>
  <c r="C38"/>
  <c r="D38"/>
  <c r="E38"/>
  <c r="F38"/>
  <c r="G38"/>
  <c r="B41" i="22" s="1"/>
  <c r="H38" i="18"/>
  <c r="I38"/>
  <c r="J38"/>
  <c r="K38"/>
  <c r="L38"/>
  <c r="M38"/>
  <c r="N38"/>
  <c r="O38"/>
  <c r="P38"/>
  <c r="Q38"/>
  <c r="R38"/>
  <c r="B39"/>
  <c r="C39"/>
  <c r="D39"/>
  <c r="E39"/>
  <c r="F39"/>
  <c r="G39"/>
  <c r="B42" i="22" s="1"/>
  <c r="H39" i="18"/>
  <c r="I39"/>
  <c r="J39"/>
  <c r="K39"/>
  <c r="L39"/>
  <c r="M39"/>
  <c r="N39"/>
  <c r="O39"/>
  <c r="P39"/>
  <c r="Q39"/>
  <c r="R39"/>
  <c r="B40"/>
  <c r="C40"/>
  <c r="D40"/>
  <c r="E40"/>
  <c r="F40"/>
  <c r="G40"/>
  <c r="B43" i="22" s="1"/>
  <c r="H40" i="18"/>
  <c r="I40"/>
  <c r="J40"/>
  <c r="K40"/>
  <c r="L40"/>
  <c r="M40"/>
  <c r="N40"/>
  <c r="O40"/>
  <c r="P40"/>
  <c r="Q40"/>
  <c r="R40"/>
  <c r="B41"/>
  <c r="C41"/>
  <c r="D41"/>
  <c r="E41"/>
  <c r="F41"/>
  <c r="G41"/>
  <c r="B44" i="22" s="1"/>
  <c r="H41" i="18"/>
  <c r="I41"/>
  <c r="J41"/>
  <c r="K41"/>
  <c r="L41"/>
  <c r="M41"/>
  <c r="N41"/>
  <c r="O41"/>
  <c r="P41"/>
  <c r="Q41"/>
  <c r="R41"/>
  <c r="B42"/>
  <c r="C42"/>
  <c r="D42"/>
  <c r="E42"/>
  <c r="F42"/>
  <c r="G42"/>
  <c r="B45" i="22" s="1"/>
  <c r="H42" i="18"/>
  <c r="I42"/>
  <c r="J42"/>
  <c r="K42"/>
  <c r="L42"/>
  <c r="M42"/>
  <c r="N42"/>
  <c r="O42"/>
  <c r="P42"/>
  <c r="Q42"/>
  <c r="R42"/>
  <c r="B43"/>
  <c r="C43"/>
  <c r="D43"/>
  <c r="E43"/>
  <c r="F43"/>
  <c r="G43"/>
  <c r="B46" i="22" s="1"/>
  <c r="H43" i="18"/>
  <c r="I43"/>
  <c r="J43"/>
  <c r="K43"/>
  <c r="L43"/>
  <c r="M43"/>
  <c r="N43"/>
  <c r="O43"/>
  <c r="P43"/>
  <c r="Q43"/>
  <c r="R43"/>
  <c r="B44"/>
  <c r="C44"/>
  <c r="D44"/>
  <c r="E44"/>
  <c r="F44"/>
  <c r="G44"/>
  <c r="B47" i="22" s="1"/>
  <c r="H44" i="18"/>
  <c r="I44"/>
  <c r="J44"/>
  <c r="K44"/>
  <c r="L44"/>
  <c r="M44"/>
  <c r="N44"/>
  <c r="O44"/>
  <c r="P44"/>
  <c r="Q44"/>
  <c r="R44"/>
  <c r="B45"/>
  <c r="C45"/>
  <c r="D45"/>
  <c r="E45"/>
  <c r="F45"/>
  <c r="G45"/>
  <c r="B48" i="22" s="1"/>
  <c r="H45" i="18"/>
  <c r="I45"/>
  <c r="J45"/>
  <c r="K45"/>
  <c r="L45"/>
  <c r="M45"/>
  <c r="N45"/>
  <c r="O45"/>
  <c r="P45"/>
  <c r="Q45"/>
  <c r="R45"/>
  <c r="B46"/>
  <c r="C46"/>
  <c r="D46"/>
  <c r="E46"/>
  <c r="F46"/>
  <c r="G46"/>
  <c r="B49" i="22" s="1"/>
  <c r="H46" i="18"/>
  <c r="I46"/>
  <c r="J46"/>
  <c r="K46"/>
  <c r="L46"/>
  <c r="M46"/>
  <c r="N46"/>
  <c r="O46"/>
  <c r="P46"/>
  <c r="Q46"/>
  <c r="R46"/>
  <c r="B47"/>
  <c r="C47"/>
  <c r="D47"/>
  <c r="E47"/>
  <c r="F47"/>
  <c r="G47"/>
  <c r="B50" i="22" s="1"/>
  <c r="H47" i="18"/>
  <c r="I47"/>
  <c r="J47"/>
  <c r="K47"/>
  <c r="L47"/>
  <c r="M47"/>
  <c r="N47"/>
  <c r="O47"/>
  <c r="P47"/>
  <c r="Q47"/>
  <c r="R47"/>
  <c r="B48"/>
  <c r="C48"/>
  <c r="D48"/>
  <c r="E48"/>
  <c r="F48"/>
  <c r="G48"/>
  <c r="B51" i="22" s="1"/>
  <c r="H48" i="18"/>
  <c r="I48"/>
  <c r="J48"/>
  <c r="K48"/>
  <c r="L48"/>
  <c r="M48"/>
  <c r="N48"/>
  <c r="O48"/>
  <c r="P48"/>
  <c r="Q48"/>
  <c r="R48"/>
  <c r="B49"/>
  <c r="C49"/>
  <c r="D49"/>
  <c r="E49"/>
  <c r="F49"/>
  <c r="G49"/>
  <c r="B52" i="22" s="1"/>
  <c r="D52" s="1"/>
  <c r="H49" i="18"/>
  <c r="I49"/>
  <c r="J49"/>
  <c r="K49"/>
  <c r="L49"/>
  <c r="M49"/>
  <c r="N49"/>
  <c r="O49"/>
  <c r="P49"/>
  <c r="Q49"/>
  <c r="R49"/>
  <c r="B50"/>
  <c r="C50"/>
  <c r="D50"/>
  <c r="E50"/>
  <c r="F50"/>
  <c r="G50"/>
  <c r="B53" i="22" s="1"/>
  <c r="H50" i="18"/>
  <c r="I50"/>
  <c r="J50"/>
  <c r="K50"/>
  <c r="L50"/>
  <c r="M50"/>
  <c r="N50"/>
  <c r="O50"/>
  <c r="P50"/>
  <c r="Q50"/>
  <c r="R50"/>
  <c r="B51"/>
  <c r="C51"/>
  <c r="D51"/>
  <c r="E51"/>
  <c r="F51"/>
  <c r="G51"/>
  <c r="B54" i="22" s="1"/>
  <c r="H51" i="18"/>
  <c r="I51"/>
  <c r="J51"/>
  <c r="K51"/>
  <c r="L51"/>
  <c r="M51"/>
  <c r="N51"/>
  <c r="O51"/>
  <c r="P51"/>
  <c r="Q51"/>
  <c r="R51"/>
  <c r="B52"/>
  <c r="C52"/>
  <c r="D52"/>
  <c r="E52"/>
  <c r="F52"/>
  <c r="G52"/>
  <c r="B55" i="22" s="1"/>
  <c r="H52" i="18"/>
  <c r="I52"/>
  <c r="J52"/>
  <c r="K52"/>
  <c r="L52"/>
  <c r="M52"/>
  <c r="N52"/>
  <c r="O52"/>
  <c r="P52"/>
  <c r="Q52"/>
  <c r="R52"/>
  <c r="B53"/>
  <c r="C53"/>
  <c r="D53"/>
  <c r="E53"/>
  <c r="F53"/>
  <c r="G53"/>
  <c r="B56" i="22" s="1"/>
  <c r="H53" i="18"/>
  <c r="I53"/>
  <c r="J53"/>
  <c r="K53"/>
  <c r="L53"/>
  <c r="M53"/>
  <c r="N53"/>
  <c r="O53"/>
  <c r="P53"/>
  <c r="Q53"/>
  <c r="R53"/>
  <c r="B54"/>
  <c r="C54"/>
  <c r="D54"/>
  <c r="E54"/>
  <c r="F54"/>
  <c r="G54"/>
  <c r="B57" i="22" s="1"/>
  <c r="H54" i="18"/>
  <c r="I54"/>
  <c r="J54"/>
  <c r="K54"/>
  <c r="L54"/>
  <c r="M54"/>
  <c r="N54"/>
  <c r="O54"/>
  <c r="P54"/>
  <c r="Q54"/>
  <c r="R54"/>
  <c r="B55"/>
  <c r="C55"/>
  <c r="D55"/>
  <c r="E55"/>
  <c r="F55"/>
  <c r="G55"/>
  <c r="B58" i="22" s="1"/>
  <c r="H55" i="18"/>
  <c r="I55"/>
  <c r="J55"/>
  <c r="K55"/>
  <c r="L55"/>
  <c r="M55"/>
  <c r="N55"/>
  <c r="O55"/>
  <c r="P55"/>
  <c r="Q55"/>
  <c r="R55"/>
  <c r="B56"/>
  <c r="C56"/>
  <c r="D56"/>
  <c r="E56"/>
  <c r="F56"/>
  <c r="G56"/>
  <c r="B59" i="22" s="1"/>
  <c r="H56" i="18"/>
  <c r="I56"/>
  <c r="J56"/>
  <c r="K56"/>
  <c r="L56"/>
  <c r="M56"/>
  <c r="N56"/>
  <c r="O56"/>
  <c r="P56"/>
  <c r="Q56"/>
  <c r="R56"/>
  <c r="B57"/>
  <c r="C57"/>
  <c r="D57"/>
  <c r="E57"/>
  <c r="F57"/>
  <c r="G57"/>
  <c r="B60" i="22" s="1"/>
  <c r="H57" i="18"/>
  <c r="I57"/>
  <c r="J57"/>
  <c r="K57"/>
  <c r="L57"/>
  <c r="M57"/>
  <c r="N57"/>
  <c r="O57"/>
  <c r="P57"/>
  <c r="Q57"/>
  <c r="R57"/>
  <c r="B58"/>
  <c r="C58"/>
  <c r="D58"/>
  <c r="E58"/>
  <c r="F58"/>
  <c r="G58"/>
  <c r="B61" i="22" s="1"/>
  <c r="H58" i="18"/>
  <c r="I58"/>
  <c r="J58"/>
  <c r="K58"/>
  <c r="L58"/>
  <c r="M58"/>
  <c r="N58"/>
  <c r="O58"/>
  <c r="P58"/>
  <c r="Q58"/>
  <c r="R58"/>
  <c r="B59"/>
  <c r="C59"/>
  <c r="D59"/>
  <c r="E59"/>
  <c r="F59"/>
  <c r="G59"/>
  <c r="B62" i="22" s="1"/>
  <c r="X62" s="1"/>
  <c r="H59" i="18"/>
  <c r="I59"/>
  <c r="J59"/>
  <c r="K59"/>
  <c r="L59"/>
  <c r="M59"/>
  <c r="N59"/>
  <c r="O59"/>
  <c r="P59"/>
  <c r="Q59"/>
  <c r="R59"/>
  <c r="B60"/>
  <c r="C60"/>
  <c r="D60"/>
  <c r="E60"/>
  <c r="F60"/>
  <c r="G60"/>
  <c r="B63" i="22" s="1"/>
  <c r="H60" i="18"/>
  <c r="I60"/>
  <c r="J60"/>
  <c r="K60"/>
  <c r="L60"/>
  <c r="M60"/>
  <c r="N60"/>
  <c r="O60"/>
  <c r="P60"/>
  <c r="Q60"/>
  <c r="R60"/>
  <c r="B61"/>
  <c r="C61"/>
  <c r="D61"/>
  <c r="E61"/>
  <c r="F61"/>
  <c r="G61"/>
  <c r="B64" i="22" s="1"/>
  <c r="V64" s="1"/>
  <c r="H61" i="18"/>
  <c r="I61"/>
  <c r="J61"/>
  <c r="K61"/>
  <c r="L61"/>
  <c r="M61"/>
  <c r="N61"/>
  <c r="O61"/>
  <c r="P61"/>
  <c r="Q61"/>
  <c r="R61"/>
  <c r="B62"/>
  <c r="C62"/>
  <c r="D62"/>
  <c r="E62"/>
  <c r="F62"/>
  <c r="G62"/>
  <c r="B65" i="22" s="1"/>
  <c r="H62" i="18"/>
  <c r="I62"/>
  <c r="J62"/>
  <c r="K62"/>
  <c r="L62"/>
  <c r="M62"/>
  <c r="N62"/>
  <c r="O62"/>
  <c r="P62"/>
  <c r="Q62"/>
  <c r="R62"/>
  <c r="B63"/>
  <c r="C63"/>
  <c r="D63"/>
  <c r="E63"/>
  <c r="F63"/>
  <c r="G63"/>
  <c r="B66" i="22" s="1"/>
  <c r="H63" i="18"/>
  <c r="I63"/>
  <c r="J63"/>
  <c r="K63"/>
  <c r="L63"/>
  <c r="M63"/>
  <c r="N63"/>
  <c r="O63"/>
  <c r="P63"/>
  <c r="Q63"/>
  <c r="R63"/>
  <c r="B64"/>
  <c r="C64"/>
  <c r="D64"/>
  <c r="E64"/>
  <c r="F64"/>
  <c r="G64"/>
  <c r="B67" i="22" s="1"/>
  <c r="H64" i="18"/>
  <c r="I64"/>
  <c r="J64"/>
  <c r="K64"/>
  <c r="L64"/>
  <c r="M64"/>
  <c r="N64"/>
  <c r="O64"/>
  <c r="P64"/>
  <c r="Q64"/>
  <c r="R64"/>
  <c r="B65"/>
  <c r="C65"/>
  <c r="D65"/>
  <c r="E65"/>
  <c r="F65"/>
  <c r="G65"/>
  <c r="B68" i="22" s="1"/>
  <c r="H65" i="18"/>
  <c r="I65"/>
  <c r="J65"/>
  <c r="K65"/>
  <c r="L65"/>
  <c r="M65"/>
  <c r="N65"/>
  <c r="O65"/>
  <c r="P65"/>
  <c r="Q65"/>
  <c r="R65"/>
  <c r="B66"/>
  <c r="C66"/>
  <c r="D66"/>
  <c r="E66"/>
  <c r="F66"/>
  <c r="G66"/>
  <c r="B69" i="22" s="1"/>
  <c r="H66" i="18"/>
  <c r="I66"/>
  <c r="J66"/>
  <c r="K66"/>
  <c r="L66"/>
  <c r="M66"/>
  <c r="N66"/>
  <c r="O66"/>
  <c r="P66"/>
  <c r="Q66"/>
  <c r="R66"/>
  <c r="B67"/>
  <c r="C67"/>
  <c r="D67"/>
  <c r="E67"/>
  <c r="F67"/>
  <c r="G67"/>
  <c r="B70" i="22" s="1"/>
  <c r="H67" i="18"/>
  <c r="I67"/>
  <c r="J67"/>
  <c r="K67"/>
  <c r="L67"/>
  <c r="M67"/>
  <c r="N67"/>
  <c r="O67"/>
  <c r="P67"/>
  <c r="Q67"/>
  <c r="R67"/>
  <c r="B68"/>
  <c r="C68"/>
  <c r="D68"/>
  <c r="E68"/>
  <c r="F68"/>
  <c r="G68"/>
  <c r="B71" i="22" s="1"/>
  <c r="H68" i="18"/>
  <c r="I68"/>
  <c r="J68"/>
  <c r="K68"/>
  <c r="L68"/>
  <c r="M68"/>
  <c r="N68"/>
  <c r="O68"/>
  <c r="P68"/>
  <c r="Q68"/>
  <c r="R68"/>
  <c r="B69"/>
  <c r="C69"/>
  <c r="D69"/>
  <c r="E69"/>
  <c r="F69"/>
  <c r="G69"/>
  <c r="B72" i="22" s="1"/>
  <c r="H69" i="18"/>
  <c r="I69"/>
  <c r="J69"/>
  <c r="K69"/>
  <c r="L69"/>
  <c r="M69"/>
  <c r="N69"/>
  <c r="O69"/>
  <c r="P69"/>
  <c r="Q69"/>
  <c r="R69"/>
  <c r="B70"/>
  <c r="C70"/>
  <c r="D70"/>
  <c r="E70"/>
  <c r="F70"/>
  <c r="G70"/>
  <c r="B73" i="22" s="1"/>
  <c r="H70" i="18"/>
  <c r="I70"/>
  <c r="J70"/>
  <c r="K70"/>
  <c r="L70"/>
  <c r="M70"/>
  <c r="N70"/>
  <c r="O70"/>
  <c r="P70"/>
  <c r="Q70"/>
  <c r="R70"/>
  <c r="B71"/>
  <c r="C71"/>
  <c r="D71"/>
  <c r="E71"/>
  <c r="F71"/>
  <c r="G71"/>
  <c r="B74" i="22" s="1"/>
  <c r="H71" i="18"/>
  <c r="I71"/>
  <c r="J71"/>
  <c r="K71"/>
  <c r="L71"/>
  <c r="M71"/>
  <c r="N71"/>
  <c r="O71"/>
  <c r="P71"/>
  <c r="Q71"/>
  <c r="R71"/>
  <c r="B72"/>
  <c r="C72"/>
  <c r="D72"/>
  <c r="E72"/>
  <c r="F72"/>
  <c r="G72"/>
  <c r="B75" i="22" s="1"/>
  <c r="H72" i="18"/>
  <c r="I72"/>
  <c r="J72"/>
  <c r="K72"/>
  <c r="L72"/>
  <c r="M72"/>
  <c r="N72"/>
  <c r="O72"/>
  <c r="P72"/>
  <c r="Q72"/>
  <c r="R72"/>
  <c r="B73"/>
  <c r="C73"/>
  <c r="D73"/>
  <c r="E73"/>
  <c r="F73"/>
  <c r="G73"/>
  <c r="B76" i="22" s="1"/>
  <c r="H73" i="18"/>
  <c r="I73"/>
  <c r="J73"/>
  <c r="K73"/>
  <c r="L73"/>
  <c r="M73"/>
  <c r="N73"/>
  <c r="O73"/>
  <c r="P73"/>
  <c r="Q73"/>
  <c r="R73"/>
  <c r="B74"/>
  <c r="C74"/>
  <c r="D74"/>
  <c r="E74"/>
  <c r="F74"/>
  <c r="G74"/>
  <c r="B77" i="22" s="1"/>
  <c r="H74" i="18"/>
  <c r="I74"/>
  <c r="J74"/>
  <c r="K74"/>
  <c r="L74"/>
  <c r="M74"/>
  <c r="N74"/>
  <c r="O74"/>
  <c r="P74"/>
  <c r="Q74"/>
  <c r="R74"/>
  <c r="B75"/>
  <c r="C75"/>
  <c r="D75"/>
  <c r="E75"/>
  <c r="F75"/>
  <c r="G75"/>
  <c r="B78" i="22" s="1"/>
  <c r="H75" i="18"/>
  <c r="I75"/>
  <c r="J75"/>
  <c r="K75"/>
  <c r="L75"/>
  <c r="M75"/>
  <c r="N75"/>
  <c r="O75"/>
  <c r="P75"/>
  <c r="Q75"/>
  <c r="R75"/>
  <c r="B76"/>
  <c r="C76"/>
  <c r="D76"/>
  <c r="E76"/>
  <c r="F76"/>
  <c r="G76"/>
  <c r="B79" i="22" s="1"/>
  <c r="H76" i="18"/>
  <c r="I76"/>
  <c r="J76"/>
  <c r="K76"/>
  <c r="L76"/>
  <c r="M76"/>
  <c r="N76"/>
  <c r="O76"/>
  <c r="P76"/>
  <c r="Q76"/>
  <c r="R76"/>
  <c r="B77"/>
  <c r="C77"/>
  <c r="D77"/>
  <c r="E77"/>
  <c r="F77"/>
  <c r="G77"/>
  <c r="B80" i="22" s="1"/>
  <c r="H77" i="18"/>
  <c r="I77"/>
  <c r="J77"/>
  <c r="K77"/>
  <c r="L77"/>
  <c r="M77"/>
  <c r="N77"/>
  <c r="O77"/>
  <c r="P77"/>
  <c r="Q77"/>
  <c r="R77"/>
  <c r="B78"/>
  <c r="C78"/>
  <c r="D78"/>
  <c r="E78"/>
  <c r="F78"/>
  <c r="G78"/>
  <c r="B81" i="22" s="1"/>
  <c r="H78" i="18"/>
  <c r="I78"/>
  <c r="J78"/>
  <c r="K78"/>
  <c r="L78"/>
  <c r="M78"/>
  <c r="N78"/>
  <c r="O78"/>
  <c r="P78"/>
  <c r="Q78"/>
  <c r="R78"/>
  <c r="B79"/>
  <c r="C79"/>
  <c r="D79"/>
  <c r="E79"/>
  <c r="F79"/>
  <c r="G79"/>
  <c r="B82" i="22" s="1"/>
  <c r="H79" i="18"/>
  <c r="I79"/>
  <c r="J79"/>
  <c r="K79"/>
  <c r="L79"/>
  <c r="M79"/>
  <c r="N79"/>
  <c r="O79"/>
  <c r="P79"/>
  <c r="Q79"/>
  <c r="R79"/>
  <c r="B80"/>
  <c r="C80"/>
  <c r="D80"/>
  <c r="E80"/>
  <c r="F80"/>
  <c r="G80"/>
  <c r="B83" i="22" s="1"/>
  <c r="H80" i="18"/>
  <c r="I80"/>
  <c r="J80"/>
  <c r="K80"/>
  <c r="L80"/>
  <c r="M80"/>
  <c r="N80"/>
  <c r="O80"/>
  <c r="P80"/>
  <c r="Q80"/>
  <c r="R80"/>
  <c r="B81"/>
  <c r="C81"/>
  <c r="D81"/>
  <c r="E81"/>
  <c r="F81"/>
  <c r="G81"/>
  <c r="B84" i="22" s="1"/>
  <c r="H81" i="18"/>
  <c r="I81"/>
  <c r="J81"/>
  <c r="K81"/>
  <c r="L81"/>
  <c r="M81"/>
  <c r="N81"/>
  <c r="O81"/>
  <c r="P81"/>
  <c r="Q81"/>
  <c r="R81"/>
  <c r="D23" i="17"/>
  <c r="C2" i="18" s="1"/>
  <c r="E23" i="17"/>
  <c r="D2" i="18" s="1"/>
  <c r="F23" i="17"/>
  <c r="E2" i="18" s="1"/>
  <c r="G23" i="17"/>
  <c r="F2" i="18" s="1"/>
  <c r="H23" i="17"/>
  <c r="G2" i="18" s="1"/>
  <c r="I23" i="17"/>
  <c r="H2" i="18" s="1"/>
  <c r="J23" i="17"/>
  <c r="I2" i="18" s="1"/>
  <c r="K23" i="17"/>
  <c r="J2" i="18" s="1"/>
  <c r="L23" i="17"/>
  <c r="K2" i="18" s="1"/>
  <c r="M23" i="17"/>
  <c r="L2" i="18" s="1"/>
  <c r="N23" i="17"/>
  <c r="M2" i="18" s="1"/>
  <c r="O23" i="17"/>
  <c r="N2" i="18" s="1"/>
  <c r="P23" i="17"/>
  <c r="O2" i="18" s="1"/>
  <c r="Q23" i="17"/>
  <c r="P2" i="18" s="1"/>
  <c r="R23" i="17"/>
  <c r="Q2" i="18" s="1"/>
  <c r="S23" i="17"/>
  <c r="R2" i="18" s="1"/>
  <c r="D24" i="17"/>
  <c r="C3" i="18" s="1"/>
  <c r="E24" i="17"/>
  <c r="D3" i="18" s="1"/>
  <c r="F24" i="17"/>
  <c r="E3" i="18" s="1"/>
  <c r="G24" i="17"/>
  <c r="F3" i="18" s="1"/>
  <c r="H24" i="17"/>
  <c r="G3" i="18" s="1"/>
  <c r="I24" i="17"/>
  <c r="H3" i="18" s="1"/>
  <c r="J24" i="17"/>
  <c r="I3" i="18" s="1"/>
  <c r="K24" i="17"/>
  <c r="J3" i="18" s="1"/>
  <c r="L24" i="17"/>
  <c r="K3" i="18" s="1"/>
  <c r="M24" i="17"/>
  <c r="L3" i="18" s="1"/>
  <c r="N24" i="17"/>
  <c r="M3" i="18" s="1"/>
  <c r="O24" i="17"/>
  <c r="N3" i="18" s="1"/>
  <c r="P24" i="17"/>
  <c r="O3" i="18" s="1"/>
  <c r="Q24" i="17"/>
  <c r="P3" i="18" s="1"/>
  <c r="R24" i="17"/>
  <c r="Q3" i="18" s="1"/>
  <c r="S24" i="17"/>
  <c r="R3" i="18" s="1"/>
  <c r="D25" i="17"/>
  <c r="C4" i="18" s="1"/>
  <c r="E25" i="17"/>
  <c r="D4" i="18" s="1"/>
  <c r="F25" i="17"/>
  <c r="E4" i="18" s="1"/>
  <c r="G25" i="17"/>
  <c r="F4" i="18" s="1"/>
  <c r="H25" i="17"/>
  <c r="G4" i="18" s="1"/>
  <c r="I25" i="17"/>
  <c r="H4" i="18" s="1"/>
  <c r="J25" i="17"/>
  <c r="I4" i="18" s="1"/>
  <c r="K25" i="17"/>
  <c r="J4" i="18" s="1"/>
  <c r="L25" i="17"/>
  <c r="K4" i="18" s="1"/>
  <c r="M25" i="17"/>
  <c r="L4" i="18" s="1"/>
  <c r="N25" i="17"/>
  <c r="M4" i="18" s="1"/>
  <c r="O25" i="17"/>
  <c r="N4" i="18" s="1"/>
  <c r="P25" i="17"/>
  <c r="O4" i="18" s="1"/>
  <c r="Q25" i="17"/>
  <c r="P4" i="18" s="1"/>
  <c r="R25" i="17"/>
  <c r="Q4" i="18" s="1"/>
  <c r="S25" i="17"/>
  <c r="R4" i="18" s="1"/>
  <c r="D26" i="17"/>
  <c r="C5" i="18" s="1"/>
  <c r="E26" i="17"/>
  <c r="D5" i="18" s="1"/>
  <c r="F26" i="17"/>
  <c r="E5" i="18" s="1"/>
  <c r="G26" i="17"/>
  <c r="F5" i="18" s="1"/>
  <c r="H26" i="17"/>
  <c r="G5" i="18" s="1"/>
  <c r="I26" i="17"/>
  <c r="H5" i="18" s="1"/>
  <c r="J26" i="17"/>
  <c r="I5" i="18" s="1"/>
  <c r="K26" i="17"/>
  <c r="J5" i="18" s="1"/>
  <c r="L26" i="17"/>
  <c r="K5" i="18" s="1"/>
  <c r="M26" i="17"/>
  <c r="L5" i="18" s="1"/>
  <c r="N26" i="17"/>
  <c r="M5" i="18" s="1"/>
  <c r="O26" i="17"/>
  <c r="N5" i="18" s="1"/>
  <c r="P26" i="17"/>
  <c r="O5" i="18" s="1"/>
  <c r="Q26" i="17"/>
  <c r="P5" i="18" s="1"/>
  <c r="R26" i="17"/>
  <c r="Q5" i="18" s="1"/>
  <c r="S26" i="17"/>
  <c r="R5" i="18" s="1"/>
  <c r="D27" i="17"/>
  <c r="C6" i="18" s="1"/>
  <c r="E27" i="17"/>
  <c r="D6" i="18" s="1"/>
  <c r="F27" i="17"/>
  <c r="E6" i="18" s="1"/>
  <c r="G27" i="17"/>
  <c r="F6" i="18" s="1"/>
  <c r="H27" i="17"/>
  <c r="G6" i="18" s="1"/>
  <c r="I27" i="17"/>
  <c r="H6" i="18" s="1"/>
  <c r="J27" i="17"/>
  <c r="I6" i="18" s="1"/>
  <c r="K27" i="17"/>
  <c r="J6" i="18" s="1"/>
  <c r="L27" i="17"/>
  <c r="K6" i="18" s="1"/>
  <c r="M27" i="17"/>
  <c r="L6" i="18" s="1"/>
  <c r="N27" i="17"/>
  <c r="M6" i="18" s="1"/>
  <c r="O27" i="17"/>
  <c r="N6" i="18" s="1"/>
  <c r="P27" i="17"/>
  <c r="O6" i="18" s="1"/>
  <c r="Q27" i="17"/>
  <c r="P6" i="18" s="1"/>
  <c r="R27" i="17"/>
  <c r="Q6" i="18" s="1"/>
  <c r="S27" i="17"/>
  <c r="R6" i="18" s="1"/>
  <c r="C24" i="17"/>
  <c r="B3" i="18" s="1"/>
  <c r="C25" i="17"/>
  <c r="B4" i="18" s="1"/>
  <c r="C26" i="17"/>
  <c r="B5" i="18" s="1"/>
  <c r="C27" i="17"/>
  <c r="B6" i="18" s="1"/>
  <c r="C23" i="17"/>
  <c r="B2" i="18" s="1"/>
  <c r="Z118" i="19"/>
  <c r="Z117"/>
  <c r="Z116"/>
  <c r="AF115"/>
  <c r="Z115"/>
  <c r="AF114"/>
  <c r="Z114"/>
  <c r="AF113"/>
  <c r="AB113"/>
  <c r="Z113"/>
  <c r="AF112"/>
  <c r="AB112"/>
  <c r="Z112"/>
  <c r="AF111"/>
  <c r="AB111"/>
  <c r="Z111"/>
  <c r="AF110"/>
  <c r="AB110"/>
  <c r="Z110"/>
  <c r="AF109"/>
  <c r="AB109"/>
  <c r="Z109"/>
  <c r="AF108"/>
  <c r="AB108"/>
  <c r="Z108"/>
  <c r="H108"/>
  <c r="AF107"/>
  <c r="AB107"/>
  <c r="Z107"/>
  <c r="H107"/>
  <c r="AF106"/>
  <c r="AB106"/>
  <c r="Z106"/>
  <c r="H106"/>
  <c r="AF105"/>
  <c r="AD105"/>
  <c r="AB105"/>
  <c r="Z105"/>
  <c r="H105"/>
  <c r="AF104"/>
  <c r="AD103"/>
  <c r="AD102"/>
  <c r="AD101"/>
  <c r="AD100"/>
  <c r="D71" i="22"/>
  <c r="N59"/>
  <c r="D56"/>
  <c r="H51"/>
  <c r="AB41"/>
  <c r="T35"/>
  <c r="T27"/>
  <c r="V22"/>
  <c r="P17"/>
  <c r="S1" i="18"/>
  <c r="S102" i="17"/>
  <c r="R102"/>
  <c r="Q102"/>
  <c r="P102"/>
  <c r="O102"/>
  <c r="N102"/>
  <c r="M102"/>
  <c r="L102"/>
  <c r="K102"/>
  <c r="J102"/>
  <c r="I102"/>
  <c r="H102"/>
  <c r="G102"/>
  <c r="F102"/>
  <c r="E102"/>
  <c r="D102"/>
  <c r="C102"/>
  <c r="S101"/>
  <c r="R101"/>
  <c r="Q101"/>
  <c r="P101"/>
  <c r="O101"/>
  <c r="N101"/>
  <c r="M101"/>
  <c r="L101"/>
  <c r="K101"/>
  <c r="J101"/>
  <c r="I101"/>
  <c r="H101"/>
  <c r="G101"/>
  <c r="F101"/>
  <c r="E101"/>
  <c r="D101"/>
  <c r="C101"/>
  <c r="S100"/>
  <c r="R100"/>
  <c r="Q100"/>
  <c r="P100"/>
  <c r="O100"/>
  <c r="N100"/>
  <c r="M100"/>
  <c r="L100"/>
  <c r="K100"/>
  <c r="J100"/>
  <c r="I100"/>
  <c r="H100"/>
  <c r="G100"/>
  <c r="F100"/>
  <c r="E100"/>
  <c r="D100"/>
  <c r="C100"/>
  <c r="S99"/>
  <c r="R99"/>
  <c r="Q99"/>
  <c r="P99"/>
  <c r="O99"/>
  <c r="N99"/>
  <c r="M99"/>
  <c r="L99"/>
  <c r="K99"/>
  <c r="J99"/>
  <c r="I99"/>
  <c r="H99"/>
  <c r="G99"/>
  <c r="F99"/>
  <c r="E99"/>
  <c r="D99"/>
  <c r="C99"/>
  <c r="S98"/>
  <c r="R98"/>
  <c r="Q98"/>
  <c r="P98"/>
  <c r="O98"/>
  <c r="N98"/>
  <c r="M98"/>
  <c r="L98"/>
  <c r="K98"/>
  <c r="J98"/>
  <c r="I98"/>
  <c r="H98"/>
  <c r="G98"/>
  <c r="F98"/>
  <c r="E98"/>
  <c r="D98"/>
  <c r="C98"/>
  <c r="S97"/>
  <c r="R97"/>
  <c r="Q97"/>
  <c r="P97"/>
  <c r="O97"/>
  <c r="N97"/>
  <c r="M97"/>
  <c r="L97"/>
  <c r="K97"/>
  <c r="J97"/>
  <c r="I97"/>
  <c r="H97"/>
  <c r="G97"/>
  <c r="F97"/>
  <c r="E97"/>
  <c r="D97"/>
  <c r="C97"/>
  <c r="S96"/>
  <c r="R96"/>
  <c r="Q96"/>
  <c r="P96"/>
  <c r="O96"/>
  <c r="N96"/>
  <c r="M96"/>
  <c r="L96"/>
  <c r="K96"/>
  <c r="J96"/>
  <c r="I96"/>
  <c r="H96"/>
  <c r="G96"/>
  <c r="F96"/>
  <c r="E96"/>
  <c r="D96"/>
  <c r="C96"/>
  <c r="S95"/>
  <c r="R95"/>
  <c r="Q95"/>
  <c r="P95"/>
  <c r="O95"/>
  <c r="N95"/>
  <c r="M95"/>
  <c r="L95"/>
  <c r="K95"/>
  <c r="J95"/>
  <c r="I95"/>
  <c r="H95"/>
  <c r="G95"/>
  <c r="F95"/>
  <c r="E95"/>
  <c r="D95"/>
  <c r="C95"/>
  <c r="S94"/>
  <c r="R94"/>
  <c r="Q94"/>
  <c r="P94"/>
  <c r="O94"/>
  <c r="N94"/>
  <c r="M94"/>
  <c r="L94"/>
  <c r="K94"/>
  <c r="J94"/>
  <c r="I94"/>
  <c r="H94"/>
  <c r="G94"/>
  <c r="F94"/>
  <c r="E94"/>
  <c r="D94"/>
  <c r="C94"/>
  <c r="S93"/>
  <c r="R93"/>
  <c r="Q93"/>
  <c r="P93"/>
  <c r="O93"/>
  <c r="N93"/>
  <c r="M93"/>
  <c r="L93"/>
  <c r="K93"/>
  <c r="J93"/>
  <c r="I93"/>
  <c r="H93"/>
  <c r="G93"/>
  <c r="F93"/>
  <c r="E93"/>
  <c r="D93"/>
  <c r="C93"/>
  <c r="S92"/>
  <c r="R92"/>
  <c r="Q92"/>
  <c r="P92"/>
  <c r="O92"/>
  <c r="N92"/>
  <c r="M92"/>
  <c r="L92"/>
  <c r="K92"/>
  <c r="J92"/>
  <c r="I92"/>
  <c r="H92"/>
  <c r="G92"/>
  <c r="F92"/>
  <c r="E92"/>
  <c r="D92"/>
  <c r="C92"/>
  <c r="S91"/>
  <c r="R91"/>
  <c r="Q91"/>
  <c r="P91"/>
  <c r="O91"/>
  <c r="N91"/>
  <c r="M91"/>
  <c r="L91"/>
  <c r="K91"/>
  <c r="J91"/>
  <c r="I91"/>
  <c r="H91"/>
  <c r="G91"/>
  <c r="F91"/>
  <c r="E91"/>
  <c r="D91"/>
  <c r="C91"/>
  <c r="S90"/>
  <c r="R90"/>
  <c r="Q90"/>
  <c r="P90"/>
  <c r="O90"/>
  <c r="N90"/>
  <c r="M90"/>
  <c r="L90"/>
  <c r="K90"/>
  <c r="J90"/>
  <c r="I90"/>
  <c r="H90"/>
  <c r="G90"/>
  <c r="F90"/>
  <c r="E90"/>
  <c r="D90"/>
  <c r="C90"/>
  <c r="S89"/>
  <c r="R89"/>
  <c r="Q89"/>
  <c r="P89"/>
  <c r="O89"/>
  <c r="N89"/>
  <c r="M89"/>
  <c r="L89"/>
  <c r="K89"/>
  <c r="J89"/>
  <c r="I89"/>
  <c r="H89"/>
  <c r="G89"/>
  <c r="F89"/>
  <c r="E89"/>
  <c r="D89"/>
  <c r="C89"/>
  <c r="S88"/>
  <c r="R88"/>
  <c r="Q88"/>
  <c r="P88"/>
  <c r="O88"/>
  <c r="N88"/>
  <c r="M88"/>
  <c r="L88"/>
  <c r="K88"/>
  <c r="J88"/>
  <c r="I88"/>
  <c r="H88"/>
  <c r="G88"/>
  <c r="F88"/>
  <c r="E88"/>
  <c r="D88"/>
  <c r="C88"/>
  <c r="S87"/>
  <c r="R87"/>
  <c r="Q87"/>
  <c r="P87"/>
  <c r="O87"/>
  <c r="N87"/>
  <c r="M87"/>
  <c r="L87"/>
  <c r="K87"/>
  <c r="J87"/>
  <c r="I87"/>
  <c r="H87"/>
  <c r="G87"/>
  <c r="F87"/>
  <c r="E87"/>
  <c r="D87"/>
  <c r="C87"/>
  <c r="S86"/>
  <c r="R86"/>
  <c r="Q86"/>
  <c r="P86"/>
  <c r="O86"/>
  <c r="N86"/>
  <c r="M86"/>
  <c r="L86"/>
  <c r="K86"/>
  <c r="J86"/>
  <c r="I86"/>
  <c r="H86"/>
  <c r="G86"/>
  <c r="F86"/>
  <c r="E86"/>
  <c r="D86"/>
  <c r="C86"/>
  <c r="S85"/>
  <c r="R85"/>
  <c r="Q85"/>
  <c r="P85"/>
  <c r="O85"/>
  <c r="N85"/>
  <c r="M85"/>
  <c r="L85"/>
  <c r="K85"/>
  <c r="J85"/>
  <c r="I85"/>
  <c r="H85"/>
  <c r="G85"/>
  <c r="F85"/>
  <c r="E85"/>
  <c r="D85"/>
  <c r="C85"/>
  <c r="S84"/>
  <c r="R84"/>
  <c r="Q84"/>
  <c r="P84"/>
  <c r="O84"/>
  <c r="N84"/>
  <c r="M84"/>
  <c r="L84"/>
  <c r="K84"/>
  <c r="J84"/>
  <c r="I84"/>
  <c r="H84"/>
  <c r="G84"/>
  <c r="F84"/>
  <c r="E84"/>
  <c r="D84"/>
  <c r="C84"/>
  <c r="S83"/>
  <c r="R83"/>
  <c r="Q83"/>
  <c r="P83"/>
  <c r="O83"/>
  <c r="N83"/>
  <c r="M83"/>
  <c r="L83"/>
  <c r="K83"/>
  <c r="J83"/>
  <c r="I83"/>
  <c r="H83"/>
  <c r="G83"/>
  <c r="F83"/>
  <c r="E83"/>
  <c r="D83"/>
  <c r="C83"/>
  <c r="S82"/>
  <c r="R82"/>
  <c r="Q82"/>
  <c r="P82"/>
  <c r="O82"/>
  <c r="N82"/>
  <c r="M82"/>
  <c r="L82"/>
  <c r="K82"/>
  <c r="J82"/>
  <c r="I82"/>
  <c r="H82"/>
  <c r="G82"/>
  <c r="F82"/>
  <c r="E82"/>
  <c r="D82"/>
  <c r="C82"/>
  <c r="S81"/>
  <c r="R81"/>
  <c r="Q81"/>
  <c r="P81"/>
  <c r="O81"/>
  <c r="N81"/>
  <c r="M81"/>
  <c r="L81"/>
  <c r="K81"/>
  <c r="J81"/>
  <c r="I81"/>
  <c r="H81"/>
  <c r="G81"/>
  <c r="F81"/>
  <c r="E81"/>
  <c r="D81"/>
  <c r="C81"/>
  <c r="S80"/>
  <c r="R80"/>
  <c r="Q80"/>
  <c r="P80"/>
  <c r="O80"/>
  <c r="N80"/>
  <c r="M80"/>
  <c r="L80"/>
  <c r="K80"/>
  <c r="J80"/>
  <c r="I80"/>
  <c r="H80"/>
  <c r="G80"/>
  <c r="F80"/>
  <c r="E80"/>
  <c r="D80"/>
  <c r="C80"/>
  <c r="S79"/>
  <c r="R79"/>
  <c r="Q79"/>
  <c r="P79"/>
  <c r="O79"/>
  <c r="N79"/>
  <c r="M79"/>
  <c r="L79"/>
  <c r="K79"/>
  <c r="J79"/>
  <c r="I79"/>
  <c r="H79"/>
  <c r="G79"/>
  <c r="F79"/>
  <c r="E79"/>
  <c r="D79"/>
  <c r="C79"/>
  <c r="S78"/>
  <c r="R78"/>
  <c r="Q78"/>
  <c r="P78"/>
  <c r="O78"/>
  <c r="N78"/>
  <c r="M78"/>
  <c r="L78"/>
  <c r="K78"/>
  <c r="J78"/>
  <c r="I78"/>
  <c r="H78"/>
  <c r="G78"/>
  <c r="F78"/>
  <c r="E78"/>
  <c r="D78"/>
  <c r="C78"/>
  <c r="S77"/>
  <c r="R77"/>
  <c r="Q77"/>
  <c r="P77"/>
  <c r="O77"/>
  <c r="N77"/>
  <c r="M77"/>
  <c r="L77"/>
  <c r="K77"/>
  <c r="J77"/>
  <c r="I77"/>
  <c r="H77"/>
  <c r="G77"/>
  <c r="F77"/>
  <c r="E77"/>
  <c r="D77"/>
  <c r="C77"/>
  <c r="S76"/>
  <c r="R76"/>
  <c r="Q76"/>
  <c r="P76"/>
  <c r="O76"/>
  <c r="N76"/>
  <c r="M76"/>
  <c r="L76"/>
  <c r="K76"/>
  <c r="J76"/>
  <c r="I76"/>
  <c r="H76"/>
  <c r="G76"/>
  <c r="F76"/>
  <c r="E76"/>
  <c r="D76"/>
  <c r="C76"/>
  <c r="S75"/>
  <c r="R75"/>
  <c r="Q75"/>
  <c r="P75"/>
  <c r="O75"/>
  <c r="N75"/>
  <c r="M75"/>
  <c r="L75"/>
  <c r="K75"/>
  <c r="J75"/>
  <c r="I75"/>
  <c r="H75"/>
  <c r="G75"/>
  <c r="F75"/>
  <c r="E75"/>
  <c r="D75"/>
  <c r="C75"/>
  <c r="S74"/>
  <c r="R74"/>
  <c r="Q74"/>
  <c r="P74"/>
  <c r="O74"/>
  <c r="N74"/>
  <c r="M74"/>
  <c r="L74"/>
  <c r="K74"/>
  <c r="J74"/>
  <c r="I74"/>
  <c r="H74"/>
  <c r="G74"/>
  <c r="F74"/>
  <c r="E74"/>
  <c r="D74"/>
  <c r="C74"/>
  <c r="S73"/>
  <c r="R73"/>
  <c r="Q73"/>
  <c r="P73"/>
  <c r="O73"/>
  <c r="N73"/>
  <c r="M73"/>
  <c r="L73"/>
  <c r="K73"/>
  <c r="J73"/>
  <c r="I73"/>
  <c r="H73"/>
  <c r="G73"/>
  <c r="F73"/>
  <c r="E73"/>
  <c r="D73"/>
  <c r="C73"/>
  <c r="S72"/>
  <c r="R72"/>
  <c r="Q72"/>
  <c r="P72"/>
  <c r="O72"/>
  <c r="N72"/>
  <c r="M72"/>
  <c r="L72"/>
  <c r="K72"/>
  <c r="J72"/>
  <c r="I72"/>
  <c r="H72"/>
  <c r="G72"/>
  <c r="F72"/>
  <c r="E72"/>
  <c r="D72"/>
  <c r="C72"/>
  <c r="S71"/>
  <c r="R71"/>
  <c r="Q71"/>
  <c r="P71"/>
  <c r="O71"/>
  <c r="N71"/>
  <c r="M71"/>
  <c r="L71"/>
  <c r="K71"/>
  <c r="J71"/>
  <c r="I71"/>
  <c r="H71"/>
  <c r="G71"/>
  <c r="F71"/>
  <c r="E71"/>
  <c r="D71"/>
  <c r="C71"/>
  <c r="S70"/>
  <c r="R70"/>
  <c r="Q70"/>
  <c r="P70"/>
  <c r="O70"/>
  <c r="N70"/>
  <c r="M70"/>
  <c r="L70"/>
  <c r="K70"/>
  <c r="J70"/>
  <c r="I70"/>
  <c r="H70"/>
  <c r="G70"/>
  <c r="F70"/>
  <c r="E70"/>
  <c r="D70"/>
  <c r="C70"/>
  <c r="S69"/>
  <c r="R69"/>
  <c r="Q69"/>
  <c r="P69"/>
  <c r="O69"/>
  <c r="N69"/>
  <c r="M69"/>
  <c r="L69"/>
  <c r="K69"/>
  <c r="J69"/>
  <c r="I69"/>
  <c r="H69"/>
  <c r="G69"/>
  <c r="F69"/>
  <c r="E69"/>
  <c r="D69"/>
  <c r="C69"/>
  <c r="S68"/>
  <c r="R68"/>
  <c r="Q68"/>
  <c r="P68"/>
  <c r="O68"/>
  <c r="N68"/>
  <c r="M68"/>
  <c r="L68"/>
  <c r="K68"/>
  <c r="J68"/>
  <c r="I68"/>
  <c r="H68"/>
  <c r="G68"/>
  <c r="F68"/>
  <c r="E68"/>
  <c r="D68"/>
  <c r="C68"/>
  <c r="S67"/>
  <c r="R67"/>
  <c r="Q67"/>
  <c r="P67"/>
  <c r="O67"/>
  <c r="N67"/>
  <c r="M67"/>
  <c r="L67"/>
  <c r="K67"/>
  <c r="J67"/>
  <c r="I67"/>
  <c r="H67"/>
  <c r="G67"/>
  <c r="F67"/>
  <c r="E67"/>
  <c r="D67"/>
  <c r="C67"/>
  <c r="S66"/>
  <c r="R66"/>
  <c r="Q66"/>
  <c r="P66"/>
  <c r="O66"/>
  <c r="N66"/>
  <c r="M66"/>
  <c r="L66"/>
  <c r="K66"/>
  <c r="J66"/>
  <c r="I66"/>
  <c r="H66"/>
  <c r="G66"/>
  <c r="F66"/>
  <c r="E66"/>
  <c r="D66"/>
  <c r="C66"/>
  <c r="S65"/>
  <c r="R65"/>
  <c r="Q65"/>
  <c r="P65"/>
  <c r="O65"/>
  <c r="N65"/>
  <c r="M65"/>
  <c r="L65"/>
  <c r="K65"/>
  <c r="J65"/>
  <c r="I65"/>
  <c r="H65"/>
  <c r="G65"/>
  <c r="F65"/>
  <c r="E65"/>
  <c r="D65"/>
  <c r="C65"/>
  <c r="S64"/>
  <c r="R64"/>
  <c r="Q64"/>
  <c r="P64"/>
  <c r="O64"/>
  <c r="N64"/>
  <c r="M64"/>
  <c r="L64"/>
  <c r="K64"/>
  <c r="J64"/>
  <c r="I64"/>
  <c r="H64"/>
  <c r="G64"/>
  <c r="F64"/>
  <c r="E64"/>
  <c r="D64"/>
  <c r="C64"/>
  <c r="S63"/>
  <c r="R63"/>
  <c r="Q63"/>
  <c r="P63"/>
  <c r="O63"/>
  <c r="N63"/>
  <c r="M63"/>
  <c r="L63"/>
  <c r="K63"/>
  <c r="J63"/>
  <c r="I63"/>
  <c r="H63"/>
  <c r="G63"/>
  <c r="F63"/>
  <c r="E63"/>
  <c r="D63"/>
  <c r="C63"/>
  <c r="S62"/>
  <c r="R62"/>
  <c r="Q62"/>
  <c r="P62"/>
  <c r="O62"/>
  <c r="N62"/>
  <c r="M62"/>
  <c r="L62"/>
  <c r="K62"/>
  <c r="J62"/>
  <c r="I62"/>
  <c r="H62"/>
  <c r="G62"/>
  <c r="F62"/>
  <c r="E62"/>
  <c r="D62"/>
  <c r="C62"/>
  <c r="S61"/>
  <c r="R61"/>
  <c r="Q61"/>
  <c r="P61"/>
  <c r="O61"/>
  <c r="N61"/>
  <c r="M61"/>
  <c r="L61"/>
  <c r="K61"/>
  <c r="J61"/>
  <c r="I61"/>
  <c r="H61"/>
  <c r="G61"/>
  <c r="F61"/>
  <c r="E61"/>
  <c r="D61"/>
  <c r="C61"/>
  <c r="S60"/>
  <c r="R60"/>
  <c r="Q60"/>
  <c r="P60"/>
  <c r="O60"/>
  <c r="N60"/>
  <c r="M60"/>
  <c r="L60"/>
  <c r="K60"/>
  <c r="J60"/>
  <c r="I60"/>
  <c r="H60"/>
  <c r="G60"/>
  <c r="F60"/>
  <c r="E60"/>
  <c r="D60"/>
  <c r="C60"/>
  <c r="S59"/>
  <c r="R59"/>
  <c r="Q59"/>
  <c r="P59"/>
  <c r="O59"/>
  <c r="N59"/>
  <c r="M59"/>
  <c r="L59"/>
  <c r="K59"/>
  <c r="J59"/>
  <c r="I59"/>
  <c r="H59"/>
  <c r="G59"/>
  <c r="F59"/>
  <c r="E59"/>
  <c r="D59"/>
  <c r="C59"/>
  <c r="S58"/>
  <c r="R58"/>
  <c r="Q58"/>
  <c r="P58"/>
  <c r="O58"/>
  <c r="N58"/>
  <c r="M58"/>
  <c r="L58"/>
  <c r="K58"/>
  <c r="J58"/>
  <c r="I58"/>
  <c r="H58"/>
  <c r="G58"/>
  <c r="F58"/>
  <c r="E58"/>
  <c r="D58"/>
  <c r="C58"/>
  <c r="S57"/>
  <c r="R57"/>
  <c r="Q57"/>
  <c r="P57"/>
  <c r="O57"/>
  <c r="N57"/>
  <c r="M57"/>
  <c r="L57"/>
  <c r="K57"/>
  <c r="J57"/>
  <c r="I57"/>
  <c r="H57"/>
  <c r="G57"/>
  <c r="F57"/>
  <c r="E57"/>
  <c r="D57"/>
  <c r="C57"/>
  <c r="S56"/>
  <c r="R56"/>
  <c r="Q56"/>
  <c r="P56"/>
  <c r="O56"/>
  <c r="N56"/>
  <c r="M56"/>
  <c r="L56"/>
  <c r="K56"/>
  <c r="J56"/>
  <c r="I56"/>
  <c r="H56"/>
  <c r="G56"/>
  <c r="F56"/>
  <c r="E56"/>
  <c r="D56"/>
  <c r="C56"/>
  <c r="S55"/>
  <c r="R55"/>
  <c r="Q55"/>
  <c r="P55"/>
  <c r="O55"/>
  <c r="N55"/>
  <c r="M55"/>
  <c r="L55"/>
  <c r="K55"/>
  <c r="J55"/>
  <c r="I55"/>
  <c r="H55"/>
  <c r="G55"/>
  <c r="F55"/>
  <c r="E55"/>
  <c r="D55"/>
  <c r="C55"/>
  <c r="S54"/>
  <c r="R54"/>
  <c r="Q54"/>
  <c r="P54"/>
  <c r="O54"/>
  <c r="N54"/>
  <c r="M54"/>
  <c r="L54"/>
  <c r="K54"/>
  <c r="J54"/>
  <c r="I54"/>
  <c r="H54"/>
  <c r="G54"/>
  <c r="F54"/>
  <c r="E54"/>
  <c r="D54"/>
  <c r="C54"/>
  <c r="S53"/>
  <c r="R53"/>
  <c r="Q53"/>
  <c r="P53"/>
  <c r="O53"/>
  <c r="N53"/>
  <c r="M53"/>
  <c r="L53"/>
  <c r="K53"/>
  <c r="J53"/>
  <c r="I53"/>
  <c r="H53"/>
  <c r="G53"/>
  <c r="F53"/>
  <c r="E53"/>
  <c r="D53"/>
  <c r="C53"/>
  <c r="S52"/>
  <c r="R52"/>
  <c r="Q52"/>
  <c r="P52"/>
  <c r="O52"/>
  <c r="N52"/>
  <c r="M52"/>
  <c r="L52"/>
  <c r="K52"/>
  <c r="J52"/>
  <c r="I52"/>
  <c r="H52"/>
  <c r="G52"/>
  <c r="F52"/>
  <c r="E52"/>
  <c r="D52"/>
  <c r="C52"/>
  <c r="S51"/>
  <c r="R51"/>
  <c r="Q51"/>
  <c r="P51"/>
  <c r="O51"/>
  <c r="N51"/>
  <c r="M51"/>
  <c r="L51"/>
  <c r="K51"/>
  <c r="J51"/>
  <c r="I51"/>
  <c r="H51"/>
  <c r="G51"/>
  <c r="F51"/>
  <c r="E51"/>
  <c r="D51"/>
  <c r="C51"/>
  <c r="S50"/>
  <c r="R50"/>
  <c r="Q50"/>
  <c r="P50"/>
  <c r="O50"/>
  <c r="N50"/>
  <c r="M50"/>
  <c r="L50"/>
  <c r="K50"/>
  <c r="J50"/>
  <c r="I50"/>
  <c r="H50"/>
  <c r="G50"/>
  <c r="F50"/>
  <c r="E50"/>
  <c r="D50"/>
  <c r="C50"/>
  <c r="S49"/>
  <c r="R49"/>
  <c r="Q49"/>
  <c r="P49"/>
  <c r="O49"/>
  <c r="N49"/>
  <c r="M49"/>
  <c r="L49"/>
  <c r="K49"/>
  <c r="J49"/>
  <c r="I49"/>
  <c r="H49"/>
  <c r="G49"/>
  <c r="F49"/>
  <c r="E49"/>
  <c r="D49"/>
  <c r="C49"/>
  <c r="S48"/>
  <c r="R48"/>
  <c r="Q48"/>
  <c r="P48"/>
  <c r="O48"/>
  <c r="N48"/>
  <c r="M48"/>
  <c r="L48"/>
  <c r="K48"/>
  <c r="J48"/>
  <c r="I48"/>
  <c r="H48"/>
  <c r="G48"/>
  <c r="F48"/>
  <c r="E48"/>
  <c r="D48"/>
  <c r="C48"/>
  <c r="S47"/>
  <c r="R47"/>
  <c r="Q47"/>
  <c r="P47"/>
  <c r="O47"/>
  <c r="N47"/>
  <c r="M47"/>
  <c r="L47"/>
  <c r="K47"/>
  <c r="J47"/>
  <c r="I47"/>
  <c r="H47"/>
  <c r="G47"/>
  <c r="F47"/>
  <c r="E47"/>
  <c r="D47"/>
  <c r="C47"/>
  <c r="S46"/>
  <c r="R46"/>
  <c r="Q46"/>
  <c r="P46"/>
  <c r="O46"/>
  <c r="N46"/>
  <c r="M46"/>
  <c r="L46"/>
  <c r="K46"/>
  <c r="J46"/>
  <c r="I46"/>
  <c r="H46"/>
  <c r="G46"/>
  <c r="F46"/>
  <c r="E46"/>
  <c r="D46"/>
  <c r="C46"/>
  <c r="S45"/>
  <c r="R45"/>
  <c r="Q45"/>
  <c r="P45"/>
  <c r="O45"/>
  <c r="N45"/>
  <c r="M45"/>
  <c r="L45"/>
  <c r="K45"/>
  <c r="J45"/>
  <c r="I45"/>
  <c r="H45"/>
  <c r="G45"/>
  <c r="F45"/>
  <c r="E45"/>
  <c r="D45"/>
  <c r="C45"/>
  <c r="S44"/>
  <c r="R44"/>
  <c r="Q44"/>
  <c r="P44"/>
  <c r="O44"/>
  <c r="N44"/>
  <c r="M44"/>
  <c r="L44"/>
  <c r="K44"/>
  <c r="J44"/>
  <c r="I44"/>
  <c r="H44"/>
  <c r="G44"/>
  <c r="F44"/>
  <c r="E44"/>
  <c r="D44"/>
  <c r="C44"/>
  <c r="S43"/>
  <c r="R43"/>
  <c r="Q43"/>
  <c r="P43"/>
  <c r="O43"/>
  <c r="N43"/>
  <c r="M43"/>
  <c r="L43"/>
  <c r="K43"/>
  <c r="J43"/>
  <c r="I43"/>
  <c r="H43"/>
  <c r="G43"/>
  <c r="F43"/>
  <c r="E43"/>
  <c r="D43"/>
  <c r="C43"/>
  <c r="S42"/>
  <c r="R42"/>
  <c r="Q42"/>
  <c r="P42"/>
  <c r="O42"/>
  <c r="N42"/>
  <c r="M42"/>
  <c r="L42"/>
  <c r="K42"/>
  <c r="J42"/>
  <c r="I42"/>
  <c r="H42"/>
  <c r="G42"/>
  <c r="F42"/>
  <c r="E42"/>
  <c r="D42"/>
  <c r="C42"/>
  <c r="S41"/>
  <c r="R41"/>
  <c r="Q41"/>
  <c r="P41"/>
  <c r="O41"/>
  <c r="N41"/>
  <c r="M41"/>
  <c r="L41"/>
  <c r="K41"/>
  <c r="J41"/>
  <c r="I41"/>
  <c r="H41"/>
  <c r="G41"/>
  <c r="F41"/>
  <c r="E41"/>
  <c r="D41"/>
  <c r="C41"/>
  <c r="S40"/>
  <c r="R40"/>
  <c r="Q40"/>
  <c r="P40"/>
  <c r="O40"/>
  <c r="N40"/>
  <c r="M40"/>
  <c r="L40"/>
  <c r="K40"/>
  <c r="J40"/>
  <c r="I40"/>
  <c r="H40"/>
  <c r="G40"/>
  <c r="F40"/>
  <c r="E40"/>
  <c r="D40"/>
  <c r="C40"/>
  <c r="S39"/>
  <c r="R39"/>
  <c r="Q39"/>
  <c r="P39"/>
  <c r="O39"/>
  <c r="N39"/>
  <c r="M39"/>
  <c r="L39"/>
  <c r="K39"/>
  <c r="J39"/>
  <c r="I39"/>
  <c r="H39"/>
  <c r="G39"/>
  <c r="F39"/>
  <c r="E39"/>
  <c r="D39"/>
  <c r="C39"/>
  <c r="S38"/>
  <c r="R38"/>
  <c r="Q38"/>
  <c r="P38"/>
  <c r="O38"/>
  <c r="N38"/>
  <c r="M38"/>
  <c r="L38"/>
  <c r="K38"/>
  <c r="J38"/>
  <c r="I38"/>
  <c r="H38"/>
  <c r="G38"/>
  <c r="F38"/>
  <c r="E38"/>
  <c r="D38"/>
  <c r="C38"/>
  <c r="S37"/>
  <c r="R37"/>
  <c r="Q37"/>
  <c r="P37"/>
  <c r="O37"/>
  <c r="N37"/>
  <c r="M37"/>
  <c r="L37"/>
  <c r="K37"/>
  <c r="J37"/>
  <c r="I37"/>
  <c r="H37"/>
  <c r="G37"/>
  <c r="F37"/>
  <c r="E37"/>
  <c r="D37"/>
  <c r="C37"/>
  <c r="S36"/>
  <c r="R36"/>
  <c r="Q36"/>
  <c r="P36"/>
  <c r="O36"/>
  <c r="N36"/>
  <c r="M36"/>
  <c r="L36"/>
  <c r="K36"/>
  <c r="J36"/>
  <c r="I36"/>
  <c r="H36"/>
  <c r="G36"/>
  <c r="F36"/>
  <c r="E36"/>
  <c r="D36"/>
  <c r="C36"/>
  <c r="S35"/>
  <c r="R35"/>
  <c r="Q35"/>
  <c r="P35"/>
  <c r="O35"/>
  <c r="N35"/>
  <c r="M35"/>
  <c r="L35"/>
  <c r="K35"/>
  <c r="J35"/>
  <c r="I35"/>
  <c r="H35"/>
  <c r="G35"/>
  <c r="F35"/>
  <c r="E35"/>
  <c r="D35"/>
  <c r="C35"/>
  <c r="S34"/>
  <c r="R34"/>
  <c r="Q34"/>
  <c r="P34"/>
  <c r="O34"/>
  <c r="N34"/>
  <c r="M34"/>
  <c r="L34"/>
  <c r="K34"/>
  <c r="J34"/>
  <c r="I34"/>
  <c r="H34"/>
  <c r="G34"/>
  <c r="F34"/>
  <c r="E34"/>
  <c r="D34"/>
  <c r="C34"/>
  <c r="S33"/>
  <c r="R33"/>
  <c r="Q33"/>
  <c r="P33"/>
  <c r="O33"/>
  <c r="N33"/>
  <c r="M33"/>
  <c r="L33"/>
  <c r="K33"/>
  <c r="J33"/>
  <c r="I33"/>
  <c r="H33"/>
  <c r="G33"/>
  <c r="F33"/>
  <c r="E33"/>
  <c r="D33"/>
  <c r="C33"/>
  <c r="S32"/>
  <c r="R32"/>
  <c r="Q32"/>
  <c r="P32"/>
  <c r="O32"/>
  <c r="N32"/>
  <c r="M32"/>
  <c r="L32"/>
  <c r="K32"/>
  <c r="J32"/>
  <c r="I32"/>
  <c r="H32"/>
  <c r="G32"/>
  <c r="F32"/>
  <c r="E32"/>
  <c r="D32"/>
  <c r="C32"/>
  <c r="S31"/>
  <c r="R31"/>
  <c r="Q31"/>
  <c r="P31"/>
  <c r="O31"/>
  <c r="N31"/>
  <c r="M31"/>
  <c r="L31"/>
  <c r="K31"/>
  <c r="J31"/>
  <c r="I31"/>
  <c r="H31"/>
  <c r="G31"/>
  <c r="F31"/>
  <c r="E31"/>
  <c r="D31"/>
  <c r="C31"/>
  <c r="S30"/>
  <c r="R30"/>
  <c r="Q30"/>
  <c r="P30"/>
  <c r="O30"/>
  <c r="N30"/>
  <c r="M30"/>
  <c r="L30"/>
  <c r="K30"/>
  <c r="J30"/>
  <c r="I30"/>
  <c r="H30"/>
  <c r="G30"/>
  <c r="F30"/>
  <c r="E30"/>
  <c r="D30"/>
  <c r="C30"/>
  <c r="S29"/>
  <c r="R29"/>
  <c r="Q29"/>
  <c r="P29"/>
  <c r="O29"/>
  <c r="N29"/>
  <c r="M29"/>
  <c r="L29"/>
  <c r="K29"/>
  <c r="J29"/>
  <c r="I29"/>
  <c r="H29"/>
  <c r="G29"/>
  <c r="F29"/>
  <c r="E29"/>
  <c r="D29"/>
  <c r="C29"/>
  <c r="S28"/>
  <c r="R28"/>
  <c r="Q28"/>
  <c r="P28"/>
  <c r="O28"/>
  <c r="N28"/>
  <c r="M28"/>
  <c r="L28"/>
  <c r="K28"/>
  <c r="J28"/>
  <c r="I28"/>
  <c r="H28"/>
  <c r="G28"/>
  <c r="F28"/>
  <c r="E28"/>
  <c r="D28"/>
  <c r="C28"/>
  <c r="S102" i="16"/>
  <c r="R102"/>
  <c r="Q102"/>
  <c r="P102"/>
  <c r="O102"/>
  <c r="N102"/>
  <c r="M102"/>
  <c r="L102"/>
  <c r="K102"/>
  <c r="J102"/>
  <c r="I102"/>
  <c r="H102"/>
  <c r="G102"/>
  <c r="F102"/>
  <c r="E102"/>
  <c r="D102"/>
  <c r="C102"/>
  <c r="S101"/>
  <c r="R101"/>
  <c r="Q101"/>
  <c r="P101"/>
  <c r="O101"/>
  <c r="N101"/>
  <c r="M101"/>
  <c r="L101"/>
  <c r="K101"/>
  <c r="J101"/>
  <c r="I101"/>
  <c r="H101"/>
  <c r="G101"/>
  <c r="F101"/>
  <c r="E101"/>
  <c r="D101"/>
  <c r="C101"/>
  <c r="S100"/>
  <c r="R100"/>
  <c r="Q100"/>
  <c r="P100"/>
  <c r="O100"/>
  <c r="N100"/>
  <c r="M100"/>
  <c r="L100"/>
  <c r="K100"/>
  <c r="J100"/>
  <c r="I100"/>
  <c r="H100"/>
  <c r="G100"/>
  <c r="F100"/>
  <c r="E100"/>
  <c r="D100"/>
  <c r="C100"/>
  <c r="S99"/>
  <c r="R99"/>
  <c r="Q99"/>
  <c r="P99"/>
  <c r="O99"/>
  <c r="N99"/>
  <c r="M99"/>
  <c r="L99"/>
  <c r="K99"/>
  <c r="J99"/>
  <c r="I99"/>
  <c r="H99"/>
  <c r="G99"/>
  <c r="F99"/>
  <c r="E99"/>
  <c r="D99"/>
  <c r="C99"/>
  <c r="S98"/>
  <c r="R98"/>
  <c r="Q98"/>
  <c r="P98"/>
  <c r="O98"/>
  <c r="N98"/>
  <c r="M98"/>
  <c r="L98"/>
  <c r="K98"/>
  <c r="J98"/>
  <c r="I98"/>
  <c r="H98"/>
  <c r="G98"/>
  <c r="F98"/>
  <c r="E98"/>
  <c r="D98"/>
  <c r="C98"/>
  <c r="S97"/>
  <c r="R97"/>
  <c r="Q97"/>
  <c r="P97"/>
  <c r="O97"/>
  <c r="N97"/>
  <c r="M97"/>
  <c r="L97"/>
  <c r="K97"/>
  <c r="J97"/>
  <c r="I97"/>
  <c r="H97"/>
  <c r="G97"/>
  <c r="F97"/>
  <c r="E97"/>
  <c r="D97"/>
  <c r="C97"/>
  <c r="S96"/>
  <c r="R96"/>
  <c r="Q96"/>
  <c r="P96"/>
  <c r="O96"/>
  <c r="N96"/>
  <c r="M96"/>
  <c r="L96"/>
  <c r="K96"/>
  <c r="J96"/>
  <c r="I96"/>
  <c r="H96"/>
  <c r="G96"/>
  <c r="F96"/>
  <c r="E96"/>
  <c r="D96"/>
  <c r="C96"/>
  <c r="S95"/>
  <c r="R95"/>
  <c r="Q95"/>
  <c r="P95"/>
  <c r="O95"/>
  <c r="N95"/>
  <c r="M95"/>
  <c r="L95"/>
  <c r="K95"/>
  <c r="J95"/>
  <c r="I95"/>
  <c r="H95"/>
  <c r="G95"/>
  <c r="F95"/>
  <c r="E95"/>
  <c r="D95"/>
  <c r="C95"/>
  <c r="S94"/>
  <c r="R94"/>
  <c r="Q94"/>
  <c r="P94"/>
  <c r="O94"/>
  <c r="N94"/>
  <c r="M94"/>
  <c r="L94"/>
  <c r="K94"/>
  <c r="J94"/>
  <c r="I94"/>
  <c r="H94"/>
  <c r="G94"/>
  <c r="F94"/>
  <c r="E94"/>
  <c r="D94"/>
  <c r="C94"/>
  <c r="S93"/>
  <c r="R93"/>
  <c r="Q93"/>
  <c r="P93"/>
  <c r="O93"/>
  <c r="N93"/>
  <c r="M93"/>
  <c r="L93"/>
  <c r="K93"/>
  <c r="J93"/>
  <c r="I93"/>
  <c r="H93"/>
  <c r="G93"/>
  <c r="F93"/>
  <c r="E93"/>
  <c r="D93"/>
  <c r="C93"/>
  <c r="S92"/>
  <c r="R92"/>
  <c r="Q92"/>
  <c r="P92"/>
  <c r="O92"/>
  <c r="N92"/>
  <c r="M92"/>
  <c r="L92"/>
  <c r="K92"/>
  <c r="J92"/>
  <c r="I92"/>
  <c r="H92"/>
  <c r="G92"/>
  <c r="F92"/>
  <c r="E92"/>
  <c r="D92"/>
  <c r="C92"/>
  <c r="S91"/>
  <c r="R91"/>
  <c r="Q91"/>
  <c r="P91"/>
  <c r="O91"/>
  <c r="N91"/>
  <c r="M91"/>
  <c r="L91"/>
  <c r="K91"/>
  <c r="J91"/>
  <c r="I91"/>
  <c r="H91"/>
  <c r="G91"/>
  <c r="F91"/>
  <c r="E91"/>
  <c r="D91"/>
  <c r="C91"/>
  <c r="S90"/>
  <c r="R90"/>
  <c r="Q90"/>
  <c r="P90"/>
  <c r="O90"/>
  <c r="N90"/>
  <c r="M90"/>
  <c r="L90"/>
  <c r="K90"/>
  <c r="J90"/>
  <c r="I90"/>
  <c r="H90"/>
  <c r="G90"/>
  <c r="F90"/>
  <c r="E90"/>
  <c r="D90"/>
  <c r="C90"/>
  <c r="S89"/>
  <c r="R89"/>
  <c r="Q89"/>
  <c r="P89"/>
  <c r="O89"/>
  <c r="N89"/>
  <c r="M89"/>
  <c r="L89"/>
  <c r="K89"/>
  <c r="J89"/>
  <c r="I89"/>
  <c r="H89"/>
  <c r="G89"/>
  <c r="F89"/>
  <c r="E89"/>
  <c r="D89"/>
  <c r="C89"/>
  <c r="S88"/>
  <c r="R88"/>
  <c r="Q88"/>
  <c r="P88"/>
  <c r="O88"/>
  <c r="N88"/>
  <c r="M88"/>
  <c r="L88"/>
  <c r="K88"/>
  <c r="J88"/>
  <c r="I88"/>
  <c r="H88"/>
  <c r="G88"/>
  <c r="F88"/>
  <c r="E88"/>
  <c r="D88"/>
  <c r="C88"/>
  <c r="S87"/>
  <c r="R87"/>
  <c r="Q87"/>
  <c r="P87"/>
  <c r="O87"/>
  <c r="N87"/>
  <c r="M87"/>
  <c r="L87"/>
  <c r="K87"/>
  <c r="J87"/>
  <c r="I87"/>
  <c r="H87"/>
  <c r="G87"/>
  <c r="F87"/>
  <c r="E87"/>
  <c r="D87"/>
  <c r="C87"/>
  <c r="S86"/>
  <c r="R86"/>
  <c r="Q86"/>
  <c r="P86"/>
  <c r="O86"/>
  <c r="N86"/>
  <c r="M86"/>
  <c r="L86"/>
  <c r="K86"/>
  <c r="J86"/>
  <c r="I86"/>
  <c r="H86"/>
  <c r="G86"/>
  <c r="F86"/>
  <c r="E86"/>
  <c r="D86"/>
  <c r="C86"/>
  <c r="S85"/>
  <c r="R85"/>
  <c r="Q85"/>
  <c r="P85"/>
  <c r="O85"/>
  <c r="N85"/>
  <c r="M85"/>
  <c r="L85"/>
  <c r="K85"/>
  <c r="J85"/>
  <c r="I85"/>
  <c r="H85"/>
  <c r="G85"/>
  <c r="F85"/>
  <c r="E85"/>
  <c r="D85"/>
  <c r="C85"/>
  <c r="S84"/>
  <c r="R84"/>
  <c r="Q84"/>
  <c r="P84"/>
  <c r="O84"/>
  <c r="N84"/>
  <c r="M84"/>
  <c r="L84"/>
  <c r="K84"/>
  <c r="J84"/>
  <c r="I84"/>
  <c r="H84"/>
  <c r="G84"/>
  <c r="F84"/>
  <c r="E84"/>
  <c r="D84"/>
  <c r="C84"/>
  <c r="S83"/>
  <c r="R83"/>
  <c r="Q83"/>
  <c r="P83"/>
  <c r="O83"/>
  <c r="N83"/>
  <c r="M83"/>
  <c r="L83"/>
  <c r="K83"/>
  <c r="J83"/>
  <c r="I83"/>
  <c r="H83"/>
  <c r="G83"/>
  <c r="F83"/>
  <c r="E83"/>
  <c r="D83"/>
  <c r="C83"/>
  <c r="S82"/>
  <c r="R82"/>
  <c r="Q82"/>
  <c r="P82"/>
  <c r="O82"/>
  <c r="N82"/>
  <c r="M82"/>
  <c r="L82"/>
  <c r="K82"/>
  <c r="J82"/>
  <c r="I82"/>
  <c r="H82"/>
  <c r="G82"/>
  <c r="F82"/>
  <c r="E82"/>
  <c r="D82"/>
  <c r="C82"/>
  <c r="S81"/>
  <c r="R81"/>
  <c r="Q81"/>
  <c r="P81"/>
  <c r="O81"/>
  <c r="N81"/>
  <c r="M81"/>
  <c r="L81"/>
  <c r="K81"/>
  <c r="J81"/>
  <c r="I81"/>
  <c r="H81"/>
  <c r="G81"/>
  <c r="F81"/>
  <c r="E81"/>
  <c r="D81"/>
  <c r="C81"/>
  <c r="S80"/>
  <c r="R80"/>
  <c r="Q80"/>
  <c r="P80"/>
  <c r="O80"/>
  <c r="N80"/>
  <c r="M80"/>
  <c r="L80"/>
  <c r="K80"/>
  <c r="J80"/>
  <c r="I80"/>
  <c r="H80"/>
  <c r="G80"/>
  <c r="F80"/>
  <c r="E80"/>
  <c r="D80"/>
  <c r="C80"/>
  <c r="S79"/>
  <c r="R79"/>
  <c r="Q79"/>
  <c r="P79"/>
  <c r="O79"/>
  <c r="N79"/>
  <c r="M79"/>
  <c r="L79"/>
  <c r="K79"/>
  <c r="J79"/>
  <c r="I79"/>
  <c r="H79"/>
  <c r="G79"/>
  <c r="F79"/>
  <c r="E79"/>
  <c r="D79"/>
  <c r="C79"/>
  <c r="S78"/>
  <c r="R78"/>
  <c r="Q78"/>
  <c r="P78"/>
  <c r="O78"/>
  <c r="N78"/>
  <c r="M78"/>
  <c r="L78"/>
  <c r="K78"/>
  <c r="J78"/>
  <c r="I78"/>
  <c r="H78"/>
  <c r="G78"/>
  <c r="F78"/>
  <c r="E78"/>
  <c r="D78"/>
  <c r="C78"/>
  <c r="S77"/>
  <c r="R77"/>
  <c r="Q77"/>
  <c r="P77"/>
  <c r="O77"/>
  <c r="N77"/>
  <c r="M77"/>
  <c r="L77"/>
  <c r="K77"/>
  <c r="J77"/>
  <c r="I77"/>
  <c r="H77"/>
  <c r="G77"/>
  <c r="F77"/>
  <c r="E77"/>
  <c r="D77"/>
  <c r="C77"/>
  <c r="S76"/>
  <c r="R76"/>
  <c r="Q76"/>
  <c r="P76"/>
  <c r="O76"/>
  <c r="N76"/>
  <c r="M76"/>
  <c r="L76"/>
  <c r="K76"/>
  <c r="J76"/>
  <c r="I76"/>
  <c r="H76"/>
  <c r="G76"/>
  <c r="F76"/>
  <c r="E76"/>
  <c r="D76"/>
  <c r="C76"/>
  <c r="S75"/>
  <c r="R75"/>
  <c r="Q75"/>
  <c r="P75"/>
  <c r="O75"/>
  <c r="N75"/>
  <c r="M75"/>
  <c r="L75"/>
  <c r="K75"/>
  <c r="J75"/>
  <c r="I75"/>
  <c r="H75"/>
  <c r="G75"/>
  <c r="F75"/>
  <c r="E75"/>
  <c r="D75"/>
  <c r="C75"/>
  <c r="S74"/>
  <c r="R74"/>
  <c r="Q74"/>
  <c r="P74"/>
  <c r="O74"/>
  <c r="N74"/>
  <c r="M74"/>
  <c r="L74"/>
  <c r="K74"/>
  <c r="J74"/>
  <c r="I74"/>
  <c r="H74"/>
  <c r="G74"/>
  <c r="F74"/>
  <c r="E74"/>
  <c r="D74"/>
  <c r="C74"/>
  <c r="S73"/>
  <c r="R73"/>
  <c r="Q73"/>
  <c r="P73"/>
  <c r="O73"/>
  <c r="N73"/>
  <c r="M73"/>
  <c r="L73"/>
  <c r="K73"/>
  <c r="J73"/>
  <c r="I73"/>
  <c r="H73"/>
  <c r="G73"/>
  <c r="F73"/>
  <c r="E73"/>
  <c r="D73"/>
  <c r="C73"/>
  <c r="S72"/>
  <c r="R72"/>
  <c r="Q72"/>
  <c r="P72"/>
  <c r="O72"/>
  <c r="N72"/>
  <c r="M72"/>
  <c r="L72"/>
  <c r="K72"/>
  <c r="J72"/>
  <c r="I72"/>
  <c r="H72"/>
  <c r="G72"/>
  <c r="F72"/>
  <c r="E72"/>
  <c r="D72"/>
  <c r="C72"/>
  <c r="S71"/>
  <c r="R71"/>
  <c r="Q71"/>
  <c r="P71"/>
  <c r="O71"/>
  <c r="N71"/>
  <c r="M71"/>
  <c r="L71"/>
  <c r="K71"/>
  <c r="J71"/>
  <c r="I71"/>
  <c r="H71"/>
  <c r="G71"/>
  <c r="F71"/>
  <c r="E71"/>
  <c r="D71"/>
  <c r="C71"/>
  <c r="S70"/>
  <c r="R70"/>
  <c r="Q70"/>
  <c r="P70"/>
  <c r="O70"/>
  <c r="N70"/>
  <c r="M70"/>
  <c r="L70"/>
  <c r="K70"/>
  <c r="J70"/>
  <c r="I70"/>
  <c r="H70"/>
  <c r="G70"/>
  <c r="F70"/>
  <c r="E70"/>
  <c r="D70"/>
  <c r="C70"/>
  <c r="S69"/>
  <c r="R69"/>
  <c r="Q69"/>
  <c r="P69"/>
  <c r="O69"/>
  <c r="N69"/>
  <c r="M69"/>
  <c r="L69"/>
  <c r="K69"/>
  <c r="J69"/>
  <c r="I69"/>
  <c r="H69"/>
  <c r="G69"/>
  <c r="F69"/>
  <c r="E69"/>
  <c r="D69"/>
  <c r="C69"/>
  <c r="S68"/>
  <c r="R68"/>
  <c r="Q68"/>
  <c r="P68"/>
  <c r="O68"/>
  <c r="N68"/>
  <c r="M68"/>
  <c r="L68"/>
  <c r="K68"/>
  <c r="J68"/>
  <c r="I68"/>
  <c r="H68"/>
  <c r="G68"/>
  <c r="F68"/>
  <c r="E68"/>
  <c r="D68"/>
  <c r="C68"/>
  <c r="S67"/>
  <c r="R67"/>
  <c r="Q67"/>
  <c r="P67"/>
  <c r="O67"/>
  <c r="N67"/>
  <c r="M67"/>
  <c r="L67"/>
  <c r="K67"/>
  <c r="J67"/>
  <c r="I67"/>
  <c r="H67"/>
  <c r="G67"/>
  <c r="F67"/>
  <c r="E67"/>
  <c r="D67"/>
  <c r="C67"/>
  <c r="S66"/>
  <c r="R66"/>
  <c r="Q66"/>
  <c r="P66"/>
  <c r="O66"/>
  <c r="N66"/>
  <c r="M66"/>
  <c r="L66"/>
  <c r="K66"/>
  <c r="J66"/>
  <c r="I66"/>
  <c r="H66"/>
  <c r="G66"/>
  <c r="F66"/>
  <c r="E66"/>
  <c r="D66"/>
  <c r="C66"/>
  <c r="S65"/>
  <c r="R65"/>
  <c r="Q65"/>
  <c r="P65"/>
  <c r="O65"/>
  <c r="N65"/>
  <c r="M65"/>
  <c r="L65"/>
  <c r="K65"/>
  <c r="J65"/>
  <c r="I65"/>
  <c r="H65"/>
  <c r="G65"/>
  <c r="F65"/>
  <c r="E65"/>
  <c r="D65"/>
  <c r="C65"/>
  <c r="S64"/>
  <c r="R64"/>
  <c r="Q64"/>
  <c r="P64"/>
  <c r="O64"/>
  <c r="N64"/>
  <c r="M64"/>
  <c r="L64"/>
  <c r="K64"/>
  <c r="J64"/>
  <c r="I64"/>
  <c r="H64"/>
  <c r="G64"/>
  <c r="F64"/>
  <c r="E64"/>
  <c r="D64"/>
  <c r="C64"/>
  <c r="S63"/>
  <c r="R63"/>
  <c r="Q63"/>
  <c r="P63"/>
  <c r="O63"/>
  <c r="N63"/>
  <c r="M63"/>
  <c r="L63"/>
  <c r="K63"/>
  <c r="J63"/>
  <c r="I63"/>
  <c r="H63"/>
  <c r="G63"/>
  <c r="F63"/>
  <c r="E63"/>
  <c r="D63"/>
  <c r="C63"/>
  <c r="S62"/>
  <c r="R62"/>
  <c r="Q62"/>
  <c r="P62"/>
  <c r="O62"/>
  <c r="N62"/>
  <c r="M62"/>
  <c r="L62"/>
  <c r="K62"/>
  <c r="J62"/>
  <c r="I62"/>
  <c r="H62"/>
  <c r="G62"/>
  <c r="F62"/>
  <c r="E62"/>
  <c r="D62"/>
  <c r="C62"/>
  <c r="S61"/>
  <c r="R61"/>
  <c r="Q61"/>
  <c r="P61"/>
  <c r="O61"/>
  <c r="N61"/>
  <c r="M61"/>
  <c r="L61"/>
  <c r="K61"/>
  <c r="J61"/>
  <c r="I61"/>
  <c r="H61"/>
  <c r="G61"/>
  <c r="F61"/>
  <c r="E61"/>
  <c r="D61"/>
  <c r="C61"/>
  <c r="S60"/>
  <c r="R60"/>
  <c r="Q60"/>
  <c r="P60"/>
  <c r="O60"/>
  <c r="N60"/>
  <c r="M60"/>
  <c r="L60"/>
  <c r="K60"/>
  <c r="J60"/>
  <c r="I60"/>
  <c r="H60"/>
  <c r="G60"/>
  <c r="F60"/>
  <c r="E60"/>
  <c r="D60"/>
  <c r="C60"/>
  <c r="S59"/>
  <c r="R59"/>
  <c r="Q59"/>
  <c r="P59"/>
  <c r="O59"/>
  <c r="N59"/>
  <c r="M59"/>
  <c r="L59"/>
  <c r="K59"/>
  <c r="J59"/>
  <c r="I59"/>
  <c r="H59"/>
  <c r="G59"/>
  <c r="F59"/>
  <c r="E59"/>
  <c r="D59"/>
  <c r="C59"/>
  <c r="S58"/>
  <c r="R58"/>
  <c r="Q58"/>
  <c r="P58"/>
  <c r="O58"/>
  <c r="N58"/>
  <c r="M58"/>
  <c r="L58"/>
  <c r="K58"/>
  <c r="J58"/>
  <c r="I58"/>
  <c r="H58"/>
  <c r="G58"/>
  <c r="F58"/>
  <c r="E58"/>
  <c r="D58"/>
  <c r="C58"/>
  <c r="S57"/>
  <c r="R57"/>
  <c r="Q57"/>
  <c r="P57"/>
  <c r="O57"/>
  <c r="N57"/>
  <c r="M57"/>
  <c r="L57"/>
  <c r="K57"/>
  <c r="J57"/>
  <c r="I57"/>
  <c r="H57"/>
  <c r="G57"/>
  <c r="F57"/>
  <c r="E57"/>
  <c r="D57"/>
  <c r="C57"/>
  <c r="S56"/>
  <c r="R56"/>
  <c r="Q56"/>
  <c r="P56"/>
  <c r="O56"/>
  <c r="N56"/>
  <c r="M56"/>
  <c r="L56"/>
  <c r="K56"/>
  <c r="J56"/>
  <c r="I56"/>
  <c r="H56"/>
  <c r="G56"/>
  <c r="F56"/>
  <c r="E56"/>
  <c r="D56"/>
  <c r="C56"/>
  <c r="S55"/>
  <c r="R55"/>
  <c r="Q55"/>
  <c r="P55"/>
  <c r="O55"/>
  <c r="N55"/>
  <c r="M55"/>
  <c r="L55"/>
  <c r="K55"/>
  <c r="J55"/>
  <c r="I55"/>
  <c r="H55"/>
  <c r="G55"/>
  <c r="F55"/>
  <c r="E55"/>
  <c r="D55"/>
  <c r="C55"/>
  <c r="S54"/>
  <c r="R54"/>
  <c r="Q54"/>
  <c r="P54"/>
  <c r="O54"/>
  <c r="N54"/>
  <c r="M54"/>
  <c r="L54"/>
  <c r="K54"/>
  <c r="J54"/>
  <c r="I54"/>
  <c r="H54"/>
  <c r="G54"/>
  <c r="F54"/>
  <c r="E54"/>
  <c r="D54"/>
  <c r="C54"/>
  <c r="S53"/>
  <c r="R53"/>
  <c r="Q53"/>
  <c r="P53"/>
  <c r="O53"/>
  <c r="N53"/>
  <c r="M53"/>
  <c r="L53"/>
  <c r="K53"/>
  <c r="J53"/>
  <c r="I53"/>
  <c r="H53"/>
  <c r="G53"/>
  <c r="F53"/>
  <c r="E53"/>
  <c r="D53"/>
  <c r="C53"/>
  <c r="S52"/>
  <c r="R52"/>
  <c r="Q52"/>
  <c r="P52"/>
  <c r="O52"/>
  <c r="N52"/>
  <c r="M52"/>
  <c r="L52"/>
  <c r="K52"/>
  <c r="J52"/>
  <c r="I52"/>
  <c r="H52"/>
  <c r="G52"/>
  <c r="F52"/>
  <c r="E52"/>
  <c r="D52"/>
  <c r="C52"/>
  <c r="S51"/>
  <c r="R51"/>
  <c r="Q51"/>
  <c r="P51"/>
  <c r="O51"/>
  <c r="N51"/>
  <c r="M51"/>
  <c r="L51"/>
  <c r="K51"/>
  <c r="J51"/>
  <c r="I51"/>
  <c r="H51"/>
  <c r="G51"/>
  <c r="F51"/>
  <c r="E51"/>
  <c r="D51"/>
  <c r="C51"/>
  <c r="S50"/>
  <c r="R50"/>
  <c r="Q50"/>
  <c r="P50"/>
  <c r="O50"/>
  <c r="N50"/>
  <c r="M50"/>
  <c r="L50"/>
  <c r="K50"/>
  <c r="J50"/>
  <c r="I50"/>
  <c r="H50"/>
  <c r="G50"/>
  <c r="F50"/>
  <c r="E50"/>
  <c r="D50"/>
  <c r="C50"/>
  <c r="S49"/>
  <c r="R49"/>
  <c r="Q49"/>
  <c r="P49"/>
  <c r="O49"/>
  <c r="N49"/>
  <c r="M49"/>
  <c r="L49"/>
  <c r="K49"/>
  <c r="J49"/>
  <c r="I49"/>
  <c r="H49"/>
  <c r="G49"/>
  <c r="F49"/>
  <c r="E49"/>
  <c r="D49"/>
  <c r="C49"/>
  <c r="S48"/>
  <c r="R48"/>
  <c r="Q48"/>
  <c r="P48"/>
  <c r="O48"/>
  <c r="N48"/>
  <c r="M48"/>
  <c r="L48"/>
  <c r="K48"/>
  <c r="J48"/>
  <c r="I48"/>
  <c r="H48"/>
  <c r="G48"/>
  <c r="F48"/>
  <c r="E48"/>
  <c r="D48"/>
  <c r="C48"/>
  <c r="S47"/>
  <c r="R47"/>
  <c r="Q47"/>
  <c r="P47"/>
  <c r="O47"/>
  <c r="N47"/>
  <c r="M47"/>
  <c r="L47"/>
  <c r="K47"/>
  <c r="J47"/>
  <c r="I47"/>
  <c r="H47"/>
  <c r="G47"/>
  <c r="F47"/>
  <c r="E47"/>
  <c r="D47"/>
  <c r="C47"/>
  <c r="S46"/>
  <c r="R46"/>
  <c r="Q46"/>
  <c r="P46"/>
  <c r="O46"/>
  <c r="N46"/>
  <c r="M46"/>
  <c r="L46"/>
  <c r="K46"/>
  <c r="J46"/>
  <c r="I46"/>
  <c r="H46"/>
  <c r="G46"/>
  <c r="F46"/>
  <c r="E46"/>
  <c r="D46"/>
  <c r="C46"/>
  <c r="S45"/>
  <c r="R45"/>
  <c r="Q45"/>
  <c r="P45"/>
  <c r="O45"/>
  <c r="N45"/>
  <c r="M45"/>
  <c r="L45"/>
  <c r="K45"/>
  <c r="J45"/>
  <c r="I45"/>
  <c r="H45"/>
  <c r="G45"/>
  <c r="F45"/>
  <c r="E45"/>
  <c r="D45"/>
  <c r="C45"/>
  <c r="S44"/>
  <c r="R44"/>
  <c r="Q44"/>
  <c r="P44"/>
  <c r="O44"/>
  <c r="N44"/>
  <c r="M44"/>
  <c r="L44"/>
  <c r="K44"/>
  <c r="J44"/>
  <c r="I44"/>
  <c r="H44"/>
  <c r="G44"/>
  <c r="F44"/>
  <c r="E44"/>
  <c r="D44"/>
  <c r="C44"/>
  <c r="S43"/>
  <c r="R43"/>
  <c r="Q43"/>
  <c r="P43"/>
  <c r="O43"/>
  <c r="N43"/>
  <c r="M43"/>
  <c r="L43"/>
  <c r="K43"/>
  <c r="J43"/>
  <c r="I43"/>
  <c r="H43"/>
  <c r="G43"/>
  <c r="F43"/>
  <c r="E43"/>
  <c r="D43"/>
  <c r="C43"/>
  <c r="S42"/>
  <c r="R42"/>
  <c r="Q42"/>
  <c r="P42"/>
  <c r="O42"/>
  <c r="N42"/>
  <c r="M42"/>
  <c r="L42"/>
  <c r="K42"/>
  <c r="J42"/>
  <c r="I42"/>
  <c r="H42"/>
  <c r="G42"/>
  <c r="F42"/>
  <c r="E42"/>
  <c r="D42"/>
  <c r="C42"/>
  <c r="S41"/>
  <c r="R41"/>
  <c r="Q41"/>
  <c r="P41"/>
  <c r="O41"/>
  <c r="N41"/>
  <c r="M41"/>
  <c r="L41"/>
  <c r="K41"/>
  <c r="J41"/>
  <c r="I41"/>
  <c r="H41"/>
  <c r="G41"/>
  <c r="F41"/>
  <c r="E41"/>
  <c r="D41"/>
  <c r="C41"/>
  <c r="S40"/>
  <c r="R40"/>
  <c r="Q40"/>
  <c r="P40"/>
  <c r="O40"/>
  <c r="N40"/>
  <c r="M40"/>
  <c r="L40"/>
  <c r="K40"/>
  <c r="J40"/>
  <c r="I40"/>
  <c r="H40"/>
  <c r="G40"/>
  <c r="F40"/>
  <c r="E40"/>
  <c r="D40"/>
  <c r="C40"/>
  <c r="S39"/>
  <c r="R39"/>
  <c r="Q39"/>
  <c r="P39"/>
  <c r="O39"/>
  <c r="N39"/>
  <c r="M39"/>
  <c r="L39"/>
  <c r="K39"/>
  <c r="J39"/>
  <c r="I39"/>
  <c r="H39"/>
  <c r="G39"/>
  <c r="F39"/>
  <c r="E39"/>
  <c r="D39"/>
  <c r="C39"/>
  <c r="S38"/>
  <c r="R38"/>
  <c r="Q38"/>
  <c r="P38"/>
  <c r="O38"/>
  <c r="N38"/>
  <c r="M38"/>
  <c r="L38"/>
  <c r="K38"/>
  <c r="J38"/>
  <c r="I38"/>
  <c r="H38"/>
  <c r="G38"/>
  <c r="F38"/>
  <c r="E38"/>
  <c r="D38"/>
  <c r="C38"/>
  <c r="S37"/>
  <c r="R37"/>
  <c r="Q37"/>
  <c r="P37"/>
  <c r="O37"/>
  <c r="N37"/>
  <c r="M37"/>
  <c r="L37"/>
  <c r="K37"/>
  <c r="J37"/>
  <c r="I37"/>
  <c r="H37"/>
  <c r="G37"/>
  <c r="F37"/>
  <c r="E37"/>
  <c r="D37"/>
  <c r="C37"/>
  <c r="S36"/>
  <c r="R36"/>
  <c r="Q36"/>
  <c r="P36"/>
  <c r="O36"/>
  <c r="N36"/>
  <c r="M36"/>
  <c r="L36"/>
  <c r="K36"/>
  <c r="J36"/>
  <c r="I36"/>
  <c r="H36"/>
  <c r="G36"/>
  <c r="F36"/>
  <c r="E36"/>
  <c r="D36"/>
  <c r="C36"/>
  <c r="S35"/>
  <c r="R35"/>
  <c r="Q35"/>
  <c r="P35"/>
  <c r="O35"/>
  <c r="N35"/>
  <c r="M35"/>
  <c r="L35"/>
  <c r="K35"/>
  <c r="J35"/>
  <c r="I35"/>
  <c r="H35"/>
  <c r="G35"/>
  <c r="F35"/>
  <c r="E35"/>
  <c r="D35"/>
  <c r="C35"/>
  <c r="S34"/>
  <c r="R34"/>
  <c r="Q34"/>
  <c r="P34"/>
  <c r="O34"/>
  <c r="N34"/>
  <c r="M34"/>
  <c r="L34"/>
  <c r="K34"/>
  <c r="J34"/>
  <c r="I34"/>
  <c r="H34"/>
  <c r="G34"/>
  <c r="F34"/>
  <c r="E34"/>
  <c r="D34"/>
  <c r="C34"/>
  <c r="S33"/>
  <c r="R33"/>
  <c r="Q33"/>
  <c r="P33"/>
  <c r="O33"/>
  <c r="N33"/>
  <c r="M33"/>
  <c r="L33"/>
  <c r="K33"/>
  <c r="J33"/>
  <c r="I33"/>
  <c r="H33"/>
  <c r="G33"/>
  <c r="F33"/>
  <c r="E33"/>
  <c r="D33"/>
  <c r="C33"/>
  <c r="S32"/>
  <c r="R32"/>
  <c r="Q32"/>
  <c r="P32"/>
  <c r="O32"/>
  <c r="N32"/>
  <c r="M32"/>
  <c r="L32"/>
  <c r="K32"/>
  <c r="J32"/>
  <c r="I32"/>
  <c r="H32"/>
  <c r="G32"/>
  <c r="F32"/>
  <c r="E32"/>
  <c r="D32"/>
  <c r="C32"/>
  <c r="S31"/>
  <c r="R31"/>
  <c r="Q31"/>
  <c r="P31"/>
  <c r="O31"/>
  <c r="N31"/>
  <c r="M31"/>
  <c r="L31"/>
  <c r="K31"/>
  <c r="J31"/>
  <c r="I31"/>
  <c r="H31"/>
  <c r="G31"/>
  <c r="F31"/>
  <c r="E31"/>
  <c r="D31"/>
  <c r="C31"/>
  <c r="S30"/>
  <c r="R30"/>
  <c r="Q30"/>
  <c r="P30"/>
  <c r="O30"/>
  <c r="N30"/>
  <c r="M30"/>
  <c r="L30"/>
  <c r="K30"/>
  <c r="J30"/>
  <c r="I30"/>
  <c r="H30"/>
  <c r="G30"/>
  <c r="F30"/>
  <c r="E30"/>
  <c r="D30"/>
  <c r="C30"/>
  <c r="S29"/>
  <c r="R29"/>
  <c r="Q29"/>
  <c r="P29"/>
  <c r="O29"/>
  <c r="N29"/>
  <c r="M29"/>
  <c r="L29"/>
  <c r="K29"/>
  <c r="J29"/>
  <c r="I29"/>
  <c r="H29"/>
  <c r="G29"/>
  <c r="F29"/>
  <c r="E29"/>
  <c r="D29"/>
  <c r="C29"/>
  <c r="S28"/>
  <c r="R28"/>
  <c r="Q28"/>
  <c r="P28"/>
  <c r="O28"/>
  <c r="N28"/>
  <c r="M28"/>
  <c r="L28"/>
  <c r="K28"/>
  <c r="J28"/>
  <c r="I28"/>
  <c r="H28"/>
  <c r="G28"/>
  <c r="F28"/>
  <c r="E28"/>
  <c r="D28"/>
  <c r="C28"/>
  <c r="S27"/>
  <c r="R27"/>
  <c r="Q27"/>
  <c r="P27"/>
  <c r="O27"/>
  <c r="N27"/>
  <c r="M27"/>
  <c r="L27"/>
  <c r="K27"/>
  <c r="J27"/>
  <c r="I27"/>
  <c r="H27"/>
  <c r="G27"/>
  <c r="F27"/>
  <c r="E27"/>
  <c r="D27"/>
  <c r="C27"/>
  <c r="S26"/>
  <c r="R26"/>
  <c r="Q26"/>
  <c r="P26"/>
  <c r="O26"/>
  <c r="N26"/>
  <c r="M26"/>
  <c r="L26"/>
  <c r="K26"/>
  <c r="J26"/>
  <c r="I26"/>
  <c r="H26"/>
  <c r="G26"/>
  <c r="F26"/>
  <c r="E26"/>
  <c r="D26"/>
  <c r="C26"/>
  <c r="S25"/>
  <c r="R25"/>
  <c r="Q25"/>
  <c r="P25"/>
  <c r="O25"/>
  <c r="N25"/>
  <c r="M25"/>
  <c r="L25"/>
  <c r="K25"/>
  <c r="J25"/>
  <c r="I25"/>
  <c r="H25"/>
  <c r="G25"/>
  <c r="F25"/>
  <c r="E25"/>
  <c r="D25"/>
  <c r="C25"/>
  <c r="S24"/>
  <c r="R24"/>
  <c r="Q24"/>
  <c r="P24"/>
  <c r="O24"/>
  <c r="N24"/>
  <c r="M24"/>
  <c r="L24"/>
  <c r="K24"/>
  <c r="J24"/>
  <c r="I24"/>
  <c r="H24"/>
  <c r="G24"/>
  <c r="F24"/>
  <c r="E24"/>
  <c r="D24"/>
  <c r="C24"/>
  <c r="S23"/>
  <c r="R23"/>
  <c r="Q23"/>
  <c r="P23"/>
  <c r="O23"/>
  <c r="N23"/>
  <c r="M23"/>
  <c r="L23"/>
  <c r="K23"/>
  <c r="J23"/>
  <c r="I23"/>
  <c r="H23"/>
  <c r="G23"/>
  <c r="F23"/>
  <c r="E23"/>
  <c r="D23"/>
  <c r="C23"/>
  <c r="W211" i="15"/>
  <c r="K211"/>
  <c r="W210"/>
  <c r="K210"/>
  <c r="W209"/>
  <c r="K209"/>
  <c r="W208"/>
  <c r="K208"/>
  <c r="W207"/>
  <c r="K207"/>
  <c r="W206"/>
  <c r="K206"/>
  <c r="W205"/>
  <c r="K205"/>
  <c r="W204"/>
  <c r="K204"/>
  <c r="W203"/>
  <c r="K203"/>
  <c r="W202"/>
  <c r="K202"/>
  <c r="W201"/>
  <c r="K201"/>
  <c r="W200"/>
  <c r="K200"/>
  <c r="W199"/>
  <c r="K199"/>
  <c r="W198"/>
  <c r="K198"/>
  <c r="W197"/>
  <c r="K197"/>
  <c r="W196"/>
  <c r="K196"/>
  <c r="W195"/>
  <c r="K195"/>
  <c r="W189"/>
  <c r="K189"/>
  <c r="W188"/>
  <c r="K188"/>
  <c r="W187"/>
  <c r="K187"/>
  <c r="W186"/>
  <c r="K186"/>
  <c r="W185"/>
  <c r="K185"/>
  <c r="W184"/>
  <c r="K184"/>
  <c r="W183"/>
  <c r="K183"/>
  <c r="W182"/>
  <c r="K182"/>
  <c r="W181"/>
  <c r="K181"/>
  <c r="W180"/>
  <c r="K180"/>
  <c r="W179"/>
  <c r="K179"/>
  <c r="W178"/>
  <c r="K178"/>
  <c r="W177"/>
  <c r="K177"/>
  <c r="W176"/>
  <c r="K176"/>
  <c r="W175"/>
  <c r="K175"/>
  <c r="W174"/>
  <c r="K174"/>
  <c r="W173"/>
  <c r="K173"/>
  <c r="W167"/>
  <c r="K167"/>
  <c r="W166"/>
  <c r="K166"/>
  <c r="W165"/>
  <c r="K165"/>
  <c r="W164"/>
  <c r="K164"/>
  <c r="W163"/>
  <c r="K163"/>
  <c r="W162"/>
  <c r="K162"/>
  <c r="W161"/>
  <c r="K161"/>
  <c r="W160"/>
  <c r="K160"/>
  <c r="W159"/>
  <c r="K159"/>
  <c r="W158"/>
  <c r="K158"/>
  <c r="W157"/>
  <c r="K157"/>
  <c r="W156"/>
  <c r="K156"/>
  <c r="W155"/>
  <c r="K155"/>
  <c r="W154"/>
  <c r="K154"/>
  <c r="W153"/>
  <c r="K153"/>
  <c r="W152"/>
  <c r="K152"/>
  <c r="W151"/>
  <c r="K151"/>
  <c r="W145"/>
  <c r="K145"/>
  <c r="W144"/>
  <c r="K144"/>
  <c r="W143"/>
  <c r="K143"/>
  <c r="W142"/>
  <c r="K142"/>
  <c r="W141"/>
  <c r="K141"/>
  <c r="W140"/>
  <c r="K140"/>
  <c r="W139"/>
  <c r="K139"/>
  <c r="W138"/>
  <c r="K138"/>
  <c r="W137"/>
  <c r="K137"/>
  <c r="W136"/>
  <c r="K136"/>
  <c r="W135"/>
  <c r="K135"/>
  <c r="W134"/>
  <c r="K134"/>
  <c r="W133"/>
  <c r="K133"/>
  <c r="W132"/>
  <c r="K132"/>
  <c r="W131"/>
  <c r="K131"/>
  <c r="W130"/>
  <c r="K130"/>
  <c r="W129"/>
  <c r="K129"/>
  <c r="W123"/>
  <c r="K123"/>
  <c r="W122"/>
  <c r="K122"/>
  <c r="W121"/>
  <c r="K121"/>
  <c r="W120"/>
  <c r="K120"/>
  <c r="W119"/>
  <c r="K119"/>
  <c r="W118"/>
  <c r="K118"/>
  <c r="W117"/>
  <c r="K117"/>
  <c r="W116"/>
  <c r="K116"/>
  <c r="W115"/>
  <c r="K115"/>
  <c r="W114"/>
  <c r="K114"/>
  <c r="W113"/>
  <c r="K113"/>
  <c r="W112"/>
  <c r="K112"/>
  <c r="W111"/>
  <c r="K111"/>
  <c r="W110"/>
  <c r="K110"/>
  <c r="W109"/>
  <c r="K109"/>
  <c r="W108"/>
  <c r="K108"/>
  <c r="W107"/>
  <c r="K107"/>
  <c r="W101"/>
  <c r="K101"/>
  <c r="W100"/>
  <c r="K100"/>
  <c r="W99"/>
  <c r="K99"/>
  <c r="W98"/>
  <c r="K98"/>
  <c r="W97"/>
  <c r="K97"/>
  <c r="W96"/>
  <c r="K96"/>
  <c r="W95"/>
  <c r="K95"/>
  <c r="W94"/>
  <c r="K94"/>
  <c r="W93"/>
  <c r="K93"/>
  <c r="W92"/>
  <c r="K92"/>
  <c r="W91"/>
  <c r="K91"/>
  <c r="W90"/>
  <c r="K90"/>
  <c r="W89"/>
  <c r="K89"/>
  <c r="W88"/>
  <c r="K88"/>
  <c r="W87"/>
  <c r="K87"/>
  <c r="W86"/>
  <c r="K86"/>
  <c r="W85"/>
  <c r="K85"/>
  <c r="W79"/>
  <c r="K79"/>
  <c r="W78"/>
  <c r="K78"/>
  <c r="W77"/>
  <c r="K77"/>
  <c r="W76"/>
  <c r="K76"/>
  <c r="W75"/>
  <c r="K75"/>
  <c r="W74"/>
  <c r="K74"/>
  <c r="W73"/>
  <c r="K73"/>
  <c r="W72"/>
  <c r="K72"/>
  <c r="W71"/>
  <c r="K71"/>
  <c r="W70"/>
  <c r="K70"/>
  <c r="W69"/>
  <c r="K69"/>
  <c r="W68"/>
  <c r="K68"/>
  <c r="W67"/>
  <c r="K67"/>
  <c r="W66"/>
  <c r="K66"/>
  <c r="W65"/>
  <c r="K65"/>
  <c r="W64"/>
  <c r="K64"/>
  <c r="W63"/>
  <c r="K63"/>
  <c r="W57"/>
  <c r="K57"/>
  <c r="W56"/>
  <c r="K56"/>
  <c r="W55"/>
  <c r="K55"/>
  <c r="W54"/>
  <c r="K54"/>
  <c r="W53"/>
  <c r="K53"/>
  <c r="W52"/>
  <c r="K52"/>
  <c r="W51"/>
  <c r="K51"/>
  <c r="W50"/>
  <c r="K50"/>
  <c r="W49"/>
  <c r="K49"/>
  <c r="W48"/>
  <c r="K48"/>
  <c r="W47"/>
  <c r="K47"/>
  <c r="W46"/>
  <c r="K46"/>
  <c r="W45"/>
  <c r="K45"/>
  <c r="W44"/>
  <c r="K44"/>
  <c r="W43"/>
  <c r="K43"/>
  <c r="W42"/>
  <c r="K42"/>
  <c r="W41"/>
  <c r="K41"/>
  <c r="W35"/>
  <c r="K35"/>
  <c r="W34"/>
  <c r="K34"/>
  <c r="W33"/>
  <c r="K33"/>
  <c r="W32"/>
  <c r="K32"/>
  <c r="W31"/>
  <c r="K31"/>
  <c r="W30"/>
  <c r="K30"/>
  <c r="W29"/>
  <c r="K29"/>
  <c r="W28"/>
  <c r="K28"/>
  <c r="W27"/>
  <c r="K27"/>
  <c r="W26"/>
  <c r="K26"/>
  <c r="W25"/>
  <c r="K25"/>
  <c r="W24"/>
  <c r="K24"/>
  <c r="W23"/>
  <c r="K23"/>
  <c r="W22"/>
  <c r="K22"/>
  <c r="W21"/>
  <c r="K21"/>
  <c r="W20"/>
  <c r="K20"/>
  <c r="W19"/>
  <c r="K19"/>
  <c r="AH13"/>
  <c r="AG13"/>
  <c r="AI13" s="1"/>
  <c r="AH12"/>
  <c r="AG12"/>
  <c r="AI12" s="1"/>
  <c r="AH11"/>
  <c r="AG11"/>
  <c r="AI11" s="1"/>
  <c r="AH10"/>
  <c r="AG10"/>
  <c r="AH9"/>
  <c r="AG9"/>
  <c r="AI9" s="1"/>
  <c r="AH8"/>
  <c r="AG8"/>
  <c r="AI8" s="1"/>
  <c r="AH7"/>
  <c r="AG7"/>
  <c r="AI7" s="1"/>
  <c r="AH6"/>
  <c r="AG6"/>
  <c r="AH5"/>
  <c r="AG5"/>
  <c r="AH4"/>
  <c r="AG4"/>
  <c r="U39" i="14"/>
  <c r="T39"/>
  <c r="S39"/>
  <c r="R39"/>
  <c r="Q39"/>
  <c r="P39"/>
  <c r="O39"/>
  <c r="N39"/>
  <c r="M39"/>
  <c r="L39"/>
  <c r="K39"/>
  <c r="J39"/>
  <c r="I39"/>
  <c r="H39"/>
  <c r="G39"/>
  <c r="F39"/>
  <c r="E39"/>
  <c r="D39"/>
  <c r="C39"/>
  <c r="U38"/>
  <c r="T38"/>
  <c r="S38"/>
  <c r="R38"/>
  <c r="Q38"/>
  <c r="P38"/>
  <c r="O38"/>
  <c r="N38"/>
  <c r="M38"/>
  <c r="L38"/>
  <c r="K38"/>
  <c r="J38"/>
  <c r="I38"/>
  <c r="H38"/>
  <c r="G38"/>
  <c r="F38"/>
  <c r="E38"/>
  <c r="D38"/>
  <c r="C38"/>
  <c r="U37"/>
  <c r="T37"/>
  <c r="S37"/>
  <c r="R37"/>
  <c r="Q37"/>
  <c r="P37"/>
  <c r="O37"/>
  <c r="N37"/>
  <c r="M37"/>
  <c r="L37"/>
  <c r="K37"/>
  <c r="J37"/>
  <c r="I37"/>
  <c r="H37"/>
  <c r="G37"/>
  <c r="F37"/>
  <c r="E37"/>
  <c r="D37"/>
  <c r="C37"/>
  <c r="U36"/>
  <c r="T36"/>
  <c r="S36"/>
  <c r="R36"/>
  <c r="Q36"/>
  <c r="P36"/>
  <c r="O36"/>
  <c r="N36"/>
  <c r="M36"/>
  <c r="L36"/>
  <c r="K36"/>
  <c r="J36"/>
  <c r="I36"/>
  <c r="H36"/>
  <c r="G36"/>
  <c r="F36"/>
  <c r="E36"/>
  <c r="D36"/>
  <c r="C36"/>
  <c r="U35"/>
  <c r="T35"/>
  <c r="S35"/>
  <c r="R35"/>
  <c r="Q35"/>
  <c r="P35"/>
  <c r="O35"/>
  <c r="N35"/>
  <c r="M35"/>
  <c r="L35"/>
  <c r="K35"/>
  <c r="J35"/>
  <c r="I35"/>
  <c r="H35"/>
  <c r="G35"/>
  <c r="F35"/>
  <c r="E35"/>
  <c r="D35"/>
  <c r="C35"/>
  <c r="U34"/>
  <c r="T34"/>
  <c r="S34"/>
  <c r="R34"/>
  <c r="Q34"/>
  <c r="P34"/>
  <c r="O34"/>
  <c r="N34"/>
  <c r="M34"/>
  <c r="L34"/>
  <c r="K34"/>
  <c r="J34"/>
  <c r="I34"/>
  <c r="H34"/>
  <c r="G34"/>
  <c r="F34"/>
  <c r="E34"/>
  <c r="D34"/>
  <c r="C34"/>
  <c r="U33"/>
  <c r="T33"/>
  <c r="S33"/>
  <c r="R33"/>
  <c r="Q33"/>
  <c r="P33"/>
  <c r="O33"/>
  <c r="N33"/>
  <c r="M33"/>
  <c r="L33"/>
  <c r="K33"/>
  <c r="J33"/>
  <c r="I33"/>
  <c r="H33"/>
  <c r="G33"/>
  <c r="F33"/>
  <c r="E33"/>
  <c r="D33"/>
  <c r="C33"/>
  <c r="U32"/>
  <c r="T32"/>
  <c r="S32"/>
  <c r="R32"/>
  <c r="Q32"/>
  <c r="P32"/>
  <c r="O32"/>
  <c r="N32"/>
  <c r="M32"/>
  <c r="L32"/>
  <c r="K32"/>
  <c r="J32"/>
  <c r="I32"/>
  <c r="H32"/>
  <c r="G32"/>
  <c r="F32"/>
  <c r="E32"/>
  <c r="D32"/>
  <c r="C32"/>
  <c r="U31"/>
  <c r="T31"/>
  <c r="S31"/>
  <c r="R31"/>
  <c r="Q31"/>
  <c r="P31"/>
  <c r="O31"/>
  <c r="N31"/>
  <c r="M31"/>
  <c r="L31"/>
  <c r="K31"/>
  <c r="J31"/>
  <c r="I31"/>
  <c r="H31"/>
  <c r="G31"/>
  <c r="F31"/>
  <c r="E31"/>
  <c r="D31"/>
  <c r="C31"/>
  <c r="U30"/>
  <c r="T30"/>
  <c r="S30"/>
  <c r="R30"/>
  <c r="Q30"/>
  <c r="P30"/>
  <c r="O30"/>
  <c r="N30"/>
  <c r="M30"/>
  <c r="L30"/>
  <c r="K30"/>
  <c r="J30"/>
  <c r="I30"/>
  <c r="H30"/>
  <c r="G30"/>
  <c r="F30"/>
  <c r="E30"/>
  <c r="D30"/>
  <c r="C30"/>
  <c r="U29"/>
  <c r="T29"/>
  <c r="S29"/>
  <c r="R29"/>
  <c r="Q29"/>
  <c r="P29"/>
  <c r="O29"/>
  <c r="N29"/>
  <c r="M29"/>
  <c r="L29"/>
  <c r="K29"/>
  <c r="J29"/>
  <c r="I29"/>
  <c r="H29"/>
  <c r="G29"/>
  <c r="F29"/>
  <c r="E29"/>
  <c r="D29"/>
  <c r="C29"/>
  <c r="U28"/>
  <c r="T28"/>
  <c r="S28"/>
  <c r="R28"/>
  <c r="Q28"/>
  <c r="P28"/>
  <c r="O28"/>
  <c r="N28"/>
  <c r="M28"/>
  <c r="L28"/>
  <c r="K28"/>
  <c r="J28"/>
  <c r="I28"/>
  <c r="H28"/>
  <c r="G28"/>
  <c r="F28"/>
  <c r="E28"/>
  <c r="D28"/>
  <c r="C28"/>
  <c r="U27"/>
  <c r="T27"/>
  <c r="S27"/>
  <c r="R27"/>
  <c r="Q27"/>
  <c r="P27"/>
  <c r="O27"/>
  <c r="N27"/>
  <c r="M27"/>
  <c r="L27"/>
  <c r="K27"/>
  <c r="J27"/>
  <c r="I27"/>
  <c r="H27"/>
  <c r="G27"/>
  <c r="F27"/>
  <c r="E27"/>
  <c r="D27"/>
  <c r="C27"/>
  <c r="U26"/>
  <c r="T26"/>
  <c r="S26"/>
  <c r="R26"/>
  <c r="Q26"/>
  <c r="P26"/>
  <c r="O26"/>
  <c r="N26"/>
  <c r="M26"/>
  <c r="L26"/>
  <c r="K26"/>
  <c r="J26"/>
  <c r="I26"/>
  <c r="H26"/>
  <c r="G26"/>
  <c r="F26"/>
  <c r="E26"/>
  <c r="D26"/>
  <c r="C26"/>
  <c r="U25"/>
  <c r="T25"/>
  <c r="S25"/>
  <c r="R25"/>
  <c r="Q25"/>
  <c r="P25"/>
  <c r="O25"/>
  <c r="N25"/>
  <c r="M25"/>
  <c r="L25"/>
  <c r="K25"/>
  <c r="J25"/>
  <c r="I25"/>
  <c r="H25"/>
  <c r="G25"/>
  <c r="F25"/>
  <c r="E25"/>
  <c r="D25"/>
  <c r="C25"/>
  <c r="U24"/>
  <c r="T24"/>
  <c r="S24"/>
  <c r="R24"/>
  <c r="Q24"/>
  <c r="P24"/>
  <c r="O24"/>
  <c r="N24"/>
  <c r="M24"/>
  <c r="L24"/>
  <c r="K24"/>
  <c r="J24"/>
  <c r="I24"/>
  <c r="H24"/>
  <c r="G24"/>
  <c r="F24"/>
  <c r="E24"/>
  <c r="D24"/>
  <c r="C24"/>
  <c r="U23"/>
  <c r="T23"/>
  <c r="S23"/>
  <c r="R23"/>
  <c r="Q23"/>
  <c r="P23"/>
  <c r="O23"/>
  <c r="N23"/>
  <c r="M23"/>
  <c r="L23"/>
  <c r="K23"/>
  <c r="J23"/>
  <c r="I23"/>
  <c r="H23"/>
  <c r="G23"/>
  <c r="F23"/>
  <c r="E23"/>
  <c r="D23"/>
  <c r="C23"/>
  <c r="U22"/>
  <c r="T22"/>
  <c r="S22"/>
  <c r="R22"/>
  <c r="Q22"/>
  <c r="P22"/>
  <c r="O22"/>
  <c r="N22"/>
  <c r="M22"/>
  <c r="L22"/>
  <c r="K22"/>
  <c r="J22"/>
  <c r="I22"/>
  <c r="H22"/>
  <c r="G22"/>
  <c r="F22"/>
  <c r="E22"/>
  <c r="D22"/>
  <c r="B9" i="22" l="1"/>
  <c r="U6" i="18"/>
  <c r="B7" i="22"/>
  <c r="U4" i="18"/>
  <c r="B6" i="22"/>
  <c r="U3" i="18"/>
  <c r="B5" i="22"/>
  <c r="U2" i="18"/>
  <c r="B5" i="19" s="1"/>
  <c r="B8" i="22"/>
  <c r="U5" i="18"/>
  <c r="AD82" i="22"/>
  <c r="T82"/>
  <c r="H82"/>
  <c r="V82"/>
  <c r="L82"/>
  <c r="Z82"/>
  <c r="AF82"/>
  <c r="N82"/>
  <c r="AB82"/>
  <c r="J82"/>
  <c r="P82"/>
  <c r="R82"/>
  <c r="F82"/>
  <c r="D82"/>
  <c r="X82"/>
  <c r="AD78"/>
  <c r="T78"/>
  <c r="H78"/>
  <c r="V78"/>
  <c r="L78"/>
  <c r="Z78"/>
  <c r="AF78"/>
  <c r="N78"/>
  <c r="AB78"/>
  <c r="J78"/>
  <c r="P78"/>
  <c r="R78"/>
  <c r="F78"/>
  <c r="D78"/>
  <c r="X78"/>
  <c r="AD74"/>
  <c r="T74"/>
  <c r="H74"/>
  <c r="V74"/>
  <c r="L74"/>
  <c r="Z74"/>
  <c r="AF74"/>
  <c r="N74"/>
  <c r="AB74"/>
  <c r="J74"/>
  <c r="P74"/>
  <c r="D74"/>
  <c r="R74"/>
  <c r="F74"/>
  <c r="X74"/>
  <c r="AD15"/>
  <c r="N15"/>
  <c r="AF15"/>
  <c r="P15"/>
  <c r="AB15"/>
  <c r="V15"/>
  <c r="F15"/>
  <c r="X15"/>
  <c r="H15"/>
  <c r="T15"/>
  <c r="Z15"/>
  <c r="L15"/>
  <c r="J15"/>
  <c r="R15"/>
  <c r="AF21"/>
  <c r="N21"/>
  <c r="L21"/>
  <c r="H21"/>
  <c r="F21"/>
  <c r="Z21"/>
  <c r="V21"/>
  <c r="T21"/>
  <c r="J21"/>
  <c r="P21"/>
  <c r="AB21"/>
  <c r="X21"/>
  <c r="AD21"/>
  <c r="R21"/>
  <c r="AD25"/>
  <c r="D25"/>
  <c r="R25"/>
  <c r="P25"/>
  <c r="N25"/>
  <c r="AB25"/>
  <c r="J25"/>
  <c r="H25"/>
  <c r="F25"/>
  <c r="L25"/>
  <c r="Z25"/>
  <c r="X25"/>
  <c r="V25"/>
  <c r="T25"/>
  <c r="AF25"/>
  <c r="AD33"/>
  <c r="D33"/>
  <c r="R33"/>
  <c r="P33"/>
  <c r="N33"/>
  <c r="AB33"/>
  <c r="J33"/>
  <c r="H33"/>
  <c r="F33"/>
  <c r="L33"/>
  <c r="Z33"/>
  <c r="X33"/>
  <c r="V33"/>
  <c r="T33"/>
  <c r="AF33"/>
  <c r="AF12"/>
  <c r="V12"/>
  <c r="J12"/>
  <c r="X12"/>
  <c r="N12"/>
  <c r="AB12"/>
  <c r="Z12"/>
  <c r="P12"/>
  <c r="F12"/>
  <c r="R12"/>
  <c r="AD12"/>
  <c r="H12"/>
  <c r="T12"/>
  <c r="L12"/>
  <c r="AD16"/>
  <c r="R16"/>
  <c r="H16"/>
  <c r="AF16"/>
  <c r="V16"/>
  <c r="J16"/>
  <c r="X16"/>
  <c r="N16"/>
  <c r="AB16"/>
  <c r="F16"/>
  <c r="P16"/>
  <c r="Z16"/>
  <c r="L16"/>
  <c r="T16"/>
  <c r="AD20"/>
  <c r="R20"/>
  <c r="H20"/>
  <c r="AF20"/>
  <c r="V20"/>
  <c r="J20"/>
  <c r="X20"/>
  <c r="N20"/>
  <c r="AB20"/>
  <c r="P20"/>
  <c r="Z20"/>
  <c r="F20"/>
  <c r="L20"/>
  <c r="T20"/>
  <c r="V24"/>
  <c r="H24"/>
  <c r="Z24"/>
  <c r="J24"/>
  <c r="X24"/>
  <c r="AD24"/>
  <c r="P24"/>
  <c r="F24"/>
  <c r="R24"/>
  <c r="AF24"/>
  <c r="AB24"/>
  <c r="T24"/>
  <c r="N24"/>
  <c r="L24"/>
  <c r="AD28"/>
  <c r="D28"/>
  <c r="J28"/>
  <c r="P28"/>
  <c r="F28"/>
  <c r="AB28"/>
  <c r="H28"/>
  <c r="L28"/>
  <c r="R28"/>
  <c r="X28"/>
  <c r="N28"/>
  <c r="V28"/>
  <c r="T28"/>
  <c r="Z28"/>
  <c r="AD30"/>
  <c r="D30"/>
  <c r="Z30"/>
  <c r="P30"/>
  <c r="V30"/>
  <c r="AB30"/>
  <c r="R30"/>
  <c r="H30"/>
  <c r="N30"/>
  <c r="L30"/>
  <c r="X30"/>
  <c r="J30"/>
  <c r="AF30"/>
  <c r="T30"/>
  <c r="F30"/>
  <c r="AD34"/>
  <c r="D34"/>
  <c r="Z34"/>
  <c r="P34"/>
  <c r="V34"/>
  <c r="AB34"/>
  <c r="R34"/>
  <c r="H34"/>
  <c r="N34"/>
  <c r="L34"/>
  <c r="X34"/>
  <c r="AF34"/>
  <c r="F34"/>
  <c r="J34"/>
  <c r="T34"/>
  <c r="AD38"/>
  <c r="D38"/>
  <c r="Z38"/>
  <c r="P38"/>
  <c r="V38"/>
  <c r="AB38"/>
  <c r="R38"/>
  <c r="H38"/>
  <c r="N38"/>
  <c r="L38"/>
  <c r="X38"/>
  <c r="AF38"/>
  <c r="F38"/>
  <c r="T38"/>
  <c r="R42"/>
  <c r="P42"/>
  <c r="H42"/>
  <c r="Z42"/>
  <c r="AF42"/>
  <c r="L42"/>
  <c r="F42"/>
  <c r="T42"/>
  <c r="AD42"/>
  <c r="J42"/>
  <c r="D42"/>
  <c r="N42"/>
  <c r="V42"/>
  <c r="AB42"/>
  <c r="Z46"/>
  <c r="R46"/>
  <c r="AF46"/>
  <c r="L46"/>
  <c r="T46"/>
  <c r="H46"/>
  <c r="F46"/>
  <c r="J46"/>
  <c r="D46"/>
  <c r="N46"/>
  <c r="P46"/>
  <c r="X46"/>
  <c r="AD46"/>
  <c r="AB46"/>
  <c r="H50"/>
  <c r="F50"/>
  <c r="Z50"/>
  <c r="N50"/>
  <c r="T50"/>
  <c r="J50"/>
  <c r="R50"/>
  <c r="V50"/>
  <c r="AB50"/>
  <c r="AF50"/>
  <c r="L50"/>
  <c r="P50"/>
  <c r="X50"/>
  <c r="AD50"/>
  <c r="D50"/>
  <c r="J54"/>
  <c r="Z54"/>
  <c r="V54"/>
  <c r="X54"/>
  <c r="T54"/>
  <c r="AD54"/>
  <c r="AF54"/>
  <c r="AB54"/>
  <c r="R54"/>
  <c r="N54"/>
  <c r="P54"/>
  <c r="L54"/>
  <c r="D54"/>
  <c r="H54"/>
  <c r="Z58"/>
  <c r="R58"/>
  <c r="V58"/>
  <c r="X58"/>
  <c r="T58"/>
  <c r="AD58"/>
  <c r="AF58"/>
  <c r="AB58"/>
  <c r="N58"/>
  <c r="P58"/>
  <c r="L58"/>
  <c r="D58"/>
  <c r="H58"/>
  <c r="J58"/>
  <c r="AD62"/>
  <c r="T62"/>
  <c r="H62"/>
  <c r="V62"/>
  <c r="L62"/>
  <c r="Z62"/>
  <c r="AF62"/>
  <c r="N62"/>
  <c r="AB62"/>
  <c r="J62"/>
  <c r="P62"/>
  <c r="R62"/>
  <c r="F62"/>
  <c r="D62"/>
  <c r="AD66"/>
  <c r="T66"/>
  <c r="H66"/>
  <c r="V66"/>
  <c r="L66"/>
  <c r="Z66"/>
  <c r="AF66"/>
  <c r="N66"/>
  <c r="AB66"/>
  <c r="J66"/>
  <c r="P66"/>
  <c r="R66"/>
  <c r="F66"/>
  <c r="D66"/>
  <c r="AD70"/>
  <c r="T70"/>
  <c r="H70"/>
  <c r="V70"/>
  <c r="L70"/>
  <c r="Z70"/>
  <c r="AF70"/>
  <c r="N70"/>
  <c r="AB70"/>
  <c r="J70"/>
  <c r="P70"/>
  <c r="D70"/>
  <c r="AD80"/>
  <c r="T80"/>
  <c r="R80"/>
  <c r="H80"/>
  <c r="F80"/>
  <c r="L80"/>
  <c r="J80"/>
  <c r="AF80"/>
  <c r="AB80"/>
  <c r="Z80"/>
  <c r="P80"/>
  <c r="N80"/>
  <c r="X80"/>
  <c r="D80"/>
  <c r="V80"/>
  <c r="R70"/>
  <c r="X42"/>
  <c r="AB22"/>
  <c r="R27"/>
  <c r="AF11"/>
  <c r="P11"/>
  <c r="AB11"/>
  <c r="V11"/>
  <c r="F11"/>
  <c r="X11"/>
  <c r="H11"/>
  <c r="N11"/>
  <c r="AD11"/>
  <c r="J11"/>
  <c r="L11"/>
  <c r="R11"/>
  <c r="T11"/>
  <c r="Z11"/>
  <c r="AF17"/>
  <c r="V17"/>
  <c r="R17"/>
  <c r="N17"/>
  <c r="AB17"/>
  <c r="J17"/>
  <c r="X17"/>
  <c r="AD17"/>
  <c r="L17"/>
  <c r="Z17"/>
  <c r="H17"/>
  <c r="T17"/>
  <c r="F17"/>
  <c r="X23"/>
  <c r="AB23"/>
  <c r="AD23"/>
  <c r="H23"/>
  <c r="AF23"/>
  <c r="N23"/>
  <c r="V23"/>
  <c r="P23"/>
  <c r="R23"/>
  <c r="F23"/>
  <c r="J23"/>
  <c r="Z23"/>
  <c r="L23"/>
  <c r="T23"/>
  <c r="AD29"/>
  <c r="D29"/>
  <c r="R29"/>
  <c r="P29"/>
  <c r="N29"/>
  <c r="AB29"/>
  <c r="J29"/>
  <c r="H29"/>
  <c r="F29"/>
  <c r="L29"/>
  <c r="Z29"/>
  <c r="X29"/>
  <c r="V29"/>
  <c r="T29"/>
  <c r="AF29"/>
  <c r="AD31"/>
  <c r="D31"/>
  <c r="P31"/>
  <c r="AB31"/>
  <c r="Z31"/>
  <c r="H31"/>
  <c r="V31"/>
  <c r="L31"/>
  <c r="J31"/>
  <c r="X31"/>
  <c r="F31"/>
  <c r="R31"/>
  <c r="AF31"/>
  <c r="AD35"/>
  <c r="D35"/>
  <c r="P35"/>
  <c r="AB35"/>
  <c r="Z35"/>
  <c r="H35"/>
  <c r="V35"/>
  <c r="L35"/>
  <c r="J35"/>
  <c r="X35"/>
  <c r="F35"/>
  <c r="R35"/>
  <c r="AF35"/>
  <c r="N35"/>
  <c r="AD37"/>
  <c r="D37"/>
  <c r="R37"/>
  <c r="P37"/>
  <c r="N37"/>
  <c r="AB37"/>
  <c r="J37"/>
  <c r="H37"/>
  <c r="F37"/>
  <c r="L37"/>
  <c r="Z37"/>
  <c r="X37"/>
  <c r="V37"/>
  <c r="T37"/>
  <c r="AF37"/>
  <c r="AD39"/>
  <c r="D39"/>
  <c r="P39"/>
  <c r="AB39"/>
  <c r="Z39"/>
  <c r="H39"/>
  <c r="V39"/>
  <c r="L39"/>
  <c r="J39"/>
  <c r="X39"/>
  <c r="F39"/>
  <c r="N39"/>
  <c r="R39"/>
  <c r="AF39"/>
  <c r="Z41"/>
  <c r="R41"/>
  <c r="AD41"/>
  <c r="F41"/>
  <c r="H41"/>
  <c r="P41"/>
  <c r="V41"/>
  <c r="L41"/>
  <c r="X41"/>
  <c r="J41"/>
  <c r="T41"/>
  <c r="N41"/>
  <c r="D41"/>
  <c r="AF41"/>
  <c r="AD43"/>
  <c r="F43"/>
  <c r="P43"/>
  <c r="R43"/>
  <c r="AF43"/>
  <c r="Z43"/>
  <c r="V43"/>
  <c r="L43"/>
  <c r="X43"/>
  <c r="H43"/>
  <c r="J43"/>
  <c r="T43"/>
  <c r="N43"/>
  <c r="D43"/>
  <c r="AB43"/>
  <c r="P45"/>
  <c r="Z45"/>
  <c r="R45"/>
  <c r="AD45"/>
  <c r="F45"/>
  <c r="H45"/>
  <c r="AF45"/>
  <c r="V45"/>
  <c r="L45"/>
  <c r="X45"/>
  <c r="J45"/>
  <c r="T45"/>
  <c r="N45"/>
  <c r="D45"/>
  <c r="R47"/>
  <c r="AD47"/>
  <c r="Z47"/>
  <c r="AF47"/>
  <c r="F47"/>
  <c r="P47"/>
  <c r="V47"/>
  <c r="L47"/>
  <c r="X47"/>
  <c r="J47"/>
  <c r="T47"/>
  <c r="N47"/>
  <c r="H47"/>
  <c r="D47"/>
  <c r="AB47"/>
  <c r="AD49"/>
  <c r="F49"/>
  <c r="H49"/>
  <c r="P49"/>
  <c r="Z49"/>
  <c r="R49"/>
  <c r="V49"/>
  <c r="L49"/>
  <c r="X49"/>
  <c r="J49"/>
  <c r="T49"/>
  <c r="N49"/>
  <c r="D49"/>
  <c r="AF49"/>
  <c r="J51"/>
  <c r="R51"/>
  <c r="Z51"/>
  <c r="V51"/>
  <c r="X51"/>
  <c r="T51"/>
  <c r="AD51"/>
  <c r="AF51"/>
  <c r="AB51"/>
  <c r="N51"/>
  <c r="P51"/>
  <c r="L51"/>
  <c r="D51"/>
  <c r="F51"/>
  <c r="Z53"/>
  <c r="J53"/>
  <c r="R53"/>
  <c r="V53"/>
  <c r="X53"/>
  <c r="T53"/>
  <c r="AD53"/>
  <c r="AF53"/>
  <c r="AB53"/>
  <c r="N53"/>
  <c r="P53"/>
  <c r="L53"/>
  <c r="H53"/>
  <c r="F53"/>
  <c r="D53"/>
  <c r="R55"/>
  <c r="Z55"/>
  <c r="J55"/>
  <c r="V55"/>
  <c r="X55"/>
  <c r="T55"/>
  <c r="AD55"/>
  <c r="AF55"/>
  <c r="AB55"/>
  <c r="N55"/>
  <c r="P55"/>
  <c r="L55"/>
  <c r="D55"/>
  <c r="F55"/>
  <c r="Z57"/>
  <c r="J57"/>
  <c r="R57"/>
  <c r="V57"/>
  <c r="X57"/>
  <c r="T57"/>
  <c r="AD57"/>
  <c r="AF57"/>
  <c r="AB57"/>
  <c r="N57"/>
  <c r="P57"/>
  <c r="L57"/>
  <c r="H57"/>
  <c r="F57"/>
  <c r="D57"/>
  <c r="AD59"/>
  <c r="T59"/>
  <c r="J59"/>
  <c r="H59"/>
  <c r="L59"/>
  <c r="AF59"/>
  <c r="V59"/>
  <c r="AB59"/>
  <c r="R59"/>
  <c r="P59"/>
  <c r="F59"/>
  <c r="X59"/>
  <c r="AD61"/>
  <c r="T61"/>
  <c r="Z61"/>
  <c r="H61"/>
  <c r="N61"/>
  <c r="L61"/>
  <c r="R61"/>
  <c r="AF61"/>
  <c r="F61"/>
  <c r="AB61"/>
  <c r="P61"/>
  <c r="V61"/>
  <c r="D61"/>
  <c r="J61"/>
  <c r="X61"/>
  <c r="AD63"/>
  <c r="T63"/>
  <c r="J63"/>
  <c r="H63"/>
  <c r="L63"/>
  <c r="AF63"/>
  <c r="V63"/>
  <c r="AB63"/>
  <c r="R63"/>
  <c r="P63"/>
  <c r="F63"/>
  <c r="X63"/>
  <c r="Z63"/>
  <c r="N63"/>
  <c r="AD65"/>
  <c r="T65"/>
  <c r="Z65"/>
  <c r="H65"/>
  <c r="N65"/>
  <c r="L65"/>
  <c r="R65"/>
  <c r="AF65"/>
  <c r="F65"/>
  <c r="AB65"/>
  <c r="P65"/>
  <c r="V65"/>
  <c r="D65"/>
  <c r="X65"/>
  <c r="AD67"/>
  <c r="T67"/>
  <c r="J67"/>
  <c r="H67"/>
  <c r="L67"/>
  <c r="AF67"/>
  <c r="V67"/>
  <c r="AB67"/>
  <c r="R67"/>
  <c r="P67"/>
  <c r="F67"/>
  <c r="Z67"/>
  <c r="N67"/>
  <c r="X67"/>
  <c r="AD69"/>
  <c r="T69"/>
  <c r="Z69"/>
  <c r="H69"/>
  <c r="N69"/>
  <c r="L69"/>
  <c r="R69"/>
  <c r="AF69"/>
  <c r="F69"/>
  <c r="AB69"/>
  <c r="P69"/>
  <c r="V69"/>
  <c r="D69"/>
  <c r="J69"/>
  <c r="X69"/>
  <c r="AD76"/>
  <c r="T76"/>
  <c r="R76"/>
  <c r="H76"/>
  <c r="F76"/>
  <c r="L76"/>
  <c r="J76"/>
  <c r="AF76"/>
  <c r="AB76"/>
  <c r="Z76"/>
  <c r="P76"/>
  <c r="N76"/>
  <c r="X76"/>
  <c r="D76"/>
  <c r="V76"/>
  <c r="AD84"/>
  <c r="T84"/>
  <c r="R84"/>
  <c r="H84"/>
  <c r="F84"/>
  <c r="L84"/>
  <c r="J84"/>
  <c r="AF84"/>
  <c r="AB84"/>
  <c r="Z84"/>
  <c r="P84"/>
  <c r="N84"/>
  <c r="X84"/>
  <c r="D84"/>
  <c r="V84"/>
  <c r="D59"/>
  <c r="AB45"/>
  <c r="AF28"/>
  <c r="Z32"/>
  <c r="T39"/>
  <c r="AF22"/>
  <c r="F58"/>
  <c r="F70"/>
  <c r="X66"/>
  <c r="Z59"/>
  <c r="D63"/>
  <c r="N31"/>
  <c r="AB49"/>
  <c r="J38"/>
  <c r="V46"/>
  <c r="F54"/>
  <c r="Z13"/>
  <c r="AF13"/>
  <c r="J13"/>
  <c r="R13"/>
  <c r="AD13"/>
  <c r="AB13"/>
  <c r="X13"/>
  <c r="V13"/>
  <c r="T13"/>
  <c r="P13"/>
  <c r="F13"/>
  <c r="H13"/>
  <c r="L13"/>
  <c r="AD19"/>
  <c r="N19"/>
  <c r="AF19"/>
  <c r="P19"/>
  <c r="AB19"/>
  <c r="V19"/>
  <c r="F19"/>
  <c r="X19"/>
  <c r="H19"/>
  <c r="Z19"/>
  <c r="R19"/>
  <c r="T19"/>
  <c r="J19"/>
  <c r="L19"/>
  <c r="AD27"/>
  <c r="D27"/>
  <c r="P27"/>
  <c r="AB27"/>
  <c r="Z27"/>
  <c r="H27"/>
  <c r="V27"/>
  <c r="L27"/>
  <c r="J27"/>
  <c r="X27"/>
  <c r="F27"/>
  <c r="N27"/>
  <c r="AF27"/>
  <c r="AD71"/>
  <c r="T71"/>
  <c r="J71"/>
  <c r="H71"/>
  <c r="L71"/>
  <c r="AF71"/>
  <c r="V71"/>
  <c r="AB71"/>
  <c r="R71"/>
  <c r="P71"/>
  <c r="F71"/>
  <c r="Z71"/>
  <c r="X71"/>
  <c r="N71"/>
  <c r="N10"/>
  <c r="F10"/>
  <c r="AD10"/>
  <c r="V10"/>
  <c r="H10"/>
  <c r="Z10"/>
  <c r="AF10"/>
  <c r="AB10"/>
  <c r="R10"/>
  <c r="P10"/>
  <c r="L10"/>
  <c r="X10"/>
  <c r="J10"/>
  <c r="Z14"/>
  <c r="AF14"/>
  <c r="AD14"/>
  <c r="L14"/>
  <c r="X14"/>
  <c r="V14"/>
  <c r="H14"/>
  <c r="F14"/>
  <c r="T14"/>
  <c r="J14"/>
  <c r="P14"/>
  <c r="AB14"/>
  <c r="R14"/>
  <c r="F18"/>
  <c r="AD18"/>
  <c r="Z18"/>
  <c r="X18"/>
  <c r="AB18"/>
  <c r="J18"/>
  <c r="P18"/>
  <c r="T18"/>
  <c r="V18"/>
  <c r="N18"/>
  <c r="AF18"/>
  <c r="R18"/>
  <c r="L18"/>
  <c r="N22"/>
  <c r="F22"/>
  <c r="P22"/>
  <c r="L22"/>
  <c r="R22"/>
  <c r="AD22"/>
  <c r="H22"/>
  <c r="J22"/>
  <c r="X22"/>
  <c r="T22"/>
  <c r="Z22"/>
  <c r="AD26"/>
  <c r="D26"/>
  <c r="Z26"/>
  <c r="P26"/>
  <c r="V26"/>
  <c r="AB26"/>
  <c r="R26"/>
  <c r="H26"/>
  <c r="N26"/>
  <c r="L26"/>
  <c r="X26"/>
  <c r="AF26"/>
  <c r="T26"/>
  <c r="J26"/>
  <c r="AD32"/>
  <c r="D32"/>
  <c r="J32"/>
  <c r="P32"/>
  <c r="F32"/>
  <c r="AB32"/>
  <c r="H32"/>
  <c r="L32"/>
  <c r="R32"/>
  <c r="X32"/>
  <c r="N32"/>
  <c r="T32"/>
  <c r="V32"/>
  <c r="AD36"/>
  <c r="D36"/>
  <c r="J36"/>
  <c r="P36"/>
  <c r="F36"/>
  <c r="AB36"/>
  <c r="H36"/>
  <c r="L36"/>
  <c r="R36"/>
  <c r="X36"/>
  <c r="N36"/>
  <c r="T36"/>
  <c r="Z36"/>
  <c r="AF40"/>
  <c r="D40"/>
  <c r="J40"/>
  <c r="P40"/>
  <c r="F40"/>
  <c r="H40"/>
  <c r="L40"/>
  <c r="AB40"/>
  <c r="R40"/>
  <c r="Z40"/>
  <c r="N40"/>
  <c r="T40"/>
  <c r="AD40"/>
  <c r="V40"/>
  <c r="X40"/>
  <c r="Z44"/>
  <c r="AF44"/>
  <c r="AD44"/>
  <c r="F44"/>
  <c r="H44"/>
  <c r="P44"/>
  <c r="R44"/>
  <c r="L44"/>
  <c r="T44"/>
  <c r="J44"/>
  <c r="D44"/>
  <c r="N44"/>
  <c r="X44"/>
  <c r="V44"/>
  <c r="AB44"/>
  <c r="P48"/>
  <c r="H48"/>
  <c r="R48"/>
  <c r="Z48"/>
  <c r="AF48"/>
  <c r="F48"/>
  <c r="AD48"/>
  <c r="L48"/>
  <c r="T48"/>
  <c r="J48"/>
  <c r="D48"/>
  <c r="N48"/>
  <c r="V48"/>
  <c r="AB48"/>
  <c r="X48"/>
  <c r="J52"/>
  <c r="R52"/>
  <c r="Z52"/>
  <c r="V52"/>
  <c r="X52"/>
  <c r="T52"/>
  <c r="AD52"/>
  <c r="AF52"/>
  <c r="AB52"/>
  <c r="N52"/>
  <c r="P52"/>
  <c r="L52"/>
  <c r="F52"/>
  <c r="H52"/>
  <c r="Z56"/>
  <c r="R56"/>
  <c r="J56"/>
  <c r="V56"/>
  <c r="X56"/>
  <c r="T56"/>
  <c r="AD56"/>
  <c r="AF56"/>
  <c r="AB56"/>
  <c r="N56"/>
  <c r="P56"/>
  <c r="L56"/>
  <c r="F56"/>
  <c r="H56"/>
  <c r="AD60"/>
  <c r="T60"/>
  <c r="R60"/>
  <c r="H60"/>
  <c r="F60"/>
  <c r="L60"/>
  <c r="J60"/>
  <c r="AF60"/>
  <c r="AB60"/>
  <c r="Z60"/>
  <c r="P60"/>
  <c r="N60"/>
  <c r="X60"/>
  <c r="D60"/>
  <c r="V60"/>
  <c r="AD64"/>
  <c r="T64"/>
  <c r="R64"/>
  <c r="H64"/>
  <c r="F64"/>
  <c r="L64"/>
  <c r="J64"/>
  <c r="AF64"/>
  <c r="AB64"/>
  <c r="Z64"/>
  <c r="P64"/>
  <c r="N64"/>
  <c r="X64"/>
  <c r="D64"/>
  <c r="AD68"/>
  <c r="T68"/>
  <c r="R68"/>
  <c r="H68"/>
  <c r="F68"/>
  <c r="L68"/>
  <c r="J68"/>
  <c r="AF68"/>
  <c r="AB68"/>
  <c r="Z68"/>
  <c r="P68"/>
  <c r="N68"/>
  <c r="X68"/>
  <c r="D68"/>
  <c r="V68"/>
  <c r="AD72"/>
  <c r="T72"/>
  <c r="R72"/>
  <c r="H72"/>
  <c r="F72"/>
  <c r="L72"/>
  <c r="J72"/>
  <c r="AF72"/>
  <c r="AB72"/>
  <c r="Z72"/>
  <c r="P72"/>
  <c r="N72"/>
  <c r="X72"/>
  <c r="V72"/>
  <c r="D72"/>
  <c r="X70"/>
  <c r="J65"/>
  <c r="D67"/>
  <c r="V36"/>
  <c r="AF36"/>
  <c r="T10"/>
  <c r="N14"/>
  <c r="T31"/>
  <c r="N13"/>
  <c r="H55"/>
  <c r="AI5" i="15"/>
  <c r="AI6"/>
  <c r="D100" i="19"/>
  <c r="L100"/>
  <c r="T100"/>
  <c r="AB100"/>
  <c r="D101"/>
  <c r="L101"/>
  <c r="T101"/>
  <c r="AB101"/>
  <c r="D102"/>
  <c r="L102"/>
  <c r="T102"/>
  <c r="AB102"/>
  <c r="D103"/>
  <c r="L103"/>
  <c r="T103"/>
  <c r="AB103"/>
  <c r="H104"/>
  <c r="AD104"/>
  <c r="J100"/>
  <c r="R100"/>
  <c r="Z100"/>
  <c r="J101"/>
  <c r="R101"/>
  <c r="Z101"/>
  <c r="J102"/>
  <c r="R102"/>
  <c r="Z102"/>
  <c r="J103"/>
  <c r="R103"/>
  <c r="Z103"/>
  <c r="AB104"/>
  <c r="H100"/>
  <c r="P100"/>
  <c r="X100"/>
  <c r="AF100"/>
  <c r="H101"/>
  <c r="P101"/>
  <c r="X101"/>
  <c r="AF101"/>
  <c r="H102"/>
  <c r="P102"/>
  <c r="X102"/>
  <c r="AF102"/>
  <c r="H103"/>
  <c r="P103"/>
  <c r="X103"/>
  <c r="AF103"/>
  <c r="Z104"/>
  <c r="F100"/>
  <c r="N100"/>
  <c r="V100"/>
  <c r="F101"/>
  <c r="N101"/>
  <c r="V101"/>
  <c r="F102"/>
  <c r="N102"/>
  <c r="V102"/>
  <c r="F103"/>
  <c r="N103"/>
  <c r="V103"/>
  <c r="J104"/>
  <c r="AJ10" i="15"/>
  <c r="U8" i="8"/>
  <c r="U9"/>
  <c r="U10"/>
  <c r="U11"/>
  <c r="U12"/>
  <c r="U13"/>
  <c r="U14"/>
  <c r="U15"/>
  <c r="U16"/>
  <c r="U17"/>
  <c r="U18"/>
  <c r="U19"/>
  <c r="U20"/>
  <c r="U21"/>
  <c r="U22"/>
  <c r="U23"/>
  <c r="U24"/>
  <c r="U25"/>
  <c r="AD28" i="9" s="1"/>
  <c r="U26" i="8"/>
  <c r="U27"/>
  <c r="U28"/>
  <c r="U29"/>
  <c r="AD32" i="9" s="1"/>
  <c r="U30" i="8"/>
  <c r="F33" i="9" s="1"/>
  <c r="U31" i="8"/>
  <c r="U32"/>
  <c r="U33"/>
  <c r="AD36" i="9" s="1"/>
  <c r="U34" i="8"/>
  <c r="U35"/>
  <c r="J38" i="9" s="1"/>
  <c r="U36" i="8"/>
  <c r="J39" i="9" s="1"/>
  <c r="U37" i="8"/>
  <c r="AD40" i="9" s="1"/>
  <c r="U38" i="8"/>
  <c r="U39"/>
  <c r="U40"/>
  <c r="J43" i="9" s="1"/>
  <c r="U41" i="8"/>
  <c r="AD44" i="9" s="1"/>
  <c r="U42" i="8"/>
  <c r="U43"/>
  <c r="U44"/>
  <c r="J47" i="9" s="1"/>
  <c r="U45" i="8"/>
  <c r="AD48" i="9" s="1"/>
  <c r="U46" i="8"/>
  <c r="F49" i="9" s="1"/>
  <c r="U47" i="8"/>
  <c r="U48"/>
  <c r="J51" i="9" s="1"/>
  <c r="U49" i="8"/>
  <c r="AD52" i="9" s="1"/>
  <c r="U50" i="8"/>
  <c r="U51"/>
  <c r="J54" i="9" s="1"/>
  <c r="U52" i="8"/>
  <c r="J55" i="9" s="1"/>
  <c r="U53" i="8"/>
  <c r="AD56" i="9" s="1"/>
  <c r="U54" i="8"/>
  <c r="U55"/>
  <c r="U56"/>
  <c r="J59" i="9" s="1"/>
  <c r="U57" i="8"/>
  <c r="AD60" i="9" s="1"/>
  <c r="U58" i="8"/>
  <c r="U59"/>
  <c r="U60"/>
  <c r="J63" i="9" s="1"/>
  <c r="U61" i="8"/>
  <c r="AD64" i="9" s="1"/>
  <c r="U62" i="8"/>
  <c r="F65" i="9" s="1"/>
  <c r="U63" i="8"/>
  <c r="U64"/>
  <c r="J67" i="9" s="1"/>
  <c r="U65" i="8"/>
  <c r="AD68" i="9" s="1"/>
  <c r="U66" i="8"/>
  <c r="U67"/>
  <c r="J70" i="9" s="1"/>
  <c r="U68" i="8"/>
  <c r="J71" i="9" s="1"/>
  <c r="U69" i="8"/>
  <c r="AD72" i="9" s="1"/>
  <c r="U70" i="8"/>
  <c r="U71"/>
  <c r="U72"/>
  <c r="J75" i="9" s="1"/>
  <c r="U73" i="8"/>
  <c r="AD76" i="9" s="1"/>
  <c r="U74" i="8"/>
  <c r="U75"/>
  <c r="U76"/>
  <c r="U77"/>
  <c r="AD80" i="9" s="1"/>
  <c r="U78" i="8"/>
  <c r="F81" i="9" s="1"/>
  <c r="U79" i="8"/>
  <c r="U80"/>
  <c r="U81"/>
  <c r="AD84" i="9" s="1"/>
  <c r="U82" i="8"/>
  <c r="U83"/>
  <c r="J86" i="9" s="1"/>
  <c r="U84" i="8"/>
  <c r="U85"/>
  <c r="U86"/>
  <c r="U87"/>
  <c r="J90" i="9" s="1"/>
  <c r="U88" i="8"/>
  <c r="U89"/>
  <c r="AD92" i="9" s="1"/>
  <c r="U90" i="8"/>
  <c r="F93" i="9" s="1"/>
  <c r="U91" i="8"/>
  <c r="J94" i="9" s="1"/>
  <c r="U92" i="8"/>
  <c r="U93"/>
  <c r="AD96" i="9" s="1"/>
  <c r="U94" i="8"/>
  <c r="F97" i="9" s="1"/>
  <c r="U95" i="8"/>
  <c r="J98" i="9" s="1"/>
  <c r="U96" i="8"/>
  <c r="U97"/>
  <c r="AD100" i="9" s="1"/>
  <c r="U98" i="8"/>
  <c r="U99"/>
  <c r="J102" i="9" s="1"/>
  <c r="U100" i="8"/>
  <c r="U101"/>
  <c r="X104" i="9" s="1"/>
  <c r="U7" i="8"/>
  <c r="AF108" i="9"/>
  <c r="AF107"/>
  <c r="AF106"/>
  <c r="AF105"/>
  <c r="AD112"/>
  <c r="AD111"/>
  <c r="AD110"/>
  <c r="AD109"/>
  <c r="AD108"/>
  <c r="AD107"/>
  <c r="AD106"/>
  <c r="AD105"/>
  <c r="H105"/>
  <c r="AB113"/>
  <c r="AB112"/>
  <c r="AB111"/>
  <c r="AB110"/>
  <c r="AB109"/>
  <c r="AB108"/>
  <c r="AB107"/>
  <c r="AB106"/>
  <c r="AB105"/>
  <c r="Z105"/>
  <c r="K15" i="3"/>
  <c r="K19"/>
  <c r="X118" i="9"/>
  <c r="X117"/>
  <c r="X116"/>
  <c r="X115"/>
  <c r="X114"/>
  <c r="X113"/>
  <c r="X112"/>
  <c r="X111"/>
  <c r="X110"/>
  <c r="X109"/>
  <c r="X108"/>
  <c r="X107"/>
  <c r="X106"/>
  <c r="X105"/>
  <c r="C26" i="2"/>
  <c r="C23"/>
  <c r="D23"/>
  <c r="C23" i="6"/>
  <c r="C24"/>
  <c r="W191" i="3"/>
  <c r="K191"/>
  <c r="W169"/>
  <c r="K169"/>
  <c r="W147"/>
  <c r="K147"/>
  <c r="W103"/>
  <c r="K103"/>
  <c r="K59"/>
  <c r="W37"/>
  <c r="K37"/>
  <c r="F35" i="2"/>
  <c r="F34"/>
  <c r="F33"/>
  <c r="F32"/>
  <c r="N35"/>
  <c r="G35"/>
  <c r="H35"/>
  <c r="I35"/>
  <c r="J35"/>
  <c r="K35"/>
  <c r="L35"/>
  <c r="M35"/>
  <c r="O35"/>
  <c r="P35"/>
  <c r="Q35"/>
  <c r="R35"/>
  <c r="S35"/>
  <c r="T35"/>
  <c r="U35"/>
  <c r="U23"/>
  <c r="D23" i="7"/>
  <c r="E23"/>
  <c r="F23"/>
  <c r="G23"/>
  <c r="H23"/>
  <c r="I23"/>
  <c r="J23"/>
  <c r="K23"/>
  <c r="L23"/>
  <c r="M23"/>
  <c r="N23"/>
  <c r="O23"/>
  <c r="P23"/>
  <c r="Q23"/>
  <c r="R23"/>
  <c r="S23"/>
  <c r="D24"/>
  <c r="E24"/>
  <c r="F24"/>
  <c r="G24"/>
  <c r="H24"/>
  <c r="I24"/>
  <c r="J24"/>
  <c r="K24"/>
  <c r="L24"/>
  <c r="M24"/>
  <c r="N24"/>
  <c r="O24"/>
  <c r="P24"/>
  <c r="Q24"/>
  <c r="R24"/>
  <c r="S24"/>
  <c r="D25"/>
  <c r="E25"/>
  <c r="F25"/>
  <c r="G25"/>
  <c r="H25"/>
  <c r="I25"/>
  <c r="J25"/>
  <c r="K25"/>
  <c r="L25"/>
  <c r="M25"/>
  <c r="N25"/>
  <c r="O25"/>
  <c r="P25"/>
  <c r="Q25"/>
  <c r="R25"/>
  <c r="S25"/>
  <c r="D26"/>
  <c r="E26"/>
  <c r="F26"/>
  <c r="G26"/>
  <c r="H26"/>
  <c r="I26"/>
  <c r="J26"/>
  <c r="K26"/>
  <c r="L26"/>
  <c r="M26"/>
  <c r="N26"/>
  <c r="O26"/>
  <c r="P26"/>
  <c r="Q26"/>
  <c r="R26"/>
  <c r="S26"/>
  <c r="D27"/>
  <c r="E27"/>
  <c r="F27"/>
  <c r="G27"/>
  <c r="H27"/>
  <c r="I27"/>
  <c r="J27"/>
  <c r="K27"/>
  <c r="L27"/>
  <c r="M27"/>
  <c r="N27"/>
  <c r="O27"/>
  <c r="P27"/>
  <c r="Q27"/>
  <c r="R27"/>
  <c r="S27"/>
  <c r="C24"/>
  <c r="C25"/>
  <c r="C26"/>
  <c r="C27"/>
  <c r="C23"/>
  <c r="F85" i="9"/>
  <c r="AD88"/>
  <c r="F89"/>
  <c r="F101"/>
  <c r="F13"/>
  <c r="J14"/>
  <c r="J18"/>
  <c r="F21"/>
  <c r="F25"/>
  <c r="J26"/>
  <c r="F29"/>
  <c r="J30"/>
  <c r="J34"/>
  <c r="F37"/>
  <c r="F41"/>
  <c r="J42"/>
  <c r="F45"/>
  <c r="J46"/>
  <c r="J50"/>
  <c r="F53"/>
  <c r="F57"/>
  <c r="J58"/>
  <c r="F61"/>
  <c r="J62"/>
  <c r="J66"/>
  <c r="F69"/>
  <c r="F73"/>
  <c r="J74"/>
  <c r="F77"/>
  <c r="J78"/>
  <c r="J82"/>
  <c r="S1" i="8"/>
  <c r="S102" i="7"/>
  <c r="R102"/>
  <c r="Q102"/>
  <c r="P102"/>
  <c r="O102"/>
  <c r="N102"/>
  <c r="M102"/>
  <c r="L102"/>
  <c r="K102"/>
  <c r="J102"/>
  <c r="I102"/>
  <c r="H102"/>
  <c r="G102"/>
  <c r="F102"/>
  <c r="E102"/>
  <c r="D102"/>
  <c r="C102"/>
  <c r="S101"/>
  <c r="R101"/>
  <c r="Q101"/>
  <c r="P101"/>
  <c r="O101"/>
  <c r="N101"/>
  <c r="M101"/>
  <c r="L101"/>
  <c r="K101"/>
  <c r="J101"/>
  <c r="I101"/>
  <c r="H101"/>
  <c r="G101"/>
  <c r="F101"/>
  <c r="E101"/>
  <c r="D101"/>
  <c r="C101"/>
  <c r="S100"/>
  <c r="R100"/>
  <c r="Q100"/>
  <c r="P100"/>
  <c r="O100"/>
  <c r="N100"/>
  <c r="M100"/>
  <c r="L100"/>
  <c r="K100"/>
  <c r="J100"/>
  <c r="I100"/>
  <c r="H100"/>
  <c r="G100"/>
  <c r="F100"/>
  <c r="E100"/>
  <c r="D100"/>
  <c r="C100"/>
  <c r="S99"/>
  <c r="R99"/>
  <c r="Q99"/>
  <c r="P99"/>
  <c r="O99"/>
  <c r="N99"/>
  <c r="M99"/>
  <c r="L99"/>
  <c r="K99"/>
  <c r="J99"/>
  <c r="I99"/>
  <c r="H99"/>
  <c r="G99"/>
  <c r="F99"/>
  <c r="E99"/>
  <c r="D99"/>
  <c r="C99"/>
  <c r="S98"/>
  <c r="R98"/>
  <c r="Q98"/>
  <c r="P98"/>
  <c r="O98"/>
  <c r="N98"/>
  <c r="M98"/>
  <c r="L98"/>
  <c r="K98"/>
  <c r="J98"/>
  <c r="I98"/>
  <c r="H98"/>
  <c r="G98"/>
  <c r="F98"/>
  <c r="E98"/>
  <c r="D98"/>
  <c r="C98"/>
  <c r="S97"/>
  <c r="R97"/>
  <c r="Q97"/>
  <c r="P97"/>
  <c r="O97"/>
  <c r="N97"/>
  <c r="M97"/>
  <c r="L97"/>
  <c r="K97"/>
  <c r="J97"/>
  <c r="I97"/>
  <c r="H97"/>
  <c r="G97"/>
  <c r="F97"/>
  <c r="E97"/>
  <c r="D97"/>
  <c r="C97"/>
  <c r="S96"/>
  <c r="R96"/>
  <c r="Q96"/>
  <c r="P96"/>
  <c r="O96"/>
  <c r="N96"/>
  <c r="M96"/>
  <c r="L96"/>
  <c r="K96"/>
  <c r="J96"/>
  <c r="I96"/>
  <c r="H96"/>
  <c r="G96"/>
  <c r="F96"/>
  <c r="E96"/>
  <c r="D96"/>
  <c r="C96"/>
  <c r="S95"/>
  <c r="R95"/>
  <c r="Q95"/>
  <c r="P95"/>
  <c r="O95"/>
  <c r="N95"/>
  <c r="M95"/>
  <c r="L95"/>
  <c r="K95"/>
  <c r="J95"/>
  <c r="I95"/>
  <c r="H95"/>
  <c r="G95"/>
  <c r="F95"/>
  <c r="E95"/>
  <c r="D95"/>
  <c r="C95"/>
  <c r="S94"/>
  <c r="R94"/>
  <c r="Q94"/>
  <c r="P94"/>
  <c r="O94"/>
  <c r="N94"/>
  <c r="M94"/>
  <c r="L94"/>
  <c r="K94"/>
  <c r="J94"/>
  <c r="I94"/>
  <c r="H94"/>
  <c r="G94"/>
  <c r="F94"/>
  <c r="E94"/>
  <c r="D94"/>
  <c r="C94"/>
  <c r="S93"/>
  <c r="R93"/>
  <c r="Q93"/>
  <c r="P93"/>
  <c r="O93"/>
  <c r="N93"/>
  <c r="M93"/>
  <c r="L93"/>
  <c r="K93"/>
  <c r="J93"/>
  <c r="I93"/>
  <c r="H93"/>
  <c r="G93"/>
  <c r="F93"/>
  <c r="E93"/>
  <c r="D93"/>
  <c r="C93"/>
  <c r="S92"/>
  <c r="R92"/>
  <c r="Q92"/>
  <c r="P92"/>
  <c r="O92"/>
  <c r="N92"/>
  <c r="M92"/>
  <c r="L92"/>
  <c r="K92"/>
  <c r="J92"/>
  <c r="I92"/>
  <c r="H92"/>
  <c r="G92"/>
  <c r="F92"/>
  <c r="E92"/>
  <c r="D92"/>
  <c r="C92"/>
  <c r="S91"/>
  <c r="R91"/>
  <c r="Q91"/>
  <c r="P91"/>
  <c r="O91"/>
  <c r="N91"/>
  <c r="M91"/>
  <c r="L91"/>
  <c r="K91"/>
  <c r="J91"/>
  <c r="I91"/>
  <c r="H91"/>
  <c r="G91"/>
  <c r="F91"/>
  <c r="E91"/>
  <c r="D91"/>
  <c r="C91"/>
  <c r="S90"/>
  <c r="R90"/>
  <c r="Q90"/>
  <c r="P90"/>
  <c r="O90"/>
  <c r="N90"/>
  <c r="M90"/>
  <c r="L90"/>
  <c r="K90"/>
  <c r="J90"/>
  <c r="I90"/>
  <c r="H90"/>
  <c r="G90"/>
  <c r="F90"/>
  <c r="E90"/>
  <c r="D90"/>
  <c r="C90"/>
  <c r="S89"/>
  <c r="R89"/>
  <c r="Q89"/>
  <c r="P89"/>
  <c r="O89"/>
  <c r="N89"/>
  <c r="M89"/>
  <c r="L89"/>
  <c r="K89"/>
  <c r="J89"/>
  <c r="I89"/>
  <c r="H89"/>
  <c r="G89"/>
  <c r="F89"/>
  <c r="E89"/>
  <c r="D89"/>
  <c r="C89"/>
  <c r="S88"/>
  <c r="R88"/>
  <c r="Q88"/>
  <c r="P88"/>
  <c r="O88"/>
  <c r="N88"/>
  <c r="M88"/>
  <c r="L88"/>
  <c r="K88"/>
  <c r="J88"/>
  <c r="I88"/>
  <c r="H88"/>
  <c r="G88"/>
  <c r="F88"/>
  <c r="E88"/>
  <c r="D88"/>
  <c r="C88"/>
  <c r="S87"/>
  <c r="R87"/>
  <c r="Q87"/>
  <c r="P87"/>
  <c r="O87"/>
  <c r="N87"/>
  <c r="M87"/>
  <c r="L87"/>
  <c r="K87"/>
  <c r="J87"/>
  <c r="I87"/>
  <c r="H87"/>
  <c r="G87"/>
  <c r="F87"/>
  <c r="E87"/>
  <c r="D87"/>
  <c r="C87"/>
  <c r="S86"/>
  <c r="R86"/>
  <c r="Q86"/>
  <c r="P86"/>
  <c r="O86"/>
  <c r="N86"/>
  <c r="M86"/>
  <c r="L86"/>
  <c r="K86"/>
  <c r="J86"/>
  <c r="I86"/>
  <c r="H86"/>
  <c r="G86"/>
  <c r="F86"/>
  <c r="E86"/>
  <c r="D86"/>
  <c r="C86"/>
  <c r="S85"/>
  <c r="R85"/>
  <c r="Q85"/>
  <c r="P85"/>
  <c r="O85"/>
  <c r="N85"/>
  <c r="M85"/>
  <c r="L85"/>
  <c r="K85"/>
  <c r="J85"/>
  <c r="I85"/>
  <c r="H85"/>
  <c r="G85"/>
  <c r="F85"/>
  <c r="E85"/>
  <c r="D85"/>
  <c r="C85"/>
  <c r="S84"/>
  <c r="R84"/>
  <c r="Q84"/>
  <c r="P84"/>
  <c r="O84"/>
  <c r="N84"/>
  <c r="M84"/>
  <c r="L84"/>
  <c r="K84"/>
  <c r="J84"/>
  <c r="I84"/>
  <c r="H84"/>
  <c r="G84"/>
  <c r="F84"/>
  <c r="E84"/>
  <c r="D84"/>
  <c r="C84"/>
  <c r="S83"/>
  <c r="R83"/>
  <c r="Q83"/>
  <c r="P83"/>
  <c r="O83"/>
  <c r="N83"/>
  <c r="M83"/>
  <c r="L83"/>
  <c r="K83"/>
  <c r="J83"/>
  <c r="I83"/>
  <c r="H83"/>
  <c r="G83"/>
  <c r="F83"/>
  <c r="E83"/>
  <c r="D83"/>
  <c r="C83"/>
  <c r="S82"/>
  <c r="R82"/>
  <c r="Q82"/>
  <c r="P82"/>
  <c r="O82"/>
  <c r="N82"/>
  <c r="M82"/>
  <c r="L82"/>
  <c r="K82"/>
  <c r="J82"/>
  <c r="I82"/>
  <c r="H82"/>
  <c r="G82"/>
  <c r="F82"/>
  <c r="E82"/>
  <c r="D82"/>
  <c r="C82"/>
  <c r="S81"/>
  <c r="R81"/>
  <c r="Q81"/>
  <c r="P81"/>
  <c r="O81"/>
  <c r="N81"/>
  <c r="M81"/>
  <c r="L81"/>
  <c r="K81"/>
  <c r="J81"/>
  <c r="I81"/>
  <c r="H81"/>
  <c r="G81"/>
  <c r="F81"/>
  <c r="E81"/>
  <c r="D81"/>
  <c r="C81"/>
  <c r="S80"/>
  <c r="R80"/>
  <c r="Q80"/>
  <c r="P80"/>
  <c r="O80"/>
  <c r="N80"/>
  <c r="M80"/>
  <c r="L80"/>
  <c r="K80"/>
  <c r="J80"/>
  <c r="I80"/>
  <c r="H80"/>
  <c r="G80"/>
  <c r="F80"/>
  <c r="E80"/>
  <c r="D80"/>
  <c r="C80"/>
  <c r="S79"/>
  <c r="R79"/>
  <c r="Q79"/>
  <c r="P79"/>
  <c r="O79"/>
  <c r="N79"/>
  <c r="M79"/>
  <c r="L79"/>
  <c r="K79"/>
  <c r="J79"/>
  <c r="I79"/>
  <c r="H79"/>
  <c r="G79"/>
  <c r="F79"/>
  <c r="E79"/>
  <c r="D79"/>
  <c r="C79"/>
  <c r="S78"/>
  <c r="R78"/>
  <c r="Q78"/>
  <c r="P78"/>
  <c r="O78"/>
  <c r="N78"/>
  <c r="M78"/>
  <c r="L78"/>
  <c r="K78"/>
  <c r="J78"/>
  <c r="I78"/>
  <c r="H78"/>
  <c r="G78"/>
  <c r="F78"/>
  <c r="E78"/>
  <c r="D78"/>
  <c r="C78"/>
  <c r="S77"/>
  <c r="R77"/>
  <c r="Q77"/>
  <c r="P77"/>
  <c r="O77"/>
  <c r="N77"/>
  <c r="M77"/>
  <c r="L77"/>
  <c r="K77"/>
  <c r="J77"/>
  <c r="I77"/>
  <c r="H77"/>
  <c r="G77"/>
  <c r="F77"/>
  <c r="E77"/>
  <c r="D77"/>
  <c r="C77"/>
  <c r="S76"/>
  <c r="R76"/>
  <c r="Q76"/>
  <c r="P76"/>
  <c r="O76"/>
  <c r="N76"/>
  <c r="M76"/>
  <c r="L76"/>
  <c r="K76"/>
  <c r="J76"/>
  <c r="I76"/>
  <c r="H76"/>
  <c r="G76"/>
  <c r="F76"/>
  <c r="E76"/>
  <c r="D76"/>
  <c r="C76"/>
  <c r="S75"/>
  <c r="R75"/>
  <c r="Q75"/>
  <c r="P75"/>
  <c r="O75"/>
  <c r="N75"/>
  <c r="M75"/>
  <c r="L75"/>
  <c r="K75"/>
  <c r="J75"/>
  <c r="I75"/>
  <c r="H75"/>
  <c r="G75"/>
  <c r="F75"/>
  <c r="E75"/>
  <c r="D75"/>
  <c r="C75"/>
  <c r="S74"/>
  <c r="R74"/>
  <c r="Q74"/>
  <c r="P74"/>
  <c r="O74"/>
  <c r="N74"/>
  <c r="M74"/>
  <c r="L74"/>
  <c r="K74"/>
  <c r="J74"/>
  <c r="I74"/>
  <c r="H74"/>
  <c r="G74"/>
  <c r="F74"/>
  <c r="E74"/>
  <c r="D74"/>
  <c r="C74"/>
  <c r="S73"/>
  <c r="R73"/>
  <c r="Q73"/>
  <c r="P73"/>
  <c r="O73"/>
  <c r="N73"/>
  <c r="M73"/>
  <c r="L73"/>
  <c r="K73"/>
  <c r="J73"/>
  <c r="I73"/>
  <c r="H73"/>
  <c r="G73"/>
  <c r="F73"/>
  <c r="E73"/>
  <c r="D73"/>
  <c r="C73"/>
  <c r="S72"/>
  <c r="R72"/>
  <c r="Q72"/>
  <c r="P72"/>
  <c r="O72"/>
  <c r="N72"/>
  <c r="M72"/>
  <c r="L72"/>
  <c r="K72"/>
  <c r="J72"/>
  <c r="I72"/>
  <c r="H72"/>
  <c r="G72"/>
  <c r="F72"/>
  <c r="E72"/>
  <c r="D72"/>
  <c r="C72"/>
  <c r="S71"/>
  <c r="R71"/>
  <c r="Q71"/>
  <c r="P71"/>
  <c r="O71"/>
  <c r="N71"/>
  <c r="M71"/>
  <c r="L71"/>
  <c r="K71"/>
  <c r="J71"/>
  <c r="I71"/>
  <c r="H71"/>
  <c r="G71"/>
  <c r="F71"/>
  <c r="E71"/>
  <c r="D71"/>
  <c r="C71"/>
  <c r="S70"/>
  <c r="R70"/>
  <c r="Q70"/>
  <c r="P70"/>
  <c r="O70"/>
  <c r="N70"/>
  <c r="M70"/>
  <c r="L70"/>
  <c r="K70"/>
  <c r="J70"/>
  <c r="I70"/>
  <c r="H70"/>
  <c r="G70"/>
  <c r="F70"/>
  <c r="E70"/>
  <c r="D70"/>
  <c r="C70"/>
  <c r="S69"/>
  <c r="R69"/>
  <c r="Q69"/>
  <c r="P69"/>
  <c r="O69"/>
  <c r="N69"/>
  <c r="M69"/>
  <c r="L69"/>
  <c r="K69"/>
  <c r="J69"/>
  <c r="I69"/>
  <c r="H69"/>
  <c r="G69"/>
  <c r="F69"/>
  <c r="E69"/>
  <c r="D69"/>
  <c r="C69"/>
  <c r="S68"/>
  <c r="R68"/>
  <c r="Q68"/>
  <c r="P68"/>
  <c r="O68"/>
  <c r="N68"/>
  <c r="M68"/>
  <c r="L68"/>
  <c r="K68"/>
  <c r="J68"/>
  <c r="I68"/>
  <c r="H68"/>
  <c r="G68"/>
  <c r="F68"/>
  <c r="E68"/>
  <c r="D68"/>
  <c r="C68"/>
  <c r="S67"/>
  <c r="R67"/>
  <c r="Q67"/>
  <c r="P67"/>
  <c r="O67"/>
  <c r="N67"/>
  <c r="M67"/>
  <c r="L67"/>
  <c r="K67"/>
  <c r="J67"/>
  <c r="I67"/>
  <c r="H67"/>
  <c r="G67"/>
  <c r="F67"/>
  <c r="E67"/>
  <c r="D67"/>
  <c r="C67"/>
  <c r="S66"/>
  <c r="R66"/>
  <c r="Q66"/>
  <c r="P66"/>
  <c r="O66"/>
  <c r="N66"/>
  <c r="M66"/>
  <c r="L66"/>
  <c r="K66"/>
  <c r="J66"/>
  <c r="I66"/>
  <c r="H66"/>
  <c r="G66"/>
  <c r="F66"/>
  <c r="E66"/>
  <c r="D66"/>
  <c r="C66"/>
  <c r="S65"/>
  <c r="R65"/>
  <c r="Q65"/>
  <c r="P65"/>
  <c r="O65"/>
  <c r="N65"/>
  <c r="M65"/>
  <c r="L65"/>
  <c r="K65"/>
  <c r="J65"/>
  <c r="I65"/>
  <c r="H65"/>
  <c r="G65"/>
  <c r="F65"/>
  <c r="E65"/>
  <c r="D65"/>
  <c r="C65"/>
  <c r="S64"/>
  <c r="R64"/>
  <c r="Q64"/>
  <c r="P64"/>
  <c r="O64"/>
  <c r="N64"/>
  <c r="M64"/>
  <c r="L64"/>
  <c r="K64"/>
  <c r="J64"/>
  <c r="I64"/>
  <c r="H64"/>
  <c r="G64"/>
  <c r="F64"/>
  <c r="E64"/>
  <c r="D64"/>
  <c r="C64"/>
  <c r="S63"/>
  <c r="R63"/>
  <c r="Q63"/>
  <c r="P63"/>
  <c r="O63"/>
  <c r="N63"/>
  <c r="M63"/>
  <c r="L63"/>
  <c r="K63"/>
  <c r="J63"/>
  <c r="I63"/>
  <c r="H63"/>
  <c r="G63"/>
  <c r="F63"/>
  <c r="E63"/>
  <c r="D63"/>
  <c r="C63"/>
  <c r="S62"/>
  <c r="R62"/>
  <c r="Q62"/>
  <c r="P62"/>
  <c r="O62"/>
  <c r="N62"/>
  <c r="M62"/>
  <c r="L62"/>
  <c r="K62"/>
  <c r="J62"/>
  <c r="I62"/>
  <c r="H62"/>
  <c r="G62"/>
  <c r="F62"/>
  <c r="E62"/>
  <c r="D62"/>
  <c r="C62"/>
  <c r="S61"/>
  <c r="R61"/>
  <c r="Q61"/>
  <c r="P61"/>
  <c r="O61"/>
  <c r="N61"/>
  <c r="M61"/>
  <c r="L61"/>
  <c r="K61"/>
  <c r="J61"/>
  <c r="I61"/>
  <c r="H61"/>
  <c r="G61"/>
  <c r="F61"/>
  <c r="E61"/>
  <c r="D61"/>
  <c r="C61"/>
  <c r="S60"/>
  <c r="R60"/>
  <c r="Q60"/>
  <c r="P60"/>
  <c r="O60"/>
  <c r="N60"/>
  <c r="M60"/>
  <c r="L60"/>
  <c r="K60"/>
  <c r="J60"/>
  <c r="I60"/>
  <c r="H60"/>
  <c r="G60"/>
  <c r="F60"/>
  <c r="E60"/>
  <c r="D60"/>
  <c r="C60"/>
  <c r="S59"/>
  <c r="R59"/>
  <c r="Q59"/>
  <c r="P59"/>
  <c r="O59"/>
  <c r="N59"/>
  <c r="M59"/>
  <c r="L59"/>
  <c r="K59"/>
  <c r="J59"/>
  <c r="I59"/>
  <c r="H59"/>
  <c r="G59"/>
  <c r="F59"/>
  <c r="E59"/>
  <c r="D59"/>
  <c r="C59"/>
  <c r="S58"/>
  <c r="R58"/>
  <c r="Q58"/>
  <c r="P58"/>
  <c r="O58"/>
  <c r="N58"/>
  <c r="M58"/>
  <c r="L58"/>
  <c r="K58"/>
  <c r="J58"/>
  <c r="I58"/>
  <c r="H58"/>
  <c r="G58"/>
  <c r="F58"/>
  <c r="E58"/>
  <c r="D58"/>
  <c r="C58"/>
  <c r="S57"/>
  <c r="R57"/>
  <c r="Q57"/>
  <c r="P57"/>
  <c r="O57"/>
  <c r="N57"/>
  <c r="M57"/>
  <c r="L57"/>
  <c r="K57"/>
  <c r="J57"/>
  <c r="I57"/>
  <c r="H57"/>
  <c r="G57"/>
  <c r="F57"/>
  <c r="E57"/>
  <c r="D57"/>
  <c r="C57"/>
  <c r="S56"/>
  <c r="R56"/>
  <c r="Q56"/>
  <c r="P56"/>
  <c r="O56"/>
  <c r="N56"/>
  <c r="M56"/>
  <c r="L56"/>
  <c r="K56"/>
  <c r="J56"/>
  <c r="I56"/>
  <c r="H56"/>
  <c r="G56"/>
  <c r="F56"/>
  <c r="E56"/>
  <c r="D56"/>
  <c r="C56"/>
  <c r="S55"/>
  <c r="R55"/>
  <c r="Q55"/>
  <c r="P55"/>
  <c r="O55"/>
  <c r="N55"/>
  <c r="M55"/>
  <c r="L55"/>
  <c r="K55"/>
  <c r="J55"/>
  <c r="I55"/>
  <c r="H55"/>
  <c r="G55"/>
  <c r="F55"/>
  <c r="E55"/>
  <c r="D55"/>
  <c r="C55"/>
  <c r="S54"/>
  <c r="R54"/>
  <c r="Q54"/>
  <c r="P54"/>
  <c r="O54"/>
  <c r="N54"/>
  <c r="M54"/>
  <c r="L54"/>
  <c r="K54"/>
  <c r="J54"/>
  <c r="I54"/>
  <c r="H54"/>
  <c r="G54"/>
  <c r="F54"/>
  <c r="E54"/>
  <c r="D54"/>
  <c r="C54"/>
  <c r="S53"/>
  <c r="R53"/>
  <c r="Q53"/>
  <c r="P53"/>
  <c r="O53"/>
  <c r="N53"/>
  <c r="M53"/>
  <c r="L53"/>
  <c r="K53"/>
  <c r="J53"/>
  <c r="I53"/>
  <c r="H53"/>
  <c r="G53"/>
  <c r="F53"/>
  <c r="E53"/>
  <c r="D53"/>
  <c r="C53"/>
  <c r="S52"/>
  <c r="R52"/>
  <c r="Q52"/>
  <c r="P52"/>
  <c r="O52"/>
  <c r="N52"/>
  <c r="M52"/>
  <c r="L52"/>
  <c r="K52"/>
  <c r="J52"/>
  <c r="I52"/>
  <c r="H52"/>
  <c r="G52"/>
  <c r="F52"/>
  <c r="E52"/>
  <c r="D52"/>
  <c r="C52"/>
  <c r="S51"/>
  <c r="R51"/>
  <c r="Q51"/>
  <c r="P51"/>
  <c r="O51"/>
  <c r="N51"/>
  <c r="M51"/>
  <c r="L51"/>
  <c r="K51"/>
  <c r="J51"/>
  <c r="I51"/>
  <c r="H51"/>
  <c r="G51"/>
  <c r="F51"/>
  <c r="E51"/>
  <c r="D51"/>
  <c r="C51"/>
  <c r="S50"/>
  <c r="R50"/>
  <c r="Q50"/>
  <c r="P50"/>
  <c r="O50"/>
  <c r="N50"/>
  <c r="M50"/>
  <c r="L50"/>
  <c r="K50"/>
  <c r="J50"/>
  <c r="I50"/>
  <c r="H50"/>
  <c r="G50"/>
  <c r="F50"/>
  <c r="E50"/>
  <c r="D50"/>
  <c r="C50"/>
  <c r="S49"/>
  <c r="R49"/>
  <c r="Q49"/>
  <c r="P49"/>
  <c r="O49"/>
  <c r="N49"/>
  <c r="M49"/>
  <c r="L49"/>
  <c r="K49"/>
  <c r="J49"/>
  <c r="I49"/>
  <c r="H49"/>
  <c r="G49"/>
  <c r="F49"/>
  <c r="E49"/>
  <c r="D49"/>
  <c r="C49"/>
  <c r="S48"/>
  <c r="R48"/>
  <c r="Q48"/>
  <c r="P48"/>
  <c r="O48"/>
  <c r="N48"/>
  <c r="M48"/>
  <c r="L48"/>
  <c r="K48"/>
  <c r="J48"/>
  <c r="I48"/>
  <c r="H48"/>
  <c r="G48"/>
  <c r="F48"/>
  <c r="E48"/>
  <c r="D48"/>
  <c r="C48"/>
  <c r="S47"/>
  <c r="R47"/>
  <c r="Q47"/>
  <c r="P47"/>
  <c r="O47"/>
  <c r="N47"/>
  <c r="M47"/>
  <c r="L47"/>
  <c r="K47"/>
  <c r="J47"/>
  <c r="I47"/>
  <c r="H47"/>
  <c r="G47"/>
  <c r="F47"/>
  <c r="E47"/>
  <c r="D47"/>
  <c r="C47"/>
  <c r="S46"/>
  <c r="R46"/>
  <c r="Q46"/>
  <c r="P46"/>
  <c r="O46"/>
  <c r="N46"/>
  <c r="M46"/>
  <c r="L46"/>
  <c r="K46"/>
  <c r="J46"/>
  <c r="I46"/>
  <c r="H46"/>
  <c r="G46"/>
  <c r="F46"/>
  <c r="E46"/>
  <c r="D46"/>
  <c r="C46"/>
  <c r="S45"/>
  <c r="R45"/>
  <c r="Q45"/>
  <c r="P45"/>
  <c r="O45"/>
  <c r="N45"/>
  <c r="M45"/>
  <c r="L45"/>
  <c r="K45"/>
  <c r="J45"/>
  <c r="I45"/>
  <c r="H45"/>
  <c r="G45"/>
  <c r="F45"/>
  <c r="E45"/>
  <c r="D45"/>
  <c r="C45"/>
  <c r="S44"/>
  <c r="R44"/>
  <c r="Q44"/>
  <c r="P44"/>
  <c r="O44"/>
  <c r="N44"/>
  <c r="M44"/>
  <c r="L44"/>
  <c r="K44"/>
  <c r="J44"/>
  <c r="I44"/>
  <c r="H44"/>
  <c r="G44"/>
  <c r="F44"/>
  <c r="E44"/>
  <c r="D44"/>
  <c r="C44"/>
  <c r="S43"/>
  <c r="R43"/>
  <c r="Q43"/>
  <c r="P43"/>
  <c r="O43"/>
  <c r="N43"/>
  <c r="M43"/>
  <c r="L43"/>
  <c r="K43"/>
  <c r="J43"/>
  <c r="I43"/>
  <c r="H43"/>
  <c r="G43"/>
  <c r="F43"/>
  <c r="E43"/>
  <c r="D43"/>
  <c r="C43"/>
  <c r="S42"/>
  <c r="R42"/>
  <c r="Q42"/>
  <c r="P42"/>
  <c r="O42"/>
  <c r="N42"/>
  <c r="M42"/>
  <c r="L42"/>
  <c r="K42"/>
  <c r="J42"/>
  <c r="I42"/>
  <c r="H42"/>
  <c r="G42"/>
  <c r="F42"/>
  <c r="E42"/>
  <c r="D42"/>
  <c r="C42"/>
  <c r="S41"/>
  <c r="R41"/>
  <c r="Q41"/>
  <c r="P41"/>
  <c r="O41"/>
  <c r="N41"/>
  <c r="M41"/>
  <c r="L41"/>
  <c r="K41"/>
  <c r="J41"/>
  <c r="I41"/>
  <c r="H41"/>
  <c r="G41"/>
  <c r="F41"/>
  <c r="E41"/>
  <c r="D41"/>
  <c r="C41"/>
  <c r="S40"/>
  <c r="R40"/>
  <c r="Q40"/>
  <c r="P40"/>
  <c r="O40"/>
  <c r="N40"/>
  <c r="M40"/>
  <c r="L40"/>
  <c r="K40"/>
  <c r="J40"/>
  <c r="I40"/>
  <c r="H40"/>
  <c r="G40"/>
  <c r="F40"/>
  <c r="E40"/>
  <c r="D40"/>
  <c r="C40"/>
  <c r="S39"/>
  <c r="R39"/>
  <c r="Q39"/>
  <c r="P39"/>
  <c r="O39"/>
  <c r="N39"/>
  <c r="M39"/>
  <c r="L39"/>
  <c r="K39"/>
  <c r="J39"/>
  <c r="I39"/>
  <c r="H39"/>
  <c r="G39"/>
  <c r="F39"/>
  <c r="E39"/>
  <c r="D39"/>
  <c r="C39"/>
  <c r="S38"/>
  <c r="R38"/>
  <c r="Q38"/>
  <c r="P38"/>
  <c r="O38"/>
  <c r="N38"/>
  <c r="M38"/>
  <c r="L38"/>
  <c r="K38"/>
  <c r="J38"/>
  <c r="I38"/>
  <c r="H38"/>
  <c r="G38"/>
  <c r="F38"/>
  <c r="E38"/>
  <c r="D38"/>
  <c r="C38"/>
  <c r="S37"/>
  <c r="R37"/>
  <c r="Q37"/>
  <c r="P37"/>
  <c r="O37"/>
  <c r="N37"/>
  <c r="M37"/>
  <c r="L37"/>
  <c r="K37"/>
  <c r="J37"/>
  <c r="I37"/>
  <c r="H37"/>
  <c r="G37"/>
  <c r="F37"/>
  <c r="E37"/>
  <c r="D37"/>
  <c r="C37"/>
  <c r="S36"/>
  <c r="R36"/>
  <c r="Q36"/>
  <c r="P36"/>
  <c r="O36"/>
  <c r="N36"/>
  <c r="M36"/>
  <c r="L36"/>
  <c r="K36"/>
  <c r="J36"/>
  <c r="I36"/>
  <c r="H36"/>
  <c r="G36"/>
  <c r="F36"/>
  <c r="E36"/>
  <c r="D36"/>
  <c r="C36"/>
  <c r="S35"/>
  <c r="R35"/>
  <c r="Q35"/>
  <c r="P35"/>
  <c r="O35"/>
  <c r="N35"/>
  <c r="M35"/>
  <c r="L35"/>
  <c r="K35"/>
  <c r="J35"/>
  <c r="I35"/>
  <c r="H35"/>
  <c r="G35"/>
  <c r="F35"/>
  <c r="E35"/>
  <c r="D35"/>
  <c r="C35"/>
  <c r="S34"/>
  <c r="R34"/>
  <c r="Q34"/>
  <c r="P34"/>
  <c r="O34"/>
  <c r="N34"/>
  <c r="M34"/>
  <c r="L34"/>
  <c r="K34"/>
  <c r="J34"/>
  <c r="I34"/>
  <c r="H34"/>
  <c r="G34"/>
  <c r="F34"/>
  <c r="E34"/>
  <c r="D34"/>
  <c r="C34"/>
  <c r="S33"/>
  <c r="R33"/>
  <c r="Q33"/>
  <c r="P33"/>
  <c r="O33"/>
  <c r="N33"/>
  <c r="M33"/>
  <c r="L33"/>
  <c r="K33"/>
  <c r="J33"/>
  <c r="I33"/>
  <c r="H33"/>
  <c r="G33"/>
  <c r="F33"/>
  <c r="E33"/>
  <c r="D33"/>
  <c r="C33"/>
  <c r="S32"/>
  <c r="R32"/>
  <c r="Q32"/>
  <c r="P32"/>
  <c r="O32"/>
  <c r="N32"/>
  <c r="M32"/>
  <c r="L32"/>
  <c r="K32"/>
  <c r="J32"/>
  <c r="I32"/>
  <c r="H32"/>
  <c r="G32"/>
  <c r="F32"/>
  <c r="E32"/>
  <c r="D32"/>
  <c r="C32"/>
  <c r="S31"/>
  <c r="R31"/>
  <c r="Q31"/>
  <c r="P31"/>
  <c r="O31"/>
  <c r="N31"/>
  <c r="M31"/>
  <c r="L31"/>
  <c r="K31"/>
  <c r="J31"/>
  <c r="I31"/>
  <c r="H31"/>
  <c r="G31"/>
  <c r="F31"/>
  <c r="E31"/>
  <c r="D31"/>
  <c r="C31"/>
  <c r="S30"/>
  <c r="R30"/>
  <c r="Q30"/>
  <c r="P30"/>
  <c r="O30"/>
  <c r="N30"/>
  <c r="M30"/>
  <c r="L30"/>
  <c r="K30"/>
  <c r="J30"/>
  <c r="I30"/>
  <c r="H30"/>
  <c r="G30"/>
  <c r="F30"/>
  <c r="E30"/>
  <c r="D30"/>
  <c r="C30"/>
  <c r="S29"/>
  <c r="R29"/>
  <c r="Q29"/>
  <c r="P29"/>
  <c r="O29"/>
  <c r="N29"/>
  <c r="M29"/>
  <c r="L29"/>
  <c r="K29"/>
  <c r="J29"/>
  <c r="I29"/>
  <c r="H29"/>
  <c r="G29"/>
  <c r="F29"/>
  <c r="E29"/>
  <c r="D29"/>
  <c r="C29"/>
  <c r="S28"/>
  <c r="R28"/>
  <c r="Q28"/>
  <c r="P28"/>
  <c r="O28"/>
  <c r="N28"/>
  <c r="M28"/>
  <c r="L28"/>
  <c r="K28"/>
  <c r="J28"/>
  <c r="I28"/>
  <c r="H28"/>
  <c r="G28"/>
  <c r="F28"/>
  <c r="E28"/>
  <c r="D28"/>
  <c r="C28"/>
  <c r="D98" i="6"/>
  <c r="C77" i="8" s="1"/>
  <c r="E98" i="6"/>
  <c r="D77" i="8" s="1"/>
  <c r="F98" i="6"/>
  <c r="E77" i="8" s="1"/>
  <c r="G98" i="6"/>
  <c r="F77" i="8" s="1"/>
  <c r="H98" i="6"/>
  <c r="G77" i="8" s="1"/>
  <c r="B80" i="21" s="1"/>
  <c r="I98" i="6"/>
  <c r="H77" i="8" s="1"/>
  <c r="J98" i="6"/>
  <c r="I77" i="8" s="1"/>
  <c r="K98" i="6"/>
  <c r="J77" i="8" s="1"/>
  <c r="L98" i="6"/>
  <c r="K77" i="8" s="1"/>
  <c r="M98" i="6"/>
  <c r="L77" i="8" s="1"/>
  <c r="N98" i="6"/>
  <c r="M77" i="8" s="1"/>
  <c r="O98" i="6"/>
  <c r="N77" i="8" s="1"/>
  <c r="P98" i="6"/>
  <c r="O77" i="8" s="1"/>
  <c r="Q98" i="6"/>
  <c r="P77" i="8" s="1"/>
  <c r="R98" i="6"/>
  <c r="Q77" i="8" s="1"/>
  <c r="S98" i="6"/>
  <c r="R77" i="8" s="1"/>
  <c r="D99" i="6"/>
  <c r="C78" i="8" s="1"/>
  <c r="E99" i="6"/>
  <c r="D78" i="8" s="1"/>
  <c r="F99" i="6"/>
  <c r="E78" i="8" s="1"/>
  <c r="G99" i="6"/>
  <c r="F78" i="8" s="1"/>
  <c r="H99" i="6"/>
  <c r="G78" i="8" s="1"/>
  <c r="B81" i="21" s="1"/>
  <c r="I99" i="6"/>
  <c r="H78" i="8" s="1"/>
  <c r="J99" i="6"/>
  <c r="I78" i="8" s="1"/>
  <c r="K99" i="6"/>
  <c r="J78" i="8" s="1"/>
  <c r="L99" i="6"/>
  <c r="K78" i="8" s="1"/>
  <c r="M99" i="6"/>
  <c r="L78" i="8" s="1"/>
  <c r="N99" i="6"/>
  <c r="M78" i="8" s="1"/>
  <c r="O99" i="6"/>
  <c r="N78" i="8" s="1"/>
  <c r="P99" i="6"/>
  <c r="O78" i="8" s="1"/>
  <c r="Q99" i="6"/>
  <c r="P78" i="8" s="1"/>
  <c r="R99" i="6"/>
  <c r="Q78" i="8" s="1"/>
  <c r="S99" i="6"/>
  <c r="R78" i="8" s="1"/>
  <c r="D100" i="6"/>
  <c r="C79" i="8" s="1"/>
  <c r="E100" i="6"/>
  <c r="D79" i="8" s="1"/>
  <c r="F100" i="6"/>
  <c r="E79" i="8" s="1"/>
  <c r="G100" i="6"/>
  <c r="F79" i="8" s="1"/>
  <c r="H100" i="6"/>
  <c r="G79" i="8" s="1"/>
  <c r="B82" i="21" s="1"/>
  <c r="I100" i="6"/>
  <c r="H79" i="8" s="1"/>
  <c r="J100" i="6"/>
  <c r="I79" i="8" s="1"/>
  <c r="K100" i="6"/>
  <c r="J79" i="8" s="1"/>
  <c r="L100" i="6"/>
  <c r="K79" i="8" s="1"/>
  <c r="M100" i="6"/>
  <c r="L79" i="8" s="1"/>
  <c r="N100" i="6"/>
  <c r="M79" i="8" s="1"/>
  <c r="O100" i="6"/>
  <c r="N79" i="8" s="1"/>
  <c r="P100" i="6"/>
  <c r="O79" i="8" s="1"/>
  <c r="Q100" i="6"/>
  <c r="P79" i="8" s="1"/>
  <c r="R100" i="6"/>
  <c r="Q79" i="8" s="1"/>
  <c r="S100" i="6"/>
  <c r="R79" i="8" s="1"/>
  <c r="D101" i="6"/>
  <c r="C80" i="8" s="1"/>
  <c r="E101" i="6"/>
  <c r="D80" i="8" s="1"/>
  <c r="F101" i="6"/>
  <c r="E80" i="8" s="1"/>
  <c r="G101" i="6"/>
  <c r="F80" i="8" s="1"/>
  <c r="H101" i="6"/>
  <c r="G80" i="8" s="1"/>
  <c r="B83" i="21" s="1"/>
  <c r="I101" i="6"/>
  <c r="H80" i="8" s="1"/>
  <c r="J101" i="6"/>
  <c r="I80" i="8" s="1"/>
  <c r="K101" i="6"/>
  <c r="J80" i="8" s="1"/>
  <c r="L101" i="6"/>
  <c r="K80" i="8" s="1"/>
  <c r="M101" i="6"/>
  <c r="L80" i="8" s="1"/>
  <c r="N101" i="6"/>
  <c r="M80" i="8" s="1"/>
  <c r="O101" i="6"/>
  <c r="N80" i="8" s="1"/>
  <c r="P101" i="6"/>
  <c r="O80" i="8" s="1"/>
  <c r="Q101" i="6"/>
  <c r="P80" i="8" s="1"/>
  <c r="R101" i="6"/>
  <c r="Q80" i="8" s="1"/>
  <c r="S101" i="6"/>
  <c r="R80" i="8" s="1"/>
  <c r="D102" i="6"/>
  <c r="C81" i="8" s="1"/>
  <c r="E102" i="6"/>
  <c r="D81" i="8" s="1"/>
  <c r="F102" i="6"/>
  <c r="E81" i="8" s="1"/>
  <c r="G102" i="6"/>
  <c r="F81" i="8" s="1"/>
  <c r="H102" i="6"/>
  <c r="G81" i="8" s="1"/>
  <c r="B84" i="21" s="1"/>
  <c r="I102" i="6"/>
  <c r="H81" i="8" s="1"/>
  <c r="J102" i="6"/>
  <c r="I81" i="8" s="1"/>
  <c r="K102" i="6"/>
  <c r="J81" i="8" s="1"/>
  <c r="L102" i="6"/>
  <c r="K81" i="8" s="1"/>
  <c r="M102" i="6"/>
  <c r="L81" i="8" s="1"/>
  <c r="N102" i="6"/>
  <c r="M81" i="8" s="1"/>
  <c r="O102" i="6"/>
  <c r="N81" i="8" s="1"/>
  <c r="P102" i="6"/>
  <c r="O81" i="8" s="1"/>
  <c r="Q102" i="6"/>
  <c r="P81" i="8" s="1"/>
  <c r="R102" i="6"/>
  <c r="Q81" i="8" s="1"/>
  <c r="S102" i="6"/>
  <c r="R81" i="8" s="1"/>
  <c r="C99" i="6"/>
  <c r="B78" i="8" s="1"/>
  <c r="C100" i="6"/>
  <c r="B79" i="8" s="1"/>
  <c r="C101" i="6"/>
  <c r="B80" i="8" s="1"/>
  <c r="C102" i="6"/>
  <c r="B81" i="8" s="1"/>
  <c r="C98" i="6"/>
  <c r="B77" i="8" s="1"/>
  <c r="D93" i="6"/>
  <c r="C72" i="8" s="1"/>
  <c r="E93" i="6"/>
  <c r="D72" i="8" s="1"/>
  <c r="F93" i="6"/>
  <c r="E72" i="8" s="1"/>
  <c r="G93" i="6"/>
  <c r="F72" i="8" s="1"/>
  <c r="H93" i="6"/>
  <c r="G72" i="8" s="1"/>
  <c r="B75" i="21" s="1"/>
  <c r="I93" i="6"/>
  <c r="H72" i="8" s="1"/>
  <c r="J93" i="6"/>
  <c r="I72" i="8" s="1"/>
  <c r="K93" i="6"/>
  <c r="J72" i="8" s="1"/>
  <c r="L93" i="6"/>
  <c r="K72" i="8" s="1"/>
  <c r="M93" i="6"/>
  <c r="L72" i="8" s="1"/>
  <c r="N93" i="6"/>
  <c r="M72" i="8" s="1"/>
  <c r="O93" i="6"/>
  <c r="N72" i="8" s="1"/>
  <c r="P93" i="6"/>
  <c r="O72" i="8" s="1"/>
  <c r="Q93" i="6"/>
  <c r="P72" i="8" s="1"/>
  <c r="R93" i="6"/>
  <c r="Q72" i="8" s="1"/>
  <c r="S93" i="6"/>
  <c r="R72" i="8" s="1"/>
  <c r="D94" i="6"/>
  <c r="C73" i="8" s="1"/>
  <c r="E94" i="6"/>
  <c r="D73" i="8" s="1"/>
  <c r="F94" i="6"/>
  <c r="E73" i="8" s="1"/>
  <c r="G94" i="6"/>
  <c r="F73" i="8" s="1"/>
  <c r="H94" i="6"/>
  <c r="G73" i="8" s="1"/>
  <c r="B76" i="21" s="1"/>
  <c r="I94" i="6"/>
  <c r="H73" i="8" s="1"/>
  <c r="J94" i="6"/>
  <c r="I73" i="8" s="1"/>
  <c r="K94" i="6"/>
  <c r="J73" i="8" s="1"/>
  <c r="L94" i="6"/>
  <c r="K73" i="8" s="1"/>
  <c r="M94" i="6"/>
  <c r="L73" i="8" s="1"/>
  <c r="N94" i="6"/>
  <c r="M73" i="8" s="1"/>
  <c r="O94" i="6"/>
  <c r="N73" i="8" s="1"/>
  <c r="P94" i="6"/>
  <c r="O73" i="8" s="1"/>
  <c r="Q94" i="6"/>
  <c r="P73" i="8" s="1"/>
  <c r="R94" i="6"/>
  <c r="Q73" i="8" s="1"/>
  <c r="S94" i="6"/>
  <c r="R73" i="8" s="1"/>
  <c r="D95" i="6"/>
  <c r="C74" i="8" s="1"/>
  <c r="E95" i="6"/>
  <c r="D74" i="8" s="1"/>
  <c r="F95" i="6"/>
  <c r="E74" i="8" s="1"/>
  <c r="G95" i="6"/>
  <c r="F74" i="8" s="1"/>
  <c r="H95" i="6"/>
  <c r="G74" i="8" s="1"/>
  <c r="B77" i="21" s="1"/>
  <c r="I95" i="6"/>
  <c r="H74" i="8" s="1"/>
  <c r="J95" i="6"/>
  <c r="I74" i="8" s="1"/>
  <c r="K95" i="6"/>
  <c r="J74" i="8" s="1"/>
  <c r="L95" i="6"/>
  <c r="K74" i="8" s="1"/>
  <c r="M95" i="6"/>
  <c r="L74" i="8" s="1"/>
  <c r="N95" i="6"/>
  <c r="M74" i="8" s="1"/>
  <c r="O95" i="6"/>
  <c r="N74" i="8" s="1"/>
  <c r="P95" i="6"/>
  <c r="O74" i="8" s="1"/>
  <c r="Q95" i="6"/>
  <c r="P74" i="8" s="1"/>
  <c r="R95" i="6"/>
  <c r="Q74" i="8" s="1"/>
  <c r="S95" i="6"/>
  <c r="R74" i="8" s="1"/>
  <c r="D96" i="6"/>
  <c r="C75" i="8" s="1"/>
  <c r="E96" i="6"/>
  <c r="D75" i="8" s="1"/>
  <c r="F96" i="6"/>
  <c r="E75" i="8" s="1"/>
  <c r="G96" i="6"/>
  <c r="F75" i="8" s="1"/>
  <c r="H96" i="6"/>
  <c r="G75" i="8" s="1"/>
  <c r="B78" i="21" s="1"/>
  <c r="I96" i="6"/>
  <c r="H75" i="8" s="1"/>
  <c r="J96" i="6"/>
  <c r="I75" i="8" s="1"/>
  <c r="K96" i="6"/>
  <c r="J75" i="8" s="1"/>
  <c r="L96" i="6"/>
  <c r="K75" i="8" s="1"/>
  <c r="M96" i="6"/>
  <c r="L75" i="8" s="1"/>
  <c r="N96" i="6"/>
  <c r="M75" i="8" s="1"/>
  <c r="O96" i="6"/>
  <c r="N75" i="8" s="1"/>
  <c r="P96" i="6"/>
  <c r="O75" i="8" s="1"/>
  <c r="Q96" i="6"/>
  <c r="P75" i="8" s="1"/>
  <c r="R96" i="6"/>
  <c r="Q75" i="8" s="1"/>
  <c r="S96" i="6"/>
  <c r="R75" i="8" s="1"/>
  <c r="D97" i="6"/>
  <c r="C76" i="8" s="1"/>
  <c r="E97" i="6"/>
  <c r="D76" i="8" s="1"/>
  <c r="F97" i="6"/>
  <c r="E76" i="8" s="1"/>
  <c r="G97" i="6"/>
  <c r="F76" i="8" s="1"/>
  <c r="H97" i="6"/>
  <c r="G76" i="8" s="1"/>
  <c r="B79" i="21" s="1"/>
  <c r="I97" i="6"/>
  <c r="H76" i="8" s="1"/>
  <c r="J97" i="6"/>
  <c r="I76" i="8" s="1"/>
  <c r="K97" i="6"/>
  <c r="J76" i="8" s="1"/>
  <c r="L97" i="6"/>
  <c r="K76" i="8" s="1"/>
  <c r="M97" i="6"/>
  <c r="L76" i="8" s="1"/>
  <c r="N97" i="6"/>
  <c r="M76" i="8" s="1"/>
  <c r="O97" i="6"/>
  <c r="N76" i="8" s="1"/>
  <c r="P97" i="6"/>
  <c r="O76" i="8" s="1"/>
  <c r="Q97" i="6"/>
  <c r="P76" i="8" s="1"/>
  <c r="R97" i="6"/>
  <c r="Q76" i="8" s="1"/>
  <c r="S97" i="6"/>
  <c r="R76" i="8" s="1"/>
  <c r="C94" i="6"/>
  <c r="B73" i="8" s="1"/>
  <c r="C95" i="6"/>
  <c r="B74" i="8" s="1"/>
  <c r="C96" i="6"/>
  <c r="B75" i="8" s="1"/>
  <c r="C97" i="6"/>
  <c r="B76" i="8" s="1"/>
  <c r="C93" i="6"/>
  <c r="B72" i="8" s="1"/>
  <c r="D88" i="6"/>
  <c r="C67" i="8" s="1"/>
  <c r="E88" i="6"/>
  <c r="D67" i="8" s="1"/>
  <c r="F88" i="6"/>
  <c r="E67" i="8" s="1"/>
  <c r="G88" i="6"/>
  <c r="F67" i="8" s="1"/>
  <c r="H88" i="6"/>
  <c r="G67" i="8" s="1"/>
  <c r="B70" i="21" s="1"/>
  <c r="I88" i="6"/>
  <c r="H67" i="8" s="1"/>
  <c r="J88" i="6"/>
  <c r="I67" i="8" s="1"/>
  <c r="K88" i="6"/>
  <c r="J67" i="8" s="1"/>
  <c r="L88" i="6"/>
  <c r="K67" i="8" s="1"/>
  <c r="M88" i="6"/>
  <c r="L67" i="8" s="1"/>
  <c r="N88" i="6"/>
  <c r="M67" i="8" s="1"/>
  <c r="O88" i="6"/>
  <c r="N67" i="8" s="1"/>
  <c r="P88" i="6"/>
  <c r="O67" i="8" s="1"/>
  <c r="Q88" i="6"/>
  <c r="P67" i="8" s="1"/>
  <c r="R88" i="6"/>
  <c r="Q67" i="8" s="1"/>
  <c r="S88" i="6"/>
  <c r="R67" i="8" s="1"/>
  <c r="D89" i="6"/>
  <c r="C68" i="8" s="1"/>
  <c r="E89" i="6"/>
  <c r="D68" i="8" s="1"/>
  <c r="F89" i="6"/>
  <c r="E68" i="8" s="1"/>
  <c r="G89" i="6"/>
  <c r="F68" i="8" s="1"/>
  <c r="H89" i="6"/>
  <c r="G68" i="8" s="1"/>
  <c r="B71" i="21" s="1"/>
  <c r="I89" i="6"/>
  <c r="H68" i="8" s="1"/>
  <c r="J89" i="6"/>
  <c r="I68" i="8" s="1"/>
  <c r="K89" i="6"/>
  <c r="J68" i="8" s="1"/>
  <c r="L89" i="6"/>
  <c r="K68" i="8" s="1"/>
  <c r="M89" i="6"/>
  <c r="L68" i="8" s="1"/>
  <c r="N89" i="6"/>
  <c r="M68" i="8" s="1"/>
  <c r="O89" i="6"/>
  <c r="N68" i="8" s="1"/>
  <c r="P89" i="6"/>
  <c r="O68" i="8" s="1"/>
  <c r="Q89" i="6"/>
  <c r="P68" i="8" s="1"/>
  <c r="R89" i="6"/>
  <c r="Q68" i="8" s="1"/>
  <c r="S89" i="6"/>
  <c r="R68" i="8" s="1"/>
  <c r="D90" i="6"/>
  <c r="C69" i="8" s="1"/>
  <c r="E90" i="6"/>
  <c r="D69" i="8" s="1"/>
  <c r="F90" i="6"/>
  <c r="E69" i="8" s="1"/>
  <c r="G90" i="6"/>
  <c r="F69" i="8" s="1"/>
  <c r="H90" i="6"/>
  <c r="G69" i="8" s="1"/>
  <c r="B72" i="21" s="1"/>
  <c r="I90" i="6"/>
  <c r="H69" i="8" s="1"/>
  <c r="J90" i="6"/>
  <c r="I69" i="8" s="1"/>
  <c r="K90" i="6"/>
  <c r="J69" i="8" s="1"/>
  <c r="L90" i="6"/>
  <c r="K69" i="8" s="1"/>
  <c r="M90" i="6"/>
  <c r="L69" i="8" s="1"/>
  <c r="N90" i="6"/>
  <c r="M69" i="8" s="1"/>
  <c r="O90" i="6"/>
  <c r="N69" i="8" s="1"/>
  <c r="P90" i="6"/>
  <c r="O69" i="8" s="1"/>
  <c r="Q90" i="6"/>
  <c r="P69" i="8" s="1"/>
  <c r="R90" i="6"/>
  <c r="Q69" i="8" s="1"/>
  <c r="S90" i="6"/>
  <c r="R69" i="8" s="1"/>
  <c r="D91" i="6"/>
  <c r="C70" i="8" s="1"/>
  <c r="E91" i="6"/>
  <c r="D70" i="8" s="1"/>
  <c r="F91" i="6"/>
  <c r="E70" i="8" s="1"/>
  <c r="G91" i="6"/>
  <c r="F70" i="8" s="1"/>
  <c r="H91" i="6"/>
  <c r="G70" i="8" s="1"/>
  <c r="B73" i="21" s="1"/>
  <c r="I91" i="6"/>
  <c r="H70" i="8" s="1"/>
  <c r="J91" i="6"/>
  <c r="I70" i="8" s="1"/>
  <c r="K91" i="6"/>
  <c r="J70" i="8" s="1"/>
  <c r="L91" i="6"/>
  <c r="K70" i="8" s="1"/>
  <c r="M91" i="6"/>
  <c r="L70" i="8" s="1"/>
  <c r="N91" i="6"/>
  <c r="M70" i="8" s="1"/>
  <c r="O91" i="6"/>
  <c r="N70" i="8" s="1"/>
  <c r="P91" i="6"/>
  <c r="O70" i="8" s="1"/>
  <c r="Q91" i="6"/>
  <c r="P70" i="8" s="1"/>
  <c r="R91" i="6"/>
  <c r="Q70" i="8" s="1"/>
  <c r="S91" i="6"/>
  <c r="R70" i="8" s="1"/>
  <c r="D92" i="6"/>
  <c r="C71" i="8" s="1"/>
  <c r="E92" i="6"/>
  <c r="D71" i="8" s="1"/>
  <c r="F92" i="6"/>
  <c r="E71" i="8" s="1"/>
  <c r="G92" i="6"/>
  <c r="F71" i="8" s="1"/>
  <c r="H92" i="6"/>
  <c r="G71" i="8" s="1"/>
  <c r="B74" i="21" s="1"/>
  <c r="I92" i="6"/>
  <c r="H71" i="8" s="1"/>
  <c r="J92" i="6"/>
  <c r="I71" i="8" s="1"/>
  <c r="K92" i="6"/>
  <c r="J71" i="8" s="1"/>
  <c r="L92" i="6"/>
  <c r="K71" i="8" s="1"/>
  <c r="M92" i="6"/>
  <c r="L71" i="8" s="1"/>
  <c r="N92" i="6"/>
  <c r="M71" i="8" s="1"/>
  <c r="O92" i="6"/>
  <c r="N71" i="8" s="1"/>
  <c r="P92" i="6"/>
  <c r="O71" i="8" s="1"/>
  <c r="Q92" i="6"/>
  <c r="P71" i="8" s="1"/>
  <c r="R92" i="6"/>
  <c r="Q71" i="8" s="1"/>
  <c r="S92" i="6"/>
  <c r="R71" i="8" s="1"/>
  <c r="C89" i="6"/>
  <c r="B68" i="8" s="1"/>
  <c r="C90" i="6"/>
  <c r="B69" i="8" s="1"/>
  <c r="C91" i="6"/>
  <c r="B70" i="8" s="1"/>
  <c r="C92" i="6"/>
  <c r="B71" i="8" s="1"/>
  <c r="C88" i="6"/>
  <c r="B67" i="8" s="1"/>
  <c r="D83" i="6"/>
  <c r="C62" i="8" s="1"/>
  <c r="E83" i="6"/>
  <c r="D62" i="8" s="1"/>
  <c r="F83" i="6"/>
  <c r="E62" i="8" s="1"/>
  <c r="G83" i="6"/>
  <c r="F62" i="8" s="1"/>
  <c r="H83" i="6"/>
  <c r="G62" i="8" s="1"/>
  <c r="B65" i="21" s="1"/>
  <c r="I83" i="6"/>
  <c r="H62" i="8" s="1"/>
  <c r="J83" i="6"/>
  <c r="I62" i="8" s="1"/>
  <c r="K83" i="6"/>
  <c r="J62" i="8" s="1"/>
  <c r="L83" i="6"/>
  <c r="K62" i="8" s="1"/>
  <c r="M83" i="6"/>
  <c r="L62" i="8" s="1"/>
  <c r="N83" i="6"/>
  <c r="M62" i="8" s="1"/>
  <c r="O83" i="6"/>
  <c r="N62" i="8" s="1"/>
  <c r="P83" i="6"/>
  <c r="O62" i="8" s="1"/>
  <c r="Q83" i="6"/>
  <c r="P62" i="8" s="1"/>
  <c r="R83" i="6"/>
  <c r="Q62" i="8" s="1"/>
  <c r="S83" i="6"/>
  <c r="R62" i="8" s="1"/>
  <c r="D84" i="6"/>
  <c r="C63" i="8" s="1"/>
  <c r="E84" i="6"/>
  <c r="D63" i="8" s="1"/>
  <c r="F84" i="6"/>
  <c r="E63" i="8" s="1"/>
  <c r="G84" i="6"/>
  <c r="F63" i="8" s="1"/>
  <c r="H84" i="6"/>
  <c r="G63" i="8" s="1"/>
  <c r="B66" i="21" s="1"/>
  <c r="I84" i="6"/>
  <c r="H63" i="8" s="1"/>
  <c r="J84" i="6"/>
  <c r="I63" i="8" s="1"/>
  <c r="K84" i="6"/>
  <c r="J63" i="8" s="1"/>
  <c r="L84" i="6"/>
  <c r="K63" i="8" s="1"/>
  <c r="M84" i="6"/>
  <c r="L63" i="8" s="1"/>
  <c r="N84" i="6"/>
  <c r="M63" i="8" s="1"/>
  <c r="O84" i="6"/>
  <c r="N63" i="8" s="1"/>
  <c r="P84" i="6"/>
  <c r="O63" i="8" s="1"/>
  <c r="Q84" i="6"/>
  <c r="P63" i="8" s="1"/>
  <c r="R84" i="6"/>
  <c r="Q63" i="8" s="1"/>
  <c r="S84" i="6"/>
  <c r="R63" i="8" s="1"/>
  <c r="D85" i="6"/>
  <c r="C64" i="8" s="1"/>
  <c r="E85" i="6"/>
  <c r="D64" i="8" s="1"/>
  <c r="F85" i="6"/>
  <c r="E64" i="8" s="1"/>
  <c r="G85" i="6"/>
  <c r="F64" i="8" s="1"/>
  <c r="H85" i="6"/>
  <c r="G64" i="8" s="1"/>
  <c r="B67" i="21" s="1"/>
  <c r="I85" i="6"/>
  <c r="H64" i="8" s="1"/>
  <c r="J85" i="6"/>
  <c r="I64" i="8" s="1"/>
  <c r="K85" i="6"/>
  <c r="J64" i="8" s="1"/>
  <c r="L85" i="6"/>
  <c r="K64" i="8" s="1"/>
  <c r="M85" i="6"/>
  <c r="L64" i="8" s="1"/>
  <c r="N85" i="6"/>
  <c r="M64" i="8" s="1"/>
  <c r="O85" i="6"/>
  <c r="N64" i="8" s="1"/>
  <c r="P85" i="6"/>
  <c r="O64" i="8" s="1"/>
  <c r="Q85" i="6"/>
  <c r="P64" i="8" s="1"/>
  <c r="R85" i="6"/>
  <c r="Q64" i="8" s="1"/>
  <c r="S85" i="6"/>
  <c r="R64" i="8" s="1"/>
  <c r="D86" i="6"/>
  <c r="C65" i="8" s="1"/>
  <c r="E86" i="6"/>
  <c r="D65" i="8" s="1"/>
  <c r="F86" i="6"/>
  <c r="E65" i="8" s="1"/>
  <c r="G86" i="6"/>
  <c r="F65" i="8" s="1"/>
  <c r="H86" i="6"/>
  <c r="G65" i="8" s="1"/>
  <c r="B68" i="21" s="1"/>
  <c r="I86" i="6"/>
  <c r="H65" i="8" s="1"/>
  <c r="J86" i="6"/>
  <c r="I65" i="8" s="1"/>
  <c r="K86" i="6"/>
  <c r="J65" i="8" s="1"/>
  <c r="L86" i="6"/>
  <c r="K65" i="8" s="1"/>
  <c r="M86" i="6"/>
  <c r="L65" i="8" s="1"/>
  <c r="N86" i="6"/>
  <c r="M65" i="8" s="1"/>
  <c r="O86" i="6"/>
  <c r="N65" i="8" s="1"/>
  <c r="P86" i="6"/>
  <c r="O65" i="8" s="1"/>
  <c r="Q86" i="6"/>
  <c r="P65" i="8" s="1"/>
  <c r="R86" i="6"/>
  <c r="Q65" i="8" s="1"/>
  <c r="S86" i="6"/>
  <c r="R65" i="8" s="1"/>
  <c r="D87" i="6"/>
  <c r="C66" i="8" s="1"/>
  <c r="E87" i="6"/>
  <c r="D66" i="8" s="1"/>
  <c r="F87" i="6"/>
  <c r="E66" i="8" s="1"/>
  <c r="G87" i="6"/>
  <c r="F66" i="8" s="1"/>
  <c r="H87" i="6"/>
  <c r="G66" i="8" s="1"/>
  <c r="B69" i="21" s="1"/>
  <c r="I87" i="6"/>
  <c r="H66" i="8" s="1"/>
  <c r="J87" i="6"/>
  <c r="I66" i="8" s="1"/>
  <c r="K87" i="6"/>
  <c r="J66" i="8" s="1"/>
  <c r="L87" i="6"/>
  <c r="K66" i="8" s="1"/>
  <c r="M87" i="6"/>
  <c r="L66" i="8" s="1"/>
  <c r="N87" i="6"/>
  <c r="M66" i="8" s="1"/>
  <c r="O87" i="6"/>
  <c r="N66" i="8" s="1"/>
  <c r="P87" i="6"/>
  <c r="O66" i="8" s="1"/>
  <c r="Q87" i="6"/>
  <c r="P66" i="8" s="1"/>
  <c r="R87" i="6"/>
  <c r="Q66" i="8" s="1"/>
  <c r="S87" i="6"/>
  <c r="R66" i="8" s="1"/>
  <c r="C84" i="6"/>
  <c r="B63" i="8" s="1"/>
  <c r="C85" i="6"/>
  <c r="B64" i="8" s="1"/>
  <c r="C86" i="6"/>
  <c r="B65" i="8" s="1"/>
  <c r="C87" i="6"/>
  <c r="B66" i="8" s="1"/>
  <c r="C83" i="6"/>
  <c r="B62" i="8" s="1"/>
  <c r="D78" i="6"/>
  <c r="C57" i="8" s="1"/>
  <c r="E78" i="6"/>
  <c r="D57" i="8" s="1"/>
  <c r="F78" i="6"/>
  <c r="E57" i="8" s="1"/>
  <c r="G78" i="6"/>
  <c r="F57" i="8" s="1"/>
  <c r="H78" i="6"/>
  <c r="G57" i="8" s="1"/>
  <c r="B60" i="21" s="1"/>
  <c r="I78" i="6"/>
  <c r="H57" i="8" s="1"/>
  <c r="J78" i="6"/>
  <c r="I57" i="8" s="1"/>
  <c r="K78" i="6"/>
  <c r="J57" i="8" s="1"/>
  <c r="L78" i="6"/>
  <c r="K57" i="8" s="1"/>
  <c r="M78" i="6"/>
  <c r="L57" i="8" s="1"/>
  <c r="N78" i="6"/>
  <c r="M57" i="8" s="1"/>
  <c r="O78" i="6"/>
  <c r="N57" i="8" s="1"/>
  <c r="P78" i="6"/>
  <c r="O57" i="8" s="1"/>
  <c r="Q78" i="6"/>
  <c r="P57" i="8" s="1"/>
  <c r="R78" i="6"/>
  <c r="Q57" i="8" s="1"/>
  <c r="S78" i="6"/>
  <c r="R57" i="8" s="1"/>
  <c r="D79" i="6"/>
  <c r="C58" i="8" s="1"/>
  <c r="E79" i="6"/>
  <c r="D58" i="8" s="1"/>
  <c r="F79" i="6"/>
  <c r="E58" i="8" s="1"/>
  <c r="G79" i="6"/>
  <c r="F58" i="8" s="1"/>
  <c r="H79" i="6"/>
  <c r="G58" i="8" s="1"/>
  <c r="B61" i="21" s="1"/>
  <c r="I79" i="6"/>
  <c r="H58" i="8" s="1"/>
  <c r="J79" i="6"/>
  <c r="I58" i="8" s="1"/>
  <c r="K79" i="6"/>
  <c r="J58" i="8" s="1"/>
  <c r="L79" i="6"/>
  <c r="K58" i="8" s="1"/>
  <c r="M79" i="6"/>
  <c r="L58" i="8" s="1"/>
  <c r="N79" i="6"/>
  <c r="M58" i="8" s="1"/>
  <c r="O79" i="6"/>
  <c r="N58" i="8" s="1"/>
  <c r="P79" i="6"/>
  <c r="O58" i="8" s="1"/>
  <c r="Q79" i="6"/>
  <c r="P58" i="8" s="1"/>
  <c r="R79" i="6"/>
  <c r="Q58" i="8" s="1"/>
  <c r="S79" i="6"/>
  <c r="R58" i="8" s="1"/>
  <c r="D80" i="6"/>
  <c r="C59" i="8" s="1"/>
  <c r="E80" i="6"/>
  <c r="D59" i="8" s="1"/>
  <c r="F80" i="6"/>
  <c r="E59" i="8" s="1"/>
  <c r="G80" i="6"/>
  <c r="F59" i="8" s="1"/>
  <c r="H80" i="6"/>
  <c r="G59" i="8" s="1"/>
  <c r="B62" i="21" s="1"/>
  <c r="I80" i="6"/>
  <c r="H59" i="8" s="1"/>
  <c r="J80" i="6"/>
  <c r="I59" i="8" s="1"/>
  <c r="K80" i="6"/>
  <c r="J59" i="8" s="1"/>
  <c r="L80" i="6"/>
  <c r="K59" i="8" s="1"/>
  <c r="M80" i="6"/>
  <c r="L59" i="8" s="1"/>
  <c r="N80" i="6"/>
  <c r="M59" i="8" s="1"/>
  <c r="O80" i="6"/>
  <c r="N59" i="8" s="1"/>
  <c r="P80" i="6"/>
  <c r="O59" i="8" s="1"/>
  <c r="Q80" i="6"/>
  <c r="P59" i="8" s="1"/>
  <c r="R80" i="6"/>
  <c r="Q59" i="8" s="1"/>
  <c r="S80" i="6"/>
  <c r="R59" i="8" s="1"/>
  <c r="D81" i="6"/>
  <c r="C60" i="8" s="1"/>
  <c r="E81" i="6"/>
  <c r="D60" i="8" s="1"/>
  <c r="F81" i="6"/>
  <c r="E60" i="8" s="1"/>
  <c r="G81" i="6"/>
  <c r="F60" i="8" s="1"/>
  <c r="H81" i="6"/>
  <c r="G60" i="8" s="1"/>
  <c r="B63" i="21" s="1"/>
  <c r="I81" i="6"/>
  <c r="H60" i="8" s="1"/>
  <c r="J81" i="6"/>
  <c r="I60" i="8" s="1"/>
  <c r="K81" i="6"/>
  <c r="J60" i="8" s="1"/>
  <c r="L81" i="6"/>
  <c r="K60" i="8" s="1"/>
  <c r="M81" i="6"/>
  <c r="L60" i="8" s="1"/>
  <c r="N81" i="6"/>
  <c r="M60" i="8" s="1"/>
  <c r="O81" i="6"/>
  <c r="N60" i="8" s="1"/>
  <c r="P81" i="6"/>
  <c r="O60" i="8" s="1"/>
  <c r="Q81" i="6"/>
  <c r="P60" i="8" s="1"/>
  <c r="R81" i="6"/>
  <c r="Q60" i="8" s="1"/>
  <c r="S81" i="6"/>
  <c r="R60" i="8" s="1"/>
  <c r="D82" i="6"/>
  <c r="C61" i="8" s="1"/>
  <c r="E82" i="6"/>
  <c r="D61" i="8" s="1"/>
  <c r="F82" i="6"/>
  <c r="E61" i="8" s="1"/>
  <c r="G82" i="6"/>
  <c r="F61" i="8" s="1"/>
  <c r="H82" i="6"/>
  <c r="G61" i="8" s="1"/>
  <c r="B64" i="21" s="1"/>
  <c r="I82" i="6"/>
  <c r="H61" i="8" s="1"/>
  <c r="J82" i="6"/>
  <c r="I61" i="8" s="1"/>
  <c r="K82" i="6"/>
  <c r="J61" i="8" s="1"/>
  <c r="L82" i="6"/>
  <c r="K61" i="8" s="1"/>
  <c r="M82" i="6"/>
  <c r="L61" i="8" s="1"/>
  <c r="N82" i="6"/>
  <c r="M61" i="8" s="1"/>
  <c r="O82" i="6"/>
  <c r="N61" i="8" s="1"/>
  <c r="P82" i="6"/>
  <c r="O61" i="8" s="1"/>
  <c r="Q82" i="6"/>
  <c r="P61" i="8" s="1"/>
  <c r="R82" i="6"/>
  <c r="Q61" i="8" s="1"/>
  <c r="S82" i="6"/>
  <c r="R61" i="8" s="1"/>
  <c r="C79" i="6"/>
  <c r="B58" i="8" s="1"/>
  <c r="C80" i="6"/>
  <c r="B59" i="8" s="1"/>
  <c r="C81" i="6"/>
  <c r="B60" i="8" s="1"/>
  <c r="C82" i="6"/>
  <c r="B61" i="8" s="1"/>
  <c r="C78" i="6"/>
  <c r="B57" i="8" s="1"/>
  <c r="D73" i="6"/>
  <c r="C52" i="8" s="1"/>
  <c r="E73" i="6"/>
  <c r="D52" i="8" s="1"/>
  <c r="F73" i="6"/>
  <c r="E52" i="8" s="1"/>
  <c r="G73" i="6"/>
  <c r="F52" i="8" s="1"/>
  <c r="H73" i="6"/>
  <c r="G52" i="8" s="1"/>
  <c r="B55" i="21" s="1"/>
  <c r="I73" i="6"/>
  <c r="H52" i="8" s="1"/>
  <c r="J73" i="6"/>
  <c r="I52" i="8" s="1"/>
  <c r="K73" i="6"/>
  <c r="J52" i="8" s="1"/>
  <c r="L73" i="6"/>
  <c r="K52" i="8" s="1"/>
  <c r="M73" i="6"/>
  <c r="L52" i="8" s="1"/>
  <c r="N73" i="6"/>
  <c r="M52" i="8" s="1"/>
  <c r="O73" i="6"/>
  <c r="N52" i="8" s="1"/>
  <c r="P73" i="6"/>
  <c r="O52" i="8" s="1"/>
  <c r="Q73" i="6"/>
  <c r="P52" i="8" s="1"/>
  <c r="R73" i="6"/>
  <c r="Q52" i="8" s="1"/>
  <c r="S73" i="6"/>
  <c r="R52" i="8" s="1"/>
  <c r="D74" i="6"/>
  <c r="C53" i="8" s="1"/>
  <c r="E74" i="6"/>
  <c r="D53" i="8" s="1"/>
  <c r="F74" i="6"/>
  <c r="E53" i="8" s="1"/>
  <c r="G74" i="6"/>
  <c r="F53" i="8" s="1"/>
  <c r="H74" i="6"/>
  <c r="G53" i="8" s="1"/>
  <c r="B56" i="21" s="1"/>
  <c r="I74" i="6"/>
  <c r="H53" i="8" s="1"/>
  <c r="J74" i="6"/>
  <c r="I53" i="8" s="1"/>
  <c r="K74" i="6"/>
  <c r="J53" i="8" s="1"/>
  <c r="L74" i="6"/>
  <c r="K53" i="8" s="1"/>
  <c r="M74" i="6"/>
  <c r="L53" i="8" s="1"/>
  <c r="N74" i="6"/>
  <c r="M53" i="8" s="1"/>
  <c r="O74" i="6"/>
  <c r="N53" i="8" s="1"/>
  <c r="P74" i="6"/>
  <c r="O53" i="8" s="1"/>
  <c r="Q74" i="6"/>
  <c r="P53" i="8" s="1"/>
  <c r="R74" i="6"/>
  <c r="Q53" i="8" s="1"/>
  <c r="S74" i="6"/>
  <c r="R53" i="8" s="1"/>
  <c r="D75" i="6"/>
  <c r="C54" i="8" s="1"/>
  <c r="E75" i="6"/>
  <c r="D54" i="8" s="1"/>
  <c r="F75" i="6"/>
  <c r="E54" i="8" s="1"/>
  <c r="G75" i="6"/>
  <c r="F54" i="8" s="1"/>
  <c r="H75" i="6"/>
  <c r="G54" i="8" s="1"/>
  <c r="B57" i="21" s="1"/>
  <c r="I75" i="6"/>
  <c r="H54" i="8" s="1"/>
  <c r="J75" i="6"/>
  <c r="I54" i="8" s="1"/>
  <c r="K75" i="6"/>
  <c r="J54" i="8" s="1"/>
  <c r="L75" i="6"/>
  <c r="K54" i="8" s="1"/>
  <c r="M75" i="6"/>
  <c r="L54" i="8" s="1"/>
  <c r="N75" i="6"/>
  <c r="M54" i="8" s="1"/>
  <c r="O75" i="6"/>
  <c r="N54" i="8" s="1"/>
  <c r="P75" i="6"/>
  <c r="O54" i="8" s="1"/>
  <c r="Q75" i="6"/>
  <c r="P54" i="8" s="1"/>
  <c r="R75" i="6"/>
  <c r="Q54" i="8" s="1"/>
  <c r="S75" i="6"/>
  <c r="R54" i="8" s="1"/>
  <c r="D76" i="6"/>
  <c r="C55" i="8" s="1"/>
  <c r="E76" i="6"/>
  <c r="D55" i="8" s="1"/>
  <c r="F76" i="6"/>
  <c r="E55" i="8" s="1"/>
  <c r="G76" i="6"/>
  <c r="F55" i="8" s="1"/>
  <c r="H76" i="6"/>
  <c r="G55" i="8" s="1"/>
  <c r="B58" i="21" s="1"/>
  <c r="I76" i="6"/>
  <c r="H55" i="8" s="1"/>
  <c r="J76" i="6"/>
  <c r="I55" i="8" s="1"/>
  <c r="K76" i="6"/>
  <c r="J55" i="8" s="1"/>
  <c r="L76" i="6"/>
  <c r="K55" i="8" s="1"/>
  <c r="M76" i="6"/>
  <c r="L55" i="8" s="1"/>
  <c r="N76" i="6"/>
  <c r="M55" i="8" s="1"/>
  <c r="O76" i="6"/>
  <c r="N55" i="8" s="1"/>
  <c r="P76" i="6"/>
  <c r="O55" i="8" s="1"/>
  <c r="Q76" i="6"/>
  <c r="P55" i="8" s="1"/>
  <c r="R76" i="6"/>
  <c r="Q55" i="8" s="1"/>
  <c r="S76" i="6"/>
  <c r="R55" i="8" s="1"/>
  <c r="D77" i="6"/>
  <c r="C56" i="8" s="1"/>
  <c r="E77" i="6"/>
  <c r="D56" i="8" s="1"/>
  <c r="F77" i="6"/>
  <c r="E56" i="8" s="1"/>
  <c r="G77" i="6"/>
  <c r="F56" i="8" s="1"/>
  <c r="H77" i="6"/>
  <c r="G56" i="8" s="1"/>
  <c r="B59" i="21" s="1"/>
  <c r="I77" i="6"/>
  <c r="H56" i="8" s="1"/>
  <c r="J77" i="6"/>
  <c r="I56" i="8" s="1"/>
  <c r="K77" i="6"/>
  <c r="J56" i="8" s="1"/>
  <c r="L77" i="6"/>
  <c r="K56" i="8" s="1"/>
  <c r="M77" i="6"/>
  <c r="L56" i="8" s="1"/>
  <c r="N77" i="6"/>
  <c r="M56" i="8" s="1"/>
  <c r="O77" i="6"/>
  <c r="N56" i="8" s="1"/>
  <c r="P77" i="6"/>
  <c r="O56" i="8" s="1"/>
  <c r="Q77" i="6"/>
  <c r="P56" i="8" s="1"/>
  <c r="R77" i="6"/>
  <c r="Q56" i="8" s="1"/>
  <c r="S77" i="6"/>
  <c r="R56" i="8" s="1"/>
  <c r="C74" i="6"/>
  <c r="B53" i="8" s="1"/>
  <c r="C75" i="6"/>
  <c r="B54" i="8" s="1"/>
  <c r="C76" i="6"/>
  <c r="B55" i="8" s="1"/>
  <c r="C77" i="6"/>
  <c r="B56" i="8" s="1"/>
  <c r="C73" i="6"/>
  <c r="B52" i="8" s="1"/>
  <c r="D68" i="6"/>
  <c r="C47" i="8" s="1"/>
  <c r="E68" i="6"/>
  <c r="D47" i="8" s="1"/>
  <c r="F68" i="6"/>
  <c r="E47" i="8" s="1"/>
  <c r="G68" i="6"/>
  <c r="F47" i="8" s="1"/>
  <c r="H68" i="6"/>
  <c r="G47" i="8" s="1"/>
  <c r="B50" i="21" s="1"/>
  <c r="I68" i="6"/>
  <c r="H47" i="8" s="1"/>
  <c r="J68" i="6"/>
  <c r="I47" i="8" s="1"/>
  <c r="K68" i="6"/>
  <c r="J47" i="8" s="1"/>
  <c r="L68" i="6"/>
  <c r="K47" i="8" s="1"/>
  <c r="M68" i="6"/>
  <c r="L47" i="8" s="1"/>
  <c r="N68" i="6"/>
  <c r="M47" i="8" s="1"/>
  <c r="O68" i="6"/>
  <c r="N47" i="8" s="1"/>
  <c r="P68" i="6"/>
  <c r="O47" i="8" s="1"/>
  <c r="Q68" i="6"/>
  <c r="P47" i="8" s="1"/>
  <c r="R68" i="6"/>
  <c r="Q47" i="8" s="1"/>
  <c r="S68" i="6"/>
  <c r="R47" i="8" s="1"/>
  <c r="D69" i="6"/>
  <c r="C48" i="8" s="1"/>
  <c r="E69" i="6"/>
  <c r="D48" i="8" s="1"/>
  <c r="F69" i="6"/>
  <c r="E48" i="8" s="1"/>
  <c r="G69" i="6"/>
  <c r="F48" i="8" s="1"/>
  <c r="H69" i="6"/>
  <c r="G48" i="8" s="1"/>
  <c r="B51" i="21" s="1"/>
  <c r="I69" i="6"/>
  <c r="H48" i="8" s="1"/>
  <c r="J69" i="6"/>
  <c r="I48" i="8" s="1"/>
  <c r="K69" i="6"/>
  <c r="J48" i="8" s="1"/>
  <c r="L69" i="6"/>
  <c r="K48" i="8" s="1"/>
  <c r="M69" i="6"/>
  <c r="L48" i="8" s="1"/>
  <c r="N69" i="6"/>
  <c r="M48" i="8" s="1"/>
  <c r="O69" i="6"/>
  <c r="N48" i="8" s="1"/>
  <c r="P69" i="6"/>
  <c r="O48" i="8" s="1"/>
  <c r="Q69" i="6"/>
  <c r="P48" i="8" s="1"/>
  <c r="R69" i="6"/>
  <c r="Q48" i="8" s="1"/>
  <c r="S69" i="6"/>
  <c r="R48" i="8" s="1"/>
  <c r="D70" i="6"/>
  <c r="C49" i="8" s="1"/>
  <c r="E70" i="6"/>
  <c r="D49" i="8" s="1"/>
  <c r="F70" i="6"/>
  <c r="E49" i="8" s="1"/>
  <c r="G70" i="6"/>
  <c r="F49" i="8" s="1"/>
  <c r="H70" i="6"/>
  <c r="G49" i="8" s="1"/>
  <c r="B52" i="21" s="1"/>
  <c r="I70" i="6"/>
  <c r="H49" i="8" s="1"/>
  <c r="J70" i="6"/>
  <c r="I49" i="8" s="1"/>
  <c r="K70" i="6"/>
  <c r="J49" i="8" s="1"/>
  <c r="L70" i="6"/>
  <c r="K49" i="8" s="1"/>
  <c r="M70" i="6"/>
  <c r="L49" i="8" s="1"/>
  <c r="N70" i="6"/>
  <c r="M49" i="8" s="1"/>
  <c r="O70" i="6"/>
  <c r="N49" i="8" s="1"/>
  <c r="P70" i="6"/>
  <c r="O49" i="8" s="1"/>
  <c r="Q70" i="6"/>
  <c r="P49" i="8" s="1"/>
  <c r="R70" i="6"/>
  <c r="Q49" i="8" s="1"/>
  <c r="S70" i="6"/>
  <c r="R49" i="8" s="1"/>
  <c r="D71" i="6"/>
  <c r="C50" i="8" s="1"/>
  <c r="E71" i="6"/>
  <c r="D50" i="8" s="1"/>
  <c r="F71" i="6"/>
  <c r="E50" i="8" s="1"/>
  <c r="G71" i="6"/>
  <c r="F50" i="8" s="1"/>
  <c r="H71" i="6"/>
  <c r="G50" i="8" s="1"/>
  <c r="B53" i="21" s="1"/>
  <c r="I71" i="6"/>
  <c r="H50" i="8" s="1"/>
  <c r="J71" i="6"/>
  <c r="I50" i="8" s="1"/>
  <c r="K71" i="6"/>
  <c r="J50" i="8" s="1"/>
  <c r="L71" i="6"/>
  <c r="K50" i="8" s="1"/>
  <c r="M71" i="6"/>
  <c r="L50" i="8" s="1"/>
  <c r="N71" i="6"/>
  <c r="M50" i="8" s="1"/>
  <c r="O71" i="6"/>
  <c r="N50" i="8" s="1"/>
  <c r="P71" i="6"/>
  <c r="O50" i="8" s="1"/>
  <c r="Q71" i="6"/>
  <c r="P50" i="8" s="1"/>
  <c r="R71" i="6"/>
  <c r="Q50" i="8" s="1"/>
  <c r="S71" i="6"/>
  <c r="R50" i="8" s="1"/>
  <c r="D72" i="6"/>
  <c r="C51" i="8" s="1"/>
  <c r="E72" i="6"/>
  <c r="D51" i="8" s="1"/>
  <c r="F72" i="6"/>
  <c r="E51" i="8" s="1"/>
  <c r="G72" i="6"/>
  <c r="F51" i="8" s="1"/>
  <c r="H72" i="6"/>
  <c r="G51" i="8" s="1"/>
  <c r="B54" i="21" s="1"/>
  <c r="I72" i="6"/>
  <c r="H51" i="8" s="1"/>
  <c r="J72" i="6"/>
  <c r="I51" i="8" s="1"/>
  <c r="K72" i="6"/>
  <c r="J51" i="8" s="1"/>
  <c r="L72" i="6"/>
  <c r="K51" i="8" s="1"/>
  <c r="M72" i="6"/>
  <c r="L51" i="8" s="1"/>
  <c r="N72" i="6"/>
  <c r="M51" i="8" s="1"/>
  <c r="O72" i="6"/>
  <c r="N51" i="8" s="1"/>
  <c r="P72" i="6"/>
  <c r="O51" i="8" s="1"/>
  <c r="Q72" i="6"/>
  <c r="P51" i="8" s="1"/>
  <c r="R72" i="6"/>
  <c r="Q51" i="8" s="1"/>
  <c r="S72" i="6"/>
  <c r="R51" i="8" s="1"/>
  <c r="C69" i="6"/>
  <c r="B48" i="8" s="1"/>
  <c r="C70" i="6"/>
  <c r="B49" i="8" s="1"/>
  <c r="C71" i="6"/>
  <c r="B50" i="8" s="1"/>
  <c r="C72" i="6"/>
  <c r="B51" i="8" s="1"/>
  <c r="C68" i="6"/>
  <c r="B47" i="8" s="1"/>
  <c r="D63" i="6"/>
  <c r="C42" i="8" s="1"/>
  <c r="E63" i="6"/>
  <c r="D42" i="8" s="1"/>
  <c r="F63" i="6"/>
  <c r="E42" i="8" s="1"/>
  <c r="G63" i="6"/>
  <c r="F42" i="8" s="1"/>
  <c r="H63" i="6"/>
  <c r="G42" i="8" s="1"/>
  <c r="B45" i="21" s="1"/>
  <c r="I63" i="6"/>
  <c r="H42" i="8" s="1"/>
  <c r="J63" i="6"/>
  <c r="I42" i="8" s="1"/>
  <c r="K63" i="6"/>
  <c r="J42" i="8" s="1"/>
  <c r="L63" i="6"/>
  <c r="K42" i="8" s="1"/>
  <c r="M63" i="6"/>
  <c r="L42" i="8" s="1"/>
  <c r="N63" i="6"/>
  <c r="M42" i="8" s="1"/>
  <c r="O63" i="6"/>
  <c r="N42" i="8" s="1"/>
  <c r="P63" i="6"/>
  <c r="O42" i="8" s="1"/>
  <c r="Q63" i="6"/>
  <c r="P42" i="8" s="1"/>
  <c r="R63" i="6"/>
  <c r="Q42" i="8" s="1"/>
  <c r="S63" i="6"/>
  <c r="R42" i="8" s="1"/>
  <c r="D64" i="6"/>
  <c r="C43" i="8" s="1"/>
  <c r="E64" i="6"/>
  <c r="D43" i="8" s="1"/>
  <c r="F64" i="6"/>
  <c r="E43" i="8" s="1"/>
  <c r="G64" i="6"/>
  <c r="F43" i="8" s="1"/>
  <c r="H64" i="6"/>
  <c r="G43" i="8" s="1"/>
  <c r="B46" i="21" s="1"/>
  <c r="I64" i="6"/>
  <c r="H43" i="8" s="1"/>
  <c r="J64" i="6"/>
  <c r="I43" i="8" s="1"/>
  <c r="K64" i="6"/>
  <c r="J43" i="8" s="1"/>
  <c r="L64" i="6"/>
  <c r="K43" i="8" s="1"/>
  <c r="M64" i="6"/>
  <c r="L43" i="8" s="1"/>
  <c r="N64" i="6"/>
  <c r="M43" i="8" s="1"/>
  <c r="O64" i="6"/>
  <c r="N43" i="8" s="1"/>
  <c r="P64" i="6"/>
  <c r="O43" i="8" s="1"/>
  <c r="Q64" i="6"/>
  <c r="P43" i="8" s="1"/>
  <c r="R64" i="6"/>
  <c r="Q43" i="8" s="1"/>
  <c r="S64" i="6"/>
  <c r="R43" i="8" s="1"/>
  <c r="D65" i="6"/>
  <c r="C44" i="8" s="1"/>
  <c r="E65" i="6"/>
  <c r="D44" i="8" s="1"/>
  <c r="F65" i="6"/>
  <c r="E44" i="8" s="1"/>
  <c r="G65" i="6"/>
  <c r="F44" i="8" s="1"/>
  <c r="H65" i="6"/>
  <c r="G44" i="8" s="1"/>
  <c r="B47" i="21" s="1"/>
  <c r="I65" i="6"/>
  <c r="H44" i="8" s="1"/>
  <c r="J65" i="6"/>
  <c r="I44" i="8" s="1"/>
  <c r="K65" i="6"/>
  <c r="J44" i="8" s="1"/>
  <c r="L65" i="6"/>
  <c r="K44" i="8" s="1"/>
  <c r="M65" i="6"/>
  <c r="L44" i="8" s="1"/>
  <c r="N65" i="6"/>
  <c r="M44" i="8" s="1"/>
  <c r="O65" i="6"/>
  <c r="N44" i="8" s="1"/>
  <c r="P65" i="6"/>
  <c r="O44" i="8" s="1"/>
  <c r="Q65" i="6"/>
  <c r="P44" i="8" s="1"/>
  <c r="R65" i="6"/>
  <c r="Q44" i="8" s="1"/>
  <c r="S65" i="6"/>
  <c r="R44" i="8" s="1"/>
  <c r="D66" i="6"/>
  <c r="C45" i="8" s="1"/>
  <c r="E66" i="6"/>
  <c r="D45" i="8" s="1"/>
  <c r="F66" i="6"/>
  <c r="E45" i="8" s="1"/>
  <c r="G66" i="6"/>
  <c r="F45" i="8" s="1"/>
  <c r="H66" i="6"/>
  <c r="G45" i="8" s="1"/>
  <c r="B48" i="21" s="1"/>
  <c r="I66" i="6"/>
  <c r="H45" i="8" s="1"/>
  <c r="J66" i="6"/>
  <c r="I45" i="8" s="1"/>
  <c r="K66" i="6"/>
  <c r="J45" i="8" s="1"/>
  <c r="L66" i="6"/>
  <c r="K45" i="8" s="1"/>
  <c r="M66" i="6"/>
  <c r="L45" i="8" s="1"/>
  <c r="N66" i="6"/>
  <c r="M45" i="8" s="1"/>
  <c r="O66" i="6"/>
  <c r="N45" i="8" s="1"/>
  <c r="P66" i="6"/>
  <c r="O45" i="8" s="1"/>
  <c r="Q66" i="6"/>
  <c r="P45" i="8" s="1"/>
  <c r="R66" i="6"/>
  <c r="Q45" i="8" s="1"/>
  <c r="S66" i="6"/>
  <c r="R45" i="8" s="1"/>
  <c r="D67" i="6"/>
  <c r="C46" i="8" s="1"/>
  <c r="E67" i="6"/>
  <c r="D46" i="8" s="1"/>
  <c r="F67" i="6"/>
  <c r="E46" i="8" s="1"/>
  <c r="G67" i="6"/>
  <c r="F46" i="8" s="1"/>
  <c r="H67" i="6"/>
  <c r="G46" i="8" s="1"/>
  <c r="B49" i="21" s="1"/>
  <c r="I67" i="6"/>
  <c r="H46" i="8" s="1"/>
  <c r="J67" i="6"/>
  <c r="I46" i="8" s="1"/>
  <c r="K67" i="6"/>
  <c r="J46" i="8" s="1"/>
  <c r="L67" i="6"/>
  <c r="K46" i="8" s="1"/>
  <c r="M67" i="6"/>
  <c r="L46" i="8" s="1"/>
  <c r="N67" i="6"/>
  <c r="M46" i="8" s="1"/>
  <c r="O67" i="6"/>
  <c r="N46" i="8" s="1"/>
  <c r="P67" i="6"/>
  <c r="O46" i="8" s="1"/>
  <c r="Q67" i="6"/>
  <c r="P46" i="8" s="1"/>
  <c r="R67" i="6"/>
  <c r="Q46" i="8" s="1"/>
  <c r="S67" i="6"/>
  <c r="R46" i="8" s="1"/>
  <c r="C64" i="6"/>
  <c r="B43" i="8" s="1"/>
  <c r="C65" i="6"/>
  <c r="B44" i="8" s="1"/>
  <c r="C66" i="6"/>
  <c r="B45" i="8" s="1"/>
  <c r="C67" i="6"/>
  <c r="B46" i="8" s="1"/>
  <c r="C63" i="6"/>
  <c r="B42" i="8" s="1"/>
  <c r="D58" i="6"/>
  <c r="C37" i="8" s="1"/>
  <c r="E58" i="6"/>
  <c r="D37" i="8" s="1"/>
  <c r="F58" i="6"/>
  <c r="E37" i="8" s="1"/>
  <c r="G58" i="6"/>
  <c r="F37" i="8" s="1"/>
  <c r="H58" i="6"/>
  <c r="G37" i="8" s="1"/>
  <c r="B40" i="21" s="1"/>
  <c r="I58" i="6"/>
  <c r="H37" i="8" s="1"/>
  <c r="J58" i="6"/>
  <c r="I37" i="8" s="1"/>
  <c r="K58" i="6"/>
  <c r="J37" i="8" s="1"/>
  <c r="L58" i="6"/>
  <c r="K37" i="8" s="1"/>
  <c r="M58" i="6"/>
  <c r="L37" i="8" s="1"/>
  <c r="N58" i="6"/>
  <c r="M37" i="8" s="1"/>
  <c r="O58" i="6"/>
  <c r="N37" i="8" s="1"/>
  <c r="P58" i="6"/>
  <c r="O37" i="8" s="1"/>
  <c r="Q58" i="6"/>
  <c r="P37" i="8" s="1"/>
  <c r="R58" i="6"/>
  <c r="Q37" i="8" s="1"/>
  <c r="S58" i="6"/>
  <c r="R37" i="8" s="1"/>
  <c r="D59" i="6"/>
  <c r="C38" i="8" s="1"/>
  <c r="E59" i="6"/>
  <c r="D38" i="8" s="1"/>
  <c r="F59" i="6"/>
  <c r="E38" i="8" s="1"/>
  <c r="G59" i="6"/>
  <c r="F38" i="8" s="1"/>
  <c r="H59" i="6"/>
  <c r="G38" i="8" s="1"/>
  <c r="B41" i="21" s="1"/>
  <c r="I59" i="6"/>
  <c r="H38" i="8" s="1"/>
  <c r="J59" i="6"/>
  <c r="I38" i="8" s="1"/>
  <c r="K59" i="6"/>
  <c r="J38" i="8" s="1"/>
  <c r="L59" i="6"/>
  <c r="K38" i="8" s="1"/>
  <c r="M59" i="6"/>
  <c r="L38" i="8" s="1"/>
  <c r="N59" i="6"/>
  <c r="M38" i="8" s="1"/>
  <c r="O59" i="6"/>
  <c r="N38" i="8" s="1"/>
  <c r="P59" i="6"/>
  <c r="O38" i="8" s="1"/>
  <c r="Q59" i="6"/>
  <c r="P38" i="8" s="1"/>
  <c r="R59" i="6"/>
  <c r="Q38" i="8" s="1"/>
  <c r="S59" i="6"/>
  <c r="R38" i="8" s="1"/>
  <c r="D60" i="6"/>
  <c r="C39" i="8" s="1"/>
  <c r="E60" i="6"/>
  <c r="D39" i="8" s="1"/>
  <c r="F60" i="6"/>
  <c r="E39" i="8" s="1"/>
  <c r="G60" i="6"/>
  <c r="F39" i="8" s="1"/>
  <c r="H60" i="6"/>
  <c r="G39" i="8" s="1"/>
  <c r="B42" i="21" s="1"/>
  <c r="I60" i="6"/>
  <c r="H39" i="8" s="1"/>
  <c r="J60" i="6"/>
  <c r="I39" i="8" s="1"/>
  <c r="K60" i="6"/>
  <c r="J39" i="8" s="1"/>
  <c r="L60" i="6"/>
  <c r="K39" i="8" s="1"/>
  <c r="M60" i="6"/>
  <c r="L39" i="8" s="1"/>
  <c r="N60" i="6"/>
  <c r="M39" i="8" s="1"/>
  <c r="O60" i="6"/>
  <c r="N39" i="8" s="1"/>
  <c r="P60" i="6"/>
  <c r="O39" i="8" s="1"/>
  <c r="Q60" i="6"/>
  <c r="P39" i="8" s="1"/>
  <c r="R60" i="6"/>
  <c r="Q39" i="8" s="1"/>
  <c r="S60" i="6"/>
  <c r="R39" i="8" s="1"/>
  <c r="D61" i="6"/>
  <c r="C40" i="8" s="1"/>
  <c r="E61" i="6"/>
  <c r="D40" i="8" s="1"/>
  <c r="F61" i="6"/>
  <c r="E40" i="8" s="1"/>
  <c r="G61" i="6"/>
  <c r="F40" i="8" s="1"/>
  <c r="H61" i="6"/>
  <c r="G40" i="8" s="1"/>
  <c r="B43" i="21" s="1"/>
  <c r="I61" i="6"/>
  <c r="H40" i="8" s="1"/>
  <c r="J61" i="6"/>
  <c r="I40" i="8" s="1"/>
  <c r="K61" i="6"/>
  <c r="J40" i="8" s="1"/>
  <c r="L61" i="6"/>
  <c r="K40" i="8" s="1"/>
  <c r="M61" i="6"/>
  <c r="L40" i="8" s="1"/>
  <c r="N61" i="6"/>
  <c r="M40" i="8" s="1"/>
  <c r="O61" i="6"/>
  <c r="N40" i="8" s="1"/>
  <c r="P61" i="6"/>
  <c r="O40" i="8" s="1"/>
  <c r="Q61" i="6"/>
  <c r="P40" i="8" s="1"/>
  <c r="R61" i="6"/>
  <c r="Q40" i="8" s="1"/>
  <c r="S61" i="6"/>
  <c r="R40" i="8" s="1"/>
  <c r="D62" i="6"/>
  <c r="C41" i="8" s="1"/>
  <c r="E62" i="6"/>
  <c r="D41" i="8" s="1"/>
  <c r="F62" i="6"/>
  <c r="E41" i="8" s="1"/>
  <c r="G62" i="6"/>
  <c r="F41" i="8" s="1"/>
  <c r="H62" i="6"/>
  <c r="G41" i="8" s="1"/>
  <c r="B44" i="21" s="1"/>
  <c r="I62" i="6"/>
  <c r="H41" i="8" s="1"/>
  <c r="J62" i="6"/>
  <c r="I41" i="8" s="1"/>
  <c r="K62" i="6"/>
  <c r="J41" i="8" s="1"/>
  <c r="L62" i="6"/>
  <c r="K41" i="8" s="1"/>
  <c r="M62" i="6"/>
  <c r="L41" i="8" s="1"/>
  <c r="N62" i="6"/>
  <c r="M41" i="8" s="1"/>
  <c r="O62" i="6"/>
  <c r="N41" i="8" s="1"/>
  <c r="P62" i="6"/>
  <c r="O41" i="8" s="1"/>
  <c r="Q62" i="6"/>
  <c r="P41" i="8" s="1"/>
  <c r="R62" i="6"/>
  <c r="Q41" i="8" s="1"/>
  <c r="S62" i="6"/>
  <c r="R41" i="8" s="1"/>
  <c r="C59" i="6"/>
  <c r="B38" i="8" s="1"/>
  <c r="C60" i="6"/>
  <c r="B39" i="8" s="1"/>
  <c r="C61" i="6"/>
  <c r="B40" i="8" s="1"/>
  <c r="C62" i="6"/>
  <c r="B41" i="8" s="1"/>
  <c r="C58" i="6"/>
  <c r="B37" i="8" s="1"/>
  <c r="D53" i="6"/>
  <c r="C32" i="8" s="1"/>
  <c r="E53" i="6"/>
  <c r="D32" i="8" s="1"/>
  <c r="F53" i="6"/>
  <c r="E32" i="8" s="1"/>
  <c r="G53" i="6"/>
  <c r="F32" i="8" s="1"/>
  <c r="H53" i="6"/>
  <c r="G32" i="8" s="1"/>
  <c r="B35" i="21" s="1"/>
  <c r="I53" i="6"/>
  <c r="H32" i="8" s="1"/>
  <c r="J53" i="6"/>
  <c r="I32" i="8" s="1"/>
  <c r="K53" i="6"/>
  <c r="J32" i="8" s="1"/>
  <c r="L53" i="6"/>
  <c r="K32" i="8" s="1"/>
  <c r="M53" i="6"/>
  <c r="L32" i="8" s="1"/>
  <c r="N53" i="6"/>
  <c r="M32" i="8" s="1"/>
  <c r="O53" i="6"/>
  <c r="N32" i="8" s="1"/>
  <c r="P53" i="6"/>
  <c r="O32" i="8" s="1"/>
  <c r="Q53" i="6"/>
  <c r="P32" i="8" s="1"/>
  <c r="R53" i="6"/>
  <c r="Q32" i="8" s="1"/>
  <c r="S53" i="6"/>
  <c r="R32" i="8" s="1"/>
  <c r="D54" i="6"/>
  <c r="C33" i="8" s="1"/>
  <c r="E54" i="6"/>
  <c r="D33" i="8" s="1"/>
  <c r="F54" i="6"/>
  <c r="E33" i="8" s="1"/>
  <c r="G54" i="6"/>
  <c r="F33" i="8" s="1"/>
  <c r="H54" i="6"/>
  <c r="G33" i="8" s="1"/>
  <c r="B36" i="21" s="1"/>
  <c r="I54" i="6"/>
  <c r="H33" i="8" s="1"/>
  <c r="J54" i="6"/>
  <c r="I33" i="8" s="1"/>
  <c r="K54" i="6"/>
  <c r="J33" i="8" s="1"/>
  <c r="L54" i="6"/>
  <c r="K33" i="8" s="1"/>
  <c r="M54" i="6"/>
  <c r="L33" i="8" s="1"/>
  <c r="N54" i="6"/>
  <c r="M33" i="8" s="1"/>
  <c r="O54" i="6"/>
  <c r="N33" i="8" s="1"/>
  <c r="P54" i="6"/>
  <c r="O33" i="8" s="1"/>
  <c r="Q54" i="6"/>
  <c r="P33" i="8" s="1"/>
  <c r="R54" i="6"/>
  <c r="Q33" i="8" s="1"/>
  <c r="S54" i="6"/>
  <c r="R33" i="8" s="1"/>
  <c r="D55" i="6"/>
  <c r="C34" i="8" s="1"/>
  <c r="E55" i="6"/>
  <c r="D34" i="8" s="1"/>
  <c r="F55" i="6"/>
  <c r="E34" i="8" s="1"/>
  <c r="G55" i="6"/>
  <c r="F34" i="8" s="1"/>
  <c r="H55" i="6"/>
  <c r="G34" i="8" s="1"/>
  <c r="B37" i="21" s="1"/>
  <c r="I55" i="6"/>
  <c r="H34" i="8" s="1"/>
  <c r="J55" i="6"/>
  <c r="I34" i="8" s="1"/>
  <c r="K55" i="6"/>
  <c r="J34" i="8" s="1"/>
  <c r="L55" i="6"/>
  <c r="K34" i="8" s="1"/>
  <c r="M55" i="6"/>
  <c r="L34" i="8" s="1"/>
  <c r="N55" i="6"/>
  <c r="M34" i="8" s="1"/>
  <c r="O55" i="6"/>
  <c r="N34" i="8" s="1"/>
  <c r="P55" i="6"/>
  <c r="O34" i="8" s="1"/>
  <c r="Q55" i="6"/>
  <c r="P34" i="8" s="1"/>
  <c r="R55" i="6"/>
  <c r="Q34" i="8" s="1"/>
  <c r="S55" i="6"/>
  <c r="R34" i="8" s="1"/>
  <c r="D56" i="6"/>
  <c r="C35" i="8" s="1"/>
  <c r="E56" i="6"/>
  <c r="D35" i="8" s="1"/>
  <c r="F56" i="6"/>
  <c r="E35" i="8" s="1"/>
  <c r="G56" i="6"/>
  <c r="F35" i="8" s="1"/>
  <c r="H56" i="6"/>
  <c r="G35" i="8" s="1"/>
  <c r="B38" i="21" s="1"/>
  <c r="I56" i="6"/>
  <c r="H35" i="8" s="1"/>
  <c r="J56" i="6"/>
  <c r="I35" i="8" s="1"/>
  <c r="K56" i="6"/>
  <c r="J35" i="8" s="1"/>
  <c r="L56" i="6"/>
  <c r="K35" i="8" s="1"/>
  <c r="M56" i="6"/>
  <c r="L35" i="8" s="1"/>
  <c r="N56" i="6"/>
  <c r="M35" i="8" s="1"/>
  <c r="O56" i="6"/>
  <c r="N35" i="8" s="1"/>
  <c r="P56" i="6"/>
  <c r="O35" i="8" s="1"/>
  <c r="Q56" i="6"/>
  <c r="P35" i="8" s="1"/>
  <c r="R56" i="6"/>
  <c r="Q35" i="8" s="1"/>
  <c r="S56" i="6"/>
  <c r="R35" i="8" s="1"/>
  <c r="D57" i="6"/>
  <c r="C36" i="8" s="1"/>
  <c r="E57" i="6"/>
  <c r="D36" i="8" s="1"/>
  <c r="F57" i="6"/>
  <c r="E36" i="8" s="1"/>
  <c r="G57" i="6"/>
  <c r="F36" i="8" s="1"/>
  <c r="H57" i="6"/>
  <c r="G36" i="8" s="1"/>
  <c r="B39" i="21" s="1"/>
  <c r="I57" i="6"/>
  <c r="H36" i="8" s="1"/>
  <c r="J57" i="6"/>
  <c r="I36" i="8" s="1"/>
  <c r="K57" i="6"/>
  <c r="J36" i="8" s="1"/>
  <c r="L57" i="6"/>
  <c r="K36" i="8" s="1"/>
  <c r="M57" i="6"/>
  <c r="L36" i="8" s="1"/>
  <c r="N57" i="6"/>
  <c r="M36" i="8" s="1"/>
  <c r="O57" i="6"/>
  <c r="N36" i="8" s="1"/>
  <c r="P57" i="6"/>
  <c r="O36" i="8" s="1"/>
  <c r="Q57" i="6"/>
  <c r="P36" i="8" s="1"/>
  <c r="R57" i="6"/>
  <c r="Q36" i="8" s="1"/>
  <c r="S57" i="6"/>
  <c r="R36" i="8" s="1"/>
  <c r="C54" i="6"/>
  <c r="B33" i="8" s="1"/>
  <c r="C55" i="6"/>
  <c r="B34" i="8" s="1"/>
  <c r="C56" i="6"/>
  <c r="B35" i="8" s="1"/>
  <c r="C57" i="6"/>
  <c r="B36" i="8" s="1"/>
  <c r="C53" i="6"/>
  <c r="B32" i="8" s="1"/>
  <c r="D48" i="6"/>
  <c r="C27" i="8" s="1"/>
  <c r="E48" i="6"/>
  <c r="D27" i="8" s="1"/>
  <c r="F48" i="6"/>
  <c r="E27" i="8" s="1"/>
  <c r="G48" i="6"/>
  <c r="F27" i="8" s="1"/>
  <c r="H48" i="6"/>
  <c r="G27" i="8" s="1"/>
  <c r="B30" i="21" s="1"/>
  <c r="I48" i="6"/>
  <c r="H27" i="8" s="1"/>
  <c r="J48" i="6"/>
  <c r="I27" i="8" s="1"/>
  <c r="K48" i="6"/>
  <c r="J27" i="8" s="1"/>
  <c r="L48" i="6"/>
  <c r="K27" i="8" s="1"/>
  <c r="M48" i="6"/>
  <c r="L27" i="8" s="1"/>
  <c r="N48" i="6"/>
  <c r="M27" i="8" s="1"/>
  <c r="O48" i="6"/>
  <c r="N27" i="8" s="1"/>
  <c r="P48" i="6"/>
  <c r="O27" i="8" s="1"/>
  <c r="Q48" i="6"/>
  <c r="P27" i="8" s="1"/>
  <c r="R48" i="6"/>
  <c r="Q27" i="8" s="1"/>
  <c r="S48" i="6"/>
  <c r="R27" i="8" s="1"/>
  <c r="D49" i="6"/>
  <c r="C28" i="8" s="1"/>
  <c r="E49" i="6"/>
  <c r="D28" i="8" s="1"/>
  <c r="F49" i="6"/>
  <c r="E28" i="8" s="1"/>
  <c r="G49" i="6"/>
  <c r="F28" i="8" s="1"/>
  <c r="H49" i="6"/>
  <c r="G28" i="8" s="1"/>
  <c r="B31" i="21" s="1"/>
  <c r="I49" i="6"/>
  <c r="H28" i="8" s="1"/>
  <c r="J49" i="6"/>
  <c r="I28" i="8" s="1"/>
  <c r="K49" i="6"/>
  <c r="J28" i="8" s="1"/>
  <c r="L49" i="6"/>
  <c r="K28" i="8" s="1"/>
  <c r="M49" i="6"/>
  <c r="L28" i="8" s="1"/>
  <c r="N49" i="6"/>
  <c r="M28" i="8" s="1"/>
  <c r="O49" i="6"/>
  <c r="N28" i="8" s="1"/>
  <c r="P49" i="6"/>
  <c r="O28" i="8" s="1"/>
  <c r="Q49" i="6"/>
  <c r="P28" i="8" s="1"/>
  <c r="R49" i="6"/>
  <c r="Q28" i="8" s="1"/>
  <c r="S49" i="6"/>
  <c r="R28" i="8" s="1"/>
  <c r="D50" i="6"/>
  <c r="C29" i="8" s="1"/>
  <c r="E50" i="6"/>
  <c r="D29" i="8" s="1"/>
  <c r="F50" i="6"/>
  <c r="E29" i="8" s="1"/>
  <c r="G50" i="6"/>
  <c r="F29" i="8" s="1"/>
  <c r="H50" i="6"/>
  <c r="G29" i="8" s="1"/>
  <c r="B32" i="21" s="1"/>
  <c r="I50" i="6"/>
  <c r="H29" i="8" s="1"/>
  <c r="J50" i="6"/>
  <c r="I29" i="8" s="1"/>
  <c r="K50" i="6"/>
  <c r="J29" i="8" s="1"/>
  <c r="L50" i="6"/>
  <c r="K29" i="8" s="1"/>
  <c r="M50" i="6"/>
  <c r="L29" i="8" s="1"/>
  <c r="N50" i="6"/>
  <c r="M29" i="8" s="1"/>
  <c r="O50" i="6"/>
  <c r="N29" i="8" s="1"/>
  <c r="P50" i="6"/>
  <c r="O29" i="8" s="1"/>
  <c r="Q50" i="6"/>
  <c r="P29" i="8" s="1"/>
  <c r="R50" i="6"/>
  <c r="Q29" i="8" s="1"/>
  <c r="S50" i="6"/>
  <c r="R29" i="8" s="1"/>
  <c r="D51" i="6"/>
  <c r="C30" i="8" s="1"/>
  <c r="E51" i="6"/>
  <c r="D30" i="8" s="1"/>
  <c r="F51" i="6"/>
  <c r="E30" i="8" s="1"/>
  <c r="G51" i="6"/>
  <c r="F30" i="8" s="1"/>
  <c r="H51" i="6"/>
  <c r="G30" i="8" s="1"/>
  <c r="B33" i="21" s="1"/>
  <c r="I51" i="6"/>
  <c r="H30" i="8" s="1"/>
  <c r="J51" i="6"/>
  <c r="I30" i="8" s="1"/>
  <c r="K51" i="6"/>
  <c r="J30" i="8" s="1"/>
  <c r="L51" i="6"/>
  <c r="K30" i="8" s="1"/>
  <c r="M51" i="6"/>
  <c r="L30" i="8" s="1"/>
  <c r="N51" i="6"/>
  <c r="M30" i="8" s="1"/>
  <c r="O51" i="6"/>
  <c r="N30" i="8" s="1"/>
  <c r="P51" i="6"/>
  <c r="O30" i="8" s="1"/>
  <c r="Q51" i="6"/>
  <c r="P30" i="8" s="1"/>
  <c r="R51" i="6"/>
  <c r="Q30" i="8" s="1"/>
  <c r="S51" i="6"/>
  <c r="R30" i="8" s="1"/>
  <c r="D52" i="6"/>
  <c r="C31" i="8" s="1"/>
  <c r="E52" i="6"/>
  <c r="D31" i="8" s="1"/>
  <c r="F52" i="6"/>
  <c r="E31" i="8" s="1"/>
  <c r="G52" i="6"/>
  <c r="F31" i="8" s="1"/>
  <c r="H52" i="6"/>
  <c r="G31" i="8" s="1"/>
  <c r="B34" i="21" s="1"/>
  <c r="I52" i="6"/>
  <c r="H31" i="8" s="1"/>
  <c r="J52" i="6"/>
  <c r="I31" i="8" s="1"/>
  <c r="K52" i="6"/>
  <c r="J31" i="8" s="1"/>
  <c r="L52" i="6"/>
  <c r="K31" i="8" s="1"/>
  <c r="M52" i="6"/>
  <c r="L31" i="8" s="1"/>
  <c r="N52" i="6"/>
  <c r="M31" i="8" s="1"/>
  <c r="O52" i="6"/>
  <c r="N31" i="8" s="1"/>
  <c r="P52" i="6"/>
  <c r="O31" i="8" s="1"/>
  <c r="Q52" i="6"/>
  <c r="P31" i="8" s="1"/>
  <c r="R52" i="6"/>
  <c r="Q31" i="8" s="1"/>
  <c r="S52" i="6"/>
  <c r="R31" i="8" s="1"/>
  <c r="C49" i="6"/>
  <c r="B28" i="8" s="1"/>
  <c r="C50" i="6"/>
  <c r="B29" i="8" s="1"/>
  <c r="C51" i="6"/>
  <c r="B30" i="8" s="1"/>
  <c r="C52" i="6"/>
  <c r="B31" i="8" s="1"/>
  <c r="C48" i="6"/>
  <c r="B27" i="8" s="1"/>
  <c r="D43" i="6"/>
  <c r="C22" i="8" s="1"/>
  <c r="E43" i="6"/>
  <c r="D22" i="8" s="1"/>
  <c r="F43" i="6"/>
  <c r="E22" i="8" s="1"/>
  <c r="G43" i="6"/>
  <c r="F22" i="8" s="1"/>
  <c r="H43" i="6"/>
  <c r="G22" i="8" s="1"/>
  <c r="B25" i="21" s="1"/>
  <c r="I43" i="6"/>
  <c r="H22" i="8" s="1"/>
  <c r="J43" i="6"/>
  <c r="I22" i="8" s="1"/>
  <c r="K43" i="6"/>
  <c r="J22" i="8" s="1"/>
  <c r="L43" i="6"/>
  <c r="K22" i="8" s="1"/>
  <c r="M43" i="6"/>
  <c r="L22" i="8" s="1"/>
  <c r="N43" i="6"/>
  <c r="M22" i="8" s="1"/>
  <c r="O43" i="6"/>
  <c r="N22" i="8" s="1"/>
  <c r="P43" i="6"/>
  <c r="O22" i="8" s="1"/>
  <c r="Q43" i="6"/>
  <c r="P22" i="8" s="1"/>
  <c r="R43" i="6"/>
  <c r="Q22" i="8" s="1"/>
  <c r="S43" i="6"/>
  <c r="R22" i="8" s="1"/>
  <c r="D44" i="6"/>
  <c r="C23" i="8" s="1"/>
  <c r="E44" i="6"/>
  <c r="D23" i="8" s="1"/>
  <c r="F44" i="6"/>
  <c r="E23" i="8" s="1"/>
  <c r="G44" i="6"/>
  <c r="F23" i="8" s="1"/>
  <c r="H44" i="6"/>
  <c r="G23" i="8" s="1"/>
  <c r="B26" i="21" s="1"/>
  <c r="I44" i="6"/>
  <c r="H23" i="8" s="1"/>
  <c r="J44" i="6"/>
  <c r="I23" i="8" s="1"/>
  <c r="K44" i="6"/>
  <c r="J23" i="8" s="1"/>
  <c r="L44" i="6"/>
  <c r="K23" i="8" s="1"/>
  <c r="M44" i="6"/>
  <c r="L23" i="8" s="1"/>
  <c r="N44" i="6"/>
  <c r="M23" i="8" s="1"/>
  <c r="O44" i="6"/>
  <c r="N23" i="8" s="1"/>
  <c r="P44" i="6"/>
  <c r="O23" i="8" s="1"/>
  <c r="Q44" i="6"/>
  <c r="P23" i="8" s="1"/>
  <c r="R44" i="6"/>
  <c r="Q23" i="8" s="1"/>
  <c r="S44" i="6"/>
  <c r="R23" i="8" s="1"/>
  <c r="D45" i="6"/>
  <c r="C24" i="8" s="1"/>
  <c r="E45" i="6"/>
  <c r="D24" i="8" s="1"/>
  <c r="F45" i="6"/>
  <c r="E24" i="8" s="1"/>
  <c r="G45" i="6"/>
  <c r="F24" i="8" s="1"/>
  <c r="H45" i="6"/>
  <c r="G24" i="8" s="1"/>
  <c r="B27" i="21" s="1"/>
  <c r="I45" i="6"/>
  <c r="H24" i="8" s="1"/>
  <c r="J45" i="6"/>
  <c r="I24" i="8" s="1"/>
  <c r="K45" i="6"/>
  <c r="J24" i="8" s="1"/>
  <c r="L45" i="6"/>
  <c r="K24" i="8" s="1"/>
  <c r="M45" i="6"/>
  <c r="L24" i="8" s="1"/>
  <c r="N45" i="6"/>
  <c r="M24" i="8" s="1"/>
  <c r="O45" i="6"/>
  <c r="N24" i="8" s="1"/>
  <c r="P45" i="6"/>
  <c r="O24" i="8" s="1"/>
  <c r="Q45" i="6"/>
  <c r="P24" i="8" s="1"/>
  <c r="R45" i="6"/>
  <c r="Q24" i="8" s="1"/>
  <c r="S45" i="6"/>
  <c r="R24" i="8" s="1"/>
  <c r="D46" i="6"/>
  <c r="C25" i="8" s="1"/>
  <c r="E46" i="6"/>
  <c r="D25" i="8" s="1"/>
  <c r="F46" i="6"/>
  <c r="E25" i="8" s="1"/>
  <c r="G46" i="6"/>
  <c r="F25" i="8" s="1"/>
  <c r="H46" i="6"/>
  <c r="G25" i="8" s="1"/>
  <c r="B28" i="21" s="1"/>
  <c r="I46" i="6"/>
  <c r="H25" i="8" s="1"/>
  <c r="J46" i="6"/>
  <c r="I25" i="8" s="1"/>
  <c r="K46" i="6"/>
  <c r="J25" i="8" s="1"/>
  <c r="L46" i="6"/>
  <c r="K25" i="8" s="1"/>
  <c r="M46" i="6"/>
  <c r="L25" i="8" s="1"/>
  <c r="N46" i="6"/>
  <c r="M25" i="8" s="1"/>
  <c r="O46" i="6"/>
  <c r="N25" i="8" s="1"/>
  <c r="P46" i="6"/>
  <c r="O25" i="8" s="1"/>
  <c r="Q46" i="6"/>
  <c r="P25" i="8" s="1"/>
  <c r="R46" i="6"/>
  <c r="Q25" i="8" s="1"/>
  <c r="S46" i="6"/>
  <c r="R25" i="8" s="1"/>
  <c r="D47" i="6"/>
  <c r="C26" i="8" s="1"/>
  <c r="E47" i="6"/>
  <c r="D26" i="8" s="1"/>
  <c r="F47" i="6"/>
  <c r="E26" i="8" s="1"/>
  <c r="G47" i="6"/>
  <c r="F26" i="8" s="1"/>
  <c r="H47" i="6"/>
  <c r="G26" i="8" s="1"/>
  <c r="B29" i="21" s="1"/>
  <c r="I47" i="6"/>
  <c r="H26" i="8" s="1"/>
  <c r="J47" i="6"/>
  <c r="I26" i="8" s="1"/>
  <c r="K47" i="6"/>
  <c r="J26" i="8" s="1"/>
  <c r="L47" i="6"/>
  <c r="K26" i="8" s="1"/>
  <c r="M47" i="6"/>
  <c r="L26" i="8" s="1"/>
  <c r="N47" i="6"/>
  <c r="M26" i="8" s="1"/>
  <c r="O47" i="6"/>
  <c r="N26" i="8" s="1"/>
  <c r="P47" i="6"/>
  <c r="O26" i="8" s="1"/>
  <c r="Q47" i="6"/>
  <c r="P26" i="8" s="1"/>
  <c r="R47" i="6"/>
  <c r="Q26" i="8" s="1"/>
  <c r="S47" i="6"/>
  <c r="R26" i="8" s="1"/>
  <c r="C44" i="6"/>
  <c r="B23" i="8" s="1"/>
  <c r="C45" i="6"/>
  <c r="B24" i="8" s="1"/>
  <c r="C46" i="6"/>
  <c r="B25" i="8" s="1"/>
  <c r="C47" i="6"/>
  <c r="B26" i="8" s="1"/>
  <c r="C43" i="6"/>
  <c r="B22" i="8" s="1"/>
  <c r="D38" i="6"/>
  <c r="C17" i="8" s="1"/>
  <c r="E38" i="6"/>
  <c r="D17" i="8" s="1"/>
  <c r="F38" i="6"/>
  <c r="E17" i="8" s="1"/>
  <c r="G38" i="6"/>
  <c r="F17" i="8" s="1"/>
  <c r="H38" i="6"/>
  <c r="G17" i="8" s="1"/>
  <c r="B20" i="21" s="1"/>
  <c r="I38" i="6"/>
  <c r="H17" i="8" s="1"/>
  <c r="J38" i="6"/>
  <c r="I17" i="8" s="1"/>
  <c r="K38" i="6"/>
  <c r="J17" i="8" s="1"/>
  <c r="L38" i="6"/>
  <c r="K17" i="8" s="1"/>
  <c r="M38" i="6"/>
  <c r="L17" i="8" s="1"/>
  <c r="N38" i="6"/>
  <c r="M17" i="8" s="1"/>
  <c r="O38" i="6"/>
  <c r="N17" i="8" s="1"/>
  <c r="P38" i="6"/>
  <c r="O17" i="8" s="1"/>
  <c r="Q38" i="6"/>
  <c r="P17" i="8" s="1"/>
  <c r="R38" i="6"/>
  <c r="Q17" i="8" s="1"/>
  <c r="S38" i="6"/>
  <c r="R17" i="8" s="1"/>
  <c r="D39" i="6"/>
  <c r="C18" i="8" s="1"/>
  <c r="E39" i="6"/>
  <c r="D18" i="8" s="1"/>
  <c r="F39" i="6"/>
  <c r="E18" i="8" s="1"/>
  <c r="G39" i="6"/>
  <c r="F18" i="8" s="1"/>
  <c r="H39" i="6"/>
  <c r="G18" i="8" s="1"/>
  <c r="B21" i="21" s="1"/>
  <c r="I39" i="6"/>
  <c r="H18" i="8" s="1"/>
  <c r="J39" i="6"/>
  <c r="I18" i="8" s="1"/>
  <c r="K39" i="6"/>
  <c r="J18" i="8" s="1"/>
  <c r="L39" i="6"/>
  <c r="K18" i="8" s="1"/>
  <c r="M39" i="6"/>
  <c r="L18" i="8" s="1"/>
  <c r="N39" i="6"/>
  <c r="M18" i="8" s="1"/>
  <c r="O39" i="6"/>
  <c r="N18" i="8" s="1"/>
  <c r="P39" i="6"/>
  <c r="O18" i="8" s="1"/>
  <c r="Q39" i="6"/>
  <c r="P18" i="8" s="1"/>
  <c r="R39" i="6"/>
  <c r="Q18" i="8" s="1"/>
  <c r="S39" i="6"/>
  <c r="R18" i="8" s="1"/>
  <c r="D40" i="6"/>
  <c r="C19" i="8" s="1"/>
  <c r="E40" i="6"/>
  <c r="D19" i="8" s="1"/>
  <c r="F40" i="6"/>
  <c r="E19" i="8" s="1"/>
  <c r="G40" i="6"/>
  <c r="F19" i="8" s="1"/>
  <c r="H40" i="6"/>
  <c r="G19" i="8" s="1"/>
  <c r="B22" i="21" s="1"/>
  <c r="I40" i="6"/>
  <c r="H19" i="8" s="1"/>
  <c r="J40" i="6"/>
  <c r="I19" i="8" s="1"/>
  <c r="K40" i="6"/>
  <c r="J19" i="8" s="1"/>
  <c r="L40" i="6"/>
  <c r="K19" i="8" s="1"/>
  <c r="M40" i="6"/>
  <c r="L19" i="8" s="1"/>
  <c r="N40" i="6"/>
  <c r="M19" i="8" s="1"/>
  <c r="O40" i="6"/>
  <c r="N19" i="8" s="1"/>
  <c r="P40" i="6"/>
  <c r="O19" i="8" s="1"/>
  <c r="Q40" i="6"/>
  <c r="P19" i="8" s="1"/>
  <c r="R40" i="6"/>
  <c r="Q19" i="8" s="1"/>
  <c r="S40" i="6"/>
  <c r="R19" i="8" s="1"/>
  <c r="D41" i="6"/>
  <c r="C20" i="8" s="1"/>
  <c r="E41" i="6"/>
  <c r="D20" i="8" s="1"/>
  <c r="F41" i="6"/>
  <c r="E20" i="8" s="1"/>
  <c r="G41" i="6"/>
  <c r="F20" i="8" s="1"/>
  <c r="H41" i="6"/>
  <c r="G20" i="8" s="1"/>
  <c r="B23" i="21" s="1"/>
  <c r="I41" i="6"/>
  <c r="H20" i="8" s="1"/>
  <c r="J41" i="6"/>
  <c r="I20" i="8" s="1"/>
  <c r="K41" i="6"/>
  <c r="J20" i="8" s="1"/>
  <c r="L41" i="6"/>
  <c r="K20" i="8" s="1"/>
  <c r="M41" i="6"/>
  <c r="L20" i="8" s="1"/>
  <c r="N41" i="6"/>
  <c r="M20" i="8" s="1"/>
  <c r="O41" i="6"/>
  <c r="N20" i="8" s="1"/>
  <c r="P41" i="6"/>
  <c r="O20" i="8" s="1"/>
  <c r="Q41" i="6"/>
  <c r="P20" i="8" s="1"/>
  <c r="R41" i="6"/>
  <c r="Q20" i="8" s="1"/>
  <c r="S41" i="6"/>
  <c r="R20" i="8" s="1"/>
  <c r="D42" i="6"/>
  <c r="C21" i="8" s="1"/>
  <c r="E42" i="6"/>
  <c r="D21" i="8" s="1"/>
  <c r="F42" i="6"/>
  <c r="E21" i="8" s="1"/>
  <c r="G42" i="6"/>
  <c r="F21" i="8" s="1"/>
  <c r="H42" i="6"/>
  <c r="G21" i="8" s="1"/>
  <c r="B24" i="21" s="1"/>
  <c r="I42" i="6"/>
  <c r="H21" i="8" s="1"/>
  <c r="J42" i="6"/>
  <c r="I21" i="8" s="1"/>
  <c r="K42" i="6"/>
  <c r="J21" i="8" s="1"/>
  <c r="L42" i="6"/>
  <c r="K21" i="8" s="1"/>
  <c r="M42" i="6"/>
  <c r="L21" i="8" s="1"/>
  <c r="N42" i="6"/>
  <c r="M21" i="8" s="1"/>
  <c r="O42" i="6"/>
  <c r="N21" i="8" s="1"/>
  <c r="P42" i="6"/>
  <c r="O21" i="8" s="1"/>
  <c r="Q42" i="6"/>
  <c r="P21" i="8" s="1"/>
  <c r="R42" i="6"/>
  <c r="Q21" i="8" s="1"/>
  <c r="S42" i="6"/>
  <c r="R21" i="8" s="1"/>
  <c r="C39" i="6"/>
  <c r="B18" i="8" s="1"/>
  <c r="C40" i="6"/>
  <c r="B19" i="8" s="1"/>
  <c r="C41" i="6"/>
  <c r="B20" i="8" s="1"/>
  <c r="C42" i="6"/>
  <c r="B21" i="8" s="1"/>
  <c r="D23" i="6"/>
  <c r="C2" i="8" s="1"/>
  <c r="E23" i="6"/>
  <c r="D2" i="8" s="1"/>
  <c r="F23" i="6"/>
  <c r="E2" i="8" s="1"/>
  <c r="G23" i="6"/>
  <c r="F2" i="8" s="1"/>
  <c r="H23" i="6"/>
  <c r="G2" i="8" s="1"/>
  <c r="I23" i="6"/>
  <c r="H2" i="8" s="1"/>
  <c r="J23" i="6"/>
  <c r="I2" i="8" s="1"/>
  <c r="K23" i="6"/>
  <c r="J2" i="8" s="1"/>
  <c r="L23" i="6"/>
  <c r="K2" i="8" s="1"/>
  <c r="M23" i="6"/>
  <c r="L2" i="8" s="1"/>
  <c r="N23" i="6"/>
  <c r="M2" i="8" s="1"/>
  <c r="O23" i="6"/>
  <c r="N2" i="8" s="1"/>
  <c r="P23" i="6"/>
  <c r="O2" i="8" s="1"/>
  <c r="Q23" i="6"/>
  <c r="P2" i="8" s="1"/>
  <c r="R23" i="6"/>
  <c r="Q2" i="8" s="1"/>
  <c r="S23" i="6"/>
  <c r="R2" i="8" s="1"/>
  <c r="D24" i="6"/>
  <c r="C3" i="8" s="1"/>
  <c r="E24" i="6"/>
  <c r="D3" i="8" s="1"/>
  <c r="F24" i="6"/>
  <c r="E3" i="8" s="1"/>
  <c r="G24" i="6"/>
  <c r="F3" i="8" s="1"/>
  <c r="H24" i="6"/>
  <c r="G3" i="8" s="1"/>
  <c r="I24" i="6"/>
  <c r="H3" i="8" s="1"/>
  <c r="J24" i="6"/>
  <c r="I3" i="8" s="1"/>
  <c r="K24" i="6"/>
  <c r="J3" i="8" s="1"/>
  <c r="L24" i="6"/>
  <c r="K3" i="8" s="1"/>
  <c r="M24" i="6"/>
  <c r="L3" i="8" s="1"/>
  <c r="N24" i="6"/>
  <c r="M3" i="8" s="1"/>
  <c r="O24" i="6"/>
  <c r="N3" i="8" s="1"/>
  <c r="P24" i="6"/>
  <c r="O3" i="8" s="1"/>
  <c r="Q24" i="6"/>
  <c r="P3" i="8" s="1"/>
  <c r="R24" i="6"/>
  <c r="Q3" i="8" s="1"/>
  <c r="S24" i="6"/>
  <c r="R3" i="8" s="1"/>
  <c r="D25" i="6"/>
  <c r="C4" i="8" s="1"/>
  <c r="E25" i="6"/>
  <c r="D4" i="8" s="1"/>
  <c r="F25" i="6"/>
  <c r="E4" i="8" s="1"/>
  <c r="G25" i="6"/>
  <c r="H25"/>
  <c r="G4" i="8" s="1"/>
  <c r="I25" i="6"/>
  <c r="H4" i="8" s="1"/>
  <c r="J25" i="6"/>
  <c r="I4" i="8" s="1"/>
  <c r="K25" i="6"/>
  <c r="L25"/>
  <c r="K4" i="8" s="1"/>
  <c r="M25" i="6"/>
  <c r="L4" i="8" s="1"/>
  <c r="N25" i="6"/>
  <c r="M4" i="8" s="1"/>
  <c r="O25" i="6"/>
  <c r="P25"/>
  <c r="O4" i="8" s="1"/>
  <c r="Q25" i="6"/>
  <c r="P4" i="8" s="1"/>
  <c r="R25" i="6"/>
  <c r="Q4" i="8" s="1"/>
  <c r="S25" i="6"/>
  <c r="D26"/>
  <c r="C5" i="8" s="1"/>
  <c r="E26" i="6"/>
  <c r="D5" i="8" s="1"/>
  <c r="F26" i="6"/>
  <c r="G26"/>
  <c r="F5" i="8" s="1"/>
  <c r="H26" i="6"/>
  <c r="G5" i="8" s="1"/>
  <c r="I26" i="6"/>
  <c r="H5" i="8" s="1"/>
  <c r="J26" i="6"/>
  <c r="K26"/>
  <c r="J5" i="8" s="1"/>
  <c r="L26" i="6"/>
  <c r="K5" i="8" s="1"/>
  <c r="M26" i="6"/>
  <c r="L5" i="8" s="1"/>
  <c r="N26" i="6"/>
  <c r="O26"/>
  <c r="N5" i="8" s="1"/>
  <c r="P26" i="6"/>
  <c r="O5" i="8" s="1"/>
  <c r="Q26" i="6"/>
  <c r="P5" i="8" s="1"/>
  <c r="R26" i="6"/>
  <c r="S26"/>
  <c r="R5" i="8" s="1"/>
  <c r="D27" i="6"/>
  <c r="C6" i="8" s="1"/>
  <c r="E27" i="6"/>
  <c r="F27"/>
  <c r="E6" i="8" s="1"/>
  <c r="G27" i="6"/>
  <c r="F6" i="8" s="1"/>
  <c r="H27" i="6"/>
  <c r="G6" i="8" s="1"/>
  <c r="I27" i="6"/>
  <c r="J27"/>
  <c r="I6" i="8" s="1"/>
  <c r="K27" i="6"/>
  <c r="J6" i="8" s="1"/>
  <c r="L27" i="6"/>
  <c r="K6" i="8" s="1"/>
  <c r="M27" i="6"/>
  <c r="N27"/>
  <c r="M6" i="8" s="1"/>
  <c r="O27" i="6"/>
  <c r="N6" i="8" s="1"/>
  <c r="P27" i="6"/>
  <c r="O6" i="8" s="1"/>
  <c r="Q27" i="6"/>
  <c r="R27"/>
  <c r="Q6" i="8" s="1"/>
  <c r="S27" i="6"/>
  <c r="R6" i="8" s="1"/>
  <c r="D28" i="6"/>
  <c r="C7" i="8" s="1"/>
  <c r="E28" i="6"/>
  <c r="D7" i="8" s="1"/>
  <c r="F28" i="6"/>
  <c r="E7" i="8" s="1"/>
  <c r="G28" i="6"/>
  <c r="F7" i="8" s="1"/>
  <c r="H28" i="6"/>
  <c r="G7" i="8" s="1"/>
  <c r="B10" i="21" s="1"/>
  <c r="I28" i="6"/>
  <c r="H7" i="8" s="1"/>
  <c r="J28" i="6"/>
  <c r="I7" i="8" s="1"/>
  <c r="K28" i="6"/>
  <c r="J7" i="8" s="1"/>
  <c r="L28" i="6"/>
  <c r="K7" i="8" s="1"/>
  <c r="M28" i="6"/>
  <c r="L7" i="8" s="1"/>
  <c r="N28" i="6"/>
  <c r="M7" i="8" s="1"/>
  <c r="O28" i="6"/>
  <c r="N7" i="8" s="1"/>
  <c r="P28" i="6"/>
  <c r="O7" i="8" s="1"/>
  <c r="Q28" i="6"/>
  <c r="P7" i="8" s="1"/>
  <c r="R28" i="6"/>
  <c r="Q7" i="8" s="1"/>
  <c r="S28" i="6"/>
  <c r="R7" i="8" s="1"/>
  <c r="D29" i="6"/>
  <c r="C8" i="8" s="1"/>
  <c r="E29" i="6"/>
  <c r="D8" i="8" s="1"/>
  <c r="F29" i="6"/>
  <c r="E8" i="8" s="1"/>
  <c r="G29" i="6"/>
  <c r="F8" i="8" s="1"/>
  <c r="H29" i="6"/>
  <c r="G8" i="8" s="1"/>
  <c r="B11" i="21" s="1"/>
  <c r="I29" i="6"/>
  <c r="H8" i="8" s="1"/>
  <c r="J29" i="6"/>
  <c r="I8" i="8" s="1"/>
  <c r="K29" i="6"/>
  <c r="J8" i="8" s="1"/>
  <c r="L29" i="6"/>
  <c r="K8" i="8" s="1"/>
  <c r="M29" i="6"/>
  <c r="L8" i="8" s="1"/>
  <c r="N29" i="6"/>
  <c r="M8" i="8" s="1"/>
  <c r="O29" i="6"/>
  <c r="N8" i="8" s="1"/>
  <c r="P29" i="6"/>
  <c r="O8" i="8" s="1"/>
  <c r="Q29" i="6"/>
  <c r="P8" i="8" s="1"/>
  <c r="R29" i="6"/>
  <c r="Q8" i="8" s="1"/>
  <c r="S29" i="6"/>
  <c r="R8" i="8" s="1"/>
  <c r="D30" i="6"/>
  <c r="C9" i="8" s="1"/>
  <c r="E30" i="6"/>
  <c r="D9" i="8" s="1"/>
  <c r="F30" i="6"/>
  <c r="E9" i="8" s="1"/>
  <c r="G30" i="6"/>
  <c r="F9" i="8" s="1"/>
  <c r="H30" i="6"/>
  <c r="G9" i="8" s="1"/>
  <c r="B12" i="21" s="1"/>
  <c r="I30" i="6"/>
  <c r="H9" i="8" s="1"/>
  <c r="J30" i="6"/>
  <c r="I9" i="8" s="1"/>
  <c r="K30" i="6"/>
  <c r="J9" i="8" s="1"/>
  <c r="L30" i="6"/>
  <c r="K9" i="8" s="1"/>
  <c r="M30" i="6"/>
  <c r="L9" i="8" s="1"/>
  <c r="N30" i="6"/>
  <c r="M9" i="8" s="1"/>
  <c r="O30" i="6"/>
  <c r="N9" i="8" s="1"/>
  <c r="P30" i="6"/>
  <c r="O9" i="8" s="1"/>
  <c r="Q30" i="6"/>
  <c r="P9" i="8" s="1"/>
  <c r="R30" i="6"/>
  <c r="Q9" i="8" s="1"/>
  <c r="S30" i="6"/>
  <c r="R9" i="8" s="1"/>
  <c r="D31" i="6"/>
  <c r="C10" i="8" s="1"/>
  <c r="E31" i="6"/>
  <c r="D10" i="8" s="1"/>
  <c r="F31" i="6"/>
  <c r="E10" i="8" s="1"/>
  <c r="G31" i="6"/>
  <c r="F10" i="8" s="1"/>
  <c r="H31" i="6"/>
  <c r="G10" i="8" s="1"/>
  <c r="B13" i="21" s="1"/>
  <c r="I31" i="6"/>
  <c r="H10" i="8" s="1"/>
  <c r="J31" i="6"/>
  <c r="I10" i="8" s="1"/>
  <c r="K31" i="6"/>
  <c r="J10" i="8" s="1"/>
  <c r="L31" i="6"/>
  <c r="K10" i="8" s="1"/>
  <c r="M31" i="6"/>
  <c r="L10" i="8" s="1"/>
  <c r="N31" i="6"/>
  <c r="M10" i="8" s="1"/>
  <c r="O31" i="6"/>
  <c r="N10" i="8" s="1"/>
  <c r="P31" i="6"/>
  <c r="O10" i="8" s="1"/>
  <c r="Q31" i="6"/>
  <c r="P10" i="8" s="1"/>
  <c r="R31" i="6"/>
  <c r="Q10" i="8" s="1"/>
  <c r="S31" i="6"/>
  <c r="R10" i="8" s="1"/>
  <c r="D32" i="6"/>
  <c r="C11" i="8" s="1"/>
  <c r="E32" i="6"/>
  <c r="D11" i="8" s="1"/>
  <c r="F32" i="6"/>
  <c r="E11" i="8" s="1"/>
  <c r="G32" i="6"/>
  <c r="F11" i="8" s="1"/>
  <c r="H32" i="6"/>
  <c r="G11" i="8" s="1"/>
  <c r="B14" i="21" s="1"/>
  <c r="I32" i="6"/>
  <c r="H11" i="8" s="1"/>
  <c r="J32" i="6"/>
  <c r="I11" i="8" s="1"/>
  <c r="K32" i="6"/>
  <c r="J11" i="8" s="1"/>
  <c r="L32" i="6"/>
  <c r="K11" i="8" s="1"/>
  <c r="M32" i="6"/>
  <c r="L11" i="8" s="1"/>
  <c r="N32" i="6"/>
  <c r="M11" i="8" s="1"/>
  <c r="O32" i="6"/>
  <c r="N11" i="8" s="1"/>
  <c r="P32" i="6"/>
  <c r="O11" i="8" s="1"/>
  <c r="Q32" i="6"/>
  <c r="P11" i="8" s="1"/>
  <c r="R32" i="6"/>
  <c r="Q11" i="8" s="1"/>
  <c r="S32" i="6"/>
  <c r="R11" i="8" s="1"/>
  <c r="D33" i="6"/>
  <c r="C12" i="8" s="1"/>
  <c r="E33" i="6"/>
  <c r="D12" i="8" s="1"/>
  <c r="F33" i="6"/>
  <c r="E12" i="8" s="1"/>
  <c r="G33" i="6"/>
  <c r="F12" i="8" s="1"/>
  <c r="H33" i="6"/>
  <c r="G12" i="8" s="1"/>
  <c r="B15" i="21" s="1"/>
  <c r="I33" i="6"/>
  <c r="H12" i="8" s="1"/>
  <c r="J33" i="6"/>
  <c r="I12" i="8" s="1"/>
  <c r="K33" i="6"/>
  <c r="J12" i="8" s="1"/>
  <c r="L33" i="6"/>
  <c r="K12" i="8" s="1"/>
  <c r="M33" i="6"/>
  <c r="L12" i="8" s="1"/>
  <c r="N33" i="6"/>
  <c r="M12" i="8" s="1"/>
  <c r="O33" i="6"/>
  <c r="N12" i="8" s="1"/>
  <c r="P33" i="6"/>
  <c r="O12" i="8" s="1"/>
  <c r="Q33" i="6"/>
  <c r="P12" i="8" s="1"/>
  <c r="R33" i="6"/>
  <c r="Q12" i="8" s="1"/>
  <c r="S33" i="6"/>
  <c r="R12" i="8" s="1"/>
  <c r="D34" i="6"/>
  <c r="C13" i="8" s="1"/>
  <c r="E34" i="6"/>
  <c r="D13" i="8" s="1"/>
  <c r="F34" i="6"/>
  <c r="E13" i="8" s="1"/>
  <c r="G34" i="6"/>
  <c r="F13" i="8" s="1"/>
  <c r="H34" i="6"/>
  <c r="G13" i="8" s="1"/>
  <c r="B16" i="21" s="1"/>
  <c r="I34" i="6"/>
  <c r="H13" i="8" s="1"/>
  <c r="J34" i="6"/>
  <c r="I13" i="8" s="1"/>
  <c r="K34" i="6"/>
  <c r="J13" i="8" s="1"/>
  <c r="L34" i="6"/>
  <c r="K13" i="8" s="1"/>
  <c r="M34" i="6"/>
  <c r="L13" i="8" s="1"/>
  <c r="N34" i="6"/>
  <c r="M13" i="8" s="1"/>
  <c r="O34" i="6"/>
  <c r="N13" i="8" s="1"/>
  <c r="P34" i="6"/>
  <c r="O13" i="8" s="1"/>
  <c r="Q34" i="6"/>
  <c r="P13" i="8" s="1"/>
  <c r="R34" i="6"/>
  <c r="Q13" i="8" s="1"/>
  <c r="S34" i="6"/>
  <c r="R13" i="8" s="1"/>
  <c r="D35" i="6"/>
  <c r="C14" i="8" s="1"/>
  <c r="E35" i="6"/>
  <c r="D14" i="8" s="1"/>
  <c r="F35" i="6"/>
  <c r="E14" i="8" s="1"/>
  <c r="G35" i="6"/>
  <c r="F14" i="8" s="1"/>
  <c r="H35" i="6"/>
  <c r="G14" i="8" s="1"/>
  <c r="B17" i="21" s="1"/>
  <c r="I35" i="6"/>
  <c r="H14" i="8" s="1"/>
  <c r="J35" i="6"/>
  <c r="I14" i="8" s="1"/>
  <c r="K35" i="6"/>
  <c r="J14" i="8" s="1"/>
  <c r="L35" i="6"/>
  <c r="K14" i="8" s="1"/>
  <c r="M35" i="6"/>
  <c r="L14" i="8" s="1"/>
  <c r="N35" i="6"/>
  <c r="M14" i="8" s="1"/>
  <c r="O35" i="6"/>
  <c r="N14" i="8" s="1"/>
  <c r="P35" i="6"/>
  <c r="O14" i="8" s="1"/>
  <c r="Q35" i="6"/>
  <c r="P14" i="8" s="1"/>
  <c r="R35" i="6"/>
  <c r="Q14" i="8" s="1"/>
  <c r="S35" i="6"/>
  <c r="R14" i="8" s="1"/>
  <c r="D36" i="6"/>
  <c r="C15" i="8" s="1"/>
  <c r="E36" i="6"/>
  <c r="D15" i="8" s="1"/>
  <c r="F36" i="6"/>
  <c r="E15" i="8" s="1"/>
  <c r="G36" i="6"/>
  <c r="F15" i="8" s="1"/>
  <c r="H36" i="6"/>
  <c r="G15" i="8" s="1"/>
  <c r="B18" i="21" s="1"/>
  <c r="I36" i="6"/>
  <c r="H15" i="8" s="1"/>
  <c r="J36" i="6"/>
  <c r="I15" i="8" s="1"/>
  <c r="K36" i="6"/>
  <c r="J15" i="8" s="1"/>
  <c r="L36" i="6"/>
  <c r="K15" i="8" s="1"/>
  <c r="M36" i="6"/>
  <c r="L15" i="8" s="1"/>
  <c r="N36" i="6"/>
  <c r="M15" i="8" s="1"/>
  <c r="O36" i="6"/>
  <c r="N15" i="8" s="1"/>
  <c r="P36" i="6"/>
  <c r="O15" i="8" s="1"/>
  <c r="Q36" i="6"/>
  <c r="P15" i="8" s="1"/>
  <c r="R36" i="6"/>
  <c r="Q15" i="8" s="1"/>
  <c r="S36" i="6"/>
  <c r="R15" i="8" s="1"/>
  <c r="D37" i="6"/>
  <c r="C16" i="8" s="1"/>
  <c r="E37" i="6"/>
  <c r="D16" i="8" s="1"/>
  <c r="F37" i="6"/>
  <c r="E16" i="8" s="1"/>
  <c r="G37" i="6"/>
  <c r="F16" i="8" s="1"/>
  <c r="H37" i="6"/>
  <c r="G16" i="8" s="1"/>
  <c r="B19" i="21" s="1"/>
  <c r="I37" i="6"/>
  <c r="H16" i="8" s="1"/>
  <c r="J37" i="6"/>
  <c r="I16" i="8" s="1"/>
  <c r="K37" i="6"/>
  <c r="J16" i="8" s="1"/>
  <c r="L37" i="6"/>
  <c r="K16" i="8" s="1"/>
  <c r="M37" i="6"/>
  <c r="L16" i="8" s="1"/>
  <c r="N37" i="6"/>
  <c r="M16" i="8" s="1"/>
  <c r="O37" i="6"/>
  <c r="N16" i="8" s="1"/>
  <c r="P37" i="6"/>
  <c r="O16" i="8" s="1"/>
  <c r="Q37" i="6"/>
  <c r="P16" i="8" s="1"/>
  <c r="R37" i="6"/>
  <c r="Q16" i="8" s="1"/>
  <c r="S37" i="6"/>
  <c r="R16" i="8" s="1"/>
  <c r="C38" i="6"/>
  <c r="B17" i="8" s="1"/>
  <c r="C34" i="6"/>
  <c r="B13" i="8" s="1"/>
  <c r="C35" i="6"/>
  <c r="B14" i="8" s="1"/>
  <c r="C36" i="6"/>
  <c r="B15" i="8" s="1"/>
  <c r="C37" i="6"/>
  <c r="B16" i="8" s="1"/>
  <c r="C33" i="6"/>
  <c r="B12" i="8" s="1"/>
  <c r="C29" i="6"/>
  <c r="B8" i="8" s="1"/>
  <c r="C30" i="6"/>
  <c r="B9" i="8" s="1"/>
  <c r="C31" i="6"/>
  <c r="B10" i="8" s="1"/>
  <c r="C32" i="6"/>
  <c r="B11" i="8" s="1"/>
  <c r="C28" i="6"/>
  <c r="B7" i="8" s="1"/>
  <c r="C25" i="6"/>
  <c r="B4" i="8" s="1"/>
  <c r="C26" i="6"/>
  <c r="B5" i="8" s="1"/>
  <c r="C27" i="6"/>
  <c r="W196" i="3"/>
  <c r="W197"/>
  <c r="W198"/>
  <c r="W199"/>
  <c r="W200"/>
  <c r="W201"/>
  <c r="W202"/>
  <c r="W203"/>
  <c r="W204"/>
  <c r="W205"/>
  <c r="W206"/>
  <c r="W207"/>
  <c r="W208"/>
  <c r="W209"/>
  <c r="W210"/>
  <c r="W211"/>
  <c r="W195"/>
  <c r="AH5"/>
  <c r="AH6"/>
  <c r="AH7"/>
  <c r="AH8"/>
  <c r="AH9"/>
  <c r="AH10"/>
  <c r="AH11"/>
  <c r="AH12"/>
  <c r="AH13"/>
  <c r="AH4"/>
  <c r="AG5"/>
  <c r="AG6"/>
  <c r="AG7"/>
  <c r="AG8"/>
  <c r="AG9"/>
  <c r="AG10"/>
  <c r="AG11"/>
  <c r="AG12"/>
  <c r="AG13"/>
  <c r="AG4"/>
  <c r="K196"/>
  <c r="K197"/>
  <c r="K198"/>
  <c r="K199"/>
  <c r="K200"/>
  <c r="K201"/>
  <c r="K202"/>
  <c r="K203"/>
  <c r="K204"/>
  <c r="K205"/>
  <c r="K206"/>
  <c r="K207"/>
  <c r="K208"/>
  <c r="K209"/>
  <c r="K210"/>
  <c r="K211"/>
  <c r="K195"/>
  <c r="W174"/>
  <c r="W175"/>
  <c r="W176"/>
  <c r="W177"/>
  <c r="W178"/>
  <c r="W179"/>
  <c r="W180"/>
  <c r="W181"/>
  <c r="W182"/>
  <c r="W183"/>
  <c r="W184"/>
  <c r="W185"/>
  <c r="W186"/>
  <c r="W187"/>
  <c r="W188"/>
  <c r="W189"/>
  <c r="W173"/>
  <c r="K174"/>
  <c r="K175"/>
  <c r="K176"/>
  <c r="K177"/>
  <c r="K178"/>
  <c r="K179"/>
  <c r="K180"/>
  <c r="K181"/>
  <c r="K182"/>
  <c r="K183"/>
  <c r="K184"/>
  <c r="K185"/>
  <c r="K186"/>
  <c r="K187"/>
  <c r="K188"/>
  <c r="K189"/>
  <c r="K173"/>
  <c r="W152"/>
  <c r="W153"/>
  <c r="W154"/>
  <c r="W155"/>
  <c r="W156"/>
  <c r="W157"/>
  <c r="W158"/>
  <c r="W159"/>
  <c r="W160"/>
  <c r="W161"/>
  <c r="W162"/>
  <c r="W163"/>
  <c r="W164"/>
  <c r="W165"/>
  <c r="W166"/>
  <c r="W167"/>
  <c r="K152"/>
  <c r="K153"/>
  <c r="K154"/>
  <c r="K155"/>
  <c r="K156"/>
  <c r="K157"/>
  <c r="K158"/>
  <c r="K159"/>
  <c r="K160"/>
  <c r="K161"/>
  <c r="K162"/>
  <c r="K163"/>
  <c r="K164"/>
  <c r="K165"/>
  <c r="K166"/>
  <c r="K167"/>
  <c r="W151"/>
  <c r="K151"/>
  <c r="W130"/>
  <c r="W131"/>
  <c r="W132"/>
  <c r="W133"/>
  <c r="W134"/>
  <c r="W135"/>
  <c r="W136"/>
  <c r="W137"/>
  <c r="W138"/>
  <c r="W139"/>
  <c r="W140"/>
  <c r="W141"/>
  <c r="W142"/>
  <c r="W143"/>
  <c r="W144"/>
  <c r="W145"/>
  <c r="W129"/>
  <c r="K130"/>
  <c r="K131"/>
  <c r="K132"/>
  <c r="K133"/>
  <c r="K134"/>
  <c r="K135"/>
  <c r="K136"/>
  <c r="K137"/>
  <c r="K138"/>
  <c r="K139"/>
  <c r="K140"/>
  <c r="K141"/>
  <c r="K142"/>
  <c r="K143"/>
  <c r="K144"/>
  <c r="K145"/>
  <c r="K129"/>
  <c r="W108"/>
  <c r="W109"/>
  <c r="W110"/>
  <c r="W111"/>
  <c r="W112"/>
  <c r="W113"/>
  <c r="W114"/>
  <c r="W115"/>
  <c r="W116"/>
  <c r="W117"/>
  <c r="W118"/>
  <c r="W119"/>
  <c r="W120"/>
  <c r="W121"/>
  <c r="W122"/>
  <c r="W123"/>
  <c r="W107"/>
  <c r="K108"/>
  <c r="K109"/>
  <c r="K110"/>
  <c r="K111"/>
  <c r="K112"/>
  <c r="K113"/>
  <c r="K114"/>
  <c r="K115"/>
  <c r="K116"/>
  <c r="K117"/>
  <c r="K118"/>
  <c r="K119"/>
  <c r="K120"/>
  <c r="K121"/>
  <c r="K122"/>
  <c r="K123"/>
  <c r="K107"/>
  <c r="W86"/>
  <c r="W87"/>
  <c r="W88"/>
  <c r="W89"/>
  <c r="W90"/>
  <c r="W91"/>
  <c r="W92"/>
  <c r="W93"/>
  <c r="W94"/>
  <c r="W95"/>
  <c r="W96"/>
  <c r="W97"/>
  <c r="W98"/>
  <c r="W99"/>
  <c r="W100"/>
  <c r="W101"/>
  <c r="W85"/>
  <c r="K86"/>
  <c r="K87"/>
  <c r="K88"/>
  <c r="K89"/>
  <c r="K90"/>
  <c r="K91"/>
  <c r="K92"/>
  <c r="K93"/>
  <c r="K94"/>
  <c r="K95"/>
  <c r="K96"/>
  <c r="K97"/>
  <c r="K98"/>
  <c r="K99"/>
  <c r="K100"/>
  <c r="K101"/>
  <c r="K85"/>
  <c r="W64"/>
  <c r="W65"/>
  <c r="W66"/>
  <c r="W67"/>
  <c r="W68"/>
  <c r="W69"/>
  <c r="W70"/>
  <c r="W71"/>
  <c r="W72"/>
  <c r="W73"/>
  <c r="W74"/>
  <c r="W75"/>
  <c r="W76"/>
  <c r="W77"/>
  <c r="W78"/>
  <c r="W79"/>
  <c r="W63"/>
  <c r="K64"/>
  <c r="K65"/>
  <c r="K66"/>
  <c r="K67"/>
  <c r="K68"/>
  <c r="K69"/>
  <c r="K70"/>
  <c r="K71"/>
  <c r="K72"/>
  <c r="K73"/>
  <c r="K74"/>
  <c r="K75"/>
  <c r="K76"/>
  <c r="K77"/>
  <c r="K78"/>
  <c r="K79"/>
  <c r="K63"/>
  <c r="W42"/>
  <c r="W43"/>
  <c r="W44"/>
  <c r="W45"/>
  <c r="W46"/>
  <c r="W47"/>
  <c r="W48"/>
  <c r="W49"/>
  <c r="W50"/>
  <c r="W51"/>
  <c r="W52"/>
  <c r="W53"/>
  <c r="W54"/>
  <c r="W55"/>
  <c r="W56"/>
  <c r="W57"/>
  <c r="W41"/>
  <c r="K42"/>
  <c r="K43"/>
  <c r="K44"/>
  <c r="K45"/>
  <c r="K46"/>
  <c r="K47"/>
  <c r="K48"/>
  <c r="K49"/>
  <c r="K50"/>
  <c r="K51"/>
  <c r="K52"/>
  <c r="K53"/>
  <c r="K54"/>
  <c r="K55"/>
  <c r="K56"/>
  <c r="K57"/>
  <c r="K41"/>
  <c r="W20"/>
  <c r="W21"/>
  <c r="W22"/>
  <c r="W23"/>
  <c r="W24"/>
  <c r="W25"/>
  <c r="W26"/>
  <c r="W27"/>
  <c r="W28"/>
  <c r="W29"/>
  <c r="W30"/>
  <c r="W31"/>
  <c r="W32"/>
  <c r="W33"/>
  <c r="W34"/>
  <c r="W35"/>
  <c r="W19"/>
  <c r="K34"/>
  <c r="K35"/>
  <c r="K20"/>
  <c r="K21"/>
  <c r="K22"/>
  <c r="K23"/>
  <c r="K24"/>
  <c r="K25"/>
  <c r="K26"/>
  <c r="K27"/>
  <c r="K28"/>
  <c r="K29"/>
  <c r="K30"/>
  <c r="K31"/>
  <c r="K32"/>
  <c r="K33"/>
  <c r="E22" i="2"/>
  <c r="F22"/>
  <c r="G22"/>
  <c r="H22"/>
  <c r="I22"/>
  <c r="J22"/>
  <c r="K22"/>
  <c r="L22"/>
  <c r="M22"/>
  <c r="N22"/>
  <c r="O22"/>
  <c r="P22"/>
  <c r="Q22"/>
  <c r="R22"/>
  <c r="S22"/>
  <c r="T22"/>
  <c r="U22"/>
  <c r="D22"/>
  <c r="E23"/>
  <c r="F23"/>
  <c r="G23"/>
  <c r="H23"/>
  <c r="I23"/>
  <c r="J23"/>
  <c r="K23"/>
  <c r="L23"/>
  <c r="M23"/>
  <c r="N23"/>
  <c r="O23"/>
  <c r="P23"/>
  <c r="Q23"/>
  <c r="R23"/>
  <c r="S23"/>
  <c r="T23"/>
  <c r="E24"/>
  <c r="F24"/>
  <c r="G24"/>
  <c r="H24"/>
  <c r="I24"/>
  <c r="J24"/>
  <c r="K24"/>
  <c r="L24"/>
  <c r="M24"/>
  <c r="N24"/>
  <c r="O24"/>
  <c r="P24"/>
  <c r="Q24"/>
  <c r="R24"/>
  <c r="S24"/>
  <c r="T24"/>
  <c r="U24"/>
  <c r="E25"/>
  <c r="F25"/>
  <c r="G25"/>
  <c r="H25"/>
  <c r="I25"/>
  <c r="J25"/>
  <c r="K25"/>
  <c r="L25"/>
  <c r="M25"/>
  <c r="N25"/>
  <c r="O25"/>
  <c r="P25"/>
  <c r="Q25"/>
  <c r="R25"/>
  <c r="S25"/>
  <c r="T25"/>
  <c r="U25"/>
  <c r="E26"/>
  <c r="F26"/>
  <c r="G26"/>
  <c r="H26"/>
  <c r="I26"/>
  <c r="J26"/>
  <c r="K26"/>
  <c r="L26"/>
  <c r="M26"/>
  <c r="N26"/>
  <c r="O26"/>
  <c r="P26"/>
  <c r="Q26"/>
  <c r="R26"/>
  <c r="S26"/>
  <c r="T26"/>
  <c r="U26"/>
  <c r="E27"/>
  <c r="F27"/>
  <c r="G27"/>
  <c r="H27"/>
  <c r="I27"/>
  <c r="J27"/>
  <c r="K27"/>
  <c r="L27"/>
  <c r="M27"/>
  <c r="N27"/>
  <c r="O27"/>
  <c r="P27"/>
  <c r="Q27"/>
  <c r="R27"/>
  <c r="S27"/>
  <c r="T27"/>
  <c r="U27"/>
  <c r="E28"/>
  <c r="F28"/>
  <c r="G28"/>
  <c r="H28"/>
  <c r="I28"/>
  <c r="J28"/>
  <c r="K28"/>
  <c r="L28"/>
  <c r="M28"/>
  <c r="N28"/>
  <c r="O28"/>
  <c r="P28"/>
  <c r="Q28"/>
  <c r="R28"/>
  <c r="S28"/>
  <c r="T28"/>
  <c r="U28"/>
  <c r="E29"/>
  <c r="F29"/>
  <c r="G29"/>
  <c r="H29"/>
  <c r="I29"/>
  <c r="J29"/>
  <c r="K29"/>
  <c r="L29"/>
  <c r="M29"/>
  <c r="N29"/>
  <c r="O29"/>
  <c r="P29"/>
  <c r="Q29"/>
  <c r="R29"/>
  <c r="S29"/>
  <c r="T29"/>
  <c r="U29"/>
  <c r="E30"/>
  <c r="F30"/>
  <c r="G30"/>
  <c r="H30"/>
  <c r="I30"/>
  <c r="J30"/>
  <c r="K30"/>
  <c r="L30"/>
  <c r="M30"/>
  <c r="N30"/>
  <c r="O30"/>
  <c r="P30"/>
  <c r="Q30"/>
  <c r="R30"/>
  <c r="S30"/>
  <c r="T30"/>
  <c r="U30"/>
  <c r="E31"/>
  <c r="F31"/>
  <c r="G31"/>
  <c r="H31"/>
  <c r="I31"/>
  <c r="J31"/>
  <c r="K31"/>
  <c r="L31"/>
  <c r="M31"/>
  <c r="N31"/>
  <c r="O31"/>
  <c r="P31"/>
  <c r="Q31"/>
  <c r="R31"/>
  <c r="S31"/>
  <c r="T31"/>
  <c r="U31"/>
  <c r="E32"/>
  <c r="G32"/>
  <c r="H32"/>
  <c r="I32"/>
  <c r="J32"/>
  <c r="K32"/>
  <c r="L32"/>
  <c r="M32"/>
  <c r="N32"/>
  <c r="O32"/>
  <c r="P32"/>
  <c r="Q32"/>
  <c r="R32"/>
  <c r="S32"/>
  <c r="T32"/>
  <c r="U32"/>
  <c r="E33"/>
  <c r="G33"/>
  <c r="H33"/>
  <c r="I33"/>
  <c r="J33"/>
  <c r="K33"/>
  <c r="L33"/>
  <c r="M33"/>
  <c r="N33"/>
  <c r="O33"/>
  <c r="P33"/>
  <c r="Q33"/>
  <c r="R33"/>
  <c r="S33"/>
  <c r="T33"/>
  <c r="U33"/>
  <c r="E34"/>
  <c r="G34"/>
  <c r="H34"/>
  <c r="I34"/>
  <c r="J34"/>
  <c r="K34"/>
  <c r="L34"/>
  <c r="M34"/>
  <c r="N34"/>
  <c r="O34"/>
  <c r="P34"/>
  <c r="Q34"/>
  <c r="R34"/>
  <c r="S34"/>
  <c r="T34"/>
  <c r="U34"/>
  <c r="E35"/>
  <c r="E36"/>
  <c r="F36"/>
  <c r="G36"/>
  <c r="H36"/>
  <c r="I36"/>
  <c r="J36"/>
  <c r="K36"/>
  <c r="L36"/>
  <c r="M36"/>
  <c r="N36"/>
  <c r="O36"/>
  <c r="P36"/>
  <c r="Q36"/>
  <c r="R36"/>
  <c r="S36"/>
  <c r="T36"/>
  <c r="U36"/>
  <c r="E37"/>
  <c r="F37"/>
  <c r="G37"/>
  <c r="H37"/>
  <c r="I37"/>
  <c r="J37"/>
  <c r="K37"/>
  <c r="L37"/>
  <c r="M37"/>
  <c r="N37"/>
  <c r="O37"/>
  <c r="P37"/>
  <c r="Q37"/>
  <c r="R37"/>
  <c r="S37"/>
  <c r="T37"/>
  <c r="U37"/>
  <c r="E38"/>
  <c r="F38"/>
  <c r="G38"/>
  <c r="H38"/>
  <c r="I38"/>
  <c r="J38"/>
  <c r="K38"/>
  <c r="L38"/>
  <c r="M38"/>
  <c r="N38"/>
  <c r="O38"/>
  <c r="P38"/>
  <c r="Q38"/>
  <c r="R38"/>
  <c r="S38"/>
  <c r="T38"/>
  <c r="U38"/>
  <c r="E39"/>
  <c r="F39"/>
  <c r="G39"/>
  <c r="H39"/>
  <c r="I39"/>
  <c r="J39"/>
  <c r="K39"/>
  <c r="L39"/>
  <c r="M39"/>
  <c r="N39"/>
  <c r="O39"/>
  <c r="P39"/>
  <c r="Q39"/>
  <c r="R39"/>
  <c r="S39"/>
  <c r="T39"/>
  <c r="U39"/>
  <c r="D24"/>
  <c r="D25"/>
  <c r="D26"/>
  <c r="D27"/>
  <c r="D28"/>
  <c r="D29"/>
  <c r="D30"/>
  <c r="D31"/>
  <c r="D32"/>
  <c r="D33"/>
  <c r="D34"/>
  <c r="D35"/>
  <c r="D36"/>
  <c r="D37"/>
  <c r="D38"/>
  <c r="D39"/>
  <c r="C24"/>
  <c r="V24" s="1"/>
  <c r="C25"/>
  <c r="V25" s="1"/>
  <c r="V26"/>
  <c r="C27"/>
  <c r="V27" s="1"/>
  <c r="C28"/>
  <c r="V28" s="1"/>
  <c r="C29"/>
  <c r="V29" s="1"/>
  <c r="C30"/>
  <c r="V30" s="1"/>
  <c r="C31"/>
  <c r="V31" s="1"/>
  <c r="C32"/>
  <c r="V32" s="1"/>
  <c r="C33"/>
  <c r="V33" s="1"/>
  <c r="C34"/>
  <c r="V34" s="1"/>
  <c r="C35"/>
  <c r="V35" s="1"/>
  <c r="C36"/>
  <c r="V36" s="1"/>
  <c r="C37"/>
  <c r="V37" s="1"/>
  <c r="C38"/>
  <c r="V38" s="1"/>
  <c r="C39"/>
  <c r="D14" i="4"/>
  <c r="E14"/>
  <c r="F14"/>
  <c r="G14"/>
  <c r="H14"/>
  <c r="I14"/>
  <c r="J14"/>
  <c r="K14"/>
  <c r="L14"/>
  <c r="M14"/>
  <c r="N14"/>
  <c r="O14"/>
  <c r="P14"/>
  <c r="Q14"/>
  <c r="R14"/>
  <c r="S14"/>
  <c r="T14"/>
  <c r="U14"/>
  <c r="V14"/>
  <c r="W14"/>
  <c r="X14"/>
  <c r="Y14"/>
  <c r="Z14"/>
  <c r="AA14"/>
  <c r="AB14"/>
  <c r="AC14"/>
  <c r="AD14"/>
  <c r="C103"/>
  <c r="C102"/>
  <c r="C101"/>
  <c r="C100"/>
  <c r="C99"/>
  <c r="B98"/>
  <c r="C95" s="1"/>
  <c r="B92"/>
  <c r="C90" s="1"/>
  <c r="B86"/>
  <c r="C85" s="1"/>
  <c r="B80"/>
  <c r="C76" s="1"/>
  <c r="B74"/>
  <c r="C71" s="1"/>
  <c r="B68"/>
  <c r="C66" s="1"/>
  <c r="B62"/>
  <c r="C61" s="1"/>
  <c r="B56"/>
  <c r="C52" s="1"/>
  <c r="B50"/>
  <c r="C47" s="1"/>
  <c r="B44"/>
  <c r="C42" s="1"/>
  <c r="B38"/>
  <c r="C37" s="1"/>
  <c r="B32"/>
  <c r="C28" s="1"/>
  <c r="B26"/>
  <c r="C23" s="1"/>
  <c r="B20"/>
  <c r="C18" s="1"/>
  <c r="B14"/>
  <c r="C13" s="1"/>
  <c r="A7" i="1"/>
  <c r="A10" s="1"/>
  <c r="A13" s="1"/>
  <c r="A16" s="1"/>
  <c r="A19" s="1"/>
  <c r="A22" s="1"/>
  <c r="A25" s="1"/>
  <c r="A28" s="1"/>
  <c r="A31" s="1"/>
  <c r="A34" s="1"/>
  <c r="A37" s="1"/>
  <c r="A40" s="1"/>
  <c r="A43" s="1"/>
  <c r="A46" s="1"/>
  <c r="A49" s="1"/>
  <c r="A52" s="1"/>
  <c r="A8"/>
  <c r="A11" s="1"/>
  <c r="A14" s="1"/>
  <c r="A17" s="1"/>
  <c r="A20" s="1"/>
  <c r="A23" s="1"/>
  <c r="A26" s="1"/>
  <c r="A29" s="1"/>
  <c r="A32" s="1"/>
  <c r="A35" s="1"/>
  <c r="A38" s="1"/>
  <c r="A41" s="1"/>
  <c r="A44" s="1"/>
  <c r="A47" s="1"/>
  <c r="A50" s="1"/>
  <c r="A53" s="1"/>
  <c r="A6"/>
  <c r="A9" s="1"/>
  <c r="A12" s="1"/>
  <c r="A15" s="1"/>
  <c r="A18" s="1"/>
  <c r="A21" s="1"/>
  <c r="A24" s="1"/>
  <c r="A27" s="1"/>
  <c r="A30" s="1"/>
  <c r="A33" s="1"/>
  <c r="A36" s="1"/>
  <c r="A39" s="1"/>
  <c r="A42" s="1"/>
  <c r="A45" s="1"/>
  <c r="A48" s="1"/>
  <c r="A51" s="1"/>
  <c r="U6" i="8" l="1"/>
  <c r="B9" i="9" s="1"/>
  <c r="B9" i="21"/>
  <c r="B8"/>
  <c r="U5" i="8"/>
  <c r="B8" i="9" s="1"/>
  <c r="U4" i="8"/>
  <c r="B7" i="9" s="1"/>
  <c r="B7" i="21"/>
  <c r="B6"/>
  <c r="U3" i="8"/>
  <c r="B6" i="9" s="1"/>
  <c r="U2" i="8"/>
  <c r="B5" i="21"/>
  <c r="AD24" i="9"/>
  <c r="AD20"/>
  <c r="AD16"/>
  <c r="AD12"/>
  <c r="AB19"/>
  <c r="J10"/>
  <c r="F17"/>
  <c r="J22"/>
  <c r="AF23"/>
  <c r="AF15"/>
  <c r="AD77" i="22"/>
  <c r="T77"/>
  <c r="Z77"/>
  <c r="H77"/>
  <c r="N77"/>
  <c r="L77"/>
  <c r="R77"/>
  <c r="AF77"/>
  <c r="F77"/>
  <c r="AB77"/>
  <c r="P77"/>
  <c r="V77"/>
  <c r="D77"/>
  <c r="J77"/>
  <c r="X77"/>
  <c r="AD81"/>
  <c r="T81"/>
  <c r="Z81"/>
  <c r="H81"/>
  <c r="N81"/>
  <c r="L81"/>
  <c r="R81"/>
  <c r="AF81"/>
  <c r="F81"/>
  <c r="AB81"/>
  <c r="P81"/>
  <c r="V81"/>
  <c r="D81"/>
  <c r="X81"/>
  <c r="J81"/>
  <c r="AD73"/>
  <c r="T73"/>
  <c r="Z73"/>
  <c r="H73"/>
  <c r="N73"/>
  <c r="L73"/>
  <c r="R73"/>
  <c r="AF73"/>
  <c r="F73"/>
  <c r="AB73"/>
  <c r="P73"/>
  <c r="V73"/>
  <c r="D73"/>
  <c r="J73"/>
  <c r="X73"/>
  <c r="AD83"/>
  <c r="T83"/>
  <c r="J83"/>
  <c r="H83"/>
  <c r="L83"/>
  <c r="AF83"/>
  <c r="V83"/>
  <c r="AB83"/>
  <c r="R83"/>
  <c r="P83"/>
  <c r="F83"/>
  <c r="Z83"/>
  <c r="N83"/>
  <c r="X83"/>
  <c r="D83"/>
  <c r="F6"/>
  <c r="AD6"/>
  <c r="Z6"/>
  <c r="P6"/>
  <c r="T6"/>
  <c r="R6"/>
  <c r="N6"/>
  <c r="H6"/>
  <c r="L6"/>
  <c r="J6"/>
  <c r="X6"/>
  <c r="AB6"/>
  <c r="AF6"/>
  <c r="V6"/>
  <c r="AD75"/>
  <c r="T75"/>
  <c r="J75"/>
  <c r="H75"/>
  <c r="L75"/>
  <c r="AF75"/>
  <c r="V75"/>
  <c r="AB75"/>
  <c r="R75"/>
  <c r="P75"/>
  <c r="F75"/>
  <c r="X75"/>
  <c r="N75"/>
  <c r="D75"/>
  <c r="Z75"/>
  <c r="AD8"/>
  <c r="R8"/>
  <c r="H8"/>
  <c r="AF8"/>
  <c r="V8"/>
  <c r="J8"/>
  <c r="X8"/>
  <c r="N8"/>
  <c r="AB8"/>
  <c r="F8"/>
  <c r="P8"/>
  <c r="Z8"/>
  <c r="T8"/>
  <c r="L8"/>
  <c r="AD79"/>
  <c r="T79"/>
  <c r="J79"/>
  <c r="H79"/>
  <c r="L79"/>
  <c r="AF79"/>
  <c r="V79"/>
  <c r="AB79"/>
  <c r="R79"/>
  <c r="P79"/>
  <c r="F79"/>
  <c r="X79"/>
  <c r="Z79"/>
  <c r="N79"/>
  <c r="D79"/>
  <c r="AD7"/>
  <c r="N7"/>
  <c r="AF7"/>
  <c r="P7"/>
  <c r="AB7"/>
  <c r="V7"/>
  <c r="F7"/>
  <c r="X7"/>
  <c r="H7"/>
  <c r="R7"/>
  <c r="J7"/>
  <c r="Z7"/>
  <c r="L7"/>
  <c r="T7"/>
  <c r="AF9"/>
  <c r="F9"/>
  <c r="T9"/>
  <c r="Z9"/>
  <c r="P9"/>
  <c r="AD9"/>
  <c r="L9"/>
  <c r="R9"/>
  <c r="H9"/>
  <c r="N9"/>
  <c r="AB9"/>
  <c r="X9"/>
  <c r="V9"/>
  <c r="J9"/>
  <c r="AF12" i="9"/>
  <c r="AF14"/>
  <c r="AF16"/>
  <c r="AF18"/>
  <c r="AF20"/>
  <c r="AF26"/>
  <c r="AF28"/>
  <c r="AF30"/>
  <c r="AF32"/>
  <c r="AF34"/>
  <c r="AF36"/>
  <c r="AF38"/>
  <c r="AF40"/>
  <c r="AF42"/>
  <c r="AF44"/>
  <c r="AF46"/>
  <c r="AF48"/>
  <c r="AF50"/>
  <c r="AF52"/>
  <c r="AF54"/>
  <c r="AF56"/>
  <c r="AF58"/>
  <c r="AF60"/>
  <c r="AF62"/>
  <c r="AF64"/>
  <c r="AF66"/>
  <c r="AF68"/>
  <c r="AF70"/>
  <c r="AF72"/>
  <c r="AF74"/>
  <c r="AF76"/>
  <c r="AF78"/>
  <c r="AF80"/>
  <c r="AF82"/>
  <c r="AF84"/>
  <c r="AF86"/>
  <c r="AF88"/>
  <c r="AF90"/>
  <c r="AF92"/>
  <c r="AF94"/>
  <c r="AF96"/>
  <c r="AF98"/>
  <c r="AF100"/>
  <c r="AF102"/>
  <c r="AF104"/>
  <c r="AF11"/>
  <c r="AF13"/>
  <c r="AF17"/>
  <c r="AF21"/>
  <c r="AF25"/>
  <c r="AF27"/>
  <c r="AF29"/>
  <c r="AF31"/>
  <c r="AF33"/>
  <c r="AF35"/>
  <c r="AF37"/>
  <c r="AF39"/>
  <c r="AF41"/>
  <c r="AF43"/>
  <c r="AF45"/>
  <c r="AF47"/>
  <c r="AF49"/>
  <c r="AF51"/>
  <c r="AF53"/>
  <c r="AF55"/>
  <c r="AF57"/>
  <c r="AF59"/>
  <c r="AF61"/>
  <c r="AF63"/>
  <c r="AF65"/>
  <c r="AF67"/>
  <c r="AF69"/>
  <c r="AF71"/>
  <c r="AF73"/>
  <c r="AF75"/>
  <c r="AF77"/>
  <c r="AF79"/>
  <c r="AF81"/>
  <c r="AF83"/>
  <c r="AF85"/>
  <c r="AF87"/>
  <c r="AF89"/>
  <c r="AF91"/>
  <c r="AF93"/>
  <c r="AF95"/>
  <c r="AF97"/>
  <c r="AF99"/>
  <c r="AF101"/>
  <c r="AF103"/>
  <c r="AD11"/>
  <c r="AD13"/>
  <c r="AD15"/>
  <c r="AD21"/>
  <c r="AD23"/>
  <c r="AD25"/>
  <c r="AD27"/>
  <c r="AD29"/>
  <c r="AD31"/>
  <c r="AD33"/>
  <c r="AD35"/>
  <c r="AD37"/>
  <c r="AD39"/>
  <c r="AD41"/>
  <c r="AD43"/>
  <c r="AD45"/>
  <c r="AD47"/>
  <c r="AD49"/>
  <c r="AD51"/>
  <c r="AD53"/>
  <c r="AD55"/>
  <c r="AD57"/>
  <c r="AD59"/>
  <c r="AD61"/>
  <c r="AD63"/>
  <c r="AD65"/>
  <c r="AD67"/>
  <c r="AD69"/>
  <c r="AD71"/>
  <c r="AD73"/>
  <c r="AD75"/>
  <c r="AD77"/>
  <c r="AD79"/>
  <c r="AD81"/>
  <c r="AD83"/>
  <c r="AD85"/>
  <c r="AD87"/>
  <c r="AD89"/>
  <c r="AD91"/>
  <c r="AD93"/>
  <c r="AD95"/>
  <c r="AD97"/>
  <c r="AD99"/>
  <c r="AD101"/>
  <c r="AD103"/>
  <c r="AD14"/>
  <c r="AD18"/>
  <c r="AD26"/>
  <c r="AD30"/>
  <c r="AD34"/>
  <c r="AD38"/>
  <c r="AD42"/>
  <c r="AD46"/>
  <c r="AD50"/>
  <c r="AD54"/>
  <c r="AD58"/>
  <c r="AD62"/>
  <c r="AD66"/>
  <c r="AD70"/>
  <c r="AD74"/>
  <c r="AD78"/>
  <c r="AD82"/>
  <c r="AD86"/>
  <c r="AD90"/>
  <c r="AD94"/>
  <c r="AD98"/>
  <c r="AD102"/>
  <c r="AD104"/>
  <c r="H10"/>
  <c r="H12"/>
  <c r="H14"/>
  <c r="H18"/>
  <c r="H20"/>
  <c r="H26"/>
  <c r="H28"/>
  <c r="H30"/>
  <c r="H32"/>
  <c r="H34"/>
  <c r="H36"/>
  <c r="H38"/>
  <c r="H40"/>
  <c r="H42"/>
  <c r="H44"/>
  <c r="H46"/>
  <c r="H48"/>
  <c r="H50"/>
  <c r="H52"/>
  <c r="H54"/>
  <c r="H56"/>
  <c r="H58"/>
  <c r="H60"/>
  <c r="H62"/>
  <c r="H64"/>
  <c r="H66"/>
  <c r="H68"/>
  <c r="H70"/>
  <c r="H72"/>
  <c r="H74"/>
  <c r="H76"/>
  <c r="H78"/>
  <c r="H80"/>
  <c r="H82"/>
  <c r="H84"/>
  <c r="H86"/>
  <c r="H88"/>
  <c r="H90"/>
  <c r="H92"/>
  <c r="H94"/>
  <c r="H96"/>
  <c r="H98"/>
  <c r="H100"/>
  <c r="H102"/>
  <c r="H104"/>
  <c r="H11"/>
  <c r="H13"/>
  <c r="H15"/>
  <c r="H21"/>
  <c r="H25"/>
  <c r="H27"/>
  <c r="H29"/>
  <c r="H31"/>
  <c r="H33"/>
  <c r="H35"/>
  <c r="H37"/>
  <c r="H39"/>
  <c r="H41"/>
  <c r="H43"/>
  <c r="H45"/>
  <c r="H47"/>
  <c r="H49"/>
  <c r="H51"/>
  <c r="H53"/>
  <c r="H55"/>
  <c r="H57"/>
  <c r="H59"/>
  <c r="H61"/>
  <c r="H63"/>
  <c r="H65"/>
  <c r="H67"/>
  <c r="H69"/>
  <c r="H71"/>
  <c r="H73"/>
  <c r="H75"/>
  <c r="H77"/>
  <c r="H79"/>
  <c r="H81"/>
  <c r="H83"/>
  <c r="H85"/>
  <c r="H87"/>
  <c r="H89"/>
  <c r="H91"/>
  <c r="H93"/>
  <c r="H95"/>
  <c r="H97"/>
  <c r="H99"/>
  <c r="H101"/>
  <c r="H103"/>
  <c r="X15"/>
  <c r="X31"/>
  <c r="X39"/>
  <c r="X47"/>
  <c r="X55"/>
  <c r="X63"/>
  <c r="X71"/>
  <c r="X79"/>
  <c r="X91"/>
  <c r="X99"/>
  <c r="Z11"/>
  <c r="Z13"/>
  <c r="Z17"/>
  <c r="Z21"/>
  <c r="Z25"/>
  <c r="Z27"/>
  <c r="Z29"/>
  <c r="Z31"/>
  <c r="Z33"/>
  <c r="Z35"/>
  <c r="Z37"/>
  <c r="Z39"/>
  <c r="Z41"/>
  <c r="Z43"/>
  <c r="Z45"/>
  <c r="Z47"/>
  <c r="Z49"/>
  <c r="Z51"/>
  <c r="Z53"/>
  <c r="Z55"/>
  <c r="Z57"/>
  <c r="Z59"/>
  <c r="Z61"/>
  <c r="Z63"/>
  <c r="Z65"/>
  <c r="Z67"/>
  <c r="Z69"/>
  <c r="Z71"/>
  <c r="Z73"/>
  <c r="Z75"/>
  <c r="Z77"/>
  <c r="Z79"/>
  <c r="Z81"/>
  <c r="Z83"/>
  <c r="Z85"/>
  <c r="Z87"/>
  <c r="Z89"/>
  <c r="Z91"/>
  <c r="Z93"/>
  <c r="Z95"/>
  <c r="Z97"/>
  <c r="Z99"/>
  <c r="Z101"/>
  <c r="Z103"/>
  <c r="AB12"/>
  <c r="AB14"/>
  <c r="AB16"/>
  <c r="AB18"/>
  <c r="AB20"/>
  <c r="AB26"/>
  <c r="AB28"/>
  <c r="AB30"/>
  <c r="AB32"/>
  <c r="AB34"/>
  <c r="AB36"/>
  <c r="AB38"/>
  <c r="AB40"/>
  <c r="AB42"/>
  <c r="AB44"/>
  <c r="AB46"/>
  <c r="AB48"/>
  <c r="AB50"/>
  <c r="AB52"/>
  <c r="AB54"/>
  <c r="AB56"/>
  <c r="AB58"/>
  <c r="AB60"/>
  <c r="AB62"/>
  <c r="AB64"/>
  <c r="AB66"/>
  <c r="AB68"/>
  <c r="AB70"/>
  <c r="AB72"/>
  <c r="AB74"/>
  <c r="AB76"/>
  <c r="AB78"/>
  <c r="AB80"/>
  <c r="AB82"/>
  <c r="AB84"/>
  <c r="AB86"/>
  <c r="AB88"/>
  <c r="AB90"/>
  <c r="AB92"/>
  <c r="AB94"/>
  <c r="AB96"/>
  <c r="AB98"/>
  <c r="AB100"/>
  <c r="AB102"/>
  <c r="AB104"/>
  <c r="X11"/>
  <c r="X27"/>
  <c r="X35"/>
  <c r="X43"/>
  <c r="X51"/>
  <c r="X59"/>
  <c r="X67"/>
  <c r="X75"/>
  <c r="X87"/>
  <c r="X95"/>
  <c r="X103"/>
  <c r="Z12"/>
  <c r="Z14"/>
  <c r="Z18"/>
  <c r="Z20"/>
  <c r="Z26"/>
  <c r="Z28"/>
  <c r="Z30"/>
  <c r="Z32"/>
  <c r="Z34"/>
  <c r="Z36"/>
  <c r="Z38"/>
  <c r="Z40"/>
  <c r="Z42"/>
  <c r="Z44"/>
  <c r="Z46"/>
  <c r="Z48"/>
  <c r="Z50"/>
  <c r="Z52"/>
  <c r="Z54"/>
  <c r="Z56"/>
  <c r="Z58"/>
  <c r="Z60"/>
  <c r="Z62"/>
  <c r="Z64"/>
  <c r="Z66"/>
  <c r="Z68"/>
  <c r="Z70"/>
  <c r="Z72"/>
  <c r="Z74"/>
  <c r="Z76"/>
  <c r="Z78"/>
  <c r="Z80"/>
  <c r="Z82"/>
  <c r="Z84"/>
  <c r="Z86"/>
  <c r="Z88"/>
  <c r="Z90"/>
  <c r="Z92"/>
  <c r="Z94"/>
  <c r="Z96"/>
  <c r="Z98"/>
  <c r="Z100"/>
  <c r="Z102"/>
  <c r="Z104"/>
  <c r="AB11"/>
  <c r="AB13"/>
  <c r="AB15"/>
  <c r="AB17"/>
  <c r="AB21"/>
  <c r="AB25"/>
  <c r="AB27"/>
  <c r="AB29"/>
  <c r="AB31"/>
  <c r="AB33"/>
  <c r="AB35"/>
  <c r="AB37"/>
  <c r="AB39"/>
  <c r="AB41"/>
  <c r="AB43"/>
  <c r="AB45"/>
  <c r="AB47"/>
  <c r="AB49"/>
  <c r="AB51"/>
  <c r="AB53"/>
  <c r="AB55"/>
  <c r="AB57"/>
  <c r="AB59"/>
  <c r="AB61"/>
  <c r="AB63"/>
  <c r="AB65"/>
  <c r="AB67"/>
  <c r="AB69"/>
  <c r="AB71"/>
  <c r="AB73"/>
  <c r="AB75"/>
  <c r="AB77"/>
  <c r="AB79"/>
  <c r="AB81"/>
  <c r="AB83"/>
  <c r="AB85"/>
  <c r="AB87"/>
  <c r="AB89"/>
  <c r="AB91"/>
  <c r="AB93"/>
  <c r="AB95"/>
  <c r="AB97"/>
  <c r="AB99"/>
  <c r="AB101"/>
  <c r="AB103"/>
  <c r="X10"/>
  <c r="X14"/>
  <c r="X18"/>
  <c r="X26"/>
  <c r="X30"/>
  <c r="X34"/>
  <c r="X38"/>
  <c r="X42"/>
  <c r="X46"/>
  <c r="X50"/>
  <c r="X54"/>
  <c r="X58"/>
  <c r="X62"/>
  <c r="X66"/>
  <c r="X70"/>
  <c r="X74"/>
  <c r="X78"/>
  <c r="X82"/>
  <c r="X86"/>
  <c r="X90"/>
  <c r="X94"/>
  <c r="X98"/>
  <c r="X102"/>
  <c r="X13"/>
  <c r="X17"/>
  <c r="X21"/>
  <c r="X25"/>
  <c r="X29"/>
  <c r="X33"/>
  <c r="X37"/>
  <c r="X41"/>
  <c r="X45"/>
  <c r="X49"/>
  <c r="X53"/>
  <c r="X57"/>
  <c r="X61"/>
  <c r="X65"/>
  <c r="X69"/>
  <c r="X73"/>
  <c r="X77"/>
  <c r="X81"/>
  <c r="X85"/>
  <c r="X89"/>
  <c r="X93"/>
  <c r="X97"/>
  <c r="X101"/>
  <c r="X12"/>
  <c r="X16"/>
  <c r="X20"/>
  <c r="X28"/>
  <c r="X32"/>
  <c r="X36"/>
  <c r="X40"/>
  <c r="X44"/>
  <c r="X48"/>
  <c r="X52"/>
  <c r="X56"/>
  <c r="X60"/>
  <c r="X64"/>
  <c r="X68"/>
  <c r="X72"/>
  <c r="X76"/>
  <c r="X80"/>
  <c r="X84"/>
  <c r="X88"/>
  <c r="X92"/>
  <c r="X96"/>
  <c r="X100"/>
  <c r="X83"/>
  <c r="V39" i="2"/>
  <c r="D86" i="9"/>
  <c r="D27"/>
  <c r="D31"/>
  <c r="D35"/>
  <c r="D39"/>
  <c r="D43"/>
  <c r="D47"/>
  <c r="D51"/>
  <c r="D55"/>
  <c r="D59"/>
  <c r="D63"/>
  <c r="D67"/>
  <c r="D71"/>
  <c r="D75"/>
  <c r="D79"/>
  <c r="D83"/>
  <c r="D87"/>
  <c r="D91"/>
  <c r="D95"/>
  <c r="D99"/>
  <c r="D103"/>
  <c r="D26"/>
  <c r="D30"/>
  <c r="D34"/>
  <c r="D38"/>
  <c r="D42"/>
  <c r="D46"/>
  <c r="D50"/>
  <c r="D54"/>
  <c r="D58"/>
  <c r="D62"/>
  <c r="D66"/>
  <c r="D70"/>
  <c r="D74"/>
  <c r="D78"/>
  <c r="D82"/>
  <c r="D90"/>
  <c r="D94"/>
  <c r="D98"/>
  <c r="D102"/>
  <c r="L11"/>
  <c r="L13"/>
  <c r="L17"/>
  <c r="L21"/>
  <c r="L25"/>
  <c r="L27"/>
  <c r="L29"/>
  <c r="L31"/>
  <c r="L33"/>
  <c r="L35"/>
  <c r="L37"/>
  <c r="L39"/>
  <c r="L41"/>
  <c r="L43"/>
  <c r="L45"/>
  <c r="L47"/>
  <c r="L49"/>
  <c r="L51"/>
  <c r="L53"/>
  <c r="L55"/>
  <c r="L57"/>
  <c r="L59"/>
  <c r="L61"/>
  <c r="L63"/>
  <c r="L65"/>
  <c r="L67"/>
  <c r="L69"/>
  <c r="L71"/>
  <c r="L73"/>
  <c r="L75"/>
  <c r="L77"/>
  <c r="L79"/>
  <c r="L81"/>
  <c r="L83"/>
  <c r="L85"/>
  <c r="L87"/>
  <c r="L89"/>
  <c r="L91"/>
  <c r="L93"/>
  <c r="L95"/>
  <c r="L97"/>
  <c r="L99"/>
  <c r="L101"/>
  <c r="L103"/>
  <c r="D25"/>
  <c r="D29"/>
  <c r="D33"/>
  <c r="D37"/>
  <c r="D41"/>
  <c r="D45"/>
  <c r="D49"/>
  <c r="D53"/>
  <c r="D57"/>
  <c r="D61"/>
  <c r="D65"/>
  <c r="D69"/>
  <c r="D73"/>
  <c r="D77"/>
  <c r="D81"/>
  <c r="D85"/>
  <c r="D89"/>
  <c r="D93"/>
  <c r="D97"/>
  <c r="D101"/>
  <c r="D28"/>
  <c r="D32"/>
  <c r="D36"/>
  <c r="D40"/>
  <c r="D44"/>
  <c r="D48"/>
  <c r="D52"/>
  <c r="D56"/>
  <c r="D60"/>
  <c r="D64"/>
  <c r="D68"/>
  <c r="D72"/>
  <c r="D76"/>
  <c r="D80"/>
  <c r="D84"/>
  <c r="D88"/>
  <c r="D92"/>
  <c r="D96"/>
  <c r="D100"/>
  <c r="L12"/>
  <c r="L14"/>
  <c r="L16"/>
  <c r="L18"/>
  <c r="L20"/>
  <c r="L22"/>
  <c r="L26"/>
  <c r="L28"/>
  <c r="L30"/>
  <c r="L32"/>
  <c r="L34"/>
  <c r="L36"/>
  <c r="L38"/>
  <c r="L40"/>
  <c r="L42"/>
  <c r="L44"/>
  <c r="L46"/>
  <c r="L48"/>
  <c r="L50"/>
  <c r="L52"/>
  <c r="L54"/>
  <c r="L56"/>
  <c r="L58"/>
  <c r="L60"/>
  <c r="L62"/>
  <c r="L64"/>
  <c r="L66"/>
  <c r="L68"/>
  <c r="L70"/>
  <c r="L72"/>
  <c r="L74"/>
  <c r="L76"/>
  <c r="L78"/>
  <c r="L80"/>
  <c r="L82"/>
  <c r="L84"/>
  <c r="L86"/>
  <c r="L88"/>
  <c r="L90"/>
  <c r="L92"/>
  <c r="L94"/>
  <c r="L96"/>
  <c r="L98"/>
  <c r="L100"/>
  <c r="L102"/>
  <c r="V23" i="2"/>
  <c r="AI6" i="3"/>
  <c r="B2" i="8"/>
  <c r="B3"/>
  <c r="T3" s="1"/>
  <c r="B6"/>
  <c r="P6"/>
  <c r="L6"/>
  <c r="H6"/>
  <c r="D6"/>
  <c r="Q5"/>
  <c r="M5"/>
  <c r="I5"/>
  <c r="E5"/>
  <c r="R4"/>
  <c r="N4"/>
  <c r="J4"/>
  <c r="F4"/>
  <c r="AI12" i="3"/>
  <c r="C12" i="4"/>
  <c r="C17"/>
  <c r="C22"/>
  <c r="C27"/>
  <c r="C31"/>
  <c r="C36"/>
  <c r="C41"/>
  <c r="C46"/>
  <c r="C51"/>
  <c r="C55"/>
  <c r="C60"/>
  <c r="C65"/>
  <c r="C70"/>
  <c r="C75"/>
  <c r="C79"/>
  <c r="C84"/>
  <c r="C89"/>
  <c r="C94"/>
  <c r="C11"/>
  <c r="C16"/>
  <c r="C21"/>
  <c r="C25"/>
  <c r="C30"/>
  <c r="C35"/>
  <c r="C40"/>
  <c r="C45"/>
  <c r="C49"/>
  <c r="C54"/>
  <c r="C59"/>
  <c r="C64"/>
  <c r="C69"/>
  <c r="C73"/>
  <c r="C78"/>
  <c r="C83"/>
  <c r="C88"/>
  <c r="C93"/>
  <c r="C97"/>
  <c r="C10"/>
  <c r="C15"/>
  <c r="C19"/>
  <c r="C24"/>
  <c r="C29"/>
  <c r="C34"/>
  <c r="C39"/>
  <c r="C43"/>
  <c r="C48"/>
  <c r="C53"/>
  <c r="C58"/>
  <c r="C63"/>
  <c r="C67"/>
  <c r="C72"/>
  <c r="C77"/>
  <c r="C82"/>
  <c r="C87"/>
  <c r="C91"/>
  <c r="C96"/>
  <c r="C9"/>
  <c r="C33"/>
  <c r="C57"/>
  <c r="C81"/>
  <c r="T12" i="9"/>
  <c r="T28"/>
  <c r="T32"/>
  <c r="T36"/>
  <c r="T40"/>
  <c r="T44"/>
  <c r="T48"/>
  <c r="T52"/>
  <c r="T56"/>
  <c r="T60"/>
  <c r="T64"/>
  <c r="T68"/>
  <c r="T72"/>
  <c r="T76"/>
  <c r="T80"/>
  <c r="T84"/>
  <c r="T88"/>
  <c r="T92"/>
  <c r="T96"/>
  <c r="T100"/>
  <c r="V11"/>
  <c r="V27"/>
  <c r="V31"/>
  <c r="V35"/>
  <c r="V39"/>
  <c r="V43"/>
  <c r="V47"/>
  <c r="V51"/>
  <c r="V55"/>
  <c r="V59"/>
  <c r="V63"/>
  <c r="V67"/>
  <c r="V71"/>
  <c r="V75"/>
  <c r="V79"/>
  <c r="V83"/>
  <c r="V87"/>
  <c r="V91"/>
  <c r="V95"/>
  <c r="V99"/>
  <c r="V103"/>
  <c r="T11"/>
  <c r="T27"/>
  <c r="T31"/>
  <c r="T35"/>
  <c r="T39"/>
  <c r="T43"/>
  <c r="T47"/>
  <c r="T51"/>
  <c r="T55"/>
  <c r="T59"/>
  <c r="T63"/>
  <c r="T67"/>
  <c r="T71"/>
  <c r="T75"/>
  <c r="T79"/>
  <c r="T83"/>
  <c r="T87"/>
  <c r="T91"/>
  <c r="T95"/>
  <c r="T99"/>
  <c r="T103"/>
  <c r="V14"/>
  <c r="V18"/>
  <c r="V26"/>
  <c r="V30"/>
  <c r="V34"/>
  <c r="V38"/>
  <c r="V42"/>
  <c r="V46"/>
  <c r="V50"/>
  <c r="V54"/>
  <c r="V58"/>
  <c r="V62"/>
  <c r="V66"/>
  <c r="V70"/>
  <c r="V74"/>
  <c r="V78"/>
  <c r="V82"/>
  <c r="V86"/>
  <c r="V90"/>
  <c r="V94"/>
  <c r="V98"/>
  <c r="V102"/>
  <c r="T14"/>
  <c r="T18"/>
  <c r="T26"/>
  <c r="T30"/>
  <c r="T34"/>
  <c r="T38"/>
  <c r="T42"/>
  <c r="T46"/>
  <c r="T50"/>
  <c r="T54"/>
  <c r="T58"/>
  <c r="T62"/>
  <c r="T66"/>
  <c r="T70"/>
  <c r="T74"/>
  <c r="T78"/>
  <c r="T82"/>
  <c r="T86"/>
  <c r="T90"/>
  <c r="T94"/>
  <c r="T98"/>
  <c r="T102"/>
  <c r="V13"/>
  <c r="V17"/>
  <c r="V21"/>
  <c r="V25"/>
  <c r="V29"/>
  <c r="V33"/>
  <c r="V37"/>
  <c r="V41"/>
  <c r="V45"/>
  <c r="V49"/>
  <c r="V53"/>
  <c r="V57"/>
  <c r="V61"/>
  <c r="V65"/>
  <c r="V69"/>
  <c r="V73"/>
  <c r="V77"/>
  <c r="V81"/>
  <c r="V85"/>
  <c r="V89"/>
  <c r="V93"/>
  <c r="V97"/>
  <c r="V101"/>
  <c r="T13"/>
  <c r="T17"/>
  <c r="T21"/>
  <c r="T25"/>
  <c r="T29"/>
  <c r="T33"/>
  <c r="T37"/>
  <c r="T41"/>
  <c r="T45"/>
  <c r="T49"/>
  <c r="T53"/>
  <c r="T57"/>
  <c r="T61"/>
  <c r="T65"/>
  <c r="T69"/>
  <c r="T73"/>
  <c r="T77"/>
  <c r="T81"/>
  <c r="T85"/>
  <c r="T89"/>
  <c r="T93"/>
  <c r="T97"/>
  <c r="T101"/>
  <c r="V12"/>
  <c r="V16"/>
  <c r="V20"/>
  <c r="V28"/>
  <c r="V32"/>
  <c r="V36"/>
  <c r="V40"/>
  <c r="V44"/>
  <c r="V48"/>
  <c r="V52"/>
  <c r="V56"/>
  <c r="V60"/>
  <c r="V64"/>
  <c r="V68"/>
  <c r="V72"/>
  <c r="V76"/>
  <c r="V80"/>
  <c r="V84"/>
  <c r="V88"/>
  <c r="V92"/>
  <c r="V96"/>
  <c r="V100"/>
  <c r="AI11" i="3"/>
  <c r="AI8"/>
  <c r="AI13"/>
  <c r="AI9"/>
  <c r="AI5"/>
  <c r="AI7"/>
  <c r="F66" i="9"/>
  <c r="R13"/>
  <c r="R17"/>
  <c r="R21"/>
  <c r="R25"/>
  <c r="R29"/>
  <c r="R33"/>
  <c r="R37"/>
  <c r="R41"/>
  <c r="R45"/>
  <c r="R49"/>
  <c r="R53"/>
  <c r="R57"/>
  <c r="R61"/>
  <c r="R65"/>
  <c r="R69"/>
  <c r="R73"/>
  <c r="R77"/>
  <c r="R81"/>
  <c r="R85"/>
  <c r="R89"/>
  <c r="R93"/>
  <c r="R97"/>
  <c r="R101"/>
  <c r="R12"/>
  <c r="R20"/>
  <c r="R28"/>
  <c r="R32"/>
  <c r="R36"/>
  <c r="R40"/>
  <c r="R44"/>
  <c r="R48"/>
  <c r="R52"/>
  <c r="R56"/>
  <c r="R60"/>
  <c r="R64"/>
  <c r="R68"/>
  <c r="R72"/>
  <c r="R76"/>
  <c r="R80"/>
  <c r="R84"/>
  <c r="R88"/>
  <c r="R92"/>
  <c r="R96"/>
  <c r="R100"/>
  <c r="F34"/>
  <c r="R11"/>
  <c r="R27"/>
  <c r="R31"/>
  <c r="R35"/>
  <c r="R39"/>
  <c r="R43"/>
  <c r="R47"/>
  <c r="R51"/>
  <c r="R55"/>
  <c r="R59"/>
  <c r="R63"/>
  <c r="R67"/>
  <c r="R71"/>
  <c r="R75"/>
  <c r="R79"/>
  <c r="R83"/>
  <c r="R87"/>
  <c r="R91"/>
  <c r="R95"/>
  <c r="R99"/>
  <c r="R103"/>
  <c r="F38"/>
  <c r="R14"/>
  <c r="R18"/>
  <c r="R26"/>
  <c r="R30"/>
  <c r="R34"/>
  <c r="R38"/>
  <c r="R42"/>
  <c r="R46"/>
  <c r="R50"/>
  <c r="R54"/>
  <c r="R58"/>
  <c r="R62"/>
  <c r="R66"/>
  <c r="R70"/>
  <c r="R74"/>
  <c r="R78"/>
  <c r="R82"/>
  <c r="R86"/>
  <c r="R90"/>
  <c r="R94"/>
  <c r="R98"/>
  <c r="R102"/>
  <c r="F82"/>
  <c r="F98"/>
  <c r="F50"/>
  <c r="F18"/>
  <c r="F54"/>
  <c r="T71" i="8"/>
  <c r="T59"/>
  <c r="T39"/>
  <c r="T31"/>
  <c r="T80"/>
  <c r="T76"/>
  <c r="T72"/>
  <c r="T68"/>
  <c r="T64"/>
  <c r="T60"/>
  <c r="T56"/>
  <c r="T52"/>
  <c r="T48"/>
  <c r="T44"/>
  <c r="T40"/>
  <c r="T36"/>
  <c r="T32"/>
  <c r="T28"/>
  <c r="T24"/>
  <c r="T20"/>
  <c r="T16"/>
  <c r="T12"/>
  <c r="T8"/>
  <c r="T79"/>
  <c r="T63"/>
  <c r="T43"/>
  <c r="T23"/>
  <c r="T7"/>
  <c r="T81"/>
  <c r="T77"/>
  <c r="T73"/>
  <c r="T69"/>
  <c r="T65"/>
  <c r="T61"/>
  <c r="T57"/>
  <c r="T53"/>
  <c r="T49"/>
  <c r="T45"/>
  <c r="T41"/>
  <c r="T37"/>
  <c r="T33"/>
  <c r="T29"/>
  <c r="T25"/>
  <c r="T21"/>
  <c r="T17"/>
  <c r="T13"/>
  <c r="T9"/>
  <c r="T75"/>
  <c r="T67"/>
  <c r="T55"/>
  <c r="T51"/>
  <c r="T47"/>
  <c r="T35"/>
  <c r="T27"/>
  <c r="T19"/>
  <c r="T15"/>
  <c r="T11"/>
  <c r="T2"/>
  <c r="T78"/>
  <c r="T74"/>
  <c r="T70"/>
  <c r="T66"/>
  <c r="T62"/>
  <c r="T58"/>
  <c r="T54"/>
  <c r="T50"/>
  <c r="T46"/>
  <c r="T42"/>
  <c r="T38"/>
  <c r="T34"/>
  <c r="T30"/>
  <c r="T26"/>
  <c r="T22"/>
  <c r="T18"/>
  <c r="T14"/>
  <c r="T10"/>
  <c r="F102" i="9"/>
  <c r="F86"/>
  <c r="F70"/>
  <c r="F90"/>
  <c r="F74"/>
  <c r="F58"/>
  <c r="F42"/>
  <c r="F26"/>
  <c r="F94"/>
  <c r="F78"/>
  <c r="F62"/>
  <c r="F46"/>
  <c r="F30"/>
  <c r="F14"/>
  <c r="F103"/>
  <c r="F99"/>
  <c r="F95"/>
  <c r="F91"/>
  <c r="F87"/>
  <c r="F83"/>
  <c r="F79"/>
  <c r="F75"/>
  <c r="F71"/>
  <c r="F67"/>
  <c r="F63"/>
  <c r="F59"/>
  <c r="F55"/>
  <c r="F51"/>
  <c r="F47"/>
  <c r="F43"/>
  <c r="F39"/>
  <c r="F35"/>
  <c r="F31"/>
  <c r="F27"/>
  <c r="F11"/>
  <c r="F100"/>
  <c r="F96"/>
  <c r="F92"/>
  <c r="F88"/>
  <c r="F84"/>
  <c r="F80"/>
  <c r="F76"/>
  <c r="F72"/>
  <c r="F68"/>
  <c r="F64"/>
  <c r="F60"/>
  <c r="F56"/>
  <c r="F52"/>
  <c r="F48"/>
  <c r="F44"/>
  <c r="F40"/>
  <c r="F36"/>
  <c r="F32"/>
  <c r="F28"/>
  <c r="F20"/>
  <c r="F16"/>
  <c r="F12"/>
  <c r="P12"/>
  <c r="P20"/>
  <c r="P28"/>
  <c r="P32"/>
  <c r="P36"/>
  <c r="P40"/>
  <c r="P44"/>
  <c r="P48"/>
  <c r="P52"/>
  <c r="P56"/>
  <c r="P60"/>
  <c r="P64"/>
  <c r="P68"/>
  <c r="P72"/>
  <c r="P76"/>
  <c r="P80"/>
  <c r="P84"/>
  <c r="P88"/>
  <c r="P92"/>
  <c r="P96"/>
  <c r="P100"/>
  <c r="P11"/>
  <c r="P23"/>
  <c r="P27"/>
  <c r="P31"/>
  <c r="P35"/>
  <c r="P39"/>
  <c r="P43"/>
  <c r="P47"/>
  <c r="P51"/>
  <c r="P55"/>
  <c r="P59"/>
  <c r="P63"/>
  <c r="P67"/>
  <c r="P71"/>
  <c r="P75"/>
  <c r="P79"/>
  <c r="P83"/>
  <c r="P87"/>
  <c r="P91"/>
  <c r="P95"/>
  <c r="P99"/>
  <c r="P103"/>
  <c r="P14"/>
  <c r="P18"/>
  <c r="P26"/>
  <c r="P30"/>
  <c r="P34"/>
  <c r="P38"/>
  <c r="P42"/>
  <c r="P46"/>
  <c r="P50"/>
  <c r="P54"/>
  <c r="P58"/>
  <c r="P62"/>
  <c r="P66"/>
  <c r="P70"/>
  <c r="P74"/>
  <c r="P78"/>
  <c r="P82"/>
  <c r="P86"/>
  <c r="P90"/>
  <c r="P94"/>
  <c r="P98"/>
  <c r="P102"/>
  <c r="P13"/>
  <c r="P17"/>
  <c r="P21"/>
  <c r="P25"/>
  <c r="P29"/>
  <c r="P33"/>
  <c r="P37"/>
  <c r="P41"/>
  <c r="P45"/>
  <c r="P49"/>
  <c r="P53"/>
  <c r="P57"/>
  <c r="P61"/>
  <c r="P65"/>
  <c r="P69"/>
  <c r="P73"/>
  <c r="P77"/>
  <c r="P81"/>
  <c r="P85"/>
  <c r="P89"/>
  <c r="P93"/>
  <c r="P97"/>
  <c r="P101"/>
  <c r="N13"/>
  <c r="N21"/>
  <c r="N29"/>
  <c r="N37"/>
  <c r="N45"/>
  <c r="N53"/>
  <c r="N61"/>
  <c r="N69"/>
  <c r="N77"/>
  <c r="N85"/>
  <c r="N93"/>
  <c r="N101"/>
  <c r="N12"/>
  <c r="N20"/>
  <c r="N28"/>
  <c r="N36"/>
  <c r="N44"/>
  <c r="N52"/>
  <c r="N60"/>
  <c r="N68"/>
  <c r="N76"/>
  <c r="N84"/>
  <c r="N92"/>
  <c r="N100"/>
  <c r="N17"/>
  <c r="N25"/>
  <c r="N33"/>
  <c r="N41"/>
  <c r="N49"/>
  <c r="N57"/>
  <c r="N65"/>
  <c r="N73"/>
  <c r="N81"/>
  <c r="N89"/>
  <c r="N97"/>
  <c r="N32"/>
  <c r="N40"/>
  <c r="N48"/>
  <c r="N56"/>
  <c r="N64"/>
  <c r="N72"/>
  <c r="N80"/>
  <c r="N88"/>
  <c r="N96"/>
  <c r="N14"/>
  <c r="N18"/>
  <c r="N26"/>
  <c r="N30"/>
  <c r="N34"/>
  <c r="N38"/>
  <c r="N42"/>
  <c r="N46"/>
  <c r="N50"/>
  <c r="N54"/>
  <c r="N58"/>
  <c r="N62"/>
  <c r="N66"/>
  <c r="N70"/>
  <c r="N74"/>
  <c r="N78"/>
  <c r="N82"/>
  <c r="N86"/>
  <c r="N90"/>
  <c r="N94"/>
  <c r="N98"/>
  <c r="N102"/>
  <c r="N11"/>
  <c r="N27"/>
  <c r="N31"/>
  <c r="N35"/>
  <c r="N39"/>
  <c r="N43"/>
  <c r="N47"/>
  <c r="N51"/>
  <c r="N55"/>
  <c r="N59"/>
  <c r="N63"/>
  <c r="N67"/>
  <c r="N71"/>
  <c r="N75"/>
  <c r="N79"/>
  <c r="N83"/>
  <c r="N87"/>
  <c r="N91"/>
  <c r="N95"/>
  <c r="N99"/>
  <c r="N103"/>
  <c r="J35"/>
  <c r="J15"/>
  <c r="J31"/>
  <c r="J11"/>
  <c r="J27"/>
  <c r="J23"/>
  <c r="J13"/>
  <c r="J17"/>
  <c r="J21"/>
  <c r="J25"/>
  <c r="J29"/>
  <c r="J33"/>
  <c r="J37"/>
  <c r="J41"/>
  <c r="J45"/>
  <c r="J49"/>
  <c r="J53"/>
  <c r="J57"/>
  <c r="J61"/>
  <c r="J65"/>
  <c r="J69"/>
  <c r="J73"/>
  <c r="J77"/>
  <c r="J81"/>
  <c r="J85"/>
  <c r="J89"/>
  <c r="J93"/>
  <c r="J97"/>
  <c r="J101"/>
  <c r="J12"/>
  <c r="J20"/>
  <c r="J28"/>
  <c r="J32"/>
  <c r="J36"/>
  <c r="J40"/>
  <c r="J44"/>
  <c r="J48"/>
  <c r="J52"/>
  <c r="J56"/>
  <c r="J60"/>
  <c r="J64"/>
  <c r="J68"/>
  <c r="J72"/>
  <c r="J76"/>
  <c r="J80"/>
  <c r="J84"/>
  <c r="J88"/>
  <c r="J92"/>
  <c r="J96"/>
  <c r="J100"/>
  <c r="J79"/>
  <c r="J83"/>
  <c r="J87"/>
  <c r="J91"/>
  <c r="J95"/>
  <c r="J99"/>
  <c r="J103"/>
  <c r="X3" i="22" l="1"/>
  <c r="E27" i="20" s="1"/>
  <c r="R3" i="22"/>
  <c r="E34" i="20" s="1"/>
  <c r="Z3" i="22"/>
  <c r="E30" i="20" s="1"/>
  <c r="AF3" i="22"/>
  <c r="E29" i="20" s="1"/>
  <c r="J3" i="22"/>
  <c r="E28" i="20" s="1"/>
  <c r="AB3" i="22"/>
  <c r="E20" i="20" s="1"/>
  <c r="L3" i="22"/>
  <c r="E22" i="20" s="1"/>
  <c r="T3" i="22"/>
  <c r="E25" i="20" s="1"/>
  <c r="P3" i="22"/>
  <c r="E23" i="20" s="1"/>
  <c r="D3" i="22"/>
  <c r="E24" i="20" s="1"/>
  <c r="F3" i="22"/>
  <c r="E32" i="20" s="1"/>
  <c r="N3" i="22"/>
  <c r="E33" i="20" s="1"/>
  <c r="AD3" i="22"/>
  <c r="E21" i="20" s="1"/>
  <c r="T23" i="9"/>
  <c r="L23"/>
  <c r="AB23"/>
  <c r="X23"/>
  <c r="N19"/>
  <c r="F23"/>
  <c r="R23"/>
  <c r="V23"/>
  <c r="L24"/>
  <c r="L19"/>
  <c r="Z23"/>
  <c r="H23"/>
  <c r="N23"/>
  <c r="F19"/>
  <c r="AF19"/>
  <c r="J19"/>
  <c r="P15"/>
  <c r="J24"/>
  <c r="N15"/>
  <c r="P19"/>
  <c r="P16"/>
  <c r="R24"/>
  <c r="T19"/>
  <c r="V19"/>
  <c r="T16"/>
  <c r="AB24"/>
  <c r="Z19"/>
  <c r="AF24"/>
  <c r="N16"/>
  <c r="P24"/>
  <c r="F15"/>
  <c r="R15"/>
  <c r="R16"/>
  <c r="T24"/>
  <c r="Z24"/>
  <c r="X19"/>
  <c r="Z15"/>
  <c r="H19"/>
  <c r="H24"/>
  <c r="AD19"/>
  <c r="J16"/>
  <c r="N24"/>
  <c r="F24"/>
  <c r="R19"/>
  <c r="V24"/>
  <c r="T15"/>
  <c r="V15"/>
  <c r="L15"/>
  <c r="X24"/>
  <c r="Z16"/>
  <c r="H16"/>
  <c r="F3"/>
  <c r="C15" i="20" s="1"/>
  <c r="N22" i="9"/>
  <c r="P10"/>
  <c r="N10"/>
  <c r="F22"/>
  <c r="X22"/>
  <c r="Z22"/>
  <c r="AB22"/>
  <c r="H17"/>
  <c r="AD10"/>
  <c r="AD17"/>
  <c r="AF22"/>
  <c r="P3"/>
  <c r="C3" i="20" s="1"/>
  <c r="P22" i="9"/>
  <c r="F10"/>
  <c r="R22"/>
  <c r="T22"/>
  <c r="V22"/>
  <c r="Z10"/>
  <c r="AB10"/>
  <c r="AF10"/>
  <c r="R10"/>
  <c r="T10"/>
  <c r="V10"/>
  <c r="L10"/>
  <c r="H22"/>
  <c r="AD22"/>
  <c r="V57" i="21"/>
  <c r="F57"/>
  <c r="X57"/>
  <c r="H57"/>
  <c r="AD57"/>
  <c r="N57"/>
  <c r="AF57"/>
  <c r="P57"/>
  <c r="Z57"/>
  <c r="AB57"/>
  <c r="T57"/>
  <c r="D57"/>
  <c r="J57"/>
  <c r="R57"/>
  <c r="L57"/>
  <c r="AD38"/>
  <c r="T38"/>
  <c r="H38"/>
  <c r="AF38"/>
  <c r="V38"/>
  <c r="L38"/>
  <c r="Z38"/>
  <c r="X38"/>
  <c r="N38"/>
  <c r="D38"/>
  <c r="F38"/>
  <c r="P38"/>
  <c r="AB38"/>
  <c r="R38"/>
  <c r="J38"/>
  <c r="X52"/>
  <c r="H52"/>
  <c r="AD52"/>
  <c r="N52"/>
  <c r="AF52"/>
  <c r="P52"/>
  <c r="Z52"/>
  <c r="V52"/>
  <c r="F52"/>
  <c r="AB52"/>
  <c r="R52"/>
  <c r="T52"/>
  <c r="J52"/>
  <c r="D52"/>
  <c r="L52"/>
  <c r="V66"/>
  <c r="F66"/>
  <c r="X66"/>
  <c r="H66"/>
  <c r="AD66"/>
  <c r="N66"/>
  <c r="AF66"/>
  <c r="Z66"/>
  <c r="P66"/>
  <c r="AB66"/>
  <c r="R66"/>
  <c r="T66"/>
  <c r="J66"/>
  <c r="D66"/>
  <c r="L66"/>
  <c r="P51"/>
  <c r="F51"/>
  <c r="X51"/>
  <c r="AF51"/>
  <c r="AB51"/>
  <c r="AD51"/>
  <c r="T51"/>
  <c r="Z51"/>
  <c r="V51"/>
  <c r="H51"/>
  <c r="D51"/>
  <c r="J51"/>
  <c r="N51"/>
  <c r="L51"/>
  <c r="R51"/>
  <c r="V62"/>
  <c r="F62"/>
  <c r="X62"/>
  <c r="H62"/>
  <c r="AD62"/>
  <c r="N62"/>
  <c r="P62"/>
  <c r="AF62"/>
  <c r="Z62"/>
  <c r="AB62"/>
  <c r="R62"/>
  <c r="T62"/>
  <c r="J62"/>
  <c r="D62"/>
  <c r="L62"/>
  <c r="AF13"/>
  <c r="V13"/>
  <c r="J13"/>
  <c r="P13"/>
  <c r="X13"/>
  <c r="N13"/>
  <c r="AB13"/>
  <c r="F13"/>
  <c r="AD13"/>
  <c r="R13"/>
  <c r="H13"/>
  <c r="Z13"/>
  <c r="T13"/>
  <c r="L13"/>
  <c r="AF29"/>
  <c r="V29"/>
  <c r="L29"/>
  <c r="Z29"/>
  <c r="X29"/>
  <c r="N29"/>
  <c r="D29"/>
  <c r="AB29"/>
  <c r="P29"/>
  <c r="F29"/>
  <c r="AD29"/>
  <c r="H29"/>
  <c r="T29"/>
  <c r="J29"/>
  <c r="R29"/>
  <c r="Z45"/>
  <c r="F45"/>
  <c r="J45"/>
  <c r="P45"/>
  <c r="AD45"/>
  <c r="V45"/>
  <c r="AB45"/>
  <c r="AF45"/>
  <c r="R45"/>
  <c r="D45"/>
  <c r="X45"/>
  <c r="T45"/>
  <c r="L45"/>
  <c r="N45"/>
  <c r="H45"/>
  <c r="X61"/>
  <c r="H61"/>
  <c r="AD61"/>
  <c r="N61"/>
  <c r="AF61"/>
  <c r="P61"/>
  <c r="Z61"/>
  <c r="F61"/>
  <c r="V61"/>
  <c r="AB61"/>
  <c r="T61"/>
  <c r="D61"/>
  <c r="J61"/>
  <c r="R61"/>
  <c r="L61"/>
  <c r="AF77"/>
  <c r="P77"/>
  <c r="Z77"/>
  <c r="V77"/>
  <c r="F77"/>
  <c r="X77"/>
  <c r="H77"/>
  <c r="N77"/>
  <c r="AD77"/>
  <c r="AB77"/>
  <c r="T77"/>
  <c r="D77"/>
  <c r="J77"/>
  <c r="R77"/>
  <c r="L77"/>
  <c r="AF18"/>
  <c r="AD18"/>
  <c r="L18"/>
  <c r="R18"/>
  <c r="T18"/>
  <c r="V18"/>
  <c r="J18"/>
  <c r="X18"/>
  <c r="F18"/>
  <c r="AB18"/>
  <c r="Z18"/>
  <c r="H18"/>
  <c r="N18"/>
  <c r="P18"/>
  <c r="AD50"/>
  <c r="N50"/>
  <c r="AF50"/>
  <c r="P50"/>
  <c r="Z50"/>
  <c r="V50"/>
  <c r="F50"/>
  <c r="X50"/>
  <c r="H50"/>
  <c r="AB50"/>
  <c r="R50"/>
  <c r="T50"/>
  <c r="J50"/>
  <c r="D50"/>
  <c r="L50"/>
  <c r="AD78"/>
  <c r="N78"/>
  <c r="AF78"/>
  <c r="P78"/>
  <c r="Z78"/>
  <c r="V78"/>
  <c r="F78"/>
  <c r="X78"/>
  <c r="H78"/>
  <c r="AB78"/>
  <c r="R78"/>
  <c r="T78"/>
  <c r="J78"/>
  <c r="D78"/>
  <c r="L78"/>
  <c r="P24"/>
  <c r="AF24"/>
  <c r="X24"/>
  <c r="AB24"/>
  <c r="H24"/>
  <c r="Z24"/>
  <c r="V24"/>
  <c r="R24"/>
  <c r="N24"/>
  <c r="AD24"/>
  <c r="L24"/>
  <c r="F24"/>
  <c r="J24"/>
  <c r="T24"/>
  <c r="AF40"/>
  <c r="P40"/>
  <c r="F40"/>
  <c r="V40"/>
  <c r="H40"/>
  <c r="X40"/>
  <c r="L40"/>
  <c r="D40"/>
  <c r="N40"/>
  <c r="Z40"/>
  <c r="R40"/>
  <c r="T40"/>
  <c r="J40"/>
  <c r="AD40"/>
  <c r="AB40"/>
  <c r="X56"/>
  <c r="H56"/>
  <c r="AD56"/>
  <c r="N56"/>
  <c r="AF56"/>
  <c r="P56"/>
  <c r="Z56"/>
  <c r="F56"/>
  <c r="V56"/>
  <c r="AB56"/>
  <c r="R56"/>
  <c r="T56"/>
  <c r="J56"/>
  <c r="D56"/>
  <c r="L56"/>
  <c r="AF72"/>
  <c r="P72"/>
  <c r="Z72"/>
  <c r="V72"/>
  <c r="F72"/>
  <c r="X72"/>
  <c r="H72"/>
  <c r="N72"/>
  <c r="AD72"/>
  <c r="AB72"/>
  <c r="R72"/>
  <c r="T72"/>
  <c r="J72"/>
  <c r="D72"/>
  <c r="L72"/>
  <c r="AF10"/>
  <c r="N10"/>
  <c r="J10"/>
  <c r="P10"/>
  <c r="F10"/>
  <c r="H10"/>
  <c r="V10"/>
  <c r="R10"/>
  <c r="L10"/>
  <c r="X10"/>
  <c r="AD10"/>
  <c r="T10"/>
  <c r="Z10"/>
  <c r="AB10"/>
  <c r="AD82"/>
  <c r="N82"/>
  <c r="AF82"/>
  <c r="P82"/>
  <c r="Z82"/>
  <c r="V82"/>
  <c r="F82"/>
  <c r="X82"/>
  <c r="H82"/>
  <c r="AB82"/>
  <c r="R82"/>
  <c r="T82"/>
  <c r="J82"/>
  <c r="D82"/>
  <c r="L82"/>
  <c r="N23"/>
  <c r="F23"/>
  <c r="R23"/>
  <c r="Z23"/>
  <c r="V23"/>
  <c r="X23"/>
  <c r="T23"/>
  <c r="P23"/>
  <c r="L23"/>
  <c r="J23"/>
  <c r="AF23"/>
  <c r="AB23"/>
  <c r="AD23"/>
  <c r="H23"/>
  <c r="X39"/>
  <c r="AD39"/>
  <c r="D39"/>
  <c r="AB39"/>
  <c r="N39"/>
  <c r="P39"/>
  <c r="L39"/>
  <c r="F39"/>
  <c r="Z39"/>
  <c r="V39"/>
  <c r="H39"/>
  <c r="J39"/>
  <c r="AF39"/>
  <c r="R39"/>
  <c r="T39"/>
  <c r="Z55"/>
  <c r="P55"/>
  <c r="X55"/>
  <c r="AF55"/>
  <c r="N55"/>
  <c r="AB55"/>
  <c r="V55"/>
  <c r="T55"/>
  <c r="AD55"/>
  <c r="D55"/>
  <c r="J55"/>
  <c r="L55"/>
  <c r="R55"/>
  <c r="F55"/>
  <c r="H55"/>
  <c r="Z71"/>
  <c r="X71"/>
  <c r="P71"/>
  <c r="AF71"/>
  <c r="N71"/>
  <c r="AB71"/>
  <c r="V71"/>
  <c r="T71"/>
  <c r="AD71"/>
  <c r="D71"/>
  <c r="J71"/>
  <c r="F71"/>
  <c r="H71"/>
  <c r="L71"/>
  <c r="R71"/>
  <c r="X74"/>
  <c r="H74"/>
  <c r="AD74"/>
  <c r="N74"/>
  <c r="AF74"/>
  <c r="P74"/>
  <c r="Z74"/>
  <c r="F74"/>
  <c r="V74"/>
  <c r="AB74"/>
  <c r="R74"/>
  <c r="T74"/>
  <c r="J74"/>
  <c r="D74"/>
  <c r="L74"/>
  <c r="Z3" i="9"/>
  <c r="C7" i="20" s="1"/>
  <c r="T3" i="9"/>
  <c r="C12" i="20" s="1"/>
  <c r="AB3" i="9"/>
  <c r="C6" i="20" s="1"/>
  <c r="AF3" i="9"/>
  <c r="C8" i="20" s="1"/>
  <c r="V3" i="22"/>
  <c r="E26" i="20" s="1"/>
  <c r="H3" i="22"/>
  <c r="E31" i="20" s="1"/>
  <c r="X25" i="21"/>
  <c r="N25"/>
  <c r="D25"/>
  <c r="AD25"/>
  <c r="AB25"/>
  <c r="P25"/>
  <c r="F25"/>
  <c r="T25"/>
  <c r="AF25"/>
  <c r="V25"/>
  <c r="L25"/>
  <c r="Z25"/>
  <c r="H25"/>
  <c r="J25"/>
  <c r="R25"/>
  <c r="AD73"/>
  <c r="N73"/>
  <c r="AF73"/>
  <c r="P73"/>
  <c r="Z73"/>
  <c r="V73"/>
  <c r="F73"/>
  <c r="H73"/>
  <c r="X73"/>
  <c r="AB73"/>
  <c r="T73"/>
  <c r="D73"/>
  <c r="J73"/>
  <c r="R73"/>
  <c r="L73"/>
  <c r="X70"/>
  <c r="H70"/>
  <c r="AD70"/>
  <c r="N70"/>
  <c r="AF70"/>
  <c r="P70"/>
  <c r="Z70"/>
  <c r="F70"/>
  <c r="V70"/>
  <c r="AB70"/>
  <c r="R70"/>
  <c r="T70"/>
  <c r="J70"/>
  <c r="D70"/>
  <c r="L70"/>
  <c r="AF20"/>
  <c r="AB20"/>
  <c r="H20"/>
  <c r="X20"/>
  <c r="P20"/>
  <c r="F20"/>
  <c r="L20"/>
  <c r="Z20"/>
  <c r="AD20"/>
  <c r="J20"/>
  <c r="N20"/>
  <c r="T20"/>
  <c r="R20"/>
  <c r="V20"/>
  <c r="AF68"/>
  <c r="P68"/>
  <c r="Z68"/>
  <c r="V68"/>
  <c r="F68"/>
  <c r="X68"/>
  <c r="H68"/>
  <c r="N68"/>
  <c r="AD68"/>
  <c r="AB68"/>
  <c r="R68"/>
  <c r="T68"/>
  <c r="J68"/>
  <c r="D68"/>
  <c r="L68"/>
  <c r="F19"/>
  <c r="AD19"/>
  <c r="N19"/>
  <c r="R19"/>
  <c r="V19"/>
  <c r="J19"/>
  <c r="Z19"/>
  <c r="AB19"/>
  <c r="AF19"/>
  <c r="X19"/>
  <c r="T19"/>
  <c r="H19"/>
  <c r="P19"/>
  <c r="L19"/>
  <c r="P67"/>
  <c r="AF67"/>
  <c r="F67"/>
  <c r="AB67"/>
  <c r="AD67"/>
  <c r="T67"/>
  <c r="V67"/>
  <c r="H67"/>
  <c r="D67"/>
  <c r="J67"/>
  <c r="Z67"/>
  <c r="X67"/>
  <c r="L67"/>
  <c r="N67"/>
  <c r="R67"/>
  <c r="AF21"/>
  <c r="V21"/>
  <c r="J21"/>
  <c r="P21"/>
  <c r="X21"/>
  <c r="N21"/>
  <c r="AB21"/>
  <c r="F21"/>
  <c r="AD21"/>
  <c r="R21"/>
  <c r="H21"/>
  <c r="Z21"/>
  <c r="L21"/>
  <c r="T21"/>
  <c r="AF37"/>
  <c r="V37"/>
  <c r="L37"/>
  <c r="Z37"/>
  <c r="X37"/>
  <c r="N37"/>
  <c r="D37"/>
  <c r="AB37"/>
  <c r="P37"/>
  <c r="F37"/>
  <c r="AD37"/>
  <c r="T37"/>
  <c r="H37"/>
  <c r="J37"/>
  <c r="R37"/>
  <c r="V53"/>
  <c r="F53"/>
  <c r="X53"/>
  <c r="H53"/>
  <c r="AD53"/>
  <c r="N53"/>
  <c r="P53"/>
  <c r="AF53"/>
  <c r="Z53"/>
  <c r="AB53"/>
  <c r="T53"/>
  <c r="D53"/>
  <c r="J53"/>
  <c r="R53"/>
  <c r="L53"/>
  <c r="AD69"/>
  <c r="N69"/>
  <c r="AF69"/>
  <c r="P69"/>
  <c r="Z69"/>
  <c r="V69"/>
  <c r="F69"/>
  <c r="X69"/>
  <c r="H69"/>
  <c r="AB69"/>
  <c r="T69"/>
  <c r="D69"/>
  <c r="J69"/>
  <c r="R69"/>
  <c r="L69"/>
  <c r="B5" i="9"/>
  <c r="AD30" i="21"/>
  <c r="T30"/>
  <c r="H30"/>
  <c r="AF30"/>
  <c r="V30"/>
  <c r="L30"/>
  <c r="Z30"/>
  <c r="X30"/>
  <c r="N30"/>
  <c r="D30"/>
  <c r="P30"/>
  <c r="F30"/>
  <c r="AB30"/>
  <c r="R30"/>
  <c r="J30"/>
  <c r="AF58"/>
  <c r="P58"/>
  <c r="Z58"/>
  <c r="V58"/>
  <c r="F58"/>
  <c r="X58"/>
  <c r="H58"/>
  <c r="AD58"/>
  <c r="N58"/>
  <c r="AB58"/>
  <c r="R58"/>
  <c r="T58"/>
  <c r="J58"/>
  <c r="D58"/>
  <c r="L58"/>
  <c r="P16"/>
  <c r="AF16"/>
  <c r="X16"/>
  <c r="AB16"/>
  <c r="H16"/>
  <c r="J16"/>
  <c r="N16"/>
  <c r="T16"/>
  <c r="F16"/>
  <c r="L16"/>
  <c r="R16"/>
  <c r="V16"/>
  <c r="AD16"/>
  <c r="Z16"/>
  <c r="X32"/>
  <c r="N32"/>
  <c r="D32"/>
  <c r="AB32"/>
  <c r="P32"/>
  <c r="F32"/>
  <c r="AD32"/>
  <c r="T32"/>
  <c r="H32"/>
  <c r="Z32"/>
  <c r="L32"/>
  <c r="AF32"/>
  <c r="V32"/>
  <c r="R32"/>
  <c r="J32"/>
  <c r="V48"/>
  <c r="F48"/>
  <c r="X48"/>
  <c r="H48"/>
  <c r="AD48"/>
  <c r="N48"/>
  <c r="AF48"/>
  <c r="Z48"/>
  <c r="P48"/>
  <c r="AB48"/>
  <c r="R48"/>
  <c r="T48"/>
  <c r="J48"/>
  <c r="D48"/>
  <c r="L48"/>
  <c r="AD64"/>
  <c r="N64"/>
  <c r="AF64"/>
  <c r="P64"/>
  <c r="Z64"/>
  <c r="V64"/>
  <c r="F64"/>
  <c r="X64"/>
  <c r="H64"/>
  <c r="AB64"/>
  <c r="R64"/>
  <c r="T64"/>
  <c r="J64"/>
  <c r="D64"/>
  <c r="L64"/>
  <c r="V80"/>
  <c r="F80"/>
  <c r="X80"/>
  <c r="H80"/>
  <c r="AD80"/>
  <c r="N80"/>
  <c r="P80"/>
  <c r="Z80"/>
  <c r="AF80"/>
  <c r="AB80"/>
  <c r="R80"/>
  <c r="T80"/>
  <c r="J80"/>
  <c r="D80"/>
  <c r="L80"/>
  <c r="AD46"/>
  <c r="N46"/>
  <c r="AF46"/>
  <c r="P46"/>
  <c r="Z46"/>
  <c r="V46"/>
  <c r="F46"/>
  <c r="H46"/>
  <c r="X46"/>
  <c r="AB46"/>
  <c r="R46"/>
  <c r="T46"/>
  <c r="J46"/>
  <c r="D46"/>
  <c r="L46"/>
  <c r="V15"/>
  <c r="AD15"/>
  <c r="N15"/>
  <c r="Z15"/>
  <c r="F15"/>
  <c r="H15"/>
  <c r="L15"/>
  <c r="AF15"/>
  <c r="R15"/>
  <c r="P15"/>
  <c r="T15"/>
  <c r="X15"/>
  <c r="J15"/>
  <c r="AB15"/>
  <c r="AD31"/>
  <c r="D31"/>
  <c r="F31"/>
  <c r="X31"/>
  <c r="P31"/>
  <c r="N31"/>
  <c r="L31"/>
  <c r="Z31"/>
  <c r="V31"/>
  <c r="H31"/>
  <c r="J31"/>
  <c r="T31"/>
  <c r="R31"/>
  <c r="AB31"/>
  <c r="AF31"/>
  <c r="X47"/>
  <c r="P47"/>
  <c r="Z47"/>
  <c r="V47"/>
  <c r="AF47"/>
  <c r="F47"/>
  <c r="N47"/>
  <c r="H47"/>
  <c r="AB47"/>
  <c r="T47"/>
  <c r="AD47"/>
  <c r="D47"/>
  <c r="J47"/>
  <c r="L47"/>
  <c r="R47"/>
  <c r="X63"/>
  <c r="P63"/>
  <c r="Z63"/>
  <c r="AF63"/>
  <c r="N63"/>
  <c r="H63"/>
  <c r="AB63"/>
  <c r="V63"/>
  <c r="T63"/>
  <c r="AD63"/>
  <c r="D63"/>
  <c r="J63"/>
  <c r="F63"/>
  <c r="L63"/>
  <c r="R63"/>
  <c r="X79"/>
  <c r="P79"/>
  <c r="AF79"/>
  <c r="N79"/>
  <c r="H79"/>
  <c r="AB79"/>
  <c r="V79"/>
  <c r="T79"/>
  <c r="AD79"/>
  <c r="D79"/>
  <c r="J79"/>
  <c r="Z79"/>
  <c r="L79"/>
  <c r="R79"/>
  <c r="F79"/>
  <c r="Z42"/>
  <c r="AD42"/>
  <c r="F42"/>
  <c r="P42"/>
  <c r="H42"/>
  <c r="AB42"/>
  <c r="N42"/>
  <c r="AF42"/>
  <c r="D42"/>
  <c r="V42"/>
  <c r="R42"/>
  <c r="T42"/>
  <c r="X42"/>
  <c r="L42"/>
  <c r="J42"/>
  <c r="J3" i="9"/>
  <c r="C13" i="20" s="1"/>
  <c r="V3" i="9"/>
  <c r="C10" i="20" s="1"/>
  <c r="N3" i="9"/>
  <c r="C16" i="20" s="1"/>
  <c r="Z41" i="21"/>
  <c r="AD41"/>
  <c r="F41"/>
  <c r="P41"/>
  <c r="AB41"/>
  <c r="V41"/>
  <c r="R41"/>
  <c r="D41"/>
  <c r="X41"/>
  <c r="J41"/>
  <c r="T41"/>
  <c r="AF41"/>
  <c r="H41"/>
  <c r="L41"/>
  <c r="N41"/>
  <c r="AF14"/>
  <c r="T14"/>
  <c r="F14"/>
  <c r="H14"/>
  <c r="AD14"/>
  <c r="L14"/>
  <c r="Z14"/>
  <c r="AB14"/>
  <c r="N14"/>
  <c r="J14"/>
  <c r="P14"/>
  <c r="X14"/>
  <c r="V14"/>
  <c r="R14"/>
  <c r="X36"/>
  <c r="N36"/>
  <c r="D36"/>
  <c r="AB36"/>
  <c r="P36"/>
  <c r="F36"/>
  <c r="AD36"/>
  <c r="T36"/>
  <c r="H36"/>
  <c r="V36"/>
  <c r="Z36"/>
  <c r="AF36"/>
  <c r="L36"/>
  <c r="R36"/>
  <c r="J36"/>
  <c r="N84"/>
  <c r="AF84"/>
  <c r="V84"/>
  <c r="X84"/>
  <c r="F84"/>
  <c r="H84"/>
  <c r="AD84"/>
  <c r="AB84"/>
  <c r="R84"/>
  <c r="P84"/>
  <c r="T84"/>
  <c r="J84"/>
  <c r="D84"/>
  <c r="Z84"/>
  <c r="L84"/>
  <c r="D35"/>
  <c r="X35"/>
  <c r="AD35"/>
  <c r="P35"/>
  <c r="N35"/>
  <c r="F35"/>
  <c r="AB35"/>
  <c r="L35"/>
  <c r="T35"/>
  <c r="Z35"/>
  <c r="H35"/>
  <c r="V35"/>
  <c r="J35"/>
  <c r="AF35"/>
  <c r="R35"/>
  <c r="P83"/>
  <c r="AF83"/>
  <c r="X83"/>
  <c r="F83"/>
  <c r="AB83"/>
  <c r="Z83"/>
  <c r="AD83"/>
  <c r="T83"/>
  <c r="V83"/>
  <c r="H83"/>
  <c r="D83"/>
  <c r="J83"/>
  <c r="N83"/>
  <c r="L83"/>
  <c r="R83"/>
  <c r="Z17"/>
  <c r="P17"/>
  <c r="F17"/>
  <c r="AF17"/>
  <c r="AD17"/>
  <c r="R17"/>
  <c r="H17"/>
  <c r="V17"/>
  <c r="X17"/>
  <c r="N17"/>
  <c r="AB17"/>
  <c r="J17"/>
  <c r="T17"/>
  <c r="L17"/>
  <c r="AF33"/>
  <c r="V33"/>
  <c r="L33"/>
  <c r="Z33"/>
  <c r="X33"/>
  <c r="N33"/>
  <c r="D33"/>
  <c r="AB33"/>
  <c r="P33"/>
  <c r="F33"/>
  <c r="H33"/>
  <c r="T33"/>
  <c r="AD33"/>
  <c r="J33"/>
  <c r="R33"/>
  <c r="AF49"/>
  <c r="P49"/>
  <c r="Z49"/>
  <c r="V49"/>
  <c r="F49"/>
  <c r="X49"/>
  <c r="H49"/>
  <c r="N49"/>
  <c r="AD49"/>
  <c r="AB49"/>
  <c r="T49"/>
  <c r="D49"/>
  <c r="J49"/>
  <c r="R49"/>
  <c r="L49"/>
  <c r="X65"/>
  <c r="H65"/>
  <c r="AD65"/>
  <c r="N65"/>
  <c r="AF65"/>
  <c r="P65"/>
  <c r="Z65"/>
  <c r="F65"/>
  <c r="V65"/>
  <c r="AB65"/>
  <c r="T65"/>
  <c r="D65"/>
  <c r="J65"/>
  <c r="R65"/>
  <c r="L65"/>
  <c r="AF81"/>
  <c r="P81"/>
  <c r="Z81"/>
  <c r="V81"/>
  <c r="F81"/>
  <c r="X81"/>
  <c r="H81"/>
  <c r="N81"/>
  <c r="AD81"/>
  <c r="AB81"/>
  <c r="T81"/>
  <c r="D81"/>
  <c r="J81"/>
  <c r="R81"/>
  <c r="L81"/>
  <c r="AF22"/>
  <c r="V22"/>
  <c r="J22"/>
  <c r="X22"/>
  <c r="N22"/>
  <c r="P22"/>
  <c r="L22"/>
  <c r="AD22"/>
  <c r="R22"/>
  <c r="AB22"/>
  <c r="Z22"/>
  <c r="H22"/>
  <c r="F22"/>
  <c r="T22"/>
  <c r="AF54"/>
  <c r="P54"/>
  <c r="Z54"/>
  <c r="V54"/>
  <c r="F54"/>
  <c r="X54"/>
  <c r="H54"/>
  <c r="N54"/>
  <c r="AD54"/>
  <c r="AB54"/>
  <c r="R54"/>
  <c r="T54"/>
  <c r="J54"/>
  <c r="D54"/>
  <c r="L54"/>
  <c r="AF12"/>
  <c r="AB12"/>
  <c r="H12"/>
  <c r="X12"/>
  <c r="P12"/>
  <c r="R12"/>
  <c r="AD12"/>
  <c r="J12"/>
  <c r="V12"/>
  <c r="T12"/>
  <c r="Z12"/>
  <c r="F12"/>
  <c r="L12"/>
  <c r="N12"/>
  <c r="X28"/>
  <c r="N28"/>
  <c r="D28"/>
  <c r="AB28"/>
  <c r="P28"/>
  <c r="F28"/>
  <c r="AD28"/>
  <c r="T28"/>
  <c r="H28"/>
  <c r="V28"/>
  <c r="AF28"/>
  <c r="L28"/>
  <c r="Z28"/>
  <c r="R28"/>
  <c r="J28"/>
  <c r="P44"/>
  <c r="V44"/>
  <c r="AD44"/>
  <c r="Z44"/>
  <c r="F44"/>
  <c r="J44"/>
  <c r="H44"/>
  <c r="AB44"/>
  <c r="N44"/>
  <c r="D44"/>
  <c r="AF44"/>
  <c r="R44"/>
  <c r="T44"/>
  <c r="X44"/>
  <c r="L44"/>
  <c r="AD60"/>
  <c r="N60"/>
  <c r="AF60"/>
  <c r="P60"/>
  <c r="Z60"/>
  <c r="V60"/>
  <c r="F60"/>
  <c r="X60"/>
  <c r="H60"/>
  <c r="AB60"/>
  <c r="R60"/>
  <c r="T60"/>
  <c r="J60"/>
  <c r="D60"/>
  <c r="L60"/>
  <c r="V76"/>
  <c r="F76"/>
  <c r="X76"/>
  <c r="H76"/>
  <c r="AD76"/>
  <c r="N76"/>
  <c r="AF76"/>
  <c r="P76"/>
  <c r="Z76"/>
  <c r="AB76"/>
  <c r="R76"/>
  <c r="T76"/>
  <c r="J76"/>
  <c r="D76"/>
  <c r="L76"/>
  <c r="AF26"/>
  <c r="V26"/>
  <c r="L26"/>
  <c r="Z26"/>
  <c r="AB26"/>
  <c r="X26"/>
  <c r="N26"/>
  <c r="D26"/>
  <c r="P26"/>
  <c r="AD26"/>
  <c r="T26"/>
  <c r="H26"/>
  <c r="F26"/>
  <c r="R26"/>
  <c r="J26"/>
  <c r="AB11"/>
  <c r="Z11"/>
  <c r="R11"/>
  <c r="V11"/>
  <c r="J11"/>
  <c r="N11"/>
  <c r="P11"/>
  <c r="T11"/>
  <c r="F11"/>
  <c r="AD11"/>
  <c r="H11"/>
  <c r="L11"/>
  <c r="X11"/>
  <c r="AF11"/>
  <c r="D27"/>
  <c r="X27"/>
  <c r="H27"/>
  <c r="AD27"/>
  <c r="AB27"/>
  <c r="F27"/>
  <c r="N27"/>
  <c r="L27"/>
  <c r="Z27"/>
  <c r="P27"/>
  <c r="V27"/>
  <c r="J27"/>
  <c r="T27"/>
  <c r="AF27"/>
  <c r="R27"/>
  <c r="Z43"/>
  <c r="J43"/>
  <c r="P43"/>
  <c r="AB43"/>
  <c r="F43"/>
  <c r="AD43"/>
  <c r="R43"/>
  <c r="D43"/>
  <c r="X43"/>
  <c r="T43"/>
  <c r="V43"/>
  <c r="N43"/>
  <c r="H43"/>
  <c r="L43"/>
  <c r="AF43"/>
  <c r="P59"/>
  <c r="Z59"/>
  <c r="X59"/>
  <c r="F59"/>
  <c r="AB59"/>
  <c r="AD59"/>
  <c r="H59"/>
  <c r="T59"/>
  <c r="AF59"/>
  <c r="V59"/>
  <c r="D59"/>
  <c r="J59"/>
  <c r="L59"/>
  <c r="N59"/>
  <c r="R59"/>
  <c r="P75"/>
  <c r="Z75"/>
  <c r="AF75"/>
  <c r="F75"/>
  <c r="AB75"/>
  <c r="AD75"/>
  <c r="H75"/>
  <c r="T75"/>
  <c r="X75"/>
  <c r="V75"/>
  <c r="D75"/>
  <c r="J75"/>
  <c r="N75"/>
  <c r="L75"/>
  <c r="R75"/>
  <c r="AD34"/>
  <c r="T34"/>
  <c r="H34"/>
  <c r="AF34"/>
  <c r="V34"/>
  <c r="L34"/>
  <c r="Z34"/>
  <c r="X34"/>
  <c r="N34"/>
  <c r="D34"/>
  <c r="P34"/>
  <c r="AB34"/>
  <c r="F34"/>
  <c r="R34"/>
  <c r="J34"/>
  <c r="R3" i="9"/>
  <c r="C17" i="20" s="1"/>
  <c r="D3" i="9"/>
  <c r="C4" i="20" s="1"/>
  <c r="L3" i="9"/>
  <c r="C5" i="20" s="1"/>
  <c r="X3" i="9"/>
  <c r="C9" i="20" s="1"/>
  <c r="H3" i="9"/>
  <c r="C14" i="20" s="1"/>
  <c r="AD3" i="9"/>
  <c r="C11" i="20" s="1"/>
  <c r="T4" i="8"/>
  <c r="T5"/>
  <c r="T6"/>
  <c r="AJ10" i="3"/>
  <c r="AB3" i="21" l="1"/>
  <c r="C20" i="20" s="1"/>
  <c r="F20" s="1"/>
  <c r="AF6" i="21"/>
  <c r="V6"/>
  <c r="L6"/>
  <c r="R6"/>
  <c r="T6"/>
  <c r="X6"/>
  <c r="N6"/>
  <c r="J6"/>
  <c r="P6"/>
  <c r="AD6"/>
  <c r="AB6"/>
  <c r="Z6"/>
  <c r="F6"/>
  <c r="H6"/>
  <c r="Z3"/>
  <c r="C21" i="20" s="1"/>
  <c r="F21" s="1"/>
  <c r="T3" i="21"/>
  <c r="C26" i="20" s="1"/>
  <c r="F26" s="1"/>
  <c r="AD3" i="21"/>
  <c r="C25" i="20" s="1"/>
  <c r="F25" s="1"/>
  <c r="R3" i="21"/>
  <c r="C34" i="20" s="1"/>
  <c r="F34" s="1"/>
  <c r="L3" i="21"/>
  <c r="C22" i="20" s="1"/>
  <c r="F22" s="1"/>
  <c r="F3" i="21"/>
  <c r="C32" i="20" s="1"/>
  <c r="F32" s="1"/>
  <c r="D3" i="21"/>
  <c r="C24" i="20" s="1"/>
  <c r="F24" s="1"/>
  <c r="X3" i="21"/>
  <c r="C30" i="20" s="1"/>
  <c r="F30" s="1"/>
  <c r="H3" i="21"/>
  <c r="C31" i="20" s="1"/>
  <c r="F31" s="1"/>
  <c r="AF3" i="21"/>
  <c r="C27" i="20" s="1"/>
  <c r="F27" s="1"/>
  <c r="J3" i="21"/>
  <c r="C28" i="20" s="1"/>
  <c r="F28" s="1"/>
  <c r="V3" i="21"/>
  <c r="C29" i="20" s="1"/>
  <c r="F29" s="1"/>
  <c r="P3" i="21"/>
  <c r="C23" i="20" s="1"/>
  <c r="F23" s="1"/>
  <c r="N3" i="21"/>
  <c r="C33" i="20" s="1"/>
  <c r="F33" s="1"/>
  <c r="Z9" i="21" l="1"/>
  <c r="P9"/>
  <c r="F9"/>
  <c r="AF9"/>
  <c r="J9"/>
  <c r="AD9"/>
  <c r="R9"/>
  <c r="H9"/>
  <c r="V9"/>
  <c r="X9"/>
  <c r="N9"/>
  <c r="AB9"/>
  <c r="L9"/>
  <c r="T9"/>
  <c r="J6" i="9"/>
  <c r="P6"/>
  <c r="X6"/>
  <c r="V6"/>
  <c r="N6"/>
  <c r="T6"/>
  <c r="Z6"/>
  <c r="H6"/>
  <c r="F6"/>
  <c r="AF6"/>
  <c r="AB6"/>
  <c r="R6"/>
  <c r="AD6"/>
  <c r="L6"/>
  <c r="J7" i="21"/>
  <c r="R7"/>
  <c r="N7"/>
  <c r="AB7"/>
  <c r="V7"/>
  <c r="AD7"/>
  <c r="X7"/>
  <c r="Z7"/>
  <c r="F7"/>
  <c r="P7"/>
  <c r="T7"/>
  <c r="AF7"/>
  <c r="L7"/>
  <c r="H7"/>
  <c r="P8"/>
  <c r="X8"/>
  <c r="AB8"/>
  <c r="H8"/>
  <c r="AF8"/>
  <c r="Z8"/>
  <c r="F8"/>
  <c r="R8"/>
  <c r="AD8"/>
  <c r="N8"/>
  <c r="L8"/>
  <c r="V8"/>
  <c r="J8"/>
  <c r="T8"/>
  <c r="AB7" i="9" l="1"/>
  <c r="AF7"/>
  <c r="R7"/>
  <c r="H7"/>
  <c r="J7"/>
  <c r="AD7"/>
  <c r="N7"/>
  <c r="T7"/>
  <c r="P7"/>
  <c r="F7"/>
  <c r="Z7"/>
  <c r="V7"/>
  <c r="L7"/>
  <c r="X7"/>
  <c r="H9"/>
  <c r="V9"/>
  <c r="L9"/>
  <c r="Z9"/>
  <c r="X9"/>
  <c r="AB9"/>
  <c r="AF9"/>
  <c r="N9"/>
  <c r="AD9"/>
  <c r="J9"/>
  <c r="F9"/>
  <c r="P9"/>
  <c r="T9"/>
  <c r="R9"/>
  <c r="V8"/>
  <c r="N8"/>
  <c r="H8"/>
  <c r="T8"/>
  <c r="Z8"/>
  <c r="X8"/>
  <c r="P8"/>
  <c r="F8"/>
  <c r="AD8"/>
  <c r="R8"/>
  <c r="J8"/>
  <c r="L8"/>
  <c r="AF8"/>
  <c r="AB8"/>
  <c r="AD73" i="19"/>
  <c r="AB73"/>
  <c r="Z73"/>
  <c r="T73"/>
  <c r="P73"/>
  <c r="N73"/>
  <c r="X73"/>
  <c r="L73"/>
  <c r="J73"/>
  <c r="D73"/>
  <c r="R73"/>
  <c r="AF73"/>
  <c r="H73"/>
  <c r="F73"/>
  <c r="V73"/>
  <c r="AD99"/>
  <c r="AB99"/>
  <c r="T99"/>
  <c r="P99"/>
  <c r="N99"/>
  <c r="Z99"/>
  <c r="X99"/>
  <c r="L99"/>
  <c r="D99"/>
  <c r="R99"/>
  <c r="AF99"/>
  <c r="J99"/>
  <c r="H99"/>
  <c r="F99"/>
  <c r="V99"/>
  <c r="AD97"/>
  <c r="AB97"/>
  <c r="T97"/>
  <c r="P97"/>
  <c r="N97"/>
  <c r="Z97"/>
  <c r="X97"/>
  <c r="L97"/>
  <c r="D97"/>
  <c r="R97"/>
  <c r="AF97"/>
  <c r="J97"/>
  <c r="H97"/>
  <c r="F97"/>
  <c r="V97"/>
  <c r="AD95"/>
  <c r="AB95"/>
  <c r="T95"/>
  <c r="P95"/>
  <c r="N95"/>
  <c r="Z95"/>
  <c r="X95"/>
  <c r="L95"/>
  <c r="D95"/>
  <c r="R95"/>
  <c r="AF95"/>
  <c r="J95"/>
  <c r="H95"/>
  <c r="F95"/>
  <c r="V95"/>
  <c r="AD92"/>
  <c r="AB92"/>
  <c r="T92"/>
  <c r="Z92"/>
  <c r="AF92"/>
  <c r="V92"/>
  <c r="H92"/>
  <c r="L92"/>
  <c r="D92"/>
  <c r="J92"/>
  <c r="P92"/>
  <c r="F92"/>
  <c r="R92"/>
  <c r="X92"/>
  <c r="N92"/>
  <c r="AD90"/>
  <c r="AB90"/>
  <c r="T90"/>
  <c r="Z90"/>
  <c r="AF90"/>
  <c r="V90"/>
  <c r="H90"/>
  <c r="L90"/>
  <c r="D90"/>
  <c r="J90"/>
  <c r="P90"/>
  <c r="F90"/>
  <c r="R90"/>
  <c r="X90"/>
  <c r="N90"/>
  <c r="AD88"/>
  <c r="AB88"/>
  <c r="T88"/>
  <c r="Z88"/>
  <c r="AF88"/>
  <c r="V88"/>
  <c r="H88"/>
  <c r="L88"/>
  <c r="D88"/>
  <c r="J88"/>
  <c r="P88"/>
  <c r="F88"/>
  <c r="R88"/>
  <c r="X88"/>
  <c r="N88"/>
  <c r="AD86"/>
  <c r="AB86"/>
  <c r="D86"/>
  <c r="J86"/>
  <c r="P86"/>
  <c r="F86"/>
  <c r="H86"/>
  <c r="L86"/>
  <c r="R86"/>
  <c r="T86"/>
  <c r="Z86"/>
  <c r="AF86"/>
  <c r="V86"/>
  <c r="X86"/>
  <c r="N86"/>
  <c r="AD84"/>
  <c r="AB84"/>
  <c r="D84"/>
  <c r="J84"/>
  <c r="P84"/>
  <c r="F84"/>
  <c r="H84"/>
  <c r="L84"/>
  <c r="R84"/>
  <c r="T84"/>
  <c r="Z84"/>
  <c r="AF84"/>
  <c r="V84"/>
  <c r="X84"/>
  <c r="N84"/>
  <c r="AD82"/>
  <c r="AB82"/>
  <c r="D82"/>
  <c r="J82"/>
  <c r="P82"/>
  <c r="F82"/>
  <c r="H82"/>
  <c r="L82"/>
  <c r="R82"/>
  <c r="T82"/>
  <c r="Z82"/>
  <c r="AF82"/>
  <c r="V82"/>
  <c r="X82"/>
  <c r="N82"/>
  <c r="AD80"/>
  <c r="AB80"/>
  <c r="D80"/>
  <c r="J80"/>
  <c r="P80"/>
  <c r="F80"/>
  <c r="H80"/>
  <c r="L80"/>
  <c r="R80"/>
  <c r="T80"/>
  <c r="Z80"/>
  <c r="AF80"/>
  <c r="V80"/>
  <c r="X80"/>
  <c r="N80"/>
  <c r="AD78"/>
  <c r="AB78"/>
  <c r="D78"/>
  <c r="J78"/>
  <c r="P78"/>
  <c r="F78"/>
  <c r="H78"/>
  <c r="L78"/>
  <c r="R78"/>
  <c r="T78"/>
  <c r="Z78"/>
  <c r="AF78"/>
  <c r="V78"/>
  <c r="X78"/>
  <c r="N78"/>
  <c r="AD76"/>
  <c r="AB76"/>
  <c r="D76"/>
  <c r="J76"/>
  <c r="P76"/>
  <c r="F76"/>
  <c r="H76"/>
  <c r="L76"/>
  <c r="R76"/>
  <c r="T76"/>
  <c r="Z76"/>
  <c r="AF76"/>
  <c r="V76"/>
  <c r="X76"/>
  <c r="N76"/>
  <c r="AD74"/>
  <c r="AB74"/>
  <c r="D74"/>
  <c r="J74"/>
  <c r="P74"/>
  <c r="F74"/>
  <c r="H74"/>
  <c r="L74"/>
  <c r="R74"/>
  <c r="T74"/>
  <c r="Z74"/>
  <c r="AF74"/>
  <c r="V74"/>
  <c r="X74"/>
  <c r="N74"/>
  <c r="AD71"/>
  <c r="AB71"/>
  <c r="Z71"/>
  <c r="T71"/>
  <c r="P71"/>
  <c r="N71"/>
  <c r="X71"/>
  <c r="L71"/>
  <c r="J71"/>
  <c r="D71"/>
  <c r="R71"/>
  <c r="AF71"/>
  <c r="H71"/>
  <c r="F71"/>
  <c r="V71"/>
  <c r="AD70"/>
  <c r="AB70"/>
  <c r="D70"/>
  <c r="J70"/>
  <c r="P70"/>
  <c r="F70"/>
  <c r="H70"/>
  <c r="L70"/>
  <c r="R70"/>
  <c r="T70"/>
  <c r="Z70"/>
  <c r="AF70"/>
  <c r="V70"/>
  <c r="X70"/>
  <c r="N70"/>
  <c r="AD68"/>
  <c r="AB68"/>
  <c r="D68"/>
  <c r="J68"/>
  <c r="P68"/>
  <c r="F68"/>
  <c r="H68"/>
  <c r="L68"/>
  <c r="R68"/>
  <c r="T68"/>
  <c r="Z68"/>
  <c r="AF68"/>
  <c r="V68"/>
  <c r="X68"/>
  <c r="N68"/>
  <c r="AD66"/>
  <c r="AB66"/>
  <c r="D66"/>
  <c r="J66"/>
  <c r="P66"/>
  <c r="F66"/>
  <c r="H66"/>
  <c r="L66"/>
  <c r="R66"/>
  <c r="T66"/>
  <c r="Z66"/>
  <c r="AF66"/>
  <c r="V66"/>
  <c r="X66"/>
  <c r="N66"/>
  <c r="AD64"/>
  <c r="AB64"/>
  <c r="D64"/>
  <c r="J64"/>
  <c r="P64"/>
  <c r="F64"/>
  <c r="H64"/>
  <c r="L64"/>
  <c r="R64"/>
  <c r="T64"/>
  <c r="Z64"/>
  <c r="AF64"/>
  <c r="V64"/>
  <c r="X64"/>
  <c r="N64"/>
  <c r="AD62"/>
  <c r="AB62"/>
  <c r="D62"/>
  <c r="J62"/>
  <c r="P62"/>
  <c r="F62"/>
  <c r="H62"/>
  <c r="L62"/>
  <c r="R62"/>
  <c r="T62"/>
  <c r="Z62"/>
  <c r="AF62"/>
  <c r="V62"/>
  <c r="X62"/>
  <c r="N62"/>
  <c r="R59"/>
  <c r="Z59"/>
  <c r="F59"/>
  <c r="H59"/>
  <c r="D59"/>
  <c r="N59"/>
  <c r="P59"/>
  <c r="J59"/>
  <c r="V59"/>
  <c r="X59"/>
  <c r="T59"/>
  <c r="AD59"/>
  <c r="AF59"/>
  <c r="AB59"/>
  <c r="L59"/>
  <c r="V51"/>
  <c r="AF51"/>
  <c r="T51"/>
  <c r="J51"/>
  <c r="AB51"/>
  <c r="R51"/>
  <c r="N51"/>
  <c r="Z51"/>
  <c r="P51"/>
  <c r="D51"/>
  <c r="F51"/>
  <c r="X51"/>
  <c r="L51"/>
  <c r="H51"/>
  <c r="AD51"/>
  <c r="V47"/>
  <c r="P47"/>
  <c r="D47"/>
  <c r="AF47"/>
  <c r="AB47"/>
  <c r="R47"/>
  <c r="N47"/>
  <c r="J47"/>
  <c r="T47"/>
  <c r="Z47"/>
  <c r="F47"/>
  <c r="X47"/>
  <c r="L47"/>
  <c r="H47"/>
  <c r="AD47"/>
  <c r="Z41"/>
  <c r="P41"/>
  <c r="D41"/>
  <c r="J41"/>
  <c r="AB41"/>
  <c r="R41"/>
  <c r="N41"/>
  <c r="V41"/>
  <c r="T41"/>
  <c r="AF41"/>
  <c r="F41"/>
  <c r="X41"/>
  <c r="L41"/>
  <c r="H41"/>
  <c r="AD41"/>
  <c r="Z24"/>
  <c r="AF24"/>
  <c r="X24"/>
  <c r="AD24"/>
  <c r="AB24"/>
  <c r="F24"/>
  <c r="T24"/>
  <c r="R24"/>
  <c r="P24"/>
  <c r="H24"/>
  <c r="N24"/>
  <c r="L24"/>
  <c r="J24"/>
  <c r="V24"/>
  <c r="AF19"/>
  <c r="F19"/>
  <c r="J19"/>
  <c r="AD19"/>
  <c r="H19"/>
  <c r="L19"/>
  <c r="R19"/>
  <c r="Z19"/>
  <c r="V19"/>
  <c r="N19"/>
  <c r="T19"/>
  <c r="X19"/>
  <c r="AB19"/>
  <c r="P19"/>
  <c r="AF15"/>
  <c r="AD15"/>
  <c r="V15"/>
  <c r="AB15"/>
  <c r="P15"/>
  <c r="J15"/>
  <c r="H15"/>
  <c r="X15"/>
  <c r="N15"/>
  <c r="F15"/>
  <c r="L15"/>
  <c r="R15"/>
  <c r="T15"/>
  <c r="Z15"/>
  <c r="L93"/>
  <c r="D93"/>
  <c r="R93"/>
  <c r="AF93"/>
  <c r="J93"/>
  <c r="H93"/>
  <c r="F93"/>
  <c r="V93"/>
  <c r="AD93"/>
  <c r="AB93"/>
  <c r="T93"/>
  <c r="P93"/>
  <c r="N93"/>
  <c r="Z93"/>
  <c r="X93"/>
  <c r="L98"/>
  <c r="D98"/>
  <c r="J98"/>
  <c r="P98"/>
  <c r="F98"/>
  <c r="R98"/>
  <c r="X98"/>
  <c r="N98"/>
  <c r="AD98"/>
  <c r="AB98"/>
  <c r="T98"/>
  <c r="Z98"/>
  <c r="AF98"/>
  <c r="V98"/>
  <c r="H98"/>
  <c r="L96"/>
  <c r="D96"/>
  <c r="J96"/>
  <c r="P96"/>
  <c r="F96"/>
  <c r="R96"/>
  <c r="X96"/>
  <c r="N96"/>
  <c r="AD96"/>
  <c r="AB96"/>
  <c r="T96"/>
  <c r="Z96"/>
  <c r="AF96"/>
  <c r="V96"/>
  <c r="H96"/>
  <c r="L94"/>
  <c r="D94"/>
  <c r="J94"/>
  <c r="P94"/>
  <c r="F94"/>
  <c r="R94"/>
  <c r="X94"/>
  <c r="N94"/>
  <c r="AD94"/>
  <c r="AB94"/>
  <c r="T94"/>
  <c r="Z94"/>
  <c r="AF94"/>
  <c r="V94"/>
  <c r="H94"/>
  <c r="L91"/>
  <c r="D91"/>
  <c r="R91"/>
  <c r="AF91"/>
  <c r="J91"/>
  <c r="H91"/>
  <c r="F91"/>
  <c r="V91"/>
  <c r="AD91"/>
  <c r="AB91"/>
  <c r="T91"/>
  <c r="P91"/>
  <c r="N91"/>
  <c r="X91"/>
  <c r="Z91"/>
  <c r="L89"/>
  <c r="AD89"/>
  <c r="D89"/>
  <c r="R89"/>
  <c r="AF89"/>
  <c r="J89"/>
  <c r="H89"/>
  <c r="F89"/>
  <c r="V89"/>
  <c r="AB89"/>
  <c r="T89"/>
  <c r="P89"/>
  <c r="N89"/>
  <c r="Z89"/>
  <c r="X89"/>
  <c r="L87"/>
  <c r="J87"/>
  <c r="D87"/>
  <c r="R87"/>
  <c r="AF87"/>
  <c r="H87"/>
  <c r="F87"/>
  <c r="V87"/>
  <c r="AD87"/>
  <c r="AB87"/>
  <c r="Z87"/>
  <c r="T87"/>
  <c r="P87"/>
  <c r="N87"/>
  <c r="X87"/>
  <c r="L85"/>
  <c r="J85"/>
  <c r="D85"/>
  <c r="R85"/>
  <c r="AF85"/>
  <c r="H85"/>
  <c r="F85"/>
  <c r="V85"/>
  <c r="AD85"/>
  <c r="AB85"/>
  <c r="Z85"/>
  <c r="T85"/>
  <c r="P85"/>
  <c r="N85"/>
  <c r="X85"/>
  <c r="L83"/>
  <c r="J83"/>
  <c r="D83"/>
  <c r="R83"/>
  <c r="AF83"/>
  <c r="H83"/>
  <c r="F83"/>
  <c r="V83"/>
  <c r="AD83"/>
  <c r="AB83"/>
  <c r="Z83"/>
  <c r="T83"/>
  <c r="P83"/>
  <c r="N83"/>
  <c r="X83"/>
  <c r="L81"/>
  <c r="J81"/>
  <c r="D81"/>
  <c r="R81"/>
  <c r="AF81"/>
  <c r="H81"/>
  <c r="F81"/>
  <c r="V81"/>
  <c r="AD81"/>
  <c r="AB81"/>
  <c r="Z81"/>
  <c r="T81"/>
  <c r="P81"/>
  <c r="N81"/>
  <c r="X81"/>
  <c r="L79"/>
  <c r="J79"/>
  <c r="D79"/>
  <c r="R79"/>
  <c r="AF79"/>
  <c r="H79"/>
  <c r="F79"/>
  <c r="V79"/>
  <c r="AD79"/>
  <c r="AB79"/>
  <c r="Z79"/>
  <c r="T79"/>
  <c r="P79"/>
  <c r="N79"/>
  <c r="X79"/>
  <c r="L77"/>
  <c r="J77"/>
  <c r="D77"/>
  <c r="R77"/>
  <c r="AF77"/>
  <c r="H77"/>
  <c r="F77"/>
  <c r="V77"/>
  <c r="AD77"/>
  <c r="AB77"/>
  <c r="Z77"/>
  <c r="T77"/>
  <c r="P77"/>
  <c r="N77"/>
  <c r="X77"/>
  <c r="L75"/>
  <c r="J75"/>
  <c r="D75"/>
  <c r="R75"/>
  <c r="AF75"/>
  <c r="H75"/>
  <c r="F75"/>
  <c r="V75"/>
  <c r="AD75"/>
  <c r="AB75"/>
  <c r="Z75"/>
  <c r="T75"/>
  <c r="P75"/>
  <c r="N75"/>
  <c r="X75"/>
  <c r="L72"/>
  <c r="R72"/>
  <c r="T72"/>
  <c r="Z72"/>
  <c r="AF72"/>
  <c r="V72"/>
  <c r="X72"/>
  <c r="N72"/>
  <c r="AD72"/>
  <c r="AB72"/>
  <c r="D72"/>
  <c r="J72"/>
  <c r="P72"/>
  <c r="F72"/>
  <c r="H72"/>
  <c r="L69"/>
  <c r="J69"/>
  <c r="D69"/>
  <c r="R69"/>
  <c r="AF69"/>
  <c r="H69"/>
  <c r="F69"/>
  <c r="V69"/>
  <c r="AD69"/>
  <c r="AB69"/>
  <c r="Z69"/>
  <c r="T69"/>
  <c r="P69"/>
  <c r="N69"/>
  <c r="X69"/>
  <c r="L67"/>
  <c r="J67"/>
  <c r="D67"/>
  <c r="R67"/>
  <c r="AF67"/>
  <c r="H67"/>
  <c r="F67"/>
  <c r="V67"/>
  <c r="AD67"/>
  <c r="AB67"/>
  <c r="Z67"/>
  <c r="T67"/>
  <c r="P67"/>
  <c r="N67"/>
  <c r="X67"/>
  <c r="L65"/>
  <c r="J65"/>
  <c r="D65"/>
  <c r="R65"/>
  <c r="AF65"/>
  <c r="H65"/>
  <c r="F65"/>
  <c r="V65"/>
  <c r="AD65"/>
  <c r="AB65"/>
  <c r="Z65"/>
  <c r="T65"/>
  <c r="P65"/>
  <c r="N65"/>
  <c r="X65"/>
  <c r="L63"/>
  <c r="J63"/>
  <c r="D63"/>
  <c r="R63"/>
  <c r="AF63"/>
  <c r="H63"/>
  <c r="F63"/>
  <c r="V63"/>
  <c r="AD63"/>
  <c r="AB63"/>
  <c r="Z63"/>
  <c r="T63"/>
  <c r="P63"/>
  <c r="N63"/>
  <c r="X63"/>
  <c r="V61"/>
  <c r="X61"/>
  <c r="R61"/>
  <c r="D61"/>
  <c r="N61"/>
  <c r="P61"/>
  <c r="AB61"/>
  <c r="L61"/>
  <c r="J61"/>
  <c r="F61"/>
  <c r="H61"/>
  <c r="T61"/>
  <c r="AD61"/>
  <c r="AF61"/>
  <c r="Z61"/>
  <c r="V53"/>
  <c r="T53"/>
  <c r="AF53"/>
  <c r="AB53"/>
  <c r="R53"/>
  <c r="L53"/>
  <c r="H53"/>
  <c r="AD53"/>
  <c r="Z53"/>
  <c r="P53"/>
  <c r="D53"/>
  <c r="J53"/>
  <c r="X53"/>
  <c r="F53"/>
  <c r="N53"/>
  <c r="Z43"/>
  <c r="P43"/>
  <c r="D43"/>
  <c r="F43"/>
  <c r="X43"/>
  <c r="L43"/>
  <c r="H43"/>
  <c r="AD43"/>
  <c r="V43"/>
  <c r="AF43"/>
  <c r="T43"/>
  <c r="J43"/>
  <c r="AB43"/>
  <c r="R43"/>
  <c r="N43"/>
  <c r="Z23"/>
  <c r="AD23"/>
  <c r="J23"/>
  <c r="V23"/>
  <c r="AB23"/>
  <c r="T23"/>
  <c r="AF23"/>
  <c r="N23"/>
  <c r="R23"/>
  <c r="F23"/>
  <c r="L23"/>
  <c r="P23"/>
  <c r="H23"/>
  <c r="X23"/>
  <c r="Z20"/>
  <c r="X20"/>
  <c r="AF20"/>
  <c r="V20"/>
  <c r="R20"/>
  <c r="AD20"/>
  <c r="AB20"/>
  <c r="J20"/>
  <c r="H20"/>
  <c r="P20"/>
  <c r="F20"/>
  <c r="T20"/>
  <c r="N20"/>
  <c r="L20"/>
  <c r="F11"/>
  <c r="N11"/>
  <c r="T11"/>
  <c r="H11"/>
  <c r="L11"/>
  <c r="J11"/>
  <c r="AF11"/>
  <c r="V11"/>
  <c r="AD11"/>
  <c r="R11"/>
  <c r="X11"/>
  <c r="AB11"/>
  <c r="Z11"/>
  <c r="P11"/>
  <c r="F13"/>
  <c r="P13"/>
  <c r="J13"/>
  <c r="X13"/>
  <c r="V13"/>
  <c r="H13"/>
  <c r="T13"/>
  <c r="L13"/>
  <c r="AF13"/>
  <c r="AD13"/>
  <c r="Z13"/>
  <c r="AB13"/>
  <c r="N13"/>
  <c r="R13"/>
  <c r="F17"/>
  <c r="AF17"/>
  <c r="AD17"/>
  <c r="X17"/>
  <c r="N17"/>
  <c r="Z17"/>
  <c r="V17"/>
  <c r="AB17"/>
  <c r="R17"/>
  <c r="H17"/>
  <c r="P17"/>
  <c r="J17"/>
  <c r="L17"/>
  <c r="T17"/>
  <c r="AF21"/>
  <c r="N21"/>
  <c r="F21"/>
  <c r="Z21"/>
  <c r="AB21"/>
  <c r="H21"/>
  <c r="T21"/>
  <c r="L21"/>
  <c r="AD21"/>
  <c r="X21"/>
  <c r="J21"/>
  <c r="V21"/>
  <c r="P21"/>
  <c r="R21"/>
  <c r="T29"/>
  <c r="Z29"/>
  <c r="L29"/>
  <c r="AF29"/>
  <c r="F29"/>
  <c r="H29"/>
  <c r="J29"/>
  <c r="R29"/>
  <c r="AB29"/>
  <c r="D29"/>
  <c r="AD29"/>
  <c r="P29"/>
  <c r="V29"/>
  <c r="N29"/>
  <c r="X29"/>
  <c r="T33"/>
  <c r="P33"/>
  <c r="D33"/>
  <c r="F33"/>
  <c r="AD33"/>
  <c r="H33"/>
  <c r="J33"/>
  <c r="R33"/>
  <c r="AB33"/>
  <c r="N33"/>
  <c r="AF33"/>
  <c r="V33"/>
  <c r="Z33"/>
  <c r="L33"/>
  <c r="X33"/>
  <c r="D37"/>
  <c r="Z37"/>
  <c r="L37"/>
  <c r="AF37"/>
  <c r="V37"/>
  <c r="H37"/>
  <c r="J37"/>
  <c r="R37"/>
  <c r="AB37"/>
  <c r="T37"/>
  <c r="AD37"/>
  <c r="P37"/>
  <c r="F37"/>
  <c r="N37"/>
  <c r="X37"/>
  <c r="V45"/>
  <c r="T45"/>
  <c r="AF45"/>
  <c r="F45"/>
  <c r="X45"/>
  <c r="L45"/>
  <c r="H45"/>
  <c r="AD45"/>
  <c r="Z45"/>
  <c r="P45"/>
  <c r="D45"/>
  <c r="J45"/>
  <c r="AB45"/>
  <c r="R45"/>
  <c r="N45"/>
  <c r="P49"/>
  <c r="D49"/>
  <c r="AF49"/>
  <c r="F49"/>
  <c r="X49"/>
  <c r="L49"/>
  <c r="H49"/>
  <c r="AD49"/>
  <c r="Z49"/>
  <c r="T49"/>
  <c r="V49"/>
  <c r="J49"/>
  <c r="AB49"/>
  <c r="R49"/>
  <c r="N49"/>
  <c r="P57"/>
  <c r="AF57"/>
  <c r="D57"/>
  <c r="V57"/>
  <c r="F57"/>
  <c r="AB57"/>
  <c r="N57"/>
  <c r="H57"/>
  <c r="Z57"/>
  <c r="J57"/>
  <c r="T57"/>
  <c r="X57"/>
  <c r="R57"/>
  <c r="AD57"/>
  <c r="L57"/>
  <c r="T27"/>
  <c r="AD27"/>
  <c r="P27"/>
  <c r="L27"/>
  <c r="F27"/>
  <c r="H27"/>
  <c r="J27"/>
  <c r="R27"/>
  <c r="AB27"/>
  <c r="V27"/>
  <c r="Z27"/>
  <c r="AF27"/>
  <c r="D27"/>
  <c r="N27"/>
  <c r="X27"/>
  <c r="L31"/>
  <c r="V31"/>
  <c r="AF31"/>
  <c r="AB31"/>
  <c r="Z31"/>
  <c r="H31"/>
  <c r="J31"/>
  <c r="R31"/>
  <c r="D31"/>
  <c r="N31"/>
  <c r="P31"/>
  <c r="T31"/>
  <c r="AD31"/>
  <c r="F31"/>
  <c r="X31"/>
  <c r="T35"/>
  <c r="AD35"/>
  <c r="P35"/>
  <c r="AB35"/>
  <c r="F35"/>
  <c r="H35"/>
  <c r="J35"/>
  <c r="R35"/>
  <c r="L35"/>
  <c r="V35"/>
  <c r="Z35"/>
  <c r="AF35"/>
  <c r="D35"/>
  <c r="N35"/>
  <c r="X35"/>
  <c r="L39"/>
  <c r="V39"/>
  <c r="AF39"/>
  <c r="AB39"/>
  <c r="Z39"/>
  <c r="H39"/>
  <c r="J39"/>
  <c r="R39"/>
  <c r="T39"/>
  <c r="N39"/>
  <c r="P39"/>
  <c r="D39"/>
  <c r="AD39"/>
  <c r="F39"/>
  <c r="X39"/>
  <c r="AB10"/>
  <c r="F10"/>
  <c r="H10"/>
  <c r="N10"/>
  <c r="P10"/>
  <c r="X10"/>
  <c r="Z10"/>
  <c r="L10"/>
  <c r="AF10"/>
  <c r="V10"/>
  <c r="T10"/>
  <c r="AD10"/>
  <c r="J10"/>
  <c r="R10"/>
  <c r="N12"/>
  <c r="H12"/>
  <c r="F12"/>
  <c r="P12"/>
  <c r="L12"/>
  <c r="R12"/>
  <c r="V12"/>
  <c r="AD12"/>
  <c r="X12"/>
  <c r="Z12"/>
  <c r="AF12"/>
  <c r="AB12"/>
  <c r="T12"/>
  <c r="J12"/>
  <c r="P14"/>
  <c r="H14"/>
  <c r="J14"/>
  <c r="T14"/>
  <c r="F14"/>
  <c r="N14"/>
  <c r="X14"/>
  <c r="L14"/>
  <c r="AD14"/>
  <c r="AF14"/>
  <c r="AB14"/>
  <c r="Z14"/>
  <c r="R14"/>
  <c r="V14"/>
  <c r="Z16"/>
  <c r="AF16"/>
  <c r="N16"/>
  <c r="H16"/>
  <c r="L16"/>
  <c r="J16"/>
  <c r="V16"/>
  <c r="P16"/>
  <c r="AD16"/>
  <c r="F16"/>
  <c r="X16"/>
  <c r="AB16"/>
  <c r="T16"/>
  <c r="R16"/>
  <c r="AF18"/>
  <c r="N18"/>
  <c r="P18"/>
  <c r="L18"/>
  <c r="X18"/>
  <c r="Z18"/>
  <c r="H18"/>
  <c r="T18"/>
  <c r="J18"/>
  <c r="R18"/>
  <c r="AD18"/>
  <c r="V18"/>
  <c r="AB18"/>
  <c r="F18"/>
  <c r="AB22"/>
  <c r="F22"/>
  <c r="H22"/>
  <c r="N22"/>
  <c r="P22"/>
  <c r="R22"/>
  <c r="X22"/>
  <c r="Z22"/>
  <c r="AD22"/>
  <c r="T22"/>
  <c r="AF22"/>
  <c r="V22"/>
  <c r="J22"/>
  <c r="L22"/>
  <c r="AB26"/>
  <c r="Z26"/>
  <c r="V26"/>
  <c r="AF26"/>
  <c r="N26"/>
  <c r="D26"/>
  <c r="X26"/>
  <c r="AD26"/>
  <c r="T26"/>
  <c r="P26"/>
  <c r="L26"/>
  <c r="F26"/>
  <c r="H26"/>
  <c r="J26"/>
  <c r="R26"/>
  <c r="F28"/>
  <c r="D28"/>
  <c r="P28"/>
  <c r="AD28"/>
  <c r="AB28"/>
  <c r="N28"/>
  <c r="X28"/>
  <c r="V28"/>
  <c r="Z28"/>
  <c r="AF28"/>
  <c r="L28"/>
  <c r="T28"/>
  <c r="H28"/>
  <c r="J28"/>
  <c r="R28"/>
  <c r="AD30"/>
  <c r="D30"/>
  <c r="L30"/>
  <c r="AF30"/>
  <c r="T30"/>
  <c r="F30"/>
  <c r="X30"/>
  <c r="Z30"/>
  <c r="V30"/>
  <c r="P30"/>
  <c r="N30"/>
  <c r="AB30"/>
  <c r="H30"/>
  <c r="J30"/>
  <c r="R30"/>
  <c r="L32"/>
  <c r="T32"/>
  <c r="P32"/>
  <c r="AD32"/>
  <c r="AB32"/>
  <c r="Z32"/>
  <c r="X32"/>
  <c r="V32"/>
  <c r="N32"/>
  <c r="AF32"/>
  <c r="F32"/>
  <c r="D32"/>
  <c r="H32"/>
  <c r="J32"/>
  <c r="R32"/>
  <c r="T34"/>
  <c r="F34"/>
  <c r="AD34"/>
  <c r="AF34"/>
  <c r="V34"/>
  <c r="L34"/>
  <c r="X34"/>
  <c r="N34"/>
  <c r="AB34"/>
  <c r="P34"/>
  <c r="D34"/>
  <c r="Z34"/>
  <c r="H34"/>
  <c r="J34"/>
  <c r="R34"/>
  <c r="V36"/>
  <c r="D36"/>
  <c r="P36"/>
  <c r="AD36"/>
  <c r="F36"/>
  <c r="N36"/>
  <c r="X36"/>
  <c r="L36"/>
  <c r="Z36"/>
  <c r="AF36"/>
  <c r="AB36"/>
  <c r="T36"/>
  <c r="H36"/>
  <c r="J36"/>
  <c r="R36"/>
  <c r="V38"/>
  <c r="T38"/>
  <c r="D38"/>
  <c r="AF38"/>
  <c r="L38"/>
  <c r="Z38"/>
  <c r="X38"/>
  <c r="AB38"/>
  <c r="N38"/>
  <c r="P38"/>
  <c r="F38"/>
  <c r="AD38"/>
  <c r="H38"/>
  <c r="J38"/>
  <c r="R38"/>
  <c r="AF40"/>
  <c r="V40"/>
  <c r="N40"/>
  <c r="X40"/>
  <c r="Z40"/>
  <c r="T40"/>
  <c r="AD40"/>
  <c r="L40"/>
  <c r="P40"/>
  <c r="F40"/>
  <c r="D40"/>
  <c r="H40"/>
  <c r="J40"/>
  <c r="AB40"/>
  <c r="R40"/>
  <c r="J42"/>
  <c r="P42"/>
  <c r="D42"/>
  <c r="AF42"/>
  <c r="AB42"/>
  <c r="H42"/>
  <c r="L42"/>
  <c r="V42"/>
  <c r="T42"/>
  <c r="Z42"/>
  <c r="F42"/>
  <c r="X42"/>
  <c r="AD42"/>
  <c r="N42"/>
  <c r="R42"/>
  <c r="Z44"/>
  <c r="J44"/>
  <c r="T44"/>
  <c r="V44"/>
  <c r="AB44"/>
  <c r="H44"/>
  <c r="L44"/>
  <c r="AF44"/>
  <c r="P44"/>
  <c r="D44"/>
  <c r="F44"/>
  <c r="X44"/>
  <c r="AD44"/>
  <c r="N44"/>
  <c r="R44"/>
  <c r="AF46"/>
  <c r="P46"/>
  <c r="D46"/>
  <c r="J46"/>
  <c r="AB46"/>
  <c r="H46"/>
  <c r="L46"/>
  <c r="V46"/>
  <c r="T46"/>
  <c r="Z46"/>
  <c r="F46"/>
  <c r="X46"/>
  <c r="AD46"/>
  <c r="N46"/>
  <c r="R46"/>
  <c r="V48"/>
  <c r="P48"/>
  <c r="D48"/>
  <c r="AF48"/>
  <c r="AB48"/>
  <c r="H48"/>
  <c r="L48"/>
  <c r="J48"/>
  <c r="T48"/>
  <c r="Z48"/>
  <c r="F48"/>
  <c r="X48"/>
  <c r="AD48"/>
  <c r="N48"/>
  <c r="R48"/>
  <c r="AF50"/>
  <c r="P50"/>
  <c r="D50"/>
  <c r="V50"/>
  <c r="AB50"/>
  <c r="H50"/>
  <c r="L50"/>
  <c r="J50"/>
  <c r="T50"/>
  <c r="Z50"/>
  <c r="F50"/>
  <c r="X50"/>
  <c r="AD50"/>
  <c r="N50"/>
  <c r="R50"/>
  <c r="Z52"/>
  <c r="J52"/>
  <c r="T52"/>
  <c r="AF52"/>
  <c r="AB52"/>
  <c r="H52"/>
  <c r="L52"/>
  <c r="V52"/>
  <c r="P52"/>
  <c r="D52"/>
  <c r="F52"/>
  <c r="X52"/>
  <c r="AD52"/>
  <c r="N52"/>
  <c r="R52"/>
  <c r="Z54"/>
  <c r="T54"/>
  <c r="V54"/>
  <c r="F54"/>
  <c r="X54"/>
  <c r="AD54"/>
  <c r="N54"/>
  <c r="P54"/>
  <c r="D54"/>
  <c r="J54"/>
  <c r="AB54"/>
  <c r="H54"/>
  <c r="L54"/>
  <c r="AF54"/>
  <c r="R54"/>
  <c r="V56"/>
  <c r="P56"/>
  <c r="Z56"/>
  <c r="AB56"/>
  <c r="X56"/>
  <c r="AD56"/>
  <c r="N56"/>
  <c r="J56"/>
  <c r="T56"/>
  <c r="F56"/>
  <c r="D56"/>
  <c r="H56"/>
  <c r="L56"/>
  <c r="AF56"/>
  <c r="R56"/>
  <c r="J58"/>
  <c r="R58"/>
  <c r="F58"/>
  <c r="H58"/>
  <c r="D58"/>
  <c r="N58"/>
  <c r="P58"/>
  <c r="Z58"/>
  <c r="V58"/>
  <c r="X58"/>
  <c r="T58"/>
  <c r="AD58"/>
  <c r="AF58"/>
  <c r="AB58"/>
  <c r="L58"/>
  <c r="Z60"/>
  <c r="J60"/>
  <c r="F60"/>
  <c r="H60"/>
  <c r="D60"/>
  <c r="N60"/>
  <c r="P60"/>
  <c r="R60"/>
  <c r="V60"/>
  <c r="X60"/>
  <c r="T60"/>
  <c r="AD60"/>
  <c r="AF60"/>
  <c r="AB60"/>
  <c r="L60"/>
  <c r="V55"/>
  <c r="T55"/>
  <c r="J55"/>
  <c r="AB55"/>
  <c r="AF55"/>
  <c r="F55"/>
  <c r="N55"/>
  <c r="P55"/>
  <c r="D55"/>
  <c r="Z55"/>
  <c r="X55"/>
  <c r="R55"/>
  <c r="L55"/>
  <c r="H55"/>
  <c r="AD55"/>
  <c r="X9"/>
  <c r="J9"/>
  <c r="Z9"/>
  <c r="R9"/>
  <c r="N9"/>
  <c r="L9"/>
  <c r="AB9"/>
  <c r="AD9"/>
  <c r="F9"/>
  <c r="H9"/>
  <c r="T9"/>
  <c r="AF9"/>
  <c r="P9"/>
  <c r="V9"/>
  <c r="X6"/>
  <c r="P6"/>
  <c r="J6"/>
  <c r="T6"/>
  <c r="Z6"/>
  <c r="H6"/>
  <c r="L6"/>
  <c r="AB6"/>
  <c r="AF6"/>
  <c r="R6"/>
  <c r="N6"/>
  <c r="F6"/>
  <c r="AD6"/>
  <c r="V8"/>
  <c r="L8"/>
  <c r="AF8"/>
  <c r="F8"/>
  <c r="J8"/>
  <c r="T8"/>
  <c r="N8"/>
  <c r="AD8"/>
  <c r="P8"/>
  <c r="R8"/>
  <c r="Z8"/>
  <c r="H8"/>
  <c r="X8"/>
  <c r="AB8"/>
  <c r="T7"/>
  <c r="F7"/>
  <c r="R7"/>
  <c r="AF7"/>
  <c r="J7"/>
  <c r="V7"/>
  <c r="N7"/>
  <c r="Z7"/>
  <c r="L7"/>
  <c r="X7"/>
  <c r="AD7"/>
  <c r="P7"/>
  <c r="AB7"/>
  <c r="H7"/>
  <c r="AD25"/>
  <c r="AD3" s="1"/>
  <c r="E7" i="20" s="1"/>
  <c r="F7" s="1"/>
  <c r="Z25" i="19"/>
  <c r="H25"/>
  <c r="H3" s="1"/>
  <c r="E14" i="20" s="1"/>
  <c r="F14" s="1"/>
  <c r="AB25" i="19"/>
  <c r="J25"/>
  <c r="J3" s="1"/>
  <c r="E13" i="20" s="1"/>
  <c r="F13" s="1"/>
  <c r="F25" i="19"/>
  <c r="L25"/>
  <c r="L3" s="1"/>
  <c r="E5" i="20" s="1"/>
  <c r="F5" s="1"/>
  <c r="AF25" i="19"/>
  <c r="N25"/>
  <c r="N3" s="1"/>
  <c r="E16" i="20" s="1"/>
  <c r="F16" s="1"/>
  <c r="X25" i="19"/>
  <c r="T25"/>
  <c r="T3" s="1"/>
  <c r="E11" i="20" s="1"/>
  <c r="F11" s="1"/>
  <c r="D25" i="19"/>
  <c r="V25"/>
  <c r="V3" s="1"/>
  <c r="E12" i="20" s="1"/>
  <c r="F12" s="1"/>
  <c r="P25" i="19"/>
  <c r="V6"/>
  <c r="R25"/>
  <c r="R3" l="1"/>
  <c r="E17" i="20" s="1"/>
  <c r="F17" s="1"/>
  <c r="P3" i="19"/>
  <c r="E3" i="20" s="1"/>
  <c r="F3" s="1"/>
  <c r="D3" i="19"/>
  <c r="E4" i="20" s="1"/>
  <c r="F4" s="1"/>
  <c r="X3" i="19"/>
  <c r="E8" i="20" s="1"/>
  <c r="F8" s="1"/>
  <c r="AF3" i="19"/>
  <c r="E10" i="20" s="1"/>
  <c r="F10" s="1"/>
  <c r="F3" i="19"/>
  <c r="E15" i="20" s="1"/>
  <c r="F15" s="1"/>
  <c r="AB3" i="19"/>
  <c r="E6" i="20" s="1"/>
  <c r="F6" s="1"/>
  <c r="Z3" i="19"/>
  <c r="E9" i="20" s="1"/>
  <c r="F9" s="1"/>
</calcChain>
</file>

<file path=xl/comments1.xml><?xml version="1.0" encoding="utf-8"?>
<comments xmlns="http://schemas.openxmlformats.org/spreadsheetml/2006/main">
  <authors>
    <author>Windows XP 2011</author>
  </authors>
  <commentList>
    <comment ref="H2"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J2" authorId="0">
      <text>
        <r>
          <rPr>
            <b/>
            <sz val="8"/>
            <color indexed="81"/>
            <rFont val="Tahoma"/>
            <family val="2"/>
          </rPr>
          <t>Windows XP 2011:</t>
        </r>
        <r>
          <rPr>
            <sz val="8"/>
            <color indexed="81"/>
            <rFont val="Tahoma"/>
            <family val="2"/>
          </rPr>
          <t xml:space="preserve">
1980 Commissioners Standard Ordinary (CSO) – Male. Formerly Table K (M). Basis: Age Nearest Birthday. Minimum Age: 0. Maximum Age: 99</t>
        </r>
      </text>
    </comment>
    <comment ref="I3" authorId="0">
      <text>
        <r>
          <rPr>
            <b/>
            <sz val="8"/>
            <color indexed="81"/>
            <rFont val="Tahoma"/>
            <family val="2"/>
          </rPr>
          <t>Windows XP 2011:</t>
        </r>
        <r>
          <rPr>
            <sz val="8"/>
            <color indexed="81"/>
            <rFont val="Tahoma"/>
            <family val="2"/>
          </rPr>
          <t xml:space="preserve">
1980 Commissioners Standard Ordinary (CSO) – Male. Formerly Table K (M). Basis: Age Nearest Birthday. Minimum Age: 0. Maximum Age: 99</t>
        </r>
      </text>
    </comment>
  </commentList>
</comments>
</file>

<file path=xl/comments2.xml><?xml version="1.0" encoding="utf-8"?>
<comments xmlns="http://schemas.openxmlformats.org/spreadsheetml/2006/main">
  <authors>
    <author>Windows XP 2011</author>
  </authors>
  <commentList>
    <comment ref="H2"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J2" authorId="0">
      <text>
        <r>
          <rPr>
            <b/>
            <sz val="8"/>
            <color indexed="81"/>
            <rFont val="Tahoma"/>
            <family val="2"/>
          </rPr>
          <t>Windows XP 2011:</t>
        </r>
        <r>
          <rPr>
            <sz val="8"/>
            <color indexed="81"/>
            <rFont val="Tahoma"/>
            <family val="2"/>
          </rPr>
          <t xml:space="preserve">
1980 Commissioners Standard Ordinary (CSO) – Male. Formerly Table K (M). Basis: Age Nearest Birthday. Minimum Age: 0. Maximum Age: 99</t>
        </r>
      </text>
    </comment>
    <comment ref="I3" authorId="0">
      <text>
        <r>
          <rPr>
            <b/>
            <sz val="8"/>
            <color indexed="81"/>
            <rFont val="Tahoma"/>
            <family val="2"/>
          </rPr>
          <t>Windows XP 2011:</t>
        </r>
        <r>
          <rPr>
            <sz val="8"/>
            <color indexed="81"/>
            <rFont val="Tahoma"/>
            <family val="2"/>
          </rPr>
          <t xml:space="preserve">
1980 Commissioners Standard Ordinary (CSO) – Male. Formerly Table K (M). Basis: Age Nearest Birthday. Minimum Age: 0. Maximum Age: 99</t>
        </r>
      </text>
    </comment>
  </commentList>
</comments>
</file>

<file path=xl/comments3.xml><?xml version="1.0" encoding="utf-8"?>
<comments xmlns="http://schemas.openxmlformats.org/spreadsheetml/2006/main">
  <authors>
    <author>Windows XP 2011</author>
  </authors>
  <commentList>
    <comment ref="H2"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J2" authorId="0">
      <text>
        <r>
          <rPr>
            <b/>
            <sz val="8"/>
            <color indexed="81"/>
            <rFont val="Tahoma"/>
            <family val="2"/>
          </rPr>
          <t>Windows XP 2011:</t>
        </r>
        <r>
          <rPr>
            <sz val="8"/>
            <color indexed="81"/>
            <rFont val="Tahoma"/>
            <family val="2"/>
          </rPr>
          <t xml:space="preserve">
1980 Commissioners Standard Ordinary (CSO) – Female. Formerly Table K (F). Basis: Age Nearest Birthday. Minimum Age: 15. Maximum Age: 99</t>
        </r>
      </text>
    </comment>
    <comment ref="G3"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I3" authorId="0">
      <text>
        <r>
          <rPr>
            <b/>
            <sz val="8"/>
            <color indexed="81"/>
            <rFont val="Tahoma"/>
            <family val="2"/>
          </rPr>
          <t>Windows XP 2011:</t>
        </r>
        <r>
          <rPr>
            <sz val="8"/>
            <color indexed="81"/>
            <rFont val="Tahoma"/>
            <family val="2"/>
          </rPr>
          <t xml:space="preserve">
1980 Commissioners Standard Ordinary (CSO) – Female. Formerly Table K (F). Basis: Age Nearest Birthday. Minimum Age: 15. Maximum Age: 99</t>
        </r>
      </text>
    </comment>
  </commentList>
</comments>
</file>

<file path=xl/comments4.xml><?xml version="1.0" encoding="utf-8"?>
<comments xmlns="http://schemas.openxmlformats.org/spreadsheetml/2006/main">
  <authors>
    <author>Windows XP 2011</author>
  </authors>
  <commentList>
    <comment ref="H2"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J2" authorId="0">
      <text>
        <r>
          <rPr>
            <b/>
            <sz val="8"/>
            <color indexed="81"/>
            <rFont val="Tahoma"/>
            <family val="2"/>
          </rPr>
          <t>Windows XP 2011:</t>
        </r>
        <r>
          <rPr>
            <sz val="8"/>
            <color indexed="81"/>
            <rFont val="Tahoma"/>
            <family val="2"/>
          </rPr>
          <t xml:space="preserve">
1980 Commissioners Standard Ordinary (CSO) – Female. Formerly Table K (F). Basis: Age Nearest Birthday. Minimum Age: 15. Maximum Age: 99</t>
        </r>
      </text>
    </comment>
    <comment ref="G3" authorId="0">
      <text>
        <r>
          <rPr>
            <b/>
            <sz val="8"/>
            <color indexed="81"/>
            <rFont val="Tahoma"/>
            <family val="2"/>
          </rPr>
          <t>Windows XP 2011:</t>
        </r>
        <r>
          <rPr>
            <sz val="8"/>
            <color indexed="81"/>
            <rFont val="Tahoma"/>
            <family val="2"/>
          </rPr>
          <t xml:space="preserve">
1958 Commissioners Standard Ordinary (CSO) Basic Mortality Table – Female. Basis: Age Nearest Birthday. Minimum Age: 0 Maximum Age: 103</t>
        </r>
      </text>
    </comment>
    <comment ref="I3" authorId="0">
      <text>
        <r>
          <rPr>
            <b/>
            <sz val="8"/>
            <color indexed="81"/>
            <rFont val="Tahoma"/>
            <family val="2"/>
          </rPr>
          <t>Windows XP 2011:</t>
        </r>
        <r>
          <rPr>
            <sz val="8"/>
            <color indexed="81"/>
            <rFont val="Tahoma"/>
            <family val="2"/>
          </rPr>
          <t xml:space="preserve">
1980 Commissioners Standard Ordinary (CSO) – Female. Formerly Table K (F). Basis: Age Nearest Birthday. Minimum Age: 15. Maximum Age: 99</t>
        </r>
      </text>
    </comment>
  </commentList>
</comments>
</file>

<file path=xl/sharedStrings.xml><?xml version="1.0" encoding="utf-8"?>
<sst xmlns="http://schemas.openxmlformats.org/spreadsheetml/2006/main" count="1163" uniqueCount="155">
  <si>
    <t>T</t>
  </si>
  <si>
    <t>V</t>
  </si>
  <si>
    <t>H</t>
  </si>
  <si>
    <t>5 a 9</t>
  </si>
  <si>
    <t>10 a 14</t>
  </si>
  <si>
    <t>15 a 19</t>
  </si>
  <si>
    <t>20 a 24</t>
  </si>
  <si>
    <t>25 a 29</t>
  </si>
  <si>
    <t>30 a 34</t>
  </si>
  <si>
    <t>35 a 39</t>
  </si>
  <si>
    <t>40 a 44</t>
  </si>
  <si>
    <t>45 a 49</t>
  </si>
  <si>
    <t>50 a 54</t>
  </si>
  <si>
    <t>55 a 59</t>
  </si>
  <si>
    <t>60 a 64</t>
  </si>
  <si>
    <t>65 a 69</t>
  </si>
  <si>
    <t>70 a 74</t>
  </si>
  <si>
    <t>75 a 79</t>
  </si>
  <si>
    <t>80 a 84</t>
  </si>
  <si>
    <t>85 y +</t>
  </si>
  <si>
    <t>Total</t>
  </si>
  <si>
    <t>Año</t>
  </si>
  <si>
    <t>C</t>
  </si>
  <si>
    <t>O</t>
  </si>
  <si>
    <t>Hombres</t>
  </si>
  <si>
    <t>Mujeres</t>
  </si>
  <si>
    <t>Fuente: Instituto Nacional de Estadística, (INE)</t>
  </si>
  <si>
    <t>00 - 04</t>
  </si>
  <si>
    <t>05 - 09</t>
  </si>
  <si>
    <t>10 - 14</t>
  </si>
  <si>
    <t>15 - 19</t>
  </si>
  <si>
    <t>20 - 24</t>
  </si>
  <si>
    <t>25 - 29</t>
  </si>
  <si>
    <t>30 - 34</t>
  </si>
  <si>
    <t>35 - 39</t>
  </si>
  <si>
    <t>40 - 44</t>
  </si>
  <si>
    <t>45 - 49</t>
  </si>
  <si>
    <t>50 - 54</t>
  </si>
  <si>
    <t>55 - 59</t>
  </si>
  <si>
    <t>60 - 64</t>
  </si>
  <si>
    <t>65 - 69</t>
  </si>
  <si>
    <t>70 - 74</t>
  </si>
  <si>
    <t>75 - 79</t>
  </si>
  <si>
    <t>80 - 84</t>
  </si>
  <si>
    <t>85 y más</t>
  </si>
  <si>
    <t>10-14</t>
  </si>
  <si>
    <t>15-19</t>
  </si>
  <si>
    <t>20-24</t>
  </si>
  <si>
    <t>25-29</t>
  </si>
  <si>
    <t>30-34</t>
  </si>
  <si>
    <t>35-39</t>
  </si>
  <si>
    <t>40-44</t>
  </si>
  <si>
    <t>45-49</t>
  </si>
  <si>
    <t>50-54</t>
  </si>
  <si>
    <t>55-59</t>
  </si>
  <si>
    <t>60-64</t>
  </si>
  <si>
    <t>65-69</t>
  </si>
  <si>
    <t>70-74</t>
  </si>
  <si>
    <t>75-79</t>
  </si>
  <si>
    <t>90 y más</t>
  </si>
  <si>
    <t xml:space="preserve">Grupo  de edad </t>
  </si>
  <si>
    <t xml:space="preserve">90 - 94 </t>
  </si>
  <si>
    <t>85 - 89</t>
  </si>
  <si>
    <t>95 y más</t>
  </si>
  <si>
    <t>POBLACION POR GRUPO DE EDAD DE VENEZUELA</t>
  </si>
  <si>
    <t>GRUPOS</t>
  </si>
  <si>
    <t>EDAD/ANO</t>
  </si>
  <si>
    <t>DE EDAD</t>
  </si>
  <si>
    <t>HOMBRES</t>
  </si>
  <si>
    <t>TOTAL</t>
  </si>
  <si>
    <t xml:space="preserve">  0-4</t>
  </si>
  <si>
    <t xml:space="preserve">  5-9</t>
  </si>
  <si>
    <t xml:space="preserve"> 10-14</t>
  </si>
  <si>
    <t xml:space="preserve"> 15-19</t>
  </si>
  <si>
    <t xml:space="preserve"> 20-24</t>
  </si>
  <si>
    <t xml:space="preserve"> 25-29</t>
  </si>
  <si>
    <t xml:space="preserve"> 30-34</t>
  </si>
  <si>
    <t xml:space="preserve"> 35-39</t>
  </si>
  <si>
    <t xml:space="preserve"> 40-44</t>
  </si>
  <si>
    <t xml:space="preserve"> 45-49</t>
  </si>
  <si>
    <t xml:space="preserve"> 50-54</t>
  </si>
  <si>
    <t xml:space="preserve"> 55-59</t>
  </si>
  <si>
    <t xml:space="preserve"> 60-64</t>
  </si>
  <si>
    <t xml:space="preserve"> 65-69</t>
  </si>
  <si>
    <t xml:space="preserve"> 70-74</t>
  </si>
  <si>
    <t xml:space="preserve"> 75-79</t>
  </si>
  <si>
    <t>80+</t>
  </si>
  <si>
    <t>0- 4</t>
  </si>
  <si>
    <t>5- 9</t>
  </si>
  <si>
    <t>MUJERES</t>
  </si>
  <si>
    <t>0 a 4</t>
  </si>
  <si>
    <t>Rótulos de fila</t>
  </si>
  <si>
    <t>Total general</t>
  </si>
  <si>
    <t>Rótulos de columna</t>
  </si>
  <si>
    <t>Inter</t>
  </si>
  <si>
    <t>edad</t>
  </si>
  <si>
    <t>Promedio</t>
  </si>
  <si>
    <t>x</t>
  </si>
  <si>
    <t>qx</t>
  </si>
  <si>
    <t>CSO 41:</t>
  </si>
  <si>
    <t>OM (5):</t>
  </si>
  <si>
    <t>Estimación</t>
  </si>
  <si>
    <t>1</t>
  </si>
  <si>
    <t>1957 Colombia TCMA, Unisex</t>
  </si>
  <si>
    <t>American Experience Mortality Table 2009 (M)</t>
  </si>
  <si>
    <t>NZ95M: The New Zealand Society of Actuaries, “Report of the 1995 Mortality Investigation by the Experience Investigation Committee”, The New Zealand Society of Actuaries (1996)</t>
  </si>
  <si>
    <t>Fuente: Portal_MPPS  http://www.mpps.gob.ve/index.php?option=com_phocadownload&amp;view=category&amp;id=11:anuarios-de-mortalidad</t>
  </si>
  <si>
    <t>info ine:</t>
  </si>
  <si>
    <t>Contiene información de la composición etaria de venezuela por cada edad, con esto se calculó la distribución porcentual de cada edad dentro de los grupos de edades con la finalidad de estimar la población y muertes de cada edad</t>
  </si>
  <si>
    <t>Mortalidad:</t>
  </si>
  <si>
    <t>Resumen por hoja</t>
  </si>
  <si>
    <t>Contiene la información obtenida de  Portal del MPPS referente a las muertes ocurridas en venezuela desde el 1995 al 2011</t>
  </si>
  <si>
    <t>Mortalidad1:</t>
  </si>
  <si>
    <t xml:space="preserve">Se filtraron los totales por edades </t>
  </si>
  <si>
    <t>Población:</t>
  </si>
  <si>
    <t>Población por Edad:</t>
  </si>
  <si>
    <t>Del  Instituto Nacional de Estadística, (INE) se compiló la información censal y se crearon interpolaciones por cada grupo de edad para estimar la población desde 1995 al 2011</t>
  </si>
  <si>
    <t>Se aplicaron los porcentajes calculados en "info ine" se aplicaron a las estimaciones resultantes de "población" para obtener la población por edad</t>
  </si>
  <si>
    <t>Muertes por Edad:</t>
  </si>
  <si>
    <t>Se aplicaron los porcentajes calculados en "info ine" se aplicaron a la información de "Mortalidad1" para obtener las muertes por edad</t>
  </si>
  <si>
    <t>Qx:</t>
  </si>
  <si>
    <t>Se calculó la mortalidad por edad en el período 1995 - 2011, se promediaron las tasas y se ajustó un polinomio de 4° grado para obtener la estimación de la mortalidad en Venezulea</t>
  </si>
  <si>
    <t>Comparación:</t>
  </si>
  <si>
    <t>Se compara por medio de mínimos cuadrados (K) la estimación calculada en Qx contra algunas tablas encontradas, el mejor ajuste se obtiene con la tabla más actual encontrada procedente del seguro social de america (http://www.ssa.gov/OACT/STATS/table4c6.html)</t>
  </si>
  <si>
    <t>hombres</t>
  </si>
  <si>
    <t>Suma de Hombres</t>
  </si>
  <si>
    <t xml:space="preserve">TABLA DE MORTALIDAD individual venezolana </t>
  </si>
  <si>
    <t>CSO 2001 (M)</t>
  </si>
  <si>
    <t>Experience of the Brazilian Insurance Market – Male Mortality (BR-EMSmt-v.2010-m)</t>
  </si>
  <si>
    <t>MEX 2000 – Hombres (Male)</t>
  </si>
  <si>
    <t>1980 CSO  - Male, ANB</t>
  </si>
  <si>
    <t>La Superintendencia de Valores y Seguros de Chile (2000) male.</t>
  </si>
  <si>
    <t>1981-82 Spain - Male</t>
  </si>
  <si>
    <t>1958 CSO Basic - Male, ANB</t>
  </si>
  <si>
    <t>SSA 1990 – Male, ANB: Social Security Area (SSA) Period Life Table for the Calendar Year 1990 – Male</t>
  </si>
  <si>
    <t>Experience of the Brazilian Insurance Market – Female Mortality (BR-EMSmt-v.2010-f)</t>
  </si>
  <si>
    <t>CSO 2001 (F)</t>
  </si>
  <si>
    <t>American Experience Mortality Table 2009 (F)</t>
  </si>
  <si>
    <t>2007 Standard Mortality Table for Death Benefit Products Japan - Female</t>
  </si>
  <si>
    <t>SSA 1990 – Female, ANB: Social Security Area (SSA) Period Life Table for the Calendar Year 1990 – Female</t>
  </si>
  <si>
    <t>La Superintendencia de Valores y Seguros de Chile (2000) Female.</t>
  </si>
  <si>
    <t>1981-82 Spain - Female</t>
  </si>
  <si>
    <t>1958 CSO Basic - Female, ANB</t>
  </si>
  <si>
    <t>MEX 2000 – Mujeres (Female)</t>
  </si>
  <si>
    <t>1980 CSO - Female, ANB</t>
  </si>
  <si>
    <t>2007 Standard Mortality Table for Death Benefit Products Japan - Male</t>
  </si>
  <si>
    <t>Suma de Mujeres</t>
  </si>
  <si>
    <t>mujeres</t>
  </si>
  <si>
    <t>9E-05</t>
  </si>
  <si>
    <t>Criterio de selección: mínimos cuadrados (K) se obviaron edad (0) a (20) y de (99) en adelante</t>
  </si>
  <si>
    <t>TABLA DE MORTALIDAD HOMBRES</t>
  </si>
  <si>
    <t>TABLA DE MORTALIDAD MUJERES</t>
  </si>
  <si>
    <t>promedio</t>
  </si>
  <si>
    <t>K Sin ajuste</t>
  </si>
  <si>
    <t>k con ajuste</t>
  </si>
</sst>
</file>

<file path=xl/styles.xml><?xml version="1.0" encoding="utf-8"?>
<styleSheet xmlns="http://schemas.openxmlformats.org/spreadsheetml/2006/main">
  <numFmts count="12">
    <numFmt numFmtId="43" formatCode="_ * #,##0.00_ ;_ * \-#,##0.00_ ;_ * &quot;-&quot;??_ ;_ @_ "/>
    <numFmt numFmtId="164" formatCode="_ * #,##0_ ;_ * \-#,##0_ ;_ * &quot;-&quot;??_ ;_ @_ "/>
    <numFmt numFmtId="165" formatCode="#,##0;[Red]#,##0"/>
    <numFmt numFmtId="166" formatCode="0.0"/>
    <numFmt numFmtId="167" formatCode="_ * #,##0.0000_ ;_ * \-#,##0.0000_ ;_ * &quot;-&quot;??_ ;_ @_ "/>
    <numFmt numFmtId="168" formatCode="_ * #,##0.00000_ ;_ * \-#,##0.00000_ ;_ * &quot;-&quot;??_ ;_ @_ "/>
    <numFmt numFmtId="169" formatCode="0.0000000000"/>
    <numFmt numFmtId="170" formatCode="0.000000"/>
    <numFmt numFmtId="171" formatCode="_(* #,##0.00_);_(* \(#,##0.00\);_(* &quot;-&quot;????_);_(@_)"/>
    <numFmt numFmtId="172" formatCode="0.0000"/>
    <numFmt numFmtId="173" formatCode="_(* #,##0.000000_);_(* \(#,##0.000000\);_(* &quot;-&quot;????_);_(@_)"/>
    <numFmt numFmtId="174" formatCode="_(* #,##0.00000000_);_(* \(#,##0.00000000\);_(* &quot;-&quot;????_);_(@_)"/>
  </numFmts>
  <fonts count="19">
    <font>
      <sz val="11"/>
      <color theme="1"/>
      <name val="Calibri"/>
      <family val="2"/>
      <scheme val="minor"/>
    </font>
    <font>
      <sz val="11"/>
      <color theme="1"/>
      <name val="Calibri"/>
      <family val="2"/>
      <scheme val="minor"/>
    </font>
    <font>
      <b/>
      <sz val="10"/>
      <name val="Arial"/>
      <family val="2"/>
    </font>
    <font>
      <sz val="10"/>
      <name val="Arial"/>
      <family val="2"/>
    </font>
    <font>
      <sz val="10"/>
      <name val="Arial"/>
      <family val="2"/>
    </font>
    <font>
      <b/>
      <sz val="10"/>
      <name val="Courier"/>
      <family val="3"/>
    </font>
    <font>
      <b/>
      <sz val="11"/>
      <color theme="1"/>
      <name val="Calibri"/>
      <family val="2"/>
      <scheme val="minor"/>
    </font>
    <font>
      <b/>
      <sz val="8"/>
      <name val="Arial"/>
      <family val="2"/>
    </font>
    <font>
      <sz val="8"/>
      <name val="Arial"/>
      <family val="2"/>
    </font>
    <font>
      <sz val="11"/>
      <color rgb="FFFF0000"/>
      <name val="Calibri"/>
      <family val="2"/>
      <scheme val="minor"/>
    </font>
    <font>
      <b/>
      <sz val="11"/>
      <color rgb="FFFF0000"/>
      <name val="Calibri"/>
      <family val="2"/>
      <scheme val="minor"/>
    </font>
    <font>
      <b/>
      <sz val="8"/>
      <color rgb="FFFF0000"/>
      <name val="Arial"/>
      <family val="2"/>
    </font>
    <font>
      <sz val="10"/>
      <color theme="1"/>
      <name val="Arial"/>
      <family val="2"/>
    </font>
    <font>
      <b/>
      <sz val="10"/>
      <name val="Tahoma"/>
      <family val="2"/>
    </font>
    <font>
      <sz val="10"/>
      <name val="Tahoma"/>
      <family val="2"/>
    </font>
    <font>
      <sz val="8"/>
      <color indexed="81"/>
      <name val="Tahoma"/>
      <family val="2"/>
    </font>
    <font>
      <b/>
      <sz val="8"/>
      <color indexed="81"/>
      <name val="Tahoma"/>
      <family val="2"/>
    </font>
    <font>
      <sz val="11"/>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3" fillId="0" borderId="0"/>
    <xf numFmtId="171" fontId="3" fillId="0" borderId="0" applyFont="0" applyFill="0" applyBorder="0" applyAlignment="0" applyProtection="0"/>
  </cellStyleXfs>
  <cellXfs count="125">
    <xf numFmtId="0" fontId="0" fillId="0" borderId="0" xfId="0"/>
    <xf numFmtId="3" fontId="0" fillId="0" borderId="0" xfId="0" applyNumberFormat="1"/>
    <xf numFmtId="164" fontId="0" fillId="0" borderId="0" xfId="1" applyNumberFormat="1" applyFont="1"/>
    <xf numFmtId="0" fontId="0" fillId="0" borderId="0" xfId="0" applyAlignment="1">
      <alignment horizontal="center" vertical="center"/>
    </xf>
    <xf numFmtId="2" fontId="2" fillId="0" borderId="0" xfId="0" applyNumberFormat="1" applyFont="1" applyBorder="1" applyAlignment="1">
      <alignment horizontal="center"/>
    </xf>
    <xf numFmtId="165" fontId="2" fillId="0" borderId="0" xfId="0" applyNumberFormat="1" applyFont="1" applyBorder="1" applyAlignment="1">
      <alignment horizontal="right"/>
    </xf>
    <xf numFmtId="2" fontId="3" fillId="0" borderId="0" xfId="0" applyNumberFormat="1" applyFont="1" applyAlignment="1">
      <alignment horizontal="center"/>
    </xf>
    <xf numFmtId="165" fontId="3" fillId="0" borderId="0" xfId="0" applyNumberFormat="1" applyFont="1"/>
    <xf numFmtId="2" fontId="3" fillId="0" borderId="0" xfId="0" applyNumberFormat="1" applyFont="1" applyBorder="1" applyAlignment="1">
      <alignment horizontal="center"/>
    </xf>
    <xf numFmtId="165" fontId="3" fillId="0" borderId="0" xfId="0" applyNumberFormat="1" applyFont="1" applyBorder="1"/>
    <xf numFmtId="2" fontId="3" fillId="0" borderId="1" xfId="0" applyNumberFormat="1" applyFont="1" applyBorder="1" applyAlignment="1">
      <alignment horizontal="center"/>
    </xf>
    <xf numFmtId="0" fontId="2" fillId="0" borderId="0" xfId="0" applyFont="1" applyBorder="1" applyAlignment="1">
      <alignment horizontal="center"/>
    </xf>
    <xf numFmtId="165" fontId="3" fillId="0" borderId="0" xfId="0" applyNumberFormat="1" applyFont="1" applyBorder="1" applyAlignment="1">
      <alignment horizontal="right"/>
    </xf>
    <xf numFmtId="37" fontId="3" fillId="0" borderId="0" xfId="0" applyNumberFormat="1" applyFont="1"/>
    <xf numFmtId="0" fontId="3" fillId="0" borderId="0" xfId="0" applyFont="1" applyBorder="1" applyAlignment="1">
      <alignment horizontal="center"/>
    </xf>
    <xf numFmtId="37" fontId="3" fillId="0" borderId="0" xfId="0" applyNumberFormat="1" applyFont="1" applyBorder="1"/>
    <xf numFmtId="3" fontId="2" fillId="0" borderId="0" xfId="0" applyNumberFormat="1" applyFont="1"/>
    <xf numFmtId="3" fontId="3" fillId="0" borderId="0" xfId="0" applyNumberFormat="1" applyFont="1"/>
    <xf numFmtId="165" fontId="3" fillId="0" borderId="0" xfId="0" applyNumberFormat="1" applyFont="1" applyAlignment="1">
      <alignment horizontal="right"/>
    </xf>
    <xf numFmtId="3" fontId="0" fillId="0" borderId="0" xfId="0" applyNumberFormat="1" applyAlignment="1">
      <alignment wrapText="1"/>
    </xf>
    <xf numFmtId="0" fontId="0" fillId="0" borderId="0" xfId="0" applyAlignment="1">
      <alignment horizontal="left"/>
    </xf>
    <xf numFmtId="16" fontId="0" fillId="0" borderId="0" xfId="0" applyNumberFormat="1" applyAlignment="1">
      <alignment horizontal="left"/>
    </xf>
    <xf numFmtId="0" fontId="0" fillId="0" borderId="0" xfId="0" applyAlignment="1">
      <alignment horizontal="left" vertical="center"/>
    </xf>
    <xf numFmtId="16" fontId="0" fillId="0" borderId="0" xfId="0" applyNumberFormat="1" applyAlignment="1">
      <alignment horizontal="left" vertical="center"/>
    </xf>
    <xf numFmtId="0" fontId="4" fillId="0" borderId="0" xfId="3" applyFill="1" applyProtection="1"/>
    <xf numFmtId="0" fontId="4" fillId="0" borderId="0" xfId="3" applyFill="1"/>
    <xf numFmtId="0" fontId="2" fillId="0" borderId="0" xfId="3" quotePrefix="1" applyFont="1" applyFill="1" applyAlignment="1">
      <alignment horizontal="left"/>
    </xf>
    <xf numFmtId="0" fontId="2" fillId="0" borderId="0" xfId="3" applyFont="1" applyFill="1"/>
    <xf numFmtId="0" fontId="4" fillId="0" borderId="0" xfId="3" applyFill="1" applyAlignment="1" applyProtection="1">
      <alignment horizontal="left"/>
    </xf>
    <xf numFmtId="0" fontId="4" fillId="0" borderId="0" xfId="3" applyFill="1" applyBorder="1" applyAlignment="1" applyProtection="1">
      <alignment horizontal="center"/>
    </xf>
    <xf numFmtId="0" fontId="4" fillId="0" borderId="0" xfId="3" applyFill="1" applyBorder="1"/>
    <xf numFmtId="0" fontId="2" fillId="0" borderId="0" xfId="3" applyFont="1" applyFill="1" applyAlignment="1">
      <alignment horizontal="center"/>
    </xf>
    <xf numFmtId="3" fontId="4" fillId="0" borderId="0" xfId="3" applyNumberFormat="1" applyFill="1" applyBorder="1" applyProtection="1"/>
    <xf numFmtId="0" fontId="4" fillId="0" borderId="0" xfId="3" applyFill="1" applyAlignment="1">
      <alignment horizontal="center"/>
    </xf>
    <xf numFmtId="0" fontId="4" fillId="0" borderId="0" xfId="3" applyFill="1" applyBorder="1" applyAlignment="1" applyProtection="1">
      <alignment horizontal="fill"/>
    </xf>
    <xf numFmtId="0" fontId="2" fillId="0" borderId="0" xfId="3" applyFont="1" applyFill="1" applyBorder="1" applyAlignment="1">
      <alignment horizontal="center"/>
    </xf>
    <xf numFmtId="3" fontId="4" fillId="0" borderId="0" xfId="3" applyNumberFormat="1" applyFill="1" applyBorder="1" applyAlignment="1">
      <alignment horizontal="center"/>
    </xf>
    <xf numFmtId="0" fontId="5" fillId="0" borderId="0" xfId="3" applyFont="1" applyFill="1" applyAlignment="1" applyProtection="1">
      <alignment horizontal="left"/>
    </xf>
    <xf numFmtId="0" fontId="5" fillId="0" borderId="0" xfId="3" applyFont="1" applyFill="1" applyProtection="1"/>
    <xf numFmtId="0" fontId="5" fillId="0" borderId="0" xfId="3" applyFont="1" applyFill="1"/>
    <xf numFmtId="0" fontId="5" fillId="0" borderId="0" xfId="3" quotePrefix="1" applyFont="1" applyFill="1" applyAlignment="1" applyProtection="1">
      <alignment horizontal="left"/>
    </xf>
    <xf numFmtId="0" fontId="2" fillId="0" borderId="0" xfId="4" applyFont="1" applyFill="1" applyAlignment="1">
      <alignment horizontal="center"/>
    </xf>
    <xf numFmtId="3" fontId="4" fillId="0" borderId="0" xfId="3" applyNumberFormat="1" applyFill="1" applyAlignment="1">
      <alignment horizontal="center"/>
    </xf>
    <xf numFmtId="49" fontId="2" fillId="0" borderId="0" xfId="3" applyNumberFormat="1" applyFont="1" applyFill="1" applyAlignment="1">
      <alignment horizontal="center"/>
    </xf>
    <xf numFmtId="2" fontId="4" fillId="0" borderId="0" xfId="3" applyNumberFormat="1" applyFill="1" applyAlignment="1">
      <alignment horizontal="center"/>
    </xf>
    <xf numFmtId="0" fontId="4" fillId="0" borderId="0" xfId="3" applyFill="1" applyBorder="1" applyAlignment="1">
      <alignment horizontal="center"/>
    </xf>
    <xf numFmtId="166" fontId="4" fillId="0" borderId="0" xfId="3" applyNumberFormat="1" applyFill="1" applyAlignment="1">
      <alignment horizontal="center"/>
    </xf>
    <xf numFmtId="1" fontId="4" fillId="0" borderId="0" xfId="3" applyNumberFormat="1" applyFill="1" applyAlignment="1">
      <alignment horizontal="center"/>
    </xf>
    <xf numFmtId="10" fontId="4" fillId="0" borderId="0" xfId="2" applyNumberFormat="1" applyFont="1" applyFill="1"/>
    <xf numFmtId="3" fontId="2" fillId="0" borderId="0" xfId="3" applyNumberFormat="1" applyFont="1" applyFill="1" applyBorder="1" applyProtection="1"/>
    <xf numFmtId="0" fontId="0" fillId="0" borderId="0" xfId="0" pivotButton="1"/>
    <xf numFmtId="164" fontId="0" fillId="0" borderId="0" xfId="0" applyNumberFormat="1" applyAlignment="1">
      <alignment horizontal="left"/>
    </xf>
    <xf numFmtId="0" fontId="6" fillId="2" borderId="3" xfId="0" applyFont="1" applyFill="1" applyBorder="1"/>
    <xf numFmtId="164" fontId="6" fillId="2" borderId="3" xfId="1" applyNumberFormat="1" applyFont="1" applyFill="1" applyBorder="1"/>
    <xf numFmtId="4" fontId="0" fillId="0" borderId="0" xfId="0" applyNumberFormat="1"/>
    <xf numFmtId="167" fontId="0" fillId="0" borderId="0" xfId="1" applyNumberFormat="1" applyFont="1"/>
    <xf numFmtId="164" fontId="0" fillId="0" borderId="0" xfId="0" applyNumberFormat="1"/>
    <xf numFmtId="10" fontId="0" fillId="0" borderId="0" xfId="2" applyNumberFormat="1" applyFont="1"/>
    <xf numFmtId="10" fontId="0" fillId="0" borderId="0" xfId="0" applyNumberFormat="1"/>
    <xf numFmtId="0" fontId="7" fillId="0" borderId="4" xfId="0" applyFont="1" applyBorder="1" applyAlignment="1">
      <alignment horizontal="center"/>
    </xf>
    <xf numFmtId="169" fontId="7" fillId="0" borderId="4" xfId="0" applyNumberFormat="1" applyFont="1" applyBorder="1" applyAlignment="1">
      <alignment horizontal="center"/>
    </xf>
    <xf numFmtId="0" fontId="8" fillId="0" borderId="5" xfId="0" applyFont="1" applyBorder="1"/>
    <xf numFmtId="169" fontId="8" fillId="0" borderId="2" xfId="0" applyNumberFormat="1" applyFont="1" applyBorder="1"/>
    <xf numFmtId="0" fontId="0" fillId="0" borderId="5" xfId="0" applyBorder="1"/>
    <xf numFmtId="0" fontId="0" fillId="0" borderId="6" xfId="0" applyBorder="1"/>
    <xf numFmtId="169" fontId="0" fillId="0" borderId="0" xfId="0" applyNumberFormat="1"/>
    <xf numFmtId="0" fontId="2" fillId="0" borderId="0" xfId="0" applyFont="1" applyAlignment="1">
      <alignment wrapText="1"/>
    </xf>
    <xf numFmtId="170" fontId="0" fillId="0" borderId="0" xfId="0" applyNumberFormat="1"/>
    <xf numFmtId="10" fontId="6" fillId="0" borderId="0" xfId="2" applyNumberFormat="1" applyFont="1" applyAlignment="1">
      <alignment horizontal="center" vertical="center" wrapText="1"/>
    </xf>
    <xf numFmtId="0" fontId="6" fillId="0" borderId="0" xfId="0" applyFont="1"/>
    <xf numFmtId="0" fontId="9" fillId="0" borderId="0" xfId="0" applyFont="1"/>
    <xf numFmtId="10" fontId="2" fillId="0" borderId="0" xfId="2" applyNumberFormat="1" applyFont="1" applyAlignment="1">
      <alignment vertical="center" wrapText="1"/>
    </xf>
    <xf numFmtId="164" fontId="6" fillId="0" borderId="0" xfId="1" applyNumberFormat="1" applyFont="1"/>
    <xf numFmtId="167" fontId="6" fillId="0" borderId="0" xfId="0" applyNumberFormat="1" applyFont="1"/>
    <xf numFmtId="0" fontId="6" fillId="3" borderId="0" xfId="0" applyFont="1" applyFill="1"/>
    <xf numFmtId="0" fontId="10" fillId="4" borderId="0" xfId="0" applyFont="1" applyFill="1"/>
    <xf numFmtId="10" fontId="10" fillId="4" borderId="0" xfId="2" applyNumberFormat="1" applyFont="1" applyFill="1" applyAlignment="1">
      <alignment horizontal="center" vertical="center" wrapText="1"/>
    </xf>
    <xf numFmtId="0" fontId="11" fillId="4" borderId="4" xfId="0" applyFont="1" applyFill="1" applyBorder="1" applyAlignment="1">
      <alignment horizontal="center"/>
    </xf>
    <xf numFmtId="0" fontId="11" fillId="4" borderId="1" xfId="0" applyFont="1" applyFill="1" applyBorder="1"/>
    <xf numFmtId="10" fontId="12" fillId="3" borderId="0" xfId="2" applyNumberFormat="1" applyFont="1" applyFill="1"/>
    <xf numFmtId="10" fontId="12" fillId="3" borderId="0" xfId="2" applyNumberFormat="1" applyFont="1" applyFill="1" applyBorder="1"/>
    <xf numFmtId="168" fontId="6" fillId="3" borderId="0" xfId="0" applyNumberFormat="1" applyFont="1" applyFill="1"/>
    <xf numFmtId="0" fontId="13" fillId="0" borderId="2" xfId="5" applyFont="1" applyBorder="1" applyAlignment="1">
      <alignment horizontal="center"/>
    </xf>
    <xf numFmtId="171" fontId="14" fillId="0" borderId="2" xfId="6" applyNumberFormat="1" applyFont="1" applyBorder="1" applyAlignment="1">
      <alignment horizontal="center" vertical="top" wrapText="1"/>
    </xf>
    <xf numFmtId="164" fontId="0" fillId="0" borderId="0" xfId="0" pivotButton="1" applyNumberFormat="1"/>
    <xf numFmtId="0" fontId="6" fillId="0" borderId="0" xfId="0" applyFont="1" applyAlignment="1">
      <alignment wrapText="1"/>
    </xf>
    <xf numFmtId="0" fontId="6" fillId="0" borderId="0" xfId="0" applyFont="1" applyAlignment="1">
      <alignment vertical="center"/>
    </xf>
    <xf numFmtId="0" fontId="6" fillId="0" borderId="2" xfId="0" applyFont="1" applyBorder="1" applyAlignment="1">
      <alignment vertical="center"/>
    </xf>
    <xf numFmtId="0" fontId="6" fillId="0" borderId="2" xfId="0" applyFont="1" applyBorder="1" applyAlignment="1">
      <alignment wrapText="1"/>
    </xf>
    <xf numFmtId="3" fontId="0" fillId="0" borderId="0" xfId="0" applyNumberFormat="1" applyAlignment="1">
      <alignment horizontal="right"/>
    </xf>
    <xf numFmtId="172" fontId="0" fillId="0" borderId="0" xfId="0" applyNumberFormat="1"/>
    <xf numFmtId="164" fontId="0" fillId="3" borderId="0" xfId="1" applyNumberFormat="1" applyFont="1" applyFill="1"/>
    <xf numFmtId="164" fontId="0" fillId="3" borderId="0" xfId="0" applyNumberFormat="1" applyFill="1"/>
    <xf numFmtId="169" fontId="7" fillId="0" borderId="0" xfId="0" applyNumberFormat="1" applyFont="1" applyBorder="1" applyAlignment="1">
      <alignment horizontal="center"/>
    </xf>
    <xf numFmtId="0" fontId="2" fillId="0" borderId="0" xfId="0" applyFont="1" applyAlignment="1">
      <alignment horizontal="center" wrapText="1"/>
    </xf>
    <xf numFmtId="169" fontId="8" fillId="0" borderId="2" xfId="0" applyNumberFormat="1" applyFont="1" applyBorder="1" applyAlignment="1">
      <alignment horizontal="center"/>
    </xf>
    <xf numFmtId="169" fontId="8" fillId="0" borderId="0" xfId="0" applyNumberFormat="1" applyFont="1" applyBorder="1"/>
    <xf numFmtId="0" fontId="17" fillId="0" borderId="0" xfId="0" applyFont="1"/>
    <xf numFmtId="0" fontId="17" fillId="0" borderId="0" xfId="0" applyFont="1" applyAlignment="1">
      <alignment horizontal="center"/>
    </xf>
    <xf numFmtId="2" fontId="17" fillId="0" borderId="0" xfId="0" applyNumberFormat="1" applyFont="1"/>
    <xf numFmtId="10" fontId="18" fillId="0" borderId="0" xfId="2" applyNumberFormat="1" applyFont="1" applyAlignment="1">
      <alignment horizontal="center" vertical="center" wrapText="1"/>
    </xf>
    <xf numFmtId="2" fontId="18" fillId="0" borderId="0" xfId="2" applyNumberFormat="1" applyFont="1" applyAlignment="1">
      <alignment horizontal="center" vertical="center" wrapText="1"/>
    </xf>
    <xf numFmtId="170" fontId="17" fillId="0" borderId="0" xfId="0" applyNumberFormat="1" applyFont="1"/>
    <xf numFmtId="169" fontId="17" fillId="0" borderId="0" xfId="0" applyNumberFormat="1" applyFont="1"/>
    <xf numFmtId="169" fontId="17" fillId="0" borderId="0" xfId="0" applyNumberFormat="1" applyFont="1" applyAlignment="1">
      <alignment horizontal="center"/>
    </xf>
    <xf numFmtId="2" fontId="0" fillId="0" borderId="0" xfId="0" applyNumberFormat="1"/>
    <xf numFmtId="0" fontId="0" fillId="0" borderId="0" xfId="0" applyAlignment="1">
      <alignment horizontal="center"/>
    </xf>
    <xf numFmtId="0" fontId="18" fillId="5" borderId="0" xfId="0" applyFont="1" applyFill="1"/>
    <xf numFmtId="0" fontId="17" fillId="5" borderId="0" xfId="0" applyFont="1" applyFill="1"/>
    <xf numFmtId="10" fontId="2" fillId="0" borderId="0" xfId="2" applyNumberFormat="1" applyFont="1" applyAlignment="1">
      <alignment horizontal="center" vertical="center" wrapText="1"/>
    </xf>
    <xf numFmtId="10" fontId="2" fillId="5" borderId="0" xfId="2" applyNumberFormat="1" applyFont="1" applyFill="1" applyAlignment="1">
      <alignment vertical="center" wrapText="1"/>
    </xf>
    <xf numFmtId="0" fontId="2" fillId="5" borderId="0" xfId="0" applyFont="1" applyFill="1" applyAlignment="1">
      <alignment wrapText="1"/>
    </xf>
    <xf numFmtId="169" fontId="7" fillId="5" borderId="4" xfId="0" applyNumberFormat="1" applyFont="1" applyFill="1" applyBorder="1" applyAlignment="1">
      <alignment horizontal="center"/>
    </xf>
    <xf numFmtId="170" fontId="17" fillId="5" borderId="0" xfId="0" applyNumberFormat="1" applyFont="1" applyFill="1"/>
    <xf numFmtId="169" fontId="8" fillId="5" borderId="2" xfId="0" applyNumberFormat="1" applyFont="1" applyFill="1" applyBorder="1"/>
    <xf numFmtId="0" fontId="17" fillId="0" borderId="0" xfId="0" applyFont="1" applyAlignment="1">
      <alignment horizontal="right"/>
    </xf>
    <xf numFmtId="169" fontId="17" fillId="5" borderId="0" xfId="0" applyNumberFormat="1" applyFont="1" applyFill="1"/>
    <xf numFmtId="170" fontId="0" fillId="0" borderId="0" xfId="0" applyNumberFormat="1" applyAlignment="1">
      <alignment horizontal="center"/>
    </xf>
    <xf numFmtId="0" fontId="0" fillId="0" borderId="0" xfId="0" applyAlignment="1"/>
    <xf numFmtId="10" fontId="6" fillId="3" borderId="0" xfId="2" applyNumberFormat="1" applyFont="1" applyFill="1"/>
    <xf numFmtId="0" fontId="9" fillId="0" borderId="0" xfId="0" applyFont="1" applyAlignment="1"/>
    <xf numFmtId="10" fontId="9" fillId="0" borderId="0" xfId="2" applyNumberFormat="1" applyFont="1"/>
    <xf numFmtId="10" fontId="10" fillId="3" borderId="0" xfId="2" applyNumberFormat="1" applyFont="1" applyFill="1"/>
    <xf numFmtId="173" fontId="14" fillId="0" borderId="2" xfId="6" applyNumberFormat="1" applyFont="1" applyBorder="1" applyAlignment="1">
      <alignment horizontal="center" vertical="top" wrapText="1"/>
    </xf>
    <xf numFmtId="174" fontId="14" fillId="0" borderId="2" xfId="6" applyNumberFormat="1" applyFont="1" applyBorder="1" applyAlignment="1">
      <alignment horizontal="center" vertical="top" wrapText="1"/>
    </xf>
  </cellXfs>
  <cellStyles count="7">
    <cellStyle name="Millares" xfId="1" builtinId="3"/>
    <cellStyle name="Millares 2" xfId="6"/>
    <cellStyle name="Normal" xfId="0" builtinId="0"/>
    <cellStyle name="Normal 2" xfId="3"/>
    <cellStyle name="Normal 3" xfId="5"/>
    <cellStyle name="Normal_Lara_mun_edad1" xfId="4"/>
    <cellStyle name="Porcentual" xfId="2" builtinId="5"/>
  </cellStyles>
  <dxfs count="12">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6.4470691163604724E-2"/>
                  <c:y val="0.12788823272090991"/>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M'!$U$19:$U$21</c:f>
              <c:numCache>
                <c:formatCode>_ * #,##0_ ;_ * \-#,##0_ ;_ * "-"??_ ;_ @_ </c:formatCode>
                <c:ptCount val="3"/>
                <c:pt idx="0">
                  <c:v>1146087</c:v>
                </c:pt>
                <c:pt idx="1">
                  <c:v>1367727</c:v>
                </c:pt>
                <c:pt idx="2">
                  <c:v>1236217</c:v>
                </c:pt>
              </c:numCache>
            </c:numRef>
          </c:yVal>
          <c:smooth val="1"/>
        </c:ser>
        <c:axId val="60772352"/>
        <c:axId val="60773888"/>
      </c:scatterChart>
      <c:valAx>
        <c:axId val="60772352"/>
        <c:scaling>
          <c:orientation val="minMax"/>
        </c:scaling>
        <c:axPos val="b"/>
        <c:numFmt formatCode="_ * #,##0_ ;_ * \-#,##0_ ;_ * &quot;-&quot;??_ ;_ @_ " sourceLinked="1"/>
        <c:tickLblPos val="nextTo"/>
        <c:crossAx val="60773888"/>
        <c:crosses val="autoZero"/>
        <c:crossBetween val="midCat"/>
      </c:valAx>
      <c:valAx>
        <c:axId val="60773888"/>
        <c:scaling>
          <c:orientation val="minMax"/>
        </c:scaling>
        <c:axPos val="l"/>
        <c:numFmt formatCode="_ * #,##0_ ;_ * \-#,##0_ ;_ * &quot;-&quot;??_ ;_ @_ " sourceLinked="1"/>
        <c:tickLblPos val="nextTo"/>
        <c:crossAx val="60772352"/>
        <c:crosses val="autoZero"/>
        <c:crossBetween val="midCat"/>
      </c:valAx>
    </c:plotArea>
    <c:plotVisOnly val="1"/>
  </c:chart>
  <c:printSettings>
    <c:headerFooter/>
    <c:pageMargins b="0.75000000000000355" l="0.70000000000000062" r="0.70000000000000062" t="0.750000000000003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8.6709973753281225E-2"/>
                  <c:y val="0.4379330708661418"/>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M'!$I$41:$I$43</c:f>
              <c:numCache>
                <c:formatCode>_ * #,##0_ ;_ * \-#,##0_ ;_ * "-"??_ ;_ @_ </c:formatCode>
                <c:ptCount val="3"/>
                <c:pt idx="0">
                  <c:v>1087702</c:v>
                </c:pt>
                <c:pt idx="1">
                  <c:v>1281342</c:v>
                </c:pt>
                <c:pt idx="2">
                  <c:v>1298191</c:v>
                </c:pt>
              </c:numCache>
            </c:numRef>
          </c:yVal>
          <c:smooth val="1"/>
        </c:ser>
        <c:axId val="60798080"/>
        <c:axId val="60799616"/>
      </c:scatterChart>
      <c:valAx>
        <c:axId val="60798080"/>
        <c:scaling>
          <c:orientation val="minMax"/>
        </c:scaling>
        <c:axPos val="b"/>
        <c:numFmt formatCode="_ * #,##0_ ;_ * \-#,##0_ ;_ * &quot;-&quot;??_ ;_ @_ " sourceLinked="1"/>
        <c:tickLblPos val="nextTo"/>
        <c:crossAx val="60799616"/>
        <c:crosses val="autoZero"/>
        <c:crossBetween val="midCat"/>
      </c:valAx>
      <c:valAx>
        <c:axId val="60799616"/>
        <c:scaling>
          <c:orientation val="minMax"/>
        </c:scaling>
        <c:axPos val="l"/>
        <c:numFmt formatCode="_ * #,##0_ ;_ * \-#,##0_ ;_ * &quot;-&quot;??_ ;_ @_ " sourceLinked="1"/>
        <c:tickLblPos val="nextTo"/>
        <c:crossAx val="60798080"/>
        <c:crosses val="autoZero"/>
        <c:crossBetween val="midCat"/>
      </c:valAx>
    </c:plotArea>
    <c:plotVisOnly val="1"/>
  </c:chart>
  <c:printSettings>
    <c:headerFooter/>
    <c:pageMargins b="0.75000000000000377" l="0.70000000000000062" r="0.70000000000000062" t="0.7500000000000037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12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M'!$U$41:$U$43</c:f>
              <c:numCache>
                <c:formatCode>_ * #,##0_ ;_ * \-#,##0_ ;_ * "-"??_ ;_ @_ </c:formatCode>
                <c:ptCount val="3"/>
                <c:pt idx="0">
                  <c:v>858225</c:v>
                </c:pt>
                <c:pt idx="1">
                  <c:v>1080653</c:v>
                </c:pt>
                <c:pt idx="2">
                  <c:v>1280125</c:v>
                </c:pt>
              </c:numCache>
            </c:numRef>
          </c:yVal>
          <c:smooth val="1"/>
        </c:ser>
        <c:axId val="62601472"/>
        <c:axId val="62615552"/>
      </c:scatterChart>
      <c:valAx>
        <c:axId val="62601472"/>
        <c:scaling>
          <c:orientation val="minMax"/>
        </c:scaling>
        <c:axPos val="b"/>
        <c:numFmt formatCode="_ * #,##0_ ;_ * \-#,##0_ ;_ * &quot;-&quot;??_ ;_ @_ " sourceLinked="1"/>
        <c:tickLblPos val="nextTo"/>
        <c:crossAx val="62615552"/>
        <c:crosses val="autoZero"/>
        <c:crossBetween val="midCat"/>
      </c:valAx>
      <c:valAx>
        <c:axId val="62615552"/>
        <c:scaling>
          <c:orientation val="minMax"/>
        </c:scaling>
        <c:axPos val="l"/>
        <c:numFmt formatCode="_ * #,##0_ ;_ * \-#,##0_ ;_ * &quot;-&quot;??_ ;_ @_ " sourceLinked="1"/>
        <c:tickLblPos val="nextTo"/>
        <c:crossAx val="62601472"/>
        <c:crosses val="autoZero"/>
        <c:crossBetween val="midCat"/>
      </c:valAx>
    </c:plotArea>
    <c:plotVisOnly val="1"/>
  </c:chart>
  <c:printSettings>
    <c:headerFooter/>
    <c:pageMargins b="0.75000000000000377" l="0.70000000000000062" r="0.70000000000000062" t="0.75000000000000377"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8.6709973753281225E-2"/>
                  <c:y val="0.4379330708661418"/>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M'!$I$63:$I$65</c:f>
              <c:numCache>
                <c:formatCode>_ * #,##0_ ;_ * \-#,##0_ ;_ * "-"??_ ;_ @_ </c:formatCode>
                <c:ptCount val="3"/>
                <c:pt idx="0">
                  <c:v>772081</c:v>
                </c:pt>
                <c:pt idx="1">
                  <c:v>924446</c:v>
                </c:pt>
                <c:pt idx="2">
                  <c:v>1159400</c:v>
                </c:pt>
              </c:numCache>
            </c:numRef>
          </c:yVal>
          <c:smooth val="1"/>
        </c:ser>
        <c:axId val="62627200"/>
        <c:axId val="62641280"/>
      </c:scatterChart>
      <c:valAx>
        <c:axId val="62627200"/>
        <c:scaling>
          <c:orientation val="minMax"/>
        </c:scaling>
        <c:axPos val="b"/>
        <c:numFmt formatCode="_ * #,##0_ ;_ * \-#,##0_ ;_ * &quot;-&quot;??_ ;_ @_ " sourceLinked="1"/>
        <c:tickLblPos val="nextTo"/>
        <c:crossAx val="62641280"/>
        <c:crosses val="autoZero"/>
        <c:crossBetween val="midCat"/>
      </c:valAx>
      <c:valAx>
        <c:axId val="62641280"/>
        <c:scaling>
          <c:orientation val="minMax"/>
        </c:scaling>
        <c:axPos val="l"/>
        <c:numFmt formatCode="_ * #,##0_ ;_ * \-#,##0_ ;_ * &quot;-&quot;??_ ;_ @_ " sourceLinked="1"/>
        <c:tickLblPos val="nextTo"/>
        <c:crossAx val="62627200"/>
        <c:crosses val="autoZero"/>
        <c:crossBetween val="midCat"/>
      </c:valAx>
    </c:plotArea>
    <c:plotVisOnly val="1"/>
  </c:chart>
  <c:printSettings>
    <c:headerFooter/>
    <c:pageMargins b="0.750000000000004" l="0.70000000000000062" r="0.70000000000000062" t="0.750000000000004"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24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M'!$U$63:$U$65</c:f>
              <c:numCache>
                <c:formatCode>_ * #,##0_ ;_ * \-#,##0_ ;_ * "-"??_ ;_ @_ </c:formatCode>
                <c:ptCount val="3"/>
                <c:pt idx="0">
                  <c:v>671020</c:v>
                </c:pt>
                <c:pt idx="1">
                  <c:v>863034</c:v>
                </c:pt>
                <c:pt idx="2">
                  <c:v>1105617</c:v>
                </c:pt>
              </c:numCache>
            </c:numRef>
          </c:yVal>
          <c:smooth val="1"/>
        </c:ser>
        <c:axId val="63124224"/>
        <c:axId val="63125760"/>
      </c:scatterChart>
      <c:valAx>
        <c:axId val="63124224"/>
        <c:scaling>
          <c:orientation val="minMax"/>
        </c:scaling>
        <c:axPos val="b"/>
        <c:numFmt formatCode="_ * #,##0_ ;_ * \-#,##0_ ;_ * &quot;-&quot;??_ ;_ @_ " sourceLinked="1"/>
        <c:tickLblPos val="nextTo"/>
        <c:crossAx val="63125760"/>
        <c:crosses val="autoZero"/>
        <c:crossBetween val="midCat"/>
      </c:valAx>
      <c:valAx>
        <c:axId val="63125760"/>
        <c:scaling>
          <c:orientation val="minMax"/>
        </c:scaling>
        <c:axPos val="l"/>
        <c:numFmt formatCode="_ * #,##0_ ;_ * \-#,##0_ ;_ * &quot;-&quot;??_ ;_ @_ " sourceLinked="1"/>
        <c:tickLblPos val="nextTo"/>
        <c:crossAx val="63124224"/>
        <c:crosses val="autoZero"/>
        <c:crossBetween val="midCat"/>
      </c:valAx>
    </c:plotArea>
    <c:plotVisOnly val="1"/>
  </c:chart>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9.1718427900375113E-2"/>
                  <c:y val="0.43934018664333635"/>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M'!$I$85:$I$87</c:f>
              <c:numCache>
                <c:formatCode>_ * #,##0_ ;_ * \-#,##0_ ;_ * "-"??_ ;_ @_ </c:formatCode>
                <c:ptCount val="3"/>
                <c:pt idx="0">
                  <c:v>570519</c:v>
                </c:pt>
                <c:pt idx="1">
                  <c:v>772881</c:v>
                </c:pt>
                <c:pt idx="2">
                  <c:v>942311</c:v>
                </c:pt>
              </c:numCache>
            </c:numRef>
          </c:yVal>
          <c:smooth val="1"/>
        </c:ser>
        <c:axId val="63154048"/>
        <c:axId val="63155584"/>
      </c:scatterChart>
      <c:valAx>
        <c:axId val="63154048"/>
        <c:scaling>
          <c:orientation val="minMax"/>
        </c:scaling>
        <c:axPos val="b"/>
        <c:numFmt formatCode="_ * #,##0_ ;_ * \-#,##0_ ;_ * &quot;-&quot;??_ ;_ @_ " sourceLinked="1"/>
        <c:tickLblPos val="nextTo"/>
        <c:crossAx val="63155584"/>
        <c:crosses val="autoZero"/>
        <c:crossBetween val="midCat"/>
      </c:valAx>
      <c:valAx>
        <c:axId val="63155584"/>
        <c:scaling>
          <c:orientation val="minMax"/>
        </c:scaling>
        <c:axPos val="l"/>
        <c:numFmt formatCode="_ * #,##0_ ;_ * \-#,##0_ ;_ * &quot;-&quot;??_ ;_ @_ " sourceLinked="1"/>
        <c:tickLblPos val="nextTo"/>
        <c:crossAx val="63154048"/>
        <c:crosses val="autoZero"/>
        <c:crossBetween val="midCat"/>
      </c:valAx>
    </c:plotArea>
    <c:plotVisOnly val="1"/>
  </c:chart>
  <c:printSettings>
    <c:headerFooter/>
    <c:pageMargins b="0.75000000000000422" l="0.70000000000000062" r="0.70000000000000062" t="0.7500000000000042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35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M'!$U$85:$U$87</c:f>
              <c:numCache>
                <c:formatCode>_ * #,##0_ ;_ * \-#,##0_ ;_ * "-"??_ ;_ @_ </c:formatCode>
                <c:ptCount val="3"/>
                <c:pt idx="0">
                  <c:v>437768</c:v>
                </c:pt>
                <c:pt idx="1">
                  <c:v>695516</c:v>
                </c:pt>
                <c:pt idx="2">
                  <c:v>873509</c:v>
                </c:pt>
              </c:numCache>
            </c:numRef>
          </c:yVal>
          <c:smooth val="1"/>
        </c:ser>
        <c:axId val="63163392"/>
        <c:axId val="63177472"/>
      </c:scatterChart>
      <c:valAx>
        <c:axId val="63163392"/>
        <c:scaling>
          <c:orientation val="minMax"/>
        </c:scaling>
        <c:axPos val="b"/>
        <c:numFmt formatCode="_ * #,##0_ ;_ * \-#,##0_ ;_ * &quot;-&quot;??_ ;_ @_ " sourceLinked="1"/>
        <c:tickLblPos val="nextTo"/>
        <c:crossAx val="63177472"/>
        <c:crosses val="autoZero"/>
        <c:crossBetween val="midCat"/>
      </c:valAx>
      <c:valAx>
        <c:axId val="63177472"/>
        <c:scaling>
          <c:orientation val="minMax"/>
        </c:scaling>
        <c:axPos val="l"/>
        <c:numFmt formatCode="_ * #,##0_ ;_ * \-#,##0_ ;_ * &quot;-&quot;??_ ;_ @_ " sourceLinked="1"/>
        <c:tickLblPos val="nextTo"/>
        <c:crossAx val="63163392"/>
        <c:crosses val="autoZero"/>
        <c:crossBetween val="midCat"/>
      </c:valAx>
    </c:plotArea>
    <c:plotVisOnly val="1"/>
  </c:chart>
  <c:printSettings>
    <c:headerFooter/>
    <c:pageMargins b="0.75000000000000422" l="0.70000000000000062" r="0.70000000000000062" t="0.750000000000004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M'!$I$107:$I$109</c:f>
              <c:numCache>
                <c:formatCode>_ * #,##0_ ;_ * \-#,##0_ ;_ * "-"??_ ;_ @_ </c:formatCode>
                <c:ptCount val="3"/>
                <c:pt idx="0">
                  <c:v>318990</c:v>
                </c:pt>
                <c:pt idx="1">
                  <c:v>564987</c:v>
                </c:pt>
                <c:pt idx="2">
                  <c:v>747704</c:v>
                </c:pt>
              </c:numCache>
            </c:numRef>
          </c:yVal>
          <c:smooth val="1"/>
        </c:ser>
        <c:axId val="63205760"/>
        <c:axId val="63207296"/>
      </c:scatterChart>
      <c:valAx>
        <c:axId val="63205760"/>
        <c:scaling>
          <c:orientation val="minMax"/>
        </c:scaling>
        <c:axPos val="b"/>
        <c:numFmt formatCode="_ * #,##0_ ;_ * \-#,##0_ ;_ * &quot;-&quot;??_ ;_ @_ " sourceLinked="1"/>
        <c:tickLblPos val="nextTo"/>
        <c:crossAx val="63207296"/>
        <c:crosses val="autoZero"/>
        <c:crossBetween val="midCat"/>
      </c:valAx>
      <c:valAx>
        <c:axId val="63207296"/>
        <c:scaling>
          <c:orientation val="minMax"/>
        </c:scaling>
        <c:axPos val="l"/>
        <c:numFmt formatCode="_ * #,##0_ ;_ * \-#,##0_ ;_ * &quot;-&quot;??_ ;_ @_ " sourceLinked="1"/>
        <c:tickLblPos val="nextTo"/>
        <c:crossAx val="63205760"/>
        <c:crosses val="autoZero"/>
        <c:crossBetween val="midCat"/>
      </c:valAx>
    </c:plotArea>
    <c:plotVisOnly val="1"/>
  </c:chart>
  <c:printSettings>
    <c:headerFooter/>
    <c:pageMargins b="0.75000000000000444" l="0.70000000000000062" r="0.70000000000000062" t="0.7500000000000044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45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M'!$U$107:$U$109</c:f>
              <c:numCache>
                <c:formatCode>_ * #,##0_ ;_ * \-#,##0_ ;_ * "-"??_ ;_ @_ </c:formatCode>
                <c:ptCount val="3"/>
                <c:pt idx="0">
                  <c:v>268059</c:v>
                </c:pt>
                <c:pt idx="1">
                  <c:v>452112</c:v>
                </c:pt>
                <c:pt idx="2">
                  <c:v>651255</c:v>
                </c:pt>
              </c:numCache>
            </c:numRef>
          </c:yVal>
          <c:smooth val="1"/>
        </c:ser>
        <c:axId val="63309312"/>
        <c:axId val="63310848"/>
      </c:scatterChart>
      <c:valAx>
        <c:axId val="63309312"/>
        <c:scaling>
          <c:orientation val="minMax"/>
        </c:scaling>
        <c:axPos val="b"/>
        <c:numFmt formatCode="_ * #,##0_ ;_ * \-#,##0_ ;_ * &quot;-&quot;??_ ;_ @_ " sourceLinked="1"/>
        <c:tickLblPos val="nextTo"/>
        <c:crossAx val="63310848"/>
        <c:crosses val="autoZero"/>
        <c:crossBetween val="midCat"/>
      </c:valAx>
      <c:valAx>
        <c:axId val="63310848"/>
        <c:scaling>
          <c:orientation val="minMax"/>
        </c:scaling>
        <c:axPos val="l"/>
        <c:numFmt formatCode="_ * #,##0_ ;_ * \-#,##0_ ;_ * &quot;-&quot;??_ ;_ @_ " sourceLinked="1"/>
        <c:tickLblPos val="nextTo"/>
        <c:crossAx val="63309312"/>
        <c:crosses val="autoZero"/>
        <c:crossBetween val="midCat"/>
      </c:valAx>
    </c:plotArea>
    <c:plotVisOnly val="1"/>
  </c:chart>
  <c:printSettings>
    <c:headerFooter/>
    <c:pageMargins b="0.75000000000000444" l="0.70000000000000062" r="0.70000000000000062" t="0.75000000000000444"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M'!$I$129:$I$131</c:f>
              <c:numCache>
                <c:formatCode>_ * #,##0_ ;_ * \-#,##0_ ;_ * "-"??_ ;_ @_ </c:formatCode>
                <c:ptCount val="3"/>
                <c:pt idx="0">
                  <c:v>213658</c:v>
                </c:pt>
                <c:pt idx="1">
                  <c:v>297806</c:v>
                </c:pt>
                <c:pt idx="2">
                  <c:v>530935</c:v>
                </c:pt>
              </c:numCache>
            </c:numRef>
          </c:yVal>
          <c:smooth val="1"/>
        </c:ser>
        <c:axId val="63335040"/>
        <c:axId val="63340928"/>
      </c:scatterChart>
      <c:valAx>
        <c:axId val="63335040"/>
        <c:scaling>
          <c:orientation val="minMax"/>
        </c:scaling>
        <c:axPos val="b"/>
        <c:numFmt formatCode="_ * #,##0_ ;_ * \-#,##0_ ;_ * &quot;-&quot;??_ ;_ @_ " sourceLinked="1"/>
        <c:tickLblPos val="nextTo"/>
        <c:crossAx val="63340928"/>
        <c:crosses val="autoZero"/>
        <c:crossBetween val="midCat"/>
      </c:valAx>
      <c:valAx>
        <c:axId val="63340928"/>
        <c:scaling>
          <c:orientation val="minMax"/>
        </c:scaling>
        <c:axPos val="l"/>
        <c:numFmt formatCode="_ * #,##0_ ;_ * \-#,##0_ ;_ * &quot;-&quot;??_ ;_ @_ " sourceLinked="1"/>
        <c:tickLblPos val="nextTo"/>
        <c:crossAx val="63335040"/>
        <c:crosses val="autoZero"/>
        <c:crossBetween val="midCat"/>
      </c:valAx>
    </c:plotArea>
    <c:plotVisOnly val="1"/>
  </c:chart>
  <c:printSettings>
    <c:headerFooter/>
    <c:pageMargins b="0.75000000000000466" l="0.70000000000000062" r="0.70000000000000062" t="0.750000000000004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54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M'!$U$129:$U$131</c:f>
              <c:numCache>
                <c:formatCode>_ * #,##0_ ;_ * \-#,##0_ ;_ * "-"??_ ;_ @_ </c:formatCode>
                <c:ptCount val="3"/>
                <c:pt idx="0">
                  <c:v>182223</c:v>
                </c:pt>
                <c:pt idx="1">
                  <c:v>240296</c:v>
                </c:pt>
                <c:pt idx="2">
                  <c:v>407656</c:v>
                </c:pt>
              </c:numCache>
            </c:numRef>
          </c:yVal>
          <c:smooth val="1"/>
        </c:ser>
        <c:axId val="63369216"/>
        <c:axId val="63370752"/>
      </c:scatterChart>
      <c:valAx>
        <c:axId val="63369216"/>
        <c:scaling>
          <c:orientation val="minMax"/>
        </c:scaling>
        <c:axPos val="b"/>
        <c:numFmt formatCode="_ * #,##0_ ;_ * \-#,##0_ ;_ * &quot;-&quot;??_ ;_ @_ " sourceLinked="1"/>
        <c:tickLblPos val="nextTo"/>
        <c:crossAx val="63370752"/>
        <c:crosses val="autoZero"/>
        <c:crossBetween val="midCat"/>
      </c:valAx>
      <c:valAx>
        <c:axId val="63370752"/>
        <c:scaling>
          <c:orientation val="minMax"/>
        </c:scaling>
        <c:axPos val="l"/>
        <c:numFmt formatCode="_ * #,##0_ ;_ * \-#,##0_ ;_ * &quot;-&quot;??_ ;_ @_ " sourceLinked="1"/>
        <c:tickLblPos val="nextTo"/>
        <c:crossAx val="63369216"/>
        <c:crosses val="autoZero"/>
        <c:crossBetween val="midCat"/>
      </c:valAx>
    </c:plotArea>
    <c:plotVisOnly val="1"/>
  </c:chart>
  <c:printSettings>
    <c:headerFooter/>
    <c:pageMargins b="0.75000000000000466" l="0.70000000000000062" r="0.70000000000000062" t="0.750000000000004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M'!$I$151:$I$153</c:f>
              <c:numCache>
                <c:formatCode>_ * #,##0_ ;_ * \-#,##0_ ;_ * "-"??_ ;_ @_ </c:formatCode>
                <c:ptCount val="3"/>
                <c:pt idx="0">
                  <c:v>122834</c:v>
                </c:pt>
                <c:pt idx="1">
                  <c:v>178264</c:v>
                </c:pt>
                <c:pt idx="2">
                  <c:v>267691</c:v>
                </c:pt>
              </c:numCache>
            </c:numRef>
          </c:yVal>
          <c:smooth val="1"/>
        </c:ser>
        <c:axId val="63726720"/>
        <c:axId val="63728256"/>
      </c:scatterChart>
      <c:valAx>
        <c:axId val="63726720"/>
        <c:scaling>
          <c:orientation val="minMax"/>
        </c:scaling>
        <c:axPos val="b"/>
        <c:numFmt formatCode="_ * #,##0_ ;_ * \-#,##0_ ;_ * &quot;-&quot;??_ ;_ @_ " sourceLinked="1"/>
        <c:tickLblPos val="nextTo"/>
        <c:crossAx val="63728256"/>
        <c:crosses val="autoZero"/>
        <c:crossBetween val="midCat"/>
      </c:valAx>
      <c:valAx>
        <c:axId val="63728256"/>
        <c:scaling>
          <c:orientation val="minMax"/>
        </c:scaling>
        <c:axPos val="l"/>
        <c:numFmt formatCode="_ * #,##0_ ;_ * \-#,##0_ ;_ * &quot;-&quot;??_ ;_ @_ " sourceLinked="1"/>
        <c:tickLblPos val="nextTo"/>
        <c:crossAx val="63726720"/>
        <c:crosses val="autoZero"/>
        <c:crossBetween val="midCat"/>
      </c:valAx>
    </c:plotArea>
    <c:plotVisOnly val="1"/>
  </c:chart>
  <c:printSettings>
    <c:headerFooter/>
    <c:pageMargins b="0.75000000000000488" l="0.70000000000000062" r="0.70000000000000062" t="0.750000000000004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64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M'!$U$151:$U$153</c:f>
              <c:numCache>
                <c:formatCode>_ * #,##0_ ;_ * \-#,##0_ ;_ * "-"??_ ;_ @_ </c:formatCode>
                <c:ptCount val="3"/>
                <c:pt idx="0">
                  <c:v>88974</c:v>
                </c:pt>
                <c:pt idx="1">
                  <c:v>140060</c:v>
                </c:pt>
                <c:pt idx="2">
                  <c:v>189285</c:v>
                </c:pt>
              </c:numCache>
            </c:numRef>
          </c:yVal>
          <c:smooth val="1"/>
        </c:ser>
        <c:axId val="63760640"/>
        <c:axId val="63762432"/>
      </c:scatterChart>
      <c:valAx>
        <c:axId val="63760640"/>
        <c:scaling>
          <c:orientation val="minMax"/>
        </c:scaling>
        <c:axPos val="b"/>
        <c:numFmt formatCode="_ * #,##0_ ;_ * \-#,##0_ ;_ * &quot;-&quot;??_ ;_ @_ " sourceLinked="1"/>
        <c:tickLblPos val="nextTo"/>
        <c:crossAx val="63762432"/>
        <c:crosses val="autoZero"/>
        <c:crossBetween val="midCat"/>
      </c:valAx>
      <c:valAx>
        <c:axId val="63762432"/>
        <c:scaling>
          <c:orientation val="minMax"/>
        </c:scaling>
        <c:axPos val="l"/>
        <c:numFmt formatCode="_ * #,##0_ ;_ * \-#,##0_ ;_ * &quot;-&quot;??_ ;_ @_ " sourceLinked="1"/>
        <c:tickLblPos val="nextTo"/>
        <c:crossAx val="63760640"/>
        <c:crosses val="autoZero"/>
        <c:crossBetween val="midCat"/>
      </c:valAx>
    </c:plotArea>
    <c:plotVisOnly val="1"/>
  </c:chart>
  <c:printSettings>
    <c:headerFooter/>
    <c:pageMargins b="0.75000000000000488" l="0.70000000000000062" r="0.70000000000000062" t="0.75000000000000488"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M'!$I$173:$I$175</c:f>
              <c:numCache>
                <c:formatCode>_ * #,##0_ ;_ * \-#,##0_ ;_ * "-"??_ ;_ @_ </c:formatCode>
                <c:ptCount val="3"/>
                <c:pt idx="0">
                  <c:v>57796</c:v>
                </c:pt>
                <c:pt idx="1">
                  <c:v>93302</c:v>
                </c:pt>
                <c:pt idx="2">
                  <c:v>130126</c:v>
                </c:pt>
              </c:numCache>
            </c:numRef>
          </c:yVal>
          <c:smooth val="1"/>
        </c:ser>
        <c:axId val="65088896"/>
        <c:axId val="65094784"/>
      </c:scatterChart>
      <c:valAx>
        <c:axId val="65088896"/>
        <c:scaling>
          <c:orientation val="minMax"/>
        </c:scaling>
        <c:axPos val="b"/>
        <c:numFmt formatCode="_ * #,##0_ ;_ * \-#,##0_ ;_ * &quot;-&quot;??_ ;_ @_ " sourceLinked="1"/>
        <c:tickLblPos val="nextTo"/>
        <c:crossAx val="65094784"/>
        <c:crosses val="autoZero"/>
        <c:crossBetween val="midCat"/>
      </c:valAx>
      <c:valAx>
        <c:axId val="65094784"/>
        <c:scaling>
          <c:orientation val="minMax"/>
        </c:scaling>
        <c:axPos val="l"/>
        <c:numFmt formatCode="_ * #,##0_ ;_ * \-#,##0_ ;_ * &quot;-&quot;??_ ;_ @_ " sourceLinked="1"/>
        <c:tickLblPos val="nextTo"/>
        <c:crossAx val="65088896"/>
        <c:crosses val="autoZero"/>
        <c:crossBetween val="midCat"/>
      </c:valAx>
    </c:plotArea>
    <c:plotVisOnly val="1"/>
  </c:chart>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75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M'!$U$173:$U$175</c:f>
              <c:numCache>
                <c:formatCode>_ * #,##0_ ;_ * \-#,##0_ ;_ * "-"??_ ;_ @_ </c:formatCode>
                <c:ptCount val="3"/>
                <c:pt idx="0">
                  <c:v>37974</c:v>
                </c:pt>
                <c:pt idx="1">
                  <c:v>52605</c:v>
                </c:pt>
                <c:pt idx="2">
                  <c:v>78996</c:v>
                </c:pt>
              </c:numCache>
            </c:numRef>
          </c:yVal>
          <c:smooth val="1"/>
        </c:ser>
        <c:axId val="65127168"/>
        <c:axId val="65128704"/>
      </c:scatterChart>
      <c:valAx>
        <c:axId val="65127168"/>
        <c:scaling>
          <c:orientation val="minMax"/>
        </c:scaling>
        <c:axPos val="b"/>
        <c:numFmt formatCode="_ * #,##0_ ;_ * \-#,##0_ ;_ * &quot;-&quot;??_ ;_ @_ " sourceLinked="1"/>
        <c:tickLblPos val="nextTo"/>
        <c:crossAx val="65128704"/>
        <c:crosses val="autoZero"/>
        <c:crossBetween val="midCat"/>
      </c:valAx>
      <c:valAx>
        <c:axId val="65128704"/>
        <c:scaling>
          <c:orientation val="minMax"/>
        </c:scaling>
        <c:axPos val="l"/>
        <c:numFmt formatCode="_ * #,##0_ ;_ * \-#,##0_ ;_ * &quot;-&quot;??_ ;_ @_ " sourceLinked="1"/>
        <c:tickLblPos val="nextTo"/>
        <c:crossAx val="65127168"/>
        <c:crosses val="autoZero"/>
        <c:crossBetween val="midCat"/>
      </c:valAx>
    </c:plotArea>
    <c:plotVisOnly val="1"/>
  </c:chart>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M'!$I$195:$I$197</c:f>
              <c:numCache>
                <c:formatCode>_ * #,##0_ ;_ * \-#,##0_ ;_ * "-"??_ ;_ @_ </c:formatCode>
                <c:ptCount val="3"/>
                <c:pt idx="0">
                  <c:v>968497</c:v>
                </c:pt>
                <c:pt idx="1">
                  <c:v>1164429</c:v>
                </c:pt>
                <c:pt idx="2">
                  <c:v>1336159</c:v>
                </c:pt>
              </c:numCache>
            </c:numRef>
          </c:yVal>
          <c:smooth val="1"/>
        </c:ser>
        <c:axId val="65210240"/>
        <c:axId val="65211776"/>
      </c:scatterChart>
      <c:valAx>
        <c:axId val="65210240"/>
        <c:scaling>
          <c:orientation val="minMax"/>
        </c:scaling>
        <c:axPos val="b"/>
        <c:numFmt formatCode="_ * #,##0_ ;_ * \-#,##0_ ;_ * &quot;-&quot;??_ ;_ @_ " sourceLinked="1"/>
        <c:tickLblPos val="nextTo"/>
        <c:crossAx val="65211776"/>
        <c:crosses val="autoZero"/>
        <c:crossBetween val="midCat"/>
      </c:valAx>
      <c:valAx>
        <c:axId val="65211776"/>
        <c:scaling>
          <c:orientation val="minMax"/>
        </c:scaling>
        <c:axPos val="l"/>
        <c:numFmt formatCode="_ * #,##0_ ;_ * \-#,##0_ ;_ * &quot;-&quot;??_ ;_ @_ " sourceLinked="1"/>
        <c:tickLblPos val="nextTo"/>
        <c:crossAx val="65210240"/>
        <c:crosses val="autoZero"/>
        <c:crossBetween val="midCat"/>
      </c:valAx>
    </c:plotArea>
    <c:plotVisOnly val="1"/>
  </c:chart>
  <c:printSettings>
    <c:headerFooter/>
    <c:pageMargins b="0.75000000000000533" l="0.70000000000000062" r="0.70000000000000062" t="0.75000000000000533"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9.0105782231766508E-3"/>
                  <c:y val="0.54119203849519271"/>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M'!$U$195:$U$197</c:f>
              <c:numCache>
                <c:formatCode>_ * #,##0_ ;_ * \-#,##0_ ;_ * "-"??_ ;_ @_ </c:formatCode>
                <c:ptCount val="3"/>
                <c:pt idx="0">
                  <c:v>22454</c:v>
                </c:pt>
                <c:pt idx="1">
                  <c:v>43171</c:v>
                </c:pt>
                <c:pt idx="2">
                  <c:v>60367</c:v>
                </c:pt>
              </c:numCache>
            </c:numRef>
          </c:yVal>
          <c:smooth val="1"/>
        </c:ser>
        <c:axId val="65248256"/>
        <c:axId val="65250048"/>
      </c:scatterChart>
      <c:valAx>
        <c:axId val="65248256"/>
        <c:scaling>
          <c:orientation val="minMax"/>
        </c:scaling>
        <c:axPos val="b"/>
        <c:numFmt formatCode="_ * #,##0_ ;_ * \-#,##0_ ;_ * &quot;-&quot;??_ ;_ @_ " sourceLinked="1"/>
        <c:tickLblPos val="nextTo"/>
        <c:crossAx val="65250048"/>
        <c:crosses val="autoZero"/>
        <c:crossBetween val="midCat"/>
      </c:valAx>
      <c:valAx>
        <c:axId val="65250048"/>
        <c:scaling>
          <c:orientation val="minMax"/>
        </c:scaling>
        <c:axPos val="l"/>
        <c:numFmt formatCode="_ * #,##0_ ;_ * \-#,##0_ ;_ * &quot;-&quot;??_ ;_ @_ " sourceLinked="1"/>
        <c:tickLblPos val="nextTo"/>
        <c:crossAx val="65248256"/>
        <c:crosses val="autoZero"/>
        <c:crossBetween val="midCat"/>
      </c:valAx>
    </c:plotArea>
    <c:plotVisOnly val="1"/>
  </c:chart>
  <c:printSettings>
    <c:headerFooter/>
    <c:pageMargins b="0.75000000000000533" l="0.70000000000000062" r="0.70000000000000062" t="0.75000000000000533"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3"/>
            <c:dispRSqr val="1"/>
            <c:dispEq val="1"/>
            <c:trendlineLbl>
              <c:layout>
                <c:manualLayout>
                  <c:x val="0.46832458442694797"/>
                  <c:y val="-0.14354804607757446"/>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M'!$I$19:$I$21</c:f>
              <c:numCache>
                <c:formatCode>_ * #,##0_ ;_ * \-#,##0_ ;_ * "-"??_ ;_ @_ </c:formatCode>
                <c:ptCount val="3"/>
                <c:pt idx="0">
                  <c:v>1194896</c:v>
                </c:pt>
                <c:pt idx="1">
                  <c:v>1282639</c:v>
                </c:pt>
                <c:pt idx="2">
                  <c:v>1254208</c:v>
                </c:pt>
              </c:numCache>
            </c:numRef>
          </c:yVal>
          <c:smooth val="1"/>
        </c:ser>
        <c:axId val="65290624"/>
        <c:axId val="65292160"/>
      </c:scatterChart>
      <c:valAx>
        <c:axId val="65290624"/>
        <c:scaling>
          <c:orientation val="minMax"/>
        </c:scaling>
        <c:axPos val="b"/>
        <c:numFmt formatCode="_ * #,##0_ ;_ * \-#,##0_ ;_ * &quot;-&quot;??_ ;_ @_ " sourceLinked="1"/>
        <c:tickLblPos val="nextTo"/>
        <c:crossAx val="65292160"/>
        <c:crosses val="autoZero"/>
        <c:crossBetween val="midCat"/>
      </c:valAx>
      <c:valAx>
        <c:axId val="65292160"/>
        <c:scaling>
          <c:orientation val="minMax"/>
        </c:scaling>
        <c:axPos val="l"/>
        <c:majorGridlines/>
        <c:numFmt formatCode="_ * #,##0_ ;_ * \-#,##0_ ;_ * &quot;-&quot;??_ ;_ @_ " sourceLinked="1"/>
        <c:tickLblPos val="nextTo"/>
        <c:crossAx val="65290624"/>
        <c:crosses val="autoZero"/>
        <c:crossBetween val="midCat"/>
      </c:valAx>
    </c:plotArea>
    <c:legend>
      <c:legendPos val="r"/>
    </c:legend>
    <c:plotVisOnly val="1"/>
  </c:chart>
  <c:printSettings>
    <c:headerFooter/>
    <c:pageMargins b="0.75000000000000211" l="0.70000000000000062" r="0.70000000000000062" t="0.750000000000002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0.14110326337963119"/>
                  <c:y val="0.26561570428696418"/>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M'!$I$19:$I$21</c:f>
              <c:numCache>
                <c:formatCode>_ * #,##0_ ;_ * \-#,##0_ ;_ * "-"??_ ;_ @_ </c:formatCode>
                <c:ptCount val="3"/>
                <c:pt idx="0">
                  <c:v>1194896</c:v>
                </c:pt>
                <c:pt idx="1">
                  <c:v>1282639</c:v>
                </c:pt>
                <c:pt idx="2">
                  <c:v>1254208</c:v>
                </c:pt>
              </c:numCache>
            </c:numRef>
          </c:yVal>
          <c:smooth val="1"/>
        </c:ser>
        <c:axId val="71920640"/>
        <c:axId val="71832320"/>
      </c:scatterChart>
      <c:valAx>
        <c:axId val="71920640"/>
        <c:scaling>
          <c:orientation val="minMax"/>
        </c:scaling>
        <c:axPos val="b"/>
        <c:numFmt formatCode="_ * #,##0_ ;_ * \-#,##0_ ;_ * &quot;-&quot;??_ ;_ @_ " sourceLinked="1"/>
        <c:tickLblPos val="nextTo"/>
        <c:crossAx val="71832320"/>
        <c:crosses val="autoZero"/>
        <c:crossBetween val="midCat"/>
      </c:valAx>
      <c:valAx>
        <c:axId val="71832320"/>
        <c:scaling>
          <c:orientation val="minMax"/>
        </c:scaling>
        <c:axPos val="l"/>
        <c:numFmt formatCode="_ * #,##0_ ;_ * \-#,##0_ ;_ * &quot;-&quot;??_ ;_ @_ " sourceLinked="1"/>
        <c:tickLblPos val="nextTo"/>
        <c:crossAx val="71920640"/>
        <c:crosses val="autoZero"/>
        <c:crossBetween val="midCat"/>
      </c:valAx>
    </c:plotArea>
    <c:plotVisOnly val="1"/>
  </c:chart>
  <c:printSettings>
    <c:headerFooter/>
    <c:pageMargins b="0.75000000000000344" l="0.70000000000000062" r="0.70000000000000062" t="0.75000000000000344"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6.4470691163604724E-2"/>
                  <c:y val="0.12788823272090991"/>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M'!$U$19:$U$21</c:f>
              <c:numCache>
                <c:formatCode>_ * #,##0_ ;_ * \-#,##0_ ;_ * "-"??_ ;_ @_ </c:formatCode>
                <c:ptCount val="3"/>
                <c:pt idx="0">
                  <c:v>1146087</c:v>
                </c:pt>
                <c:pt idx="1">
                  <c:v>1367727</c:v>
                </c:pt>
                <c:pt idx="2">
                  <c:v>1236217</c:v>
                </c:pt>
              </c:numCache>
            </c:numRef>
          </c:yVal>
          <c:smooth val="1"/>
        </c:ser>
        <c:axId val="71865088"/>
        <c:axId val="71866624"/>
      </c:scatterChart>
      <c:valAx>
        <c:axId val="71865088"/>
        <c:scaling>
          <c:orientation val="minMax"/>
        </c:scaling>
        <c:axPos val="b"/>
        <c:numFmt formatCode="_ * #,##0_ ;_ * \-#,##0_ ;_ * &quot;-&quot;??_ ;_ @_ " sourceLinked="1"/>
        <c:tickLblPos val="nextTo"/>
        <c:crossAx val="71866624"/>
        <c:crosses val="autoZero"/>
        <c:crossBetween val="midCat"/>
      </c:valAx>
      <c:valAx>
        <c:axId val="71866624"/>
        <c:scaling>
          <c:orientation val="minMax"/>
        </c:scaling>
        <c:axPos val="l"/>
        <c:numFmt formatCode="_ * #,##0_ ;_ * \-#,##0_ ;_ * &quot;-&quot;??_ ;_ @_ " sourceLinked="1"/>
        <c:tickLblPos val="nextTo"/>
        <c:crossAx val="71865088"/>
        <c:crosses val="autoZero"/>
        <c:crossBetween val="midCat"/>
      </c:valAx>
    </c:plotArea>
    <c:plotVisOnly val="1"/>
  </c:chart>
  <c:printSettings>
    <c:headerFooter/>
    <c:pageMargins b="0.75000000000000344" l="0.70000000000000062" r="0.70000000000000062" t="0.75000000000000344"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8.6709973753281225E-2"/>
                  <c:y val="0.4379330708661418"/>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M'!$I$41:$I$43</c:f>
              <c:numCache>
                <c:formatCode>_ * #,##0_ ;_ * \-#,##0_ ;_ * "-"??_ ;_ @_ </c:formatCode>
                <c:ptCount val="3"/>
                <c:pt idx="0">
                  <c:v>1087702</c:v>
                </c:pt>
                <c:pt idx="1">
                  <c:v>1281342</c:v>
                </c:pt>
                <c:pt idx="2">
                  <c:v>1298191</c:v>
                </c:pt>
              </c:numCache>
            </c:numRef>
          </c:yVal>
          <c:smooth val="1"/>
        </c:ser>
        <c:axId val="71878528"/>
        <c:axId val="71880064"/>
      </c:scatterChart>
      <c:valAx>
        <c:axId val="71878528"/>
        <c:scaling>
          <c:orientation val="minMax"/>
        </c:scaling>
        <c:axPos val="b"/>
        <c:numFmt formatCode="_ * #,##0_ ;_ * \-#,##0_ ;_ * &quot;-&quot;??_ ;_ @_ " sourceLinked="1"/>
        <c:tickLblPos val="nextTo"/>
        <c:crossAx val="71880064"/>
        <c:crosses val="autoZero"/>
        <c:crossBetween val="midCat"/>
      </c:valAx>
      <c:valAx>
        <c:axId val="71880064"/>
        <c:scaling>
          <c:orientation val="minMax"/>
        </c:scaling>
        <c:axPos val="l"/>
        <c:numFmt formatCode="_ * #,##0_ ;_ * \-#,##0_ ;_ * &quot;-&quot;??_ ;_ @_ " sourceLinked="1"/>
        <c:tickLblPos val="nextTo"/>
        <c:crossAx val="71878528"/>
        <c:crosses val="autoZero"/>
        <c:crossBetween val="midCat"/>
      </c:valAx>
    </c:plotArea>
    <c:plotVisOnly val="1"/>
  </c:chart>
  <c:printSettings>
    <c:headerFooter/>
    <c:pageMargins b="0.75000000000000366" l="0.70000000000000062" r="0.70000000000000062" t="0.75000000000000366"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07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M'!$U$41:$U$43</c:f>
              <c:numCache>
                <c:formatCode>_ * #,##0_ ;_ * \-#,##0_ ;_ * "-"??_ ;_ @_ </c:formatCode>
                <c:ptCount val="3"/>
                <c:pt idx="0">
                  <c:v>858225</c:v>
                </c:pt>
                <c:pt idx="1">
                  <c:v>1080653</c:v>
                </c:pt>
                <c:pt idx="2">
                  <c:v>1280125</c:v>
                </c:pt>
              </c:numCache>
            </c:numRef>
          </c:yVal>
          <c:smooth val="1"/>
        </c:ser>
        <c:axId val="71511040"/>
        <c:axId val="71516928"/>
      </c:scatterChart>
      <c:valAx>
        <c:axId val="71511040"/>
        <c:scaling>
          <c:orientation val="minMax"/>
        </c:scaling>
        <c:axPos val="b"/>
        <c:numFmt formatCode="_ * #,##0_ ;_ * \-#,##0_ ;_ * &quot;-&quot;??_ ;_ @_ " sourceLinked="1"/>
        <c:tickLblPos val="nextTo"/>
        <c:crossAx val="71516928"/>
        <c:crosses val="autoZero"/>
        <c:crossBetween val="midCat"/>
      </c:valAx>
      <c:valAx>
        <c:axId val="71516928"/>
        <c:scaling>
          <c:orientation val="minMax"/>
        </c:scaling>
        <c:axPos val="l"/>
        <c:numFmt formatCode="_ * #,##0_ ;_ * \-#,##0_ ;_ * &quot;-&quot;??_ ;_ @_ " sourceLinked="1"/>
        <c:tickLblPos val="nextTo"/>
        <c:crossAx val="71511040"/>
        <c:crosses val="autoZero"/>
        <c:crossBetween val="midCat"/>
      </c:valAx>
    </c:plotArea>
    <c:plotVisOnly val="1"/>
  </c:chart>
  <c:printSettings>
    <c:headerFooter/>
    <c:pageMargins b="0.75000000000000366" l="0.70000000000000062" r="0.70000000000000062" t="0.75000000000000366"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8.6709973753281225E-2"/>
                  <c:y val="0.4379330708661418"/>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M'!$I$63:$I$65</c:f>
              <c:numCache>
                <c:formatCode>_ * #,##0_ ;_ * \-#,##0_ ;_ * "-"??_ ;_ @_ </c:formatCode>
                <c:ptCount val="3"/>
                <c:pt idx="0">
                  <c:v>772081</c:v>
                </c:pt>
                <c:pt idx="1">
                  <c:v>924446</c:v>
                </c:pt>
                <c:pt idx="2">
                  <c:v>1159400</c:v>
                </c:pt>
              </c:numCache>
            </c:numRef>
          </c:yVal>
          <c:smooth val="1"/>
        </c:ser>
        <c:axId val="71557888"/>
        <c:axId val="71559424"/>
      </c:scatterChart>
      <c:valAx>
        <c:axId val="71557888"/>
        <c:scaling>
          <c:orientation val="minMax"/>
        </c:scaling>
        <c:axPos val="b"/>
        <c:numFmt formatCode="_ * #,##0_ ;_ * \-#,##0_ ;_ * &quot;-&quot;??_ ;_ @_ " sourceLinked="1"/>
        <c:tickLblPos val="nextTo"/>
        <c:crossAx val="71559424"/>
        <c:crosses val="autoZero"/>
        <c:crossBetween val="midCat"/>
      </c:valAx>
      <c:valAx>
        <c:axId val="71559424"/>
        <c:scaling>
          <c:orientation val="minMax"/>
        </c:scaling>
        <c:axPos val="l"/>
        <c:numFmt formatCode="_ * #,##0_ ;_ * \-#,##0_ ;_ * &quot;-&quot;??_ ;_ @_ " sourceLinked="1"/>
        <c:tickLblPos val="nextTo"/>
        <c:crossAx val="71557888"/>
        <c:crosses val="autoZero"/>
        <c:crossBetween val="midCat"/>
      </c:valAx>
    </c:plotArea>
    <c:plotVisOnly val="1"/>
  </c:chart>
  <c:printSettings>
    <c:headerFooter/>
    <c:pageMargins b="0.75000000000000389" l="0.70000000000000062" r="0.70000000000000062" t="0.75000000000000389"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19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M'!$U$63:$U$65</c:f>
              <c:numCache>
                <c:formatCode>_ * #,##0_ ;_ * \-#,##0_ ;_ * "-"??_ ;_ @_ </c:formatCode>
                <c:ptCount val="3"/>
                <c:pt idx="0">
                  <c:v>671020</c:v>
                </c:pt>
                <c:pt idx="1">
                  <c:v>863034</c:v>
                </c:pt>
                <c:pt idx="2">
                  <c:v>1105617</c:v>
                </c:pt>
              </c:numCache>
            </c:numRef>
          </c:yVal>
          <c:smooth val="1"/>
        </c:ser>
        <c:axId val="79902208"/>
        <c:axId val="79903744"/>
      </c:scatterChart>
      <c:valAx>
        <c:axId val="79902208"/>
        <c:scaling>
          <c:orientation val="minMax"/>
        </c:scaling>
        <c:axPos val="b"/>
        <c:numFmt formatCode="_ * #,##0_ ;_ * \-#,##0_ ;_ * &quot;-&quot;??_ ;_ @_ " sourceLinked="1"/>
        <c:tickLblPos val="nextTo"/>
        <c:crossAx val="79903744"/>
        <c:crosses val="autoZero"/>
        <c:crossBetween val="midCat"/>
      </c:valAx>
      <c:valAx>
        <c:axId val="79903744"/>
        <c:scaling>
          <c:orientation val="minMax"/>
        </c:scaling>
        <c:axPos val="l"/>
        <c:numFmt formatCode="_ * #,##0_ ;_ * \-#,##0_ ;_ * &quot;-&quot;??_ ;_ @_ " sourceLinked="1"/>
        <c:tickLblPos val="nextTo"/>
        <c:crossAx val="79902208"/>
        <c:crosses val="autoZero"/>
        <c:crossBetween val="midCat"/>
      </c:valAx>
    </c:plotArea>
    <c:plotVisOnly val="1"/>
  </c:chart>
  <c:printSettings>
    <c:headerFooter/>
    <c:pageMargins b="0.75000000000000389" l="0.70000000000000062" r="0.70000000000000062" t="0.75000000000000389"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8.6709973753281225E-2"/>
                  <c:y val="0.4379330708661418"/>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M'!$I$85:$I$87</c:f>
              <c:numCache>
                <c:formatCode>_ * #,##0_ ;_ * \-#,##0_ ;_ * "-"??_ ;_ @_ </c:formatCode>
                <c:ptCount val="3"/>
                <c:pt idx="0">
                  <c:v>570519</c:v>
                </c:pt>
                <c:pt idx="1">
                  <c:v>772881</c:v>
                </c:pt>
                <c:pt idx="2">
                  <c:v>942311</c:v>
                </c:pt>
              </c:numCache>
            </c:numRef>
          </c:yVal>
          <c:smooth val="1"/>
        </c:ser>
        <c:axId val="79927936"/>
        <c:axId val="79937920"/>
      </c:scatterChart>
      <c:valAx>
        <c:axId val="79927936"/>
        <c:scaling>
          <c:orientation val="minMax"/>
        </c:scaling>
        <c:axPos val="b"/>
        <c:numFmt formatCode="_ * #,##0_ ;_ * \-#,##0_ ;_ * &quot;-&quot;??_ ;_ @_ " sourceLinked="1"/>
        <c:tickLblPos val="nextTo"/>
        <c:crossAx val="79937920"/>
        <c:crosses val="autoZero"/>
        <c:crossBetween val="midCat"/>
      </c:valAx>
      <c:valAx>
        <c:axId val="79937920"/>
        <c:scaling>
          <c:orientation val="minMax"/>
        </c:scaling>
        <c:axPos val="l"/>
        <c:numFmt formatCode="_ * #,##0_ ;_ * \-#,##0_ ;_ * &quot;-&quot;??_ ;_ @_ " sourceLinked="1"/>
        <c:tickLblPos val="nextTo"/>
        <c:crossAx val="79927936"/>
        <c:crosses val="autoZero"/>
        <c:crossBetween val="midCat"/>
      </c:valAx>
    </c:plotArea>
    <c:plotVisOnly val="1"/>
  </c:chart>
  <c:printSettings>
    <c:headerFooter/>
    <c:pageMargins b="0.75000000000000411" l="0.70000000000000062" r="0.70000000000000062" t="0.750000000000004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267032282443294E-2"/>
                  <c:y val="0.47339822105570284"/>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M'!$U$85:$U$87</c:f>
              <c:numCache>
                <c:formatCode>_ * #,##0_ ;_ * \-#,##0_ ;_ * "-"??_ ;_ @_ </c:formatCode>
                <c:ptCount val="3"/>
                <c:pt idx="0">
                  <c:v>437768</c:v>
                </c:pt>
                <c:pt idx="1">
                  <c:v>695516</c:v>
                </c:pt>
                <c:pt idx="2">
                  <c:v>873509</c:v>
                </c:pt>
              </c:numCache>
            </c:numRef>
          </c:yVal>
          <c:smooth val="1"/>
        </c:ser>
        <c:axId val="81080320"/>
        <c:axId val="81081856"/>
      </c:scatterChart>
      <c:valAx>
        <c:axId val="81080320"/>
        <c:scaling>
          <c:orientation val="minMax"/>
        </c:scaling>
        <c:axPos val="b"/>
        <c:numFmt formatCode="_ * #,##0_ ;_ * \-#,##0_ ;_ * &quot;-&quot;??_ ;_ @_ " sourceLinked="1"/>
        <c:tickLblPos val="nextTo"/>
        <c:crossAx val="81081856"/>
        <c:crosses val="autoZero"/>
        <c:crossBetween val="midCat"/>
      </c:valAx>
      <c:valAx>
        <c:axId val="81081856"/>
        <c:scaling>
          <c:orientation val="minMax"/>
        </c:scaling>
        <c:axPos val="l"/>
        <c:numFmt formatCode="_ * #,##0_ ;_ * \-#,##0_ ;_ * &quot;-&quot;??_ ;_ @_ " sourceLinked="1"/>
        <c:tickLblPos val="nextTo"/>
        <c:crossAx val="81080320"/>
        <c:crosses val="autoZero"/>
        <c:crossBetween val="midCat"/>
      </c:valAx>
    </c:plotArea>
    <c:plotVisOnly val="1"/>
  </c:chart>
  <c:printSettings>
    <c:headerFooter/>
    <c:pageMargins b="0.75000000000000411" l="0.70000000000000062" r="0.70000000000000062" t="0.75000000000000411"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M'!$I$107:$I$109</c:f>
              <c:numCache>
                <c:formatCode>_ * #,##0_ ;_ * \-#,##0_ ;_ * "-"??_ ;_ @_ </c:formatCode>
                <c:ptCount val="3"/>
                <c:pt idx="0">
                  <c:v>318990</c:v>
                </c:pt>
                <c:pt idx="1">
                  <c:v>564987</c:v>
                </c:pt>
                <c:pt idx="2">
                  <c:v>747704</c:v>
                </c:pt>
              </c:numCache>
            </c:numRef>
          </c:yVal>
          <c:smooth val="1"/>
        </c:ser>
        <c:axId val="81110144"/>
        <c:axId val="81111680"/>
      </c:scatterChart>
      <c:valAx>
        <c:axId val="81110144"/>
        <c:scaling>
          <c:orientation val="minMax"/>
        </c:scaling>
        <c:axPos val="b"/>
        <c:numFmt formatCode="_ * #,##0_ ;_ * \-#,##0_ ;_ * &quot;-&quot;??_ ;_ @_ " sourceLinked="1"/>
        <c:tickLblPos val="nextTo"/>
        <c:crossAx val="81111680"/>
        <c:crosses val="autoZero"/>
        <c:crossBetween val="midCat"/>
      </c:valAx>
      <c:valAx>
        <c:axId val="81111680"/>
        <c:scaling>
          <c:orientation val="minMax"/>
        </c:scaling>
        <c:axPos val="l"/>
        <c:numFmt formatCode="_ * #,##0_ ;_ * \-#,##0_ ;_ * &quot;-&quot;??_ ;_ @_ " sourceLinked="1"/>
        <c:tickLblPos val="nextTo"/>
        <c:crossAx val="81110144"/>
        <c:crosses val="autoZero"/>
        <c:crossBetween val="midCat"/>
      </c:valAx>
    </c:plotArea>
    <c:plotVisOnly val="1"/>
  </c:chart>
  <c:printSettings>
    <c:headerFooter/>
    <c:pageMargins b="0.75000000000000433" l="0.70000000000000062" r="0.70000000000000062" t="0.75000000000000433"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4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M'!$U$107:$U$109</c:f>
              <c:numCache>
                <c:formatCode>_ * #,##0_ ;_ * \-#,##0_ ;_ * "-"??_ ;_ @_ </c:formatCode>
                <c:ptCount val="3"/>
                <c:pt idx="0">
                  <c:v>268059</c:v>
                </c:pt>
                <c:pt idx="1">
                  <c:v>452112</c:v>
                </c:pt>
                <c:pt idx="2">
                  <c:v>651255</c:v>
                </c:pt>
              </c:numCache>
            </c:numRef>
          </c:yVal>
          <c:smooth val="1"/>
        </c:ser>
        <c:axId val="79960320"/>
        <c:axId val="79974400"/>
      </c:scatterChart>
      <c:valAx>
        <c:axId val="79960320"/>
        <c:scaling>
          <c:orientation val="minMax"/>
        </c:scaling>
        <c:axPos val="b"/>
        <c:numFmt formatCode="_ * #,##0_ ;_ * \-#,##0_ ;_ * &quot;-&quot;??_ ;_ @_ " sourceLinked="1"/>
        <c:tickLblPos val="nextTo"/>
        <c:crossAx val="79974400"/>
        <c:crosses val="autoZero"/>
        <c:crossBetween val="midCat"/>
      </c:valAx>
      <c:valAx>
        <c:axId val="79974400"/>
        <c:scaling>
          <c:orientation val="minMax"/>
        </c:scaling>
        <c:axPos val="l"/>
        <c:numFmt formatCode="_ * #,##0_ ;_ * \-#,##0_ ;_ * &quot;-&quot;??_ ;_ @_ " sourceLinked="1"/>
        <c:tickLblPos val="nextTo"/>
        <c:crossAx val="79960320"/>
        <c:crosses val="autoZero"/>
        <c:crossBetween val="midCat"/>
      </c:valAx>
    </c:plotArea>
    <c:plotVisOnly val="1"/>
  </c:chart>
  <c:printSettings>
    <c:headerFooter/>
    <c:pageMargins b="0.75000000000000433" l="0.70000000000000062" r="0.70000000000000062" t="0.75000000000000433"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M'!$I$129:$I$131</c:f>
              <c:numCache>
                <c:formatCode>_ * #,##0_ ;_ * \-#,##0_ ;_ * "-"??_ ;_ @_ </c:formatCode>
                <c:ptCount val="3"/>
                <c:pt idx="0">
                  <c:v>213658</c:v>
                </c:pt>
                <c:pt idx="1">
                  <c:v>297806</c:v>
                </c:pt>
                <c:pt idx="2">
                  <c:v>530935</c:v>
                </c:pt>
              </c:numCache>
            </c:numRef>
          </c:yVal>
          <c:smooth val="1"/>
        </c:ser>
        <c:axId val="79998336"/>
        <c:axId val="80000128"/>
      </c:scatterChart>
      <c:valAx>
        <c:axId val="79998336"/>
        <c:scaling>
          <c:orientation val="minMax"/>
        </c:scaling>
        <c:axPos val="b"/>
        <c:numFmt formatCode="_ * #,##0_ ;_ * \-#,##0_ ;_ * &quot;-&quot;??_ ;_ @_ " sourceLinked="1"/>
        <c:tickLblPos val="nextTo"/>
        <c:crossAx val="80000128"/>
        <c:crosses val="autoZero"/>
        <c:crossBetween val="midCat"/>
      </c:valAx>
      <c:valAx>
        <c:axId val="80000128"/>
        <c:scaling>
          <c:orientation val="minMax"/>
        </c:scaling>
        <c:axPos val="l"/>
        <c:numFmt formatCode="_ * #,##0_ ;_ * \-#,##0_ ;_ * &quot;-&quot;??_ ;_ @_ " sourceLinked="1"/>
        <c:tickLblPos val="nextTo"/>
        <c:crossAx val="79998336"/>
        <c:crosses val="autoZero"/>
        <c:crossBetween val="midCat"/>
      </c:valAx>
    </c:plotArea>
    <c:plotVisOnly val="1"/>
  </c:chart>
  <c:printSettings>
    <c:headerFooter/>
    <c:pageMargins b="0.75000000000000455" l="0.70000000000000062" r="0.70000000000000062" t="0.7500000000000045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49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M'!$U$129:$U$131</c:f>
              <c:numCache>
                <c:formatCode>_ * #,##0_ ;_ * \-#,##0_ ;_ * "-"??_ ;_ @_ </c:formatCode>
                <c:ptCount val="3"/>
                <c:pt idx="0">
                  <c:v>182223</c:v>
                </c:pt>
                <c:pt idx="1">
                  <c:v>240296</c:v>
                </c:pt>
                <c:pt idx="2">
                  <c:v>407656</c:v>
                </c:pt>
              </c:numCache>
            </c:numRef>
          </c:yVal>
          <c:smooth val="1"/>
        </c:ser>
        <c:axId val="80016512"/>
        <c:axId val="80018048"/>
      </c:scatterChart>
      <c:valAx>
        <c:axId val="80016512"/>
        <c:scaling>
          <c:orientation val="minMax"/>
        </c:scaling>
        <c:axPos val="b"/>
        <c:numFmt formatCode="_ * #,##0_ ;_ * \-#,##0_ ;_ * &quot;-&quot;??_ ;_ @_ " sourceLinked="1"/>
        <c:tickLblPos val="nextTo"/>
        <c:crossAx val="80018048"/>
        <c:crosses val="autoZero"/>
        <c:crossBetween val="midCat"/>
      </c:valAx>
      <c:valAx>
        <c:axId val="80018048"/>
        <c:scaling>
          <c:orientation val="minMax"/>
        </c:scaling>
        <c:axPos val="l"/>
        <c:numFmt formatCode="_ * #,##0_ ;_ * \-#,##0_ ;_ * &quot;-&quot;??_ ;_ @_ " sourceLinked="1"/>
        <c:tickLblPos val="nextTo"/>
        <c:crossAx val="80016512"/>
        <c:crosses val="autoZero"/>
        <c:crossBetween val="midCat"/>
      </c:valAx>
    </c:plotArea>
    <c:plotVisOnly val="1"/>
  </c:chart>
  <c:printSettings>
    <c:headerFooter/>
    <c:pageMargins b="0.75000000000000455" l="0.70000000000000062" r="0.70000000000000062" t="0.7500000000000045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M'!$I$151:$I$153</c:f>
              <c:numCache>
                <c:formatCode>_ * #,##0_ ;_ * \-#,##0_ ;_ * "-"??_ ;_ @_ </c:formatCode>
                <c:ptCount val="3"/>
                <c:pt idx="0">
                  <c:v>122834</c:v>
                </c:pt>
                <c:pt idx="1">
                  <c:v>178264</c:v>
                </c:pt>
                <c:pt idx="2">
                  <c:v>267691</c:v>
                </c:pt>
              </c:numCache>
            </c:numRef>
          </c:yVal>
          <c:smooth val="1"/>
        </c:ser>
        <c:axId val="81217792"/>
        <c:axId val="81223680"/>
      </c:scatterChart>
      <c:valAx>
        <c:axId val="81217792"/>
        <c:scaling>
          <c:orientation val="minMax"/>
        </c:scaling>
        <c:axPos val="b"/>
        <c:numFmt formatCode="_ * #,##0_ ;_ * \-#,##0_ ;_ * &quot;-&quot;??_ ;_ @_ " sourceLinked="1"/>
        <c:tickLblPos val="nextTo"/>
        <c:crossAx val="81223680"/>
        <c:crosses val="autoZero"/>
        <c:crossBetween val="midCat"/>
      </c:valAx>
      <c:valAx>
        <c:axId val="81223680"/>
        <c:scaling>
          <c:orientation val="minMax"/>
        </c:scaling>
        <c:axPos val="l"/>
        <c:numFmt formatCode="_ * #,##0_ ;_ * \-#,##0_ ;_ * &quot;-&quot;??_ ;_ @_ " sourceLinked="1"/>
        <c:tickLblPos val="nextTo"/>
        <c:crossAx val="81217792"/>
        <c:crosses val="autoZero"/>
        <c:crossBetween val="midCat"/>
      </c:valAx>
    </c:plotArea>
    <c:plotVisOnly val="1"/>
  </c:chart>
  <c:printSettings>
    <c:headerFooter/>
    <c:pageMargins b="0.75000000000000477" l="0.70000000000000062" r="0.70000000000000062" t="0.75000000000000477"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61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M'!$U$151:$U$153</c:f>
              <c:numCache>
                <c:formatCode>_ * #,##0_ ;_ * \-#,##0_ ;_ * "-"??_ ;_ @_ </c:formatCode>
                <c:ptCount val="3"/>
                <c:pt idx="0">
                  <c:v>88974</c:v>
                </c:pt>
                <c:pt idx="1">
                  <c:v>140060</c:v>
                </c:pt>
                <c:pt idx="2">
                  <c:v>189285</c:v>
                </c:pt>
              </c:numCache>
            </c:numRef>
          </c:yVal>
          <c:smooth val="1"/>
        </c:ser>
        <c:axId val="81251712"/>
        <c:axId val="81265792"/>
      </c:scatterChart>
      <c:valAx>
        <c:axId val="81251712"/>
        <c:scaling>
          <c:orientation val="minMax"/>
        </c:scaling>
        <c:axPos val="b"/>
        <c:numFmt formatCode="_ * #,##0_ ;_ * \-#,##0_ ;_ * &quot;-&quot;??_ ;_ @_ " sourceLinked="1"/>
        <c:tickLblPos val="nextTo"/>
        <c:crossAx val="81265792"/>
        <c:crosses val="autoZero"/>
        <c:crossBetween val="midCat"/>
      </c:valAx>
      <c:valAx>
        <c:axId val="81265792"/>
        <c:scaling>
          <c:orientation val="minMax"/>
        </c:scaling>
        <c:axPos val="l"/>
        <c:numFmt formatCode="_ * #,##0_ ;_ * \-#,##0_ ;_ * &quot;-&quot;??_ ;_ @_ " sourceLinked="1"/>
        <c:tickLblPos val="nextTo"/>
        <c:crossAx val="81251712"/>
        <c:crosses val="autoZero"/>
        <c:crossBetween val="midCat"/>
      </c:valAx>
    </c:plotArea>
    <c:plotVisOnly val="1"/>
  </c:chart>
  <c:printSettings>
    <c:headerFooter/>
    <c:pageMargins b="0.75000000000000477" l="0.70000000000000062" r="0.70000000000000062" t="0.75000000000000477"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M'!$I$173:$I$175</c:f>
              <c:numCache>
                <c:formatCode>_ * #,##0_ ;_ * \-#,##0_ ;_ * "-"??_ ;_ @_ </c:formatCode>
                <c:ptCount val="3"/>
                <c:pt idx="0">
                  <c:v>57796</c:v>
                </c:pt>
                <c:pt idx="1">
                  <c:v>93302</c:v>
                </c:pt>
                <c:pt idx="2">
                  <c:v>130126</c:v>
                </c:pt>
              </c:numCache>
            </c:numRef>
          </c:yVal>
          <c:smooth val="1"/>
        </c:ser>
        <c:axId val="81289984"/>
        <c:axId val="81291520"/>
      </c:scatterChart>
      <c:valAx>
        <c:axId val="81289984"/>
        <c:scaling>
          <c:orientation val="minMax"/>
        </c:scaling>
        <c:axPos val="b"/>
        <c:numFmt formatCode="_ * #,##0_ ;_ * \-#,##0_ ;_ * &quot;-&quot;??_ ;_ @_ " sourceLinked="1"/>
        <c:tickLblPos val="nextTo"/>
        <c:crossAx val="81291520"/>
        <c:crosses val="autoZero"/>
        <c:crossBetween val="midCat"/>
      </c:valAx>
      <c:valAx>
        <c:axId val="81291520"/>
        <c:scaling>
          <c:orientation val="minMax"/>
        </c:scaling>
        <c:axPos val="l"/>
        <c:numFmt formatCode="_ * #,##0_ ;_ * \-#,##0_ ;_ * &quot;-&quot;??_ ;_ @_ " sourceLinked="1"/>
        <c:tickLblPos val="nextTo"/>
        <c:crossAx val="81289984"/>
        <c:crosses val="autoZero"/>
        <c:crossBetween val="midCat"/>
      </c:valAx>
    </c:plotArea>
    <c:plotVisOnly val="1"/>
  </c:chart>
  <c:printSettings>
    <c:headerFooter/>
    <c:pageMargins b="0.750000000000005" l="0.70000000000000062" r="0.70000000000000062" t="0.750000000000005"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1.3066889366102169E-2"/>
                  <c:y val="0.47385170603674542"/>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M'!$U$173:$U$175</c:f>
              <c:numCache>
                <c:formatCode>_ * #,##0_ ;_ * \-#,##0_ ;_ * "-"??_ ;_ @_ </c:formatCode>
                <c:ptCount val="3"/>
                <c:pt idx="0">
                  <c:v>37974</c:v>
                </c:pt>
                <c:pt idx="1">
                  <c:v>52605</c:v>
                </c:pt>
                <c:pt idx="2">
                  <c:v>78996</c:v>
                </c:pt>
              </c:numCache>
            </c:numRef>
          </c:yVal>
          <c:smooth val="1"/>
        </c:ser>
        <c:axId val="81319808"/>
        <c:axId val="81321344"/>
      </c:scatterChart>
      <c:valAx>
        <c:axId val="81319808"/>
        <c:scaling>
          <c:orientation val="minMax"/>
        </c:scaling>
        <c:axPos val="b"/>
        <c:numFmt formatCode="_ * #,##0_ ;_ * \-#,##0_ ;_ * &quot;-&quot;??_ ;_ @_ " sourceLinked="1"/>
        <c:tickLblPos val="nextTo"/>
        <c:crossAx val="81321344"/>
        <c:crosses val="autoZero"/>
        <c:crossBetween val="midCat"/>
      </c:valAx>
      <c:valAx>
        <c:axId val="81321344"/>
        <c:scaling>
          <c:orientation val="minMax"/>
        </c:scaling>
        <c:axPos val="l"/>
        <c:numFmt formatCode="_ * #,##0_ ;_ * \-#,##0_ ;_ * &quot;-&quot;??_ ;_ @_ " sourceLinked="1"/>
        <c:tickLblPos val="nextTo"/>
        <c:crossAx val="81319808"/>
        <c:crosses val="autoZero"/>
        <c:crossBetween val="midCat"/>
      </c:valAx>
    </c:plotArea>
    <c:plotVisOnly val="1"/>
  </c:chart>
  <c:printSettings>
    <c:headerFooter/>
    <c:pageMargins b="0.750000000000005" l="0.70000000000000062" r="0.70000000000000062" t="0.750000000000005"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7.0043307086614173E-2"/>
                  <c:y val="0.52140347039953361"/>
                </c:manualLayout>
              </c:layout>
              <c:numFmt formatCode="#,##0.0000" sourceLinked="0"/>
            </c:trendlineLbl>
          </c:trendline>
          <c:xVal>
            <c:numRef>
              <c:f>'Población M'!$H$41:$H$43</c:f>
              <c:numCache>
                <c:formatCode>_ * #,##0_ ;_ * \-#,##0_ ;_ * "-"??_ ;_ @_ </c:formatCode>
                <c:ptCount val="3"/>
                <c:pt idx="0">
                  <c:v>1990</c:v>
                </c:pt>
                <c:pt idx="1">
                  <c:v>2001</c:v>
                </c:pt>
                <c:pt idx="2">
                  <c:v>2011</c:v>
                </c:pt>
              </c:numCache>
            </c:numRef>
          </c:xVal>
          <c:yVal>
            <c:numRef>
              <c:f>'Población M'!$I$195:$I$197</c:f>
              <c:numCache>
                <c:formatCode>_ * #,##0_ ;_ * \-#,##0_ ;_ * "-"??_ ;_ @_ </c:formatCode>
                <c:ptCount val="3"/>
                <c:pt idx="0">
                  <c:v>968497</c:v>
                </c:pt>
                <c:pt idx="1">
                  <c:v>1164429</c:v>
                </c:pt>
                <c:pt idx="2">
                  <c:v>1336159</c:v>
                </c:pt>
              </c:numCache>
            </c:numRef>
          </c:yVal>
          <c:smooth val="1"/>
        </c:ser>
        <c:axId val="81333248"/>
        <c:axId val="81355520"/>
      </c:scatterChart>
      <c:valAx>
        <c:axId val="81333248"/>
        <c:scaling>
          <c:orientation val="minMax"/>
        </c:scaling>
        <c:axPos val="b"/>
        <c:numFmt formatCode="_ * #,##0_ ;_ * \-#,##0_ ;_ * &quot;-&quot;??_ ;_ @_ " sourceLinked="1"/>
        <c:tickLblPos val="nextTo"/>
        <c:crossAx val="81355520"/>
        <c:crosses val="autoZero"/>
        <c:crossBetween val="midCat"/>
      </c:valAx>
      <c:valAx>
        <c:axId val="81355520"/>
        <c:scaling>
          <c:orientation val="minMax"/>
        </c:scaling>
        <c:axPos val="l"/>
        <c:numFmt formatCode="_ * #,##0_ ;_ * \-#,##0_ ;_ * &quot;-&quot;??_ ;_ @_ " sourceLinked="1"/>
        <c:tickLblPos val="nextTo"/>
        <c:crossAx val="81333248"/>
        <c:crosses val="autoZero"/>
        <c:crossBetween val="midCat"/>
      </c:valAx>
    </c:plotArea>
    <c:plotVisOnly val="1"/>
  </c:chart>
  <c:printSettings>
    <c:headerFooter/>
    <c:pageMargins b="0.75000000000000522" l="0.70000000000000062" r="0.70000000000000062" t="0.75000000000000522"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2"/>
            <c:dispRSqr val="1"/>
            <c:dispEq val="1"/>
            <c:trendlineLbl>
              <c:layout>
                <c:manualLayout>
                  <c:x val="9.0105782231766508E-3"/>
                  <c:y val="0.54119203849519248"/>
                </c:manualLayout>
              </c:layout>
              <c:numFmt formatCode="#,##0.0000" sourceLinked="0"/>
            </c:trendlineLbl>
          </c:trendline>
          <c:xVal>
            <c:numRef>
              <c:f>'Población M'!$H$19:$H$21</c:f>
              <c:numCache>
                <c:formatCode>_ * #,##0_ ;_ * \-#,##0_ ;_ * "-"??_ ;_ @_ </c:formatCode>
                <c:ptCount val="3"/>
                <c:pt idx="0">
                  <c:v>1990</c:v>
                </c:pt>
                <c:pt idx="1">
                  <c:v>2001</c:v>
                </c:pt>
                <c:pt idx="2">
                  <c:v>2011</c:v>
                </c:pt>
              </c:numCache>
            </c:numRef>
          </c:xVal>
          <c:yVal>
            <c:numRef>
              <c:f>'Población M'!$U$195:$U$197</c:f>
              <c:numCache>
                <c:formatCode>_ * #,##0_ ;_ * \-#,##0_ ;_ * "-"??_ ;_ @_ </c:formatCode>
                <c:ptCount val="3"/>
                <c:pt idx="0">
                  <c:v>22454</c:v>
                </c:pt>
                <c:pt idx="1">
                  <c:v>43171</c:v>
                </c:pt>
                <c:pt idx="2">
                  <c:v>60367</c:v>
                </c:pt>
              </c:numCache>
            </c:numRef>
          </c:yVal>
          <c:smooth val="1"/>
        </c:ser>
        <c:axId val="81383808"/>
        <c:axId val="81385344"/>
      </c:scatterChart>
      <c:valAx>
        <c:axId val="81383808"/>
        <c:scaling>
          <c:orientation val="minMax"/>
        </c:scaling>
        <c:axPos val="b"/>
        <c:numFmt formatCode="_ * #,##0_ ;_ * \-#,##0_ ;_ * &quot;-&quot;??_ ;_ @_ " sourceLinked="1"/>
        <c:tickLblPos val="nextTo"/>
        <c:crossAx val="81385344"/>
        <c:crosses val="autoZero"/>
        <c:crossBetween val="midCat"/>
      </c:valAx>
      <c:valAx>
        <c:axId val="81385344"/>
        <c:scaling>
          <c:orientation val="minMax"/>
        </c:scaling>
        <c:axPos val="l"/>
        <c:numFmt formatCode="_ * #,##0_ ;_ * \-#,##0_ ;_ * &quot;-&quot;??_ ;_ @_ " sourceLinked="1"/>
        <c:tickLblPos val="nextTo"/>
        <c:crossAx val="81383808"/>
        <c:crosses val="autoZero"/>
        <c:crossBetween val="midCat"/>
      </c:valAx>
    </c:plotArea>
    <c:plotVisOnly val="1"/>
  </c:chart>
  <c:printSettings>
    <c:headerFooter/>
    <c:pageMargins b="0.75000000000000522" l="0.70000000000000062" r="0.70000000000000062" t="0.75000000000000522"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es-VE"/>
  <c:chart>
    <c:title>
      <c:layout/>
    </c:title>
    <c:plotArea>
      <c:layout/>
      <c:scatterChart>
        <c:scatterStyle val="smoothMarker"/>
        <c:ser>
          <c:idx val="0"/>
          <c:order val="0"/>
          <c:tx>
            <c:strRef>
              <c:f>QxM!$G$1</c:f>
              <c:strCache>
                <c:ptCount val="1"/>
                <c:pt idx="0">
                  <c:v> 2.000 </c:v>
                </c:pt>
              </c:strCache>
            </c:strRef>
          </c:tx>
          <c:marker>
            <c:symbol val="none"/>
          </c:marker>
          <c:trendline>
            <c:trendlineType val="poly"/>
            <c:order val="4"/>
            <c:dispRSqr val="1"/>
            <c:dispEq val="1"/>
            <c:trendlineLbl>
              <c:layout>
                <c:manualLayout>
                  <c:x val="-0.26930062857271292"/>
                  <c:y val="2.579329529916545E-2"/>
                </c:manualLayout>
              </c:layout>
              <c:numFmt formatCode="#,##0.0000000000" sourceLinked="0"/>
            </c:trendlineLbl>
          </c:trendline>
          <c:xVal>
            <c:numRef>
              <c:f>QxM!$S$7:$S$81</c:f>
              <c:numCache>
                <c:formatCode>_ * #,##0_ ;_ * \-#,##0_ ;_ * "-"??_ ;_ @_ </c:formatCode>
                <c:ptCount val="7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56</c:v>
                </c:pt>
                <c:pt idx="52">
                  <c:v>57</c:v>
                </c:pt>
                <c:pt idx="53">
                  <c:v>58</c:v>
                </c:pt>
                <c:pt idx="54">
                  <c:v>59</c:v>
                </c:pt>
                <c:pt idx="55">
                  <c:v>60</c:v>
                </c:pt>
                <c:pt idx="56">
                  <c:v>61</c:v>
                </c:pt>
                <c:pt idx="57">
                  <c:v>62</c:v>
                </c:pt>
                <c:pt idx="58">
                  <c:v>63</c:v>
                </c:pt>
                <c:pt idx="59">
                  <c:v>64</c:v>
                </c:pt>
                <c:pt idx="60">
                  <c:v>65</c:v>
                </c:pt>
                <c:pt idx="61">
                  <c:v>66</c:v>
                </c:pt>
                <c:pt idx="62">
                  <c:v>67</c:v>
                </c:pt>
                <c:pt idx="63">
                  <c:v>68</c:v>
                </c:pt>
                <c:pt idx="64">
                  <c:v>69</c:v>
                </c:pt>
                <c:pt idx="65">
                  <c:v>70</c:v>
                </c:pt>
                <c:pt idx="66">
                  <c:v>71</c:v>
                </c:pt>
                <c:pt idx="67">
                  <c:v>72</c:v>
                </c:pt>
                <c:pt idx="68">
                  <c:v>73</c:v>
                </c:pt>
                <c:pt idx="69">
                  <c:v>74</c:v>
                </c:pt>
                <c:pt idx="70">
                  <c:v>75</c:v>
                </c:pt>
                <c:pt idx="71">
                  <c:v>76</c:v>
                </c:pt>
                <c:pt idx="72">
                  <c:v>77</c:v>
                </c:pt>
                <c:pt idx="73">
                  <c:v>78</c:v>
                </c:pt>
                <c:pt idx="74">
                  <c:v>79</c:v>
                </c:pt>
              </c:numCache>
            </c:numRef>
          </c:xVal>
          <c:yVal>
            <c:numRef>
              <c:f>QxM!$G$7:$G$81</c:f>
              <c:numCache>
                <c:formatCode>_ * #,##0.0000_ ;_ * \-#,##0.0000_ ;_ * "-"??_ ;_ @_ </c:formatCode>
                <c:ptCount val="75"/>
                <c:pt idx="0">
                  <c:v>0.43124500066307309</c:v>
                </c:pt>
                <c:pt idx="1">
                  <c:v>0.43124500066307303</c:v>
                </c:pt>
                <c:pt idx="2">
                  <c:v>0.43124500066307309</c:v>
                </c:pt>
                <c:pt idx="3">
                  <c:v>0.43124500066307309</c:v>
                </c:pt>
                <c:pt idx="4">
                  <c:v>0.43124500066307309</c:v>
                </c:pt>
                <c:pt idx="5">
                  <c:v>0.47436299471993532</c:v>
                </c:pt>
                <c:pt idx="6">
                  <c:v>0.47436299471993526</c:v>
                </c:pt>
                <c:pt idx="7">
                  <c:v>0.47436299471993526</c:v>
                </c:pt>
                <c:pt idx="8">
                  <c:v>0.47436299471993526</c:v>
                </c:pt>
                <c:pt idx="9">
                  <c:v>0.47436299471993532</c:v>
                </c:pt>
                <c:pt idx="10">
                  <c:v>2.3046596928722956</c:v>
                </c:pt>
                <c:pt idx="11">
                  <c:v>2.3046596928722956</c:v>
                </c:pt>
                <c:pt idx="12">
                  <c:v>2.3046596928722956</c:v>
                </c:pt>
                <c:pt idx="13">
                  <c:v>2.3046596928722956</c:v>
                </c:pt>
                <c:pt idx="14">
                  <c:v>2.3046596928722956</c:v>
                </c:pt>
                <c:pt idx="15">
                  <c:v>3.8101239184308584</c:v>
                </c:pt>
                <c:pt idx="16">
                  <c:v>3.810123918430858</c:v>
                </c:pt>
                <c:pt idx="17">
                  <c:v>3.8101239184308584</c:v>
                </c:pt>
                <c:pt idx="18">
                  <c:v>3.810123918430858</c:v>
                </c:pt>
                <c:pt idx="19">
                  <c:v>3.810123918430858</c:v>
                </c:pt>
                <c:pt idx="20">
                  <c:v>3.6428069228624445</c:v>
                </c:pt>
                <c:pt idx="21">
                  <c:v>3.6428069228624445</c:v>
                </c:pt>
                <c:pt idx="22">
                  <c:v>3.6428069228624449</c:v>
                </c:pt>
                <c:pt idx="23">
                  <c:v>3.6428069228624445</c:v>
                </c:pt>
                <c:pt idx="24">
                  <c:v>3.6428069228624445</c:v>
                </c:pt>
                <c:pt idx="25">
                  <c:v>3.4013348998380293</c:v>
                </c:pt>
                <c:pt idx="26">
                  <c:v>3.4013348998380297</c:v>
                </c:pt>
                <c:pt idx="27">
                  <c:v>3.4013348998380302</c:v>
                </c:pt>
                <c:pt idx="28">
                  <c:v>3.4013348998380297</c:v>
                </c:pt>
                <c:pt idx="29">
                  <c:v>3.4013348998380297</c:v>
                </c:pt>
                <c:pt idx="30">
                  <c:v>3.478249130661391</c:v>
                </c:pt>
                <c:pt idx="31">
                  <c:v>3.4782491306613914</c:v>
                </c:pt>
                <c:pt idx="32">
                  <c:v>3.478249130661391</c:v>
                </c:pt>
                <c:pt idx="33">
                  <c:v>3.478249130661391</c:v>
                </c:pt>
                <c:pt idx="34">
                  <c:v>3.4782491306613914</c:v>
                </c:pt>
                <c:pt idx="35">
                  <c:v>4.1586366741917962</c:v>
                </c:pt>
                <c:pt idx="36">
                  <c:v>4.1586366741917971</c:v>
                </c:pt>
                <c:pt idx="37">
                  <c:v>4.1586366741917971</c:v>
                </c:pt>
                <c:pt idx="38">
                  <c:v>4.1586366741917971</c:v>
                </c:pt>
                <c:pt idx="39">
                  <c:v>4.1586366741917971</c:v>
                </c:pt>
                <c:pt idx="40">
                  <c:v>5.5941691525834889</c:v>
                </c:pt>
                <c:pt idx="41">
                  <c:v>5.594169152583488</c:v>
                </c:pt>
                <c:pt idx="42">
                  <c:v>5.5941691525834889</c:v>
                </c:pt>
                <c:pt idx="43">
                  <c:v>5.5941691525834889</c:v>
                </c:pt>
                <c:pt idx="44">
                  <c:v>5.594169152583488</c:v>
                </c:pt>
                <c:pt idx="45">
                  <c:v>7.6059961093600084</c:v>
                </c:pt>
                <c:pt idx="46">
                  <c:v>7.6059961093600092</c:v>
                </c:pt>
                <c:pt idx="47">
                  <c:v>7.6059961093600084</c:v>
                </c:pt>
                <c:pt idx="48">
                  <c:v>7.6059961093600092</c:v>
                </c:pt>
                <c:pt idx="49">
                  <c:v>7.6059961093600084</c:v>
                </c:pt>
                <c:pt idx="50">
                  <c:v>12.146877382573614</c:v>
                </c:pt>
                <c:pt idx="51">
                  <c:v>12.146877382573614</c:v>
                </c:pt>
                <c:pt idx="52">
                  <c:v>12.146877382573612</c:v>
                </c:pt>
                <c:pt idx="53">
                  <c:v>12.146877382573612</c:v>
                </c:pt>
                <c:pt idx="54">
                  <c:v>12.146877382573614</c:v>
                </c:pt>
                <c:pt idx="55">
                  <c:v>17.820511140781839</c:v>
                </c:pt>
                <c:pt idx="56">
                  <c:v>17.820511140781839</c:v>
                </c:pt>
                <c:pt idx="57">
                  <c:v>17.820511140781839</c:v>
                </c:pt>
                <c:pt idx="58">
                  <c:v>17.820511140781839</c:v>
                </c:pt>
                <c:pt idx="59">
                  <c:v>17.820511140781836</c:v>
                </c:pt>
                <c:pt idx="60">
                  <c:v>27.661374006741077</c:v>
                </c:pt>
                <c:pt idx="61">
                  <c:v>27.661374006741081</c:v>
                </c:pt>
                <c:pt idx="62">
                  <c:v>27.661374006741081</c:v>
                </c:pt>
                <c:pt idx="63">
                  <c:v>27.661374006741077</c:v>
                </c:pt>
                <c:pt idx="64">
                  <c:v>27.661374006741081</c:v>
                </c:pt>
                <c:pt idx="65">
                  <c:v>41.022613121092611</c:v>
                </c:pt>
                <c:pt idx="66">
                  <c:v>41.022613121092604</c:v>
                </c:pt>
                <c:pt idx="67">
                  <c:v>41.022613121092604</c:v>
                </c:pt>
                <c:pt idx="68">
                  <c:v>41.022613121092611</c:v>
                </c:pt>
                <c:pt idx="69">
                  <c:v>41.022613121092611</c:v>
                </c:pt>
                <c:pt idx="70">
                  <c:v>54.006462597887769</c:v>
                </c:pt>
                <c:pt idx="71">
                  <c:v>54.006462597887769</c:v>
                </c:pt>
                <c:pt idx="72">
                  <c:v>54.006462597887769</c:v>
                </c:pt>
                <c:pt idx="73">
                  <c:v>54.006462597887776</c:v>
                </c:pt>
                <c:pt idx="74">
                  <c:v>54.006462597887761</c:v>
                </c:pt>
              </c:numCache>
            </c:numRef>
          </c:yVal>
          <c:smooth val="1"/>
        </c:ser>
        <c:axId val="83847040"/>
        <c:axId val="83848576"/>
      </c:scatterChart>
      <c:valAx>
        <c:axId val="83847040"/>
        <c:scaling>
          <c:orientation val="minMax"/>
        </c:scaling>
        <c:axPos val="b"/>
        <c:numFmt formatCode="_ * #,##0_ ;_ * \-#,##0_ ;_ * &quot;-&quot;??_ ;_ @_ " sourceLinked="1"/>
        <c:tickLblPos val="nextTo"/>
        <c:crossAx val="83848576"/>
        <c:crosses val="autoZero"/>
        <c:crossBetween val="midCat"/>
      </c:valAx>
      <c:valAx>
        <c:axId val="83848576"/>
        <c:scaling>
          <c:orientation val="minMax"/>
          <c:max val="50"/>
        </c:scaling>
        <c:axPos val="l"/>
        <c:majorGridlines/>
        <c:numFmt formatCode="_ * #,##0.0000_ ;_ * \-#,##0.0000_ ;_ * &quot;-&quot;??_ ;_ @_ " sourceLinked="1"/>
        <c:tickLblPos val="nextTo"/>
        <c:crossAx val="83847040"/>
        <c:crosses val="autoZero"/>
        <c:crossBetween val="midCat"/>
      </c:valAx>
    </c:plotArea>
    <c:plotVisOnly val="1"/>
  </c:chart>
  <c:printSettings>
    <c:headerFooter/>
    <c:pageMargins b="0.75000000000000366" l="0.70000000000000062" r="0.70000000000000062" t="0.75000000000000366"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tx>
            <c:strRef>
              <c:f>QxM!$T$1</c:f>
              <c:strCache>
                <c:ptCount val="1"/>
                <c:pt idx="0">
                  <c:v>Promedio</c:v>
                </c:pt>
              </c:strCache>
            </c:strRef>
          </c:tx>
          <c:marker>
            <c:symbol val="none"/>
          </c:marker>
          <c:trendline>
            <c:trendlineType val="exp"/>
            <c:dispRSqr val="1"/>
            <c:dispEq val="1"/>
            <c:trendlineLbl>
              <c:layout>
                <c:manualLayout>
                  <c:x val="-0.27142683758250707"/>
                  <c:y val="0.17349788611753059"/>
                </c:manualLayout>
              </c:layout>
              <c:numFmt formatCode="#,##0.0000000000" sourceLinked="0"/>
            </c:trendlineLbl>
          </c:trendline>
          <c:xVal>
            <c:numRef>
              <c:f>QxM!$S$7:$S$81</c:f>
              <c:numCache>
                <c:formatCode>_ * #,##0_ ;_ * \-#,##0_ ;_ * "-"??_ ;_ @_ </c:formatCode>
                <c:ptCount val="7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56</c:v>
                </c:pt>
                <c:pt idx="52">
                  <c:v>57</c:v>
                </c:pt>
                <c:pt idx="53">
                  <c:v>58</c:v>
                </c:pt>
                <c:pt idx="54">
                  <c:v>59</c:v>
                </c:pt>
                <c:pt idx="55">
                  <c:v>60</c:v>
                </c:pt>
                <c:pt idx="56">
                  <c:v>61</c:v>
                </c:pt>
                <c:pt idx="57">
                  <c:v>62</c:v>
                </c:pt>
                <c:pt idx="58">
                  <c:v>63</c:v>
                </c:pt>
                <c:pt idx="59">
                  <c:v>64</c:v>
                </c:pt>
                <c:pt idx="60">
                  <c:v>65</c:v>
                </c:pt>
                <c:pt idx="61">
                  <c:v>66</c:v>
                </c:pt>
                <c:pt idx="62">
                  <c:v>67</c:v>
                </c:pt>
                <c:pt idx="63">
                  <c:v>68</c:v>
                </c:pt>
                <c:pt idx="64">
                  <c:v>69</c:v>
                </c:pt>
                <c:pt idx="65">
                  <c:v>70</c:v>
                </c:pt>
                <c:pt idx="66">
                  <c:v>71</c:v>
                </c:pt>
                <c:pt idx="67">
                  <c:v>72</c:v>
                </c:pt>
                <c:pt idx="68">
                  <c:v>73</c:v>
                </c:pt>
                <c:pt idx="69">
                  <c:v>74</c:v>
                </c:pt>
                <c:pt idx="70">
                  <c:v>75</c:v>
                </c:pt>
                <c:pt idx="71">
                  <c:v>76</c:v>
                </c:pt>
                <c:pt idx="72">
                  <c:v>77</c:v>
                </c:pt>
                <c:pt idx="73">
                  <c:v>78</c:v>
                </c:pt>
                <c:pt idx="74">
                  <c:v>79</c:v>
                </c:pt>
              </c:numCache>
            </c:numRef>
          </c:xVal>
          <c:yVal>
            <c:numRef>
              <c:f>QxM!$T$7:$T$81</c:f>
            </c:numRef>
          </c:yVal>
          <c:smooth val="1"/>
        </c:ser>
        <c:axId val="83869056"/>
        <c:axId val="83870848"/>
      </c:scatterChart>
      <c:valAx>
        <c:axId val="83869056"/>
        <c:scaling>
          <c:orientation val="minMax"/>
        </c:scaling>
        <c:axPos val="b"/>
        <c:numFmt formatCode="_ * #,##0_ ;_ * \-#,##0_ ;_ * &quot;-&quot;??_ ;_ @_ " sourceLinked="1"/>
        <c:tickLblPos val="nextTo"/>
        <c:crossAx val="83870848"/>
        <c:crosses val="autoZero"/>
        <c:crossBetween val="midCat"/>
      </c:valAx>
      <c:valAx>
        <c:axId val="83870848"/>
        <c:scaling>
          <c:orientation val="minMax"/>
          <c:max val="50"/>
        </c:scaling>
        <c:axPos val="l"/>
        <c:majorGridlines/>
        <c:numFmt formatCode="_ * #,##0.0000_ ;_ * \-#,##0.0000_ ;_ * &quot;-&quot;??_ ;_ @_ " sourceLinked="1"/>
        <c:tickLblPos val="nextTo"/>
        <c:crossAx val="83869056"/>
        <c:crosses val="autoZero"/>
        <c:crossBetween val="midCat"/>
      </c:valAx>
    </c:plotArea>
    <c:plotVisOnly val="1"/>
  </c:chart>
  <c:printSettings>
    <c:headerFooter/>
    <c:pageMargins b="0.75000000000000389" l="0.70000000000000062" r="0.70000000000000062" t="0.75000000000000389"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es-VE"/>
  <c:chart>
    <c:plotArea>
      <c:layout/>
      <c:scatterChart>
        <c:scatterStyle val="smoothMarker"/>
        <c:ser>
          <c:idx val="0"/>
          <c:order val="0"/>
          <c:marker>
            <c:symbol val="none"/>
          </c:marker>
          <c:trendline>
            <c:trendlineType val="poly"/>
            <c:order val="4"/>
            <c:dispRSqr val="1"/>
            <c:dispEq val="1"/>
            <c:trendlineLbl>
              <c:numFmt formatCode="#,##0.0000000000" sourceLinked="0"/>
            </c:trendlineLbl>
          </c:trendline>
          <c:xVal>
            <c:numRef>
              <c:f>QxF!$S$7:$S$81</c:f>
              <c:numCache>
                <c:formatCode>_ * #,##0_ ;_ * \-#,##0_ ;_ * "-"??_ ;_ @_ </c:formatCode>
                <c:ptCount val="7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56</c:v>
                </c:pt>
                <c:pt idx="52">
                  <c:v>57</c:v>
                </c:pt>
                <c:pt idx="53">
                  <c:v>58</c:v>
                </c:pt>
                <c:pt idx="54">
                  <c:v>59</c:v>
                </c:pt>
                <c:pt idx="55">
                  <c:v>60</c:v>
                </c:pt>
                <c:pt idx="56">
                  <c:v>61</c:v>
                </c:pt>
                <c:pt idx="57">
                  <c:v>62</c:v>
                </c:pt>
                <c:pt idx="58">
                  <c:v>63</c:v>
                </c:pt>
                <c:pt idx="59">
                  <c:v>64</c:v>
                </c:pt>
                <c:pt idx="60">
                  <c:v>65</c:v>
                </c:pt>
                <c:pt idx="61">
                  <c:v>66</c:v>
                </c:pt>
                <c:pt idx="62">
                  <c:v>67</c:v>
                </c:pt>
                <c:pt idx="63">
                  <c:v>68</c:v>
                </c:pt>
                <c:pt idx="64">
                  <c:v>69</c:v>
                </c:pt>
                <c:pt idx="65">
                  <c:v>70</c:v>
                </c:pt>
                <c:pt idx="66">
                  <c:v>71</c:v>
                </c:pt>
                <c:pt idx="67">
                  <c:v>72</c:v>
                </c:pt>
                <c:pt idx="68">
                  <c:v>73</c:v>
                </c:pt>
                <c:pt idx="69">
                  <c:v>74</c:v>
                </c:pt>
                <c:pt idx="70">
                  <c:v>75</c:v>
                </c:pt>
                <c:pt idx="71">
                  <c:v>76</c:v>
                </c:pt>
                <c:pt idx="72">
                  <c:v>77</c:v>
                </c:pt>
                <c:pt idx="73">
                  <c:v>78</c:v>
                </c:pt>
                <c:pt idx="74">
                  <c:v>79</c:v>
                </c:pt>
              </c:numCache>
            </c:numRef>
          </c:xVal>
          <c:yVal>
            <c:numRef>
              <c:f>QxF!$T$7:$T$81</c:f>
              <c:numCache>
                <c:formatCode>_ * #,##0.0000_ ;_ * \-#,##0.0000_ ;_ * "-"??_ ;_ @_ </c:formatCode>
                <c:ptCount val="75"/>
                <c:pt idx="0">
                  <c:v>3.0388325599129518E-4</c:v>
                </c:pt>
                <c:pt idx="1">
                  <c:v>3.0388325599129518E-4</c:v>
                </c:pt>
                <c:pt idx="2">
                  <c:v>3.0388325599129518E-4</c:v>
                </c:pt>
                <c:pt idx="3">
                  <c:v>3.0388325599129518E-4</c:v>
                </c:pt>
                <c:pt idx="4">
                  <c:v>3.0388325599129513E-4</c:v>
                </c:pt>
                <c:pt idx="5">
                  <c:v>2.9114403047200943E-4</c:v>
                </c:pt>
                <c:pt idx="6">
                  <c:v>2.9114403047200943E-4</c:v>
                </c:pt>
                <c:pt idx="7">
                  <c:v>2.9114403047200937E-4</c:v>
                </c:pt>
                <c:pt idx="8">
                  <c:v>2.9114403047200943E-4</c:v>
                </c:pt>
                <c:pt idx="9">
                  <c:v>2.9114403047200943E-4</c:v>
                </c:pt>
                <c:pt idx="10">
                  <c:v>5.7513198190843552E-4</c:v>
                </c:pt>
                <c:pt idx="11">
                  <c:v>5.7513198190843552E-4</c:v>
                </c:pt>
                <c:pt idx="12">
                  <c:v>5.7513198190843552E-4</c:v>
                </c:pt>
                <c:pt idx="13">
                  <c:v>5.7513198190843552E-4</c:v>
                </c:pt>
                <c:pt idx="14">
                  <c:v>5.7513198190843552E-4</c:v>
                </c:pt>
                <c:pt idx="15">
                  <c:v>6.4603392670631885E-4</c:v>
                </c:pt>
                <c:pt idx="16">
                  <c:v>6.4603392670631874E-4</c:v>
                </c:pt>
                <c:pt idx="17">
                  <c:v>6.4603392670631885E-4</c:v>
                </c:pt>
                <c:pt idx="18">
                  <c:v>6.4603392670631885E-4</c:v>
                </c:pt>
                <c:pt idx="19">
                  <c:v>6.4603392670631885E-4</c:v>
                </c:pt>
                <c:pt idx="20">
                  <c:v>7.8425330072374089E-4</c:v>
                </c:pt>
                <c:pt idx="21">
                  <c:v>7.842533007237411E-4</c:v>
                </c:pt>
                <c:pt idx="22">
                  <c:v>7.8425330072374099E-4</c:v>
                </c:pt>
                <c:pt idx="23">
                  <c:v>7.8425330072374089E-4</c:v>
                </c:pt>
                <c:pt idx="24">
                  <c:v>7.8425330072374099E-4</c:v>
                </c:pt>
                <c:pt idx="25">
                  <c:v>9.8220646656237229E-4</c:v>
                </c:pt>
                <c:pt idx="26">
                  <c:v>9.8220646656237229E-4</c:v>
                </c:pt>
                <c:pt idx="27">
                  <c:v>9.8220646656237229E-4</c:v>
                </c:pt>
                <c:pt idx="28">
                  <c:v>9.8220646656237229E-4</c:v>
                </c:pt>
                <c:pt idx="29">
                  <c:v>9.8220646656237229E-4</c:v>
                </c:pt>
                <c:pt idx="30">
                  <c:v>1.3483058126433183E-3</c:v>
                </c:pt>
                <c:pt idx="31">
                  <c:v>1.3483058126433183E-3</c:v>
                </c:pt>
                <c:pt idx="32">
                  <c:v>1.348305812643318E-3</c:v>
                </c:pt>
                <c:pt idx="33">
                  <c:v>1.3483058126433183E-3</c:v>
                </c:pt>
                <c:pt idx="34">
                  <c:v>1.348305812643318E-3</c:v>
                </c:pt>
                <c:pt idx="35">
                  <c:v>1.9284274501393066E-3</c:v>
                </c:pt>
                <c:pt idx="36">
                  <c:v>1.9284274501393066E-3</c:v>
                </c:pt>
                <c:pt idx="37">
                  <c:v>1.9284274501393068E-3</c:v>
                </c:pt>
                <c:pt idx="38">
                  <c:v>1.9284274501393064E-3</c:v>
                </c:pt>
                <c:pt idx="39">
                  <c:v>1.9284274501393068E-3</c:v>
                </c:pt>
                <c:pt idx="40">
                  <c:v>2.9449170764495607E-3</c:v>
                </c:pt>
                <c:pt idx="41">
                  <c:v>2.9449170764495607E-3</c:v>
                </c:pt>
                <c:pt idx="42">
                  <c:v>2.9449170764495611E-3</c:v>
                </c:pt>
                <c:pt idx="43">
                  <c:v>2.9449170764495611E-3</c:v>
                </c:pt>
                <c:pt idx="44">
                  <c:v>2.9449170764495611E-3</c:v>
                </c:pt>
                <c:pt idx="45">
                  <c:v>4.2921157758907761E-3</c:v>
                </c:pt>
                <c:pt idx="46">
                  <c:v>4.292115775890777E-3</c:v>
                </c:pt>
                <c:pt idx="47">
                  <c:v>4.2921157758907761E-3</c:v>
                </c:pt>
                <c:pt idx="48">
                  <c:v>4.2921157758907761E-3</c:v>
                </c:pt>
                <c:pt idx="49">
                  <c:v>4.2921157758907761E-3</c:v>
                </c:pt>
                <c:pt idx="50">
                  <c:v>6.7102926627526658E-3</c:v>
                </c:pt>
                <c:pt idx="51">
                  <c:v>6.710292662752664E-3</c:v>
                </c:pt>
                <c:pt idx="52">
                  <c:v>6.7102926627526649E-3</c:v>
                </c:pt>
                <c:pt idx="53">
                  <c:v>6.7102926627526649E-3</c:v>
                </c:pt>
                <c:pt idx="54">
                  <c:v>6.7102926627526649E-3</c:v>
                </c:pt>
                <c:pt idx="55">
                  <c:v>1.1106805075646259E-2</c:v>
                </c:pt>
                <c:pt idx="56">
                  <c:v>1.1106805075646259E-2</c:v>
                </c:pt>
                <c:pt idx="57">
                  <c:v>1.1106805075646261E-2</c:v>
                </c:pt>
                <c:pt idx="58">
                  <c:v>1.1106805075646259E-2</c:v>
                </c:pt>
                <c:pt idx="59">
                  <c:v>1.1106805075646261E-2</c:v>
                </c:pt>
                <c:pt idx="60">
                  <c:v>1.6833342298948426E-2</c:v>
                </c:pt>
                <c:pt idx="61">
                  <c:v>1.6833342298948426E-2</c:v>
                </c:pt>
                <c:pt idx="62">
                  <c:v>1.683334229894843E-2</c:v>
                </c:pt>
                <c:pt idx="63">
                  <c:v>1.6833342298948426E-2</c:v>
                </c:pt>
                <c:pt idx="64">
                  <c:v>1.6833342298948426E-2</c:v>
                </c:pt>
                <c:pt idx="65">
                  <c:v>2.5473183097984044E-2</c:v>
                </c:pt>
                <c:pt idx="66">
                  <c:v>2.5473183097984044E-2</c:v>
                </c:pt>
                <c:pt idx="67">
                  <c:v>2.5473183097984044E-2</c:v>
                </c:pt>
                <c:pt idx="68">
                  <c:v>2.5473183097984041E-2</c:v>
                </c:pt>
                <c:pt idx="69">
                  <c:v>2.5473183097984044E-2</c:v>
                </c:pt>
                <c:pt idx="70">
                  <c:v>3.8548853006340117E-2</c:v>
                </c:pt>
                <c:pt idx="71">
                  <c:v>3.8548853006340117E-2</c:v>
                </c:pt>
                <c:pt idx="72">
                  <c:v>3.8548853006340117E-2</c:v>
                </c:pt>
                <c:pt idx="73">
                  <c:v>3.8548853006340124E-2</c:v>
                </c:pt>
                <c:pt idx="74">
                  <c:v>3.8548853006340117E-2</c:v>
                </c:pt>
              </c:numCache>
            </c:numRef>
          </c:yVal>
          <c:smooth val="1"/>
        </c:ser>
        <c:axId val="84653184"/>
        <c:axId val="84654720"/>
      </c:scatterChart>
      <c:valAx>
        <c:axId val="84653184"/>
        <c:scaling>
          <c:orientation val="minMax"/>
        </c:scaling>
        <c:axPos val="b"/>
        <c:numFmt formatCode="_ * #,##0_ ;_ * \-#,##0_ ;_ * &quot;-&quot;??_ ;_ @_ " sourceLinked="1"/>
        <c:tickLblPos val="nextTo"/>
        <c:crossAx val="84654720"/>
        <c:crosses val="autoZero"/>
        <c:crossBetween val="midCat"/>
      </c:valAx>
      <c:valAx>
        <c:axId val="84654720"/>
        <c:scaling>
          <c:orientation val="minMax"/>
        </c:scaling>
        <c:axPos val="l"/>
        <c:majorGridlines/>
        <c:numFmt formatCode="_ * #,##0.0000_ ;_ * \-#,##0.0000_ ;_ * &quot;-&quot;??_ ;_ @_ " sourceLinked="1"/>
        <c:tickLblPos val="nextTo"/>
        <c:crossAx val="84653184"/>
        <c:crosses val="autoZero"/>
        <c:crossBetween val="midCat"/>
      </c:valAx>
    </c:plotArea>
    <c:legend>
      <c:legendPos val="r"/>
    </c:legend>
    <c:plotVisOnly val="1"/>
  </c:chart>
  <c:printSettings>
    <c:headerFooter/>
    <c:pageMargins b="0.75000000000000078" l="0.70000000000000062" r="0.70000000000000062" t="0.75000000000000078"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18" Type="http://schemas.openxmlformats.org/officeDocument/2006/relationships/chart" Target="../charts/chart36.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17" Type="http://schemas.openxmlformats.org/officeDocument/2006/relationships/chart" Target="../charts/chart35.xml"/><Relationship Id="rId2" Type="http://schemas.openxmlformats.org/officeDocument/2006/relationships/chart" Target="../charts/chart20.xml"/><Relationship Id="rId16" Type="http://schemas.openxmlformats.org/officeDocument/2006/relationships/chart" Target="../charts/chart34.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5" Type="http://schemas.openxmlformats.org/officeDocument/2006/relationships/chart" Target="../charts/chart3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 Id="rId14" Type="http://schemas.openxmlformats.org/officeDocument/2006/relationships/chart" Target="../charts/chart3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23</xdr:col>
      <xdr:colOff>190500</xdr:colOff>
      <xdr:row>19</xdr:row>
      <xdr:rowOff>28575</xdr:rowOff>
    </xdr:from>
    <xdr:to>
      <xdr:col>31</xdr:col>
      <xdr:colOff>352425</xdr:colOff>
      <xdr:row>33</xdr:row>
      <xdr:rowOff>104775</xdr:rowOff>
    </xdr:to>
    <xdr:graphicFrame macro="">
      <xdr:nvGraphicFramePr>
        <xdr:cNvPr id="5" name="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171450</xdr:colOff>
      <xdr:row>41</xdr:row>
      <xdr:rowOff>28575</xdr:rowOff>
    </xdr:from>
    <xdr:to>
      <xdr:col>17</xdr:col>
      <xdr:colOff>609600</xdr:colOff>
      <xdr:row>55</xdr:row>
      <xdr:rowOff>104775</xdr:rowOff>
    </xdr:to>
    <xdr:graphicFrame macro="">
      <xdr:nvGraphicFramePr>
        <xdr:cNvPr id="7" name="6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180975</xdr:colOff>
      <xdr:row>41</xdr:row>
      <xdr:rowOff>9525</xdr:rowOff>
    </xdr:from>
    <xdr:to>
      <xdr:col>31</xdr:col>
      <xdr:colOff>342900</xdr:colOff>
      <xdr:row>55</xdr:row>
      <xdr:rowOff>85725</xdr:rowOff>
    </xdr:to>
    <xdr:graphicFrame macro="">
      <xdr:nvGraphicFramePr>
        <xdr:cNvPr id="8" name="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63</xdr:row>
      <xdr:rowOff>28575</xdr:rowOff>
    </xdr:from>
    <xdr:to>
      <xdr:col>17</xdr:col>
      <xdr:colOff>609600</xdr:colOff>
      <xdr:row>77</xdr:row>
      <xdr:rowOff>104775</xdr:rowOff>
    </xdr:to>
    <xdr:graphicFrame macro="">
      <xdr:nvGraphicFramePr>
        <xdr:cNvPr id="9" name="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180975</xdr:colOff>
      <xdr:row>63</xdr:row>
      <xdr:rowOff>9525</xdr:rowOff>
    </xdr:from>
    <xdr:to>
      <xdr:col>31</xdr:col>
      <xdr:colOff>342900</xdr:colOff>
      <xdr:row>77</xdr:row>
      <xdr:rowOff>85725</xdr:rowOff>
    </xdr:to>
    <xdr:graphicFrame macro="">
      <xdr:nvGraphicFramePr>
        <xdr:cNvPr id="10" name="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171450</xdr:colOff>
      <xdr:row>85</xdr:row>
      <xdr:rowOff>28575</xdr:rowOff>
    </xdr:from>
    <xdr:to>
      <xdr:col>17</xdr:col>
      <xdr:colOff>609600</xdr:colOff>
      <xdr:row>99</xdr:row>
      <xdr:rowOff>104775</xdr:rowOff>
    </xdr:to>
    <xdr:graphicFrame macro="">
      <xdr:nvGraphicFramePr>
        <xdr:cNvPr id="11" name="1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180975</xdr:colOff>
      <xdr:row>85</xdr:row>
      <xdr:rowOff>9525</xdr:rowOff>
    </xdr:from>
    <xdr:to>
      <xdr:col>31</xdr:col>
      <xdr:colOff>342900</xdr:colOff>
      <xdr:row>99</xdr:row>
      <xdr:rowOff>85725</xdr:rowOff>
    </xdr:to>
    <xdr:graphicFrame macro="">
      <xdr:nvGraphicFramePr>
        <xdr:cNvPr id="12" name="1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171450</xdr:colOff>
      <xdr:row>107</xdr:row>
      <xdr:rowOff>28575</xdr:rowOff>
    </xdr:from>
    <xdr:to>
      <xdr:col>17</xdr:col>
      <xdr:colOff>609600</xdr:colOff>
      <xdr:row>121</xdr:row>
      <xdr:rowOff>104775</xdr:rowOff>
    </xdr:to>
    <xdr:graphicFrame macro="">
      <xdr:nvGraphicFramePr>
        <xdr:cNvPr id="13" name="1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180975</xdr:colOff>
      <xdr:row>107</xdr:row>
      <xdr:rowOff>9525</xdr:rowOff>
    </xdr:from>
    <xdr:to>
      <xdr:col>31</xdr:col>
      <xdr:colOff>342900</xdr:colOff>
      <xdr:row>121</xdr:row>
      <xdr:rowOff>85725</xdr:rowOff>
    </xdr:to>
    <xdr:graphicFrame macro="">
      <xdr:nvGraphicFramePr>
        <xdr:cNvPr id="14" name="1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171450</xdr:colOff>
      <xdr:row>129</xdr:row>
      <xdr:rowOff>28575</xdr:rowOff>
    </xdr:from>
    <xdr:to>
      <xdr:col>17</xdr:col>
      <xdr:colOff>609600</xdr:colOff>
      <xdr:row>143</xdr:row>
      <xdr:rowOff>104775</xdr:rowOff>
    </xdr:to>
    <xdr:graphicFrame macro="">
      <xdr:nvGraphicFramePr>
        <xdr:cNvPr id="15" name="1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180975</xdr:colOff>
      <xdr:row>129</xdr:row>
      <xdr:rowOff>9525</xdr:rowOff>
    </xdr:from>
    <xdr:to>
      <xdr:col>31</xdr:col>
      <xdr:colOff>342900</xdr:colOff>
      <xdr:row>143</xdr:row>
      <xdr:rowOff>85725</xdr:rowOff>
    </xdr:to>
    <xdr:graphicFrame macro="">
      <xdr:nvGraphicFramePr>
        <xdr:cNvPr id="16" name="1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171450</xdr:colOff>
      <xdr:row>151</xdr:row>
      <xdr:rowOff>28575</xdr:rowOff>
    </xdr:from>
    <xdr:to>
      <xdr:col>17</xdr:col>
      <xdr:colOff>609600</xdr:colOff>
      <xdr:row>165</xdr:row>
      <xdr:rowOff>104775</xdr:rowOff>
    </xdr:to>
    <xdr:graphicFrame macro="">
      <xdr:nvGraphicFramePr>
        <xdr:cNvPr id="17" name="16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180975</xdr:colOff>
      <xdr:row>151</xdr:row>
      <xdr:rowOff>9525</xdr:rowOff>
    </xdr:from>
    <xdr:to>
      <xdr:col>31</xdr:col>
      <xdr:colOff>342900</xdr:colOff>
      <xdr:row>165</xdr:row>
      <xdr:rowOff>85725</xdr:rowOff>
    </xdr:to>
    <xdr:graphicFrame macro="">
      <xdr:nvGraphicFramePr>
        <xdr:cNvPr id="18" name="1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171450</xdr:colOff>
      <xdr:row>173</xdr:row>
      <xdr:rowOff>28575</xdr:rowOff>
    </xdr:from>
    <xdr:to>
      <xdr:col>17</xdr:col>
      <xdr:colOff>609600</xdr:colOff>
      <xdr:row>187</xdr:row>
      <xdr:rowOff>104775</xdr:rowOff>
    </xdr:to>
    <xdr:graphicFrame macro="">
      <xdr:nvGraphicFramePr>
        <xdr:cNvPr id="19" name="1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180975</xdr:colOff>
      <xdr:row>173</xdr:row>
      <xdr:rowOff>9525</xdr:rowOff>
    </xdr:from>
    <xdr:to>
      <xdr:col>31</xdr:col>
      <xdr:colOff>342900</xdr:colOff>
      <xdr:row>187</xdr:row>
      <xdr:rowOff>85725</xdr:rowOff>
    </xdr:to>
    <xdr:graphicFrame macro="">
      <xdr:nvGraphicFramePr>
        <xdr:cNvPr id="20" name="1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171450</xdr:colOff>
      <xdr:row>195</xdr:row>
      <xdr:rowOff>28575</xdr:rowOff>
    </xdr:from>
    <xdr:to>
      <xdr:col>17</xdr:col>
      <xdr:colOff>609600</xdr:colOff>
      <xdr:row>209</xdr:row>
      <xdr:rowOff>104775</xdr:rowOff>
    </xdr:to>
    <xdr:graphicFrame macro="">
      <xdr:nvGraphicFramePr>
        <xdr:cNvPr id="21" name="2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180975</xdr:colOff>
      <xdr:row>195</xdr:row>
      <xdr:rowOff>9525</xdr:rowOff>
    </xdr:from>
    <xdr:to>
      <xdr:col>31</xdr:col>
      <xdr:colOff>342900</xdr:colOff>
      <xdr:row>209</xdr:row>
      <xdr:rowOff>85725</xdr:rowOff>
    </xdr:to>
    <xdr:graphicFrame macro="">
      <xdr:nvGraphicFramePr>
        <xdr:cNvPr id="22" name="2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228600</xdr:colOff>
      <xdr:row>17</xdr:row>
      <xdr:rowOff>171450</xdr:rowOff>
    </xdr:from>
    <xdr:to>
      <xdr:col>18</xdr:col>
      <xdr:colOff>133350</xdr:colOff>
      <xdr:row>32</xdr:row>
      <xdr:rowOff>57150</xdr:rowOff>
    </xdr:to>
    <xdr:graphicFrame macro="">
      <xdr:nvGraphicFramePr>
        <xdr:cNvPr id="23" name="2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171450</xdr:colOff>
      <xdr:row>19</xdr:row>
      <xdr:rowOff>28575</xdr:rowOff>
    </xdr:from>
    <xdr:to>
      <xdr:col>17</xdr:col>
      <xdr:colOff>609600</xdr:colOff>
      <xdr:row>33</xdr:row>
      <xdr:rowOff>104775</xdr:rowOff>
    </xdr:to>
    <xdr:graphicFrame macro="">
      <xdr:nvGraphicFramePr>
        <xdr:cNvPr id="2" name="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190500</xdr:colOff>
      <xdr:row>19</xdr:row>
      <xdr:rowOff>28575</xdr:rowOff>
    </xdr:from>
    <xdr:to>
      <xdr:col>31</xdr:col>
      <xdr:colOff>352425</xdr:colOff>
      <xdr:row>33</xdr:row>
      <xdr:rowOff>104775</xdr:rowOff>
    </xdr:to>
    <xdr:graphicFrame macro="">
      <xdr:nvGraphicFramePr>
        <xdr:cNvPr id="3" name="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41</xdr:row>
      <xdr:rowOff>28575</xdr:rowOff>
    </xdr:from>
    <xdr:to>
      <xdr:col>17</xdr:col>
      <xdr:colOff>609600</xdr:colOff>
      <xdr:row>55</xdr:row>
      <xdr:rowOff>104775</xdr:rowOff>
    </xdr:to>
    <xdr:graphicFrame macro="">
      <xdr:nvGraphicFramePr>
        <xdr:cNvPr id="4" name="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180975</xdr:colOff>
      <xdr:row>41</xdr:row>
      <xdr:rowOff>9525</xdr:rowOff>
    </xdr:from>
    <xdr:to>
      <xdr:col>31</xdr:col>
      <xdr:colOff>342900</xdr:colOff>
      <xdr:row>55</xdr:row>
      <xdr:rowOff>85725</xdr:rowOff>
    </xdr:to>
    <xdr:graphicFrame macro="">
      <xdr:nvGraphicFramePr>
        <xdr:cNvPr id="5" name="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171450</xdr:colOff>
      <xdr:row>63</xdr:row>
      <xdr:rowOff>28575</xdr:rowOff>
    </xdr:from>
    <xdr:to>
      <xdr:col>17</xdr:col>
      <xdr:colOff>609600</xdr:colOff>
      <xdr:row>77</xdr:row>
      <xdr:rowOff>104775</xdr:rowOff>
    </xdr:to>
    <xdr:graphicFrame macro="">
      <xdr:nvGraphicFramePr>
        <xdr:cNvPr id="6" name="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180975</xdr:colOff>
      <xdr:row>63</xdr:row>
      <xdr:rowOff>9525</xdr:rowOff>
    </xdr:from>
    <xdr:to>
      <xdr:col>31</xdr:col>
      <xdr:colOff>342900</xdr:colOff>
      <xdr:row>77</xdr:row>
      <xdr:rowOff>85725</xdr:rowOff>
    </xdr:to>
    <xdr:graphicFrame macro="">
      <xdr:nvGraphicFramePr>
        <xdr:cNvPr id="7" name="6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171450</xdr:colOff>
      <xdr:row>85</xdr:row>
      <xdr:rowOff>28575</xdr:rowOff>
    </xdr:from>
    <xdr:to>
      <xdr:col>17</xdr:col>
      <xdr:colOff>609600</xdr:colOff>
      <xdr:row>99</xdr:row>
      <xdr:rowOff>104775</xdr:rowOff>
    </xdr:to>
    <xdr:graphicFrame macro="">
      <xdr:nvGraphicFramePr>
        <xdr:cNvPr id="8" name="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180975</xdr:colOff>
      <xdr:row>85</xdr:row>
      <xdr:rowOff>9525</xdr:rowOff>
    </xdr:from>
    <xdr:to>
      <xdr:col>31</xdr:col>
      <xdr:colOff>342900</xdr:colOff>
      <xdr:row>99</xdr:row>
      <xdr:rowOff>85725</xdr:rowOff>
    </xdr:to>
    <xdr:graphicFrame macro="">
      <xdr:nvGraphicFramePr>
        <xdr:cNvPr id="9" name="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171450</xdr:colOff>
      <xdr:row>107</xdr:row>
      <xdr:rowOff>28575</xdr:rowOff>
    </xdr:from>
    <xdr:to>
      <xdr:col>17</xdr:col>
      <xdr:colOff>609600</xdr:colOff>
      <xdr:row>121</xdr:row>
      <xdr:rowOff>104775</xdr:rowOff>
    </xdr:to>
    <xdr:graphicFrame macro="">
      <xdr:nvGraphicFramePr>
        <xdr:cNvPr id="10" name="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180975</xdr:colOff>
      <xdr:row>107</xdr:row>
      <xdr:rowOff>9525</xdr:rowOff>
    </xdr:from>
    <xdr:to>
      <xdr:col>31</xdr:col>
      <xdr:colOff>342900</xdr:colOff>
      <xdr:row>121</xdr:row>
      <xdr:rowOff>85725</xdr:rowOff>
    </xdr:to>
    <xdr:graphicFrame macro="">
      <xdr:nvGraphicFramePr>
        <xdr:cNvPr id="11" name="1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171450</xdr:colOff>
      <xdr:row>129</xdr:row>
      <xdr:rowOff>28575</xdr:rowOff>
    </xdr:from>
    <xdr:to>
      <xdr:col>17</xdr:col>
      <xdr:colOff>609600</xdr:colOff>
      <xdr:row>143</xdr:row>
      <xdr:rowOff>104775</xdr:rowOff>
    </xdr:to>
    <xdr:graphicFrame macro="">
      <xdr:nvGraphicFramePr>
        <xdr:cNvPr id="12" name="1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180975</xdr:colOff>
      <xdr:row>129</xdr:row>
      <xdr:rowOff>9525</xdr:rowOff>
    </xdr:from>
    <xdr:to>
      <xdr:col>31</xdr:col>
      <xdr:colOff>342900</xdr:colOff>
      <xdr:row>143</xdr:row>
      <xdr:rowOff>85725</xdr:rowOff>
    </xdr:to>
    <xdr:graphicFrame macro="">
      <xdr:nvGraphicFramePr>
        <xdr:cNvPr id="13" name="1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171450</xdr:colOff>
      <xdr:row>151</xdr:row>
      <xdr:rowOff>28575</xdr:rowOff>
    </xdr:from>
    <xdr:to>
      <xdr:col>17</xdr:col>
      <xdr:colOff>609600</xdr:colOff>
      <xdr:row>165</xdr:row>
      <xdr:rowOff>104775</xdr:rowOff>
    </xdr:to>
    <xdr:graphicFrame macro="">
      <xdr:nvGraphicFramePr>
        <xdr:cNvPr id="14" name="1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180975</xdr:colOff>
      <xdr:row>151</xdr:row>
      <xdr:rowOff>9525</xdr:rowOff>
    </xdr:from>
    <xdr:to>
      <xdr:col>31</xdr:col>
      <xdr:colOff>342900</xdr:colOff>
      <xdr:row>165</xdr:row>
      <xdr:rowOff>85725</xdr:rowOff>
    </xdr:to>
    <xdr:graphicFrame macro="">
      <xdr:nvGraphicFramePr>
        <xdr:cNvPr id="15" name="1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171450</xdr:colOff>
      <xdr:row>173</xdr:row>
      <xdr:rowOff>28575</xdr:rowOff>
    </xdr:from>
    <xdr:to>
      <xdr:col>17</xdr:col>
      <xdr:colOff>609600</xdr:colOff>
      <xdr:row>187</xdr:row>
      <xdr:rowOff>104775</xdr:rowOff>
    </xdr:to>
    <xdr:graphicFrame macro="">
      <xdr:nvGraphicFramePr>
        <xdr:cNvPr id="16" name="1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180975</xdr:colOff>
      <xdr:row>173</xdr:row>
      <xdr:rowOff>9525</xdr:rowOff>
    </xdr:from>
    <xdr:to>
      <xdr:col>31</xdr:col>
      <xdr:colOff>342900</xdr:colOff>
      <xdr:row>187</xdr:row>
      <xdr:rowOff>85725</xdr:rowOff>
    </xdr:to>
    <xdr:graphicFrame macro="">
      <xdr:nvGraphicFramePr>
        <xdr:cNvPr id="17" name="16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171450</xdr:colOff>
      <xdr:row>195</xdr:row>
      <xdr:rowOff>28575</xdr:rowOff>
    </xdr:from>
    <xdr:to>
      <xdr:col>17</xdr:col>
      <xdr:colOff>609600</xdr:colOff>
      <xdr:row>209</xdr:row>
      <xdr:rowOff>104775</xdr:rowOff>
    </xdr:to>
    <xdr:graphicFrame macro="">
      <xdr:nvGraphicFramePr>
        <xdr:cNvPr id="18" name="1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180975</xdr:colOff>
      <xdr:row>195</xdr:row>
      <xdr:rowOff>9525</xdr:rowOff>
    </xdr:from>
    <xdr:to>
      <xdr:col>31</xdr:col>
      <xdr:colOff>342900</xdr:colOff>
      <xdr:row>209</xdr:row>
      <xdr:rowOff>85725</xdr:rowOff>
    </xdr:to>
    <xdr:graphicFrame macro="">
      <xdr:nvGraphicFramePr>
        <xdr:cNvPr id="19" name="1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380999</xdr:colOff>
      <xdr:row>0</xdr:row>
      <xdr:rowOff>28575</xdr:rowOff>
    </xdr:from>
    <xdr:to>
      <xdr:col>35</xdr:col>
      <xdr:colOff>485774</xdr:colOff>
      <xdr:row>33</xdr:row>
      <xdr:rowOff>104775</xdr:rowOff>
    </xdr:to>
    <xdr:graphicFrame macro="">
      <xdr:nvGraphicFramePr>
        <xdr:cNvPr id="3" name="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323850</xdr:colOff>
      <xdr:row>34</xdr:row>
      <xdr:rowOff>180975</xdr:rowOff>
    </xdr:from>
    <xdr:to>
      <xdr:col>35</xdr:col>
      <xdr:colOff>428625</xdr:colOff>
      <xdr:row>68</xdr:row>
      <xdr:rowOff>66675</xdr:rowOff>
    </xdr:to>
    <xdr:graphicFrame macro="">
      <xdr:nvGraphicFramePr>
        <xdr:cNvPr id="4" name="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22</xdr:col>
      <xdr:colOff>9524</xdr:colOff>
      <xdr:row>0</xdr:row>
      <xdr:rowOff>47625</xdr:rowOff>
    </xdr:from>
    <xdr:to>
      <xdr:col>30</xdr:col>
      <xdr:colOff>123824</xdr:colOff>
      <xdr:row>19</xdr:row>
      <xdr:rowOff>123825</xdr:rowOff>
    </xdr:to>
    <xdr:graphicFrame macro="">
      <xdr:nvGraphicFramePr>
        <xdr:cNvPr id="4" name="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bro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nz_mun200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EN90PU5"/>
      <sheetName val="CEN90PU6"/>
      <sheetName val="CEN90PU7"/>
      <sheetName val="C3 POB POR SEXO"/>
      <sheetName val="CEN90PU8"/>
      <sheetName val="CEN90PU9"/>
      <sheetName val="CE90PU16"/>
      <sheetName val="CE90PU25"/>
      <sheetName val="CE90PU26"/>
      <sheetName val="CE90PU28"/>
      <sheetName val="C1 EVOLUCIÓN 1936 - 2001"/>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iferencia (3)"/>
      <sheetName val="Factor"/>
      <sheetName val="Diferencia"/>
      <sheetName val="Anzoategui suma"/>
      <sheetName val="Anaco"/>
      <sheetName val="Aragua"/>
      <sheetName val="FernandodePeñalver"/>
      <sheetName val="FranciscodelCarmenCarvajal"/>
      <sheetName val="FranciscodeMiranda"/>
      <sheetName val="Guanta"/>
      <sheetName val="Independencia"/>
      <sheetName val="JuanAntonioSotillo"/>
      <sheetName val="JuanManuelCajigal"/>
      <sheetName val="JoseGregorioMonagas"/>
      <sheetName val="Libertad"/>
      <sheetName val="ManuelEzequielBruzual"/>
      <sheetName val="PedroMariaFreites"/>
      <sheetName val="Piritu"/>
      <sheetName val="SanJosedeGuanipa"/>
      <sheetName val="SanJuandeCapistrano"/>
      <sheetName val="SantaAna"/>
      <sheetName val="SimonBolivar"/>
      <sheetName val="SimonRodriguez"/>
      <sheetName val="SirArthurMacGregor"/>
      <sheetName val="DiegoBautistaUrbaneja"/>
      <sheetName val="Diferencia (2)"/>
      <sheetName val="Anzoategui"/>
      <sheetName val="Anzoategui suma (2)"/>
      <sheetName val="Anaco (2)"/>
      <sheetName val="Aragua (2)"/>
      <sheetName val="Fernando de Peñalver (2)"/>
      <sheetName val="Francisco del Carmen Carvaj (2)"/>
      <sheetName val="Francisco de Miranda (2)"/>
      <sheetName val="Guanta (2)"/>
      <sheetName val="Independencia (2)"/>
      <sheetName val="Juan Antonio Sotillo (2)"/>
      <sheetName val="Juan Manuel Cajigal (2)"/>
      <sheetName val="Jose Gregorio Monagas (2)"/>
      <sheetName val="Libertad (2)"/>
      <sheetName val="Manuel Ezequiel Bruzual (2)"/>
      <sheetName val="Hoja1 (2)"/>
      <sheetName val="Pedro Maria Freites (2)"/>
      <sheetName val="Piritu (2)"/>
      <sheetName val="San Jose de Guanipa (2)"/>
      <sheetName val="San Juan de Capistrano (2)"/>
      <sheetName val="Santa Ana (2)"/>
      <sheetName val="Simon Bolivar (3)"/>
      <sheetName val="Simon Bolivar (2)"/>
      <sheetName val="Simon Rodriguez (2)"/>
      <sheetName val=" Sir Arthur Mac Gregor (2)"/>
      <sheetName val=" Diego Bautista Urbanej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ngelc" refreshedDate="41722.321923726849" createdVersion="3" refreshedVersion="3" minRefreshableVersion="3" recordCount="192">
  <cacheSource type="worksheet">
    <worksheetSource ref="B2:F197" sheet="Población M"/>
  </cacheSource>
  <cacheFields count="5">
    <cacheField name="Año" numFmtId="164">
      <sharedItems containsSemiMixedTypes="0" containsString="0" containsNumber="1" containsInteger="1" minValue="1926" maxValue="2011" count="10">
        <n v="1926"/>
        <n v="1936"/>
        <n v="1941"/>
        <n v="1950"/>
        <n v="1961"/>
        <n v="1971"/>
        <n v="1981"/>
        <n v="1990"/>
        <n v="2001"/>
        <n v="2011"/>
      </sharedItems>
    </cacheField>
    <cacheField name="Total" numFmtId="0">
      <sharedItems containsSemiMixedTypes="0" containsString="0" containsNumber="1" containsInteger="1" minValue="8079" maxValue="27227930"/>
    </cacheField>
    <cacheField name="Grupo  de edad " numFmtId="0">
      <sharedItems count="23">
        <s v="Total"/>
        <s v="00 - 04"/>
        <s v="05 - 09"/>
        <s v="10 - 14"/>
        <s v="15 - 19"/>
        <s v="20 - 24"/>
        <s v="25 - 29"/>
        <s v="30 - 34"/>
        <s v="35 - 39"/>
        <s v="40 - 44"/>
        <s v="45 - 49"/>
        <s v="50 - 54"/>
        <s v="55 - 59"/>
        <s v="60 - 64"/>
        <s v="65 - 69"/>
        <s v="70 - 74"/>
        <s v="75 - 79"/>
        <s v="80 - 84"/>
        <s v="85 y más"/>
        <s v="90 y más"/>
        <s v="85 - 89"/>
        <s v="90 - 94 "/>
        <s v="95 y más"/>
      </sharedItems>
    </cacheField>
    <cacheField name="Hombres" numFmtId="0">
      <sharedItems containsSemiMixedTypes="0" containsString="0" containsNumber="1" containsInteger="1" minValue="3407" maxValue="13549752"/>
    </cacheField>
    <cacheField name="Mujeres" numFmtId="0">
      <sharedItems containsSemiMixedTypes="0" containsString="0" containsNumber="1" containsInteger="1" minValue="3401" maxValue="13678178"/>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angelc" refreshedDate="41743.425375694445" createdVersion="3" refreshedVersion="3" minRefreshableVersion="3" recordCount="192">
  <cacheSource type="worksheet">
    <worksheetSource ref="B2:F194" sheet="Población F"/>
  </cacheSource>
  <cacheFields count="5">
    <cacheField name="Año" numFmtId="164">
      <sharedItems containsSemiMixedTypes="0" containsString="0" containsNumber="1" containsInteger="1" minValue="1926" maxValue="2011" count="10">
        <n v="2011"/>
        <n v="2001"/>
        <n v="1990"/>
        <n v="1981"/>
        <n v="1971"/>
        <n v="1961"/>
        <n v="1950"/>
        <n v="1941"/>
        <n v="1936"/>
        <n v="1926"/>
      </sharedItems>
    </cacheField>
    <cacheField name="Total" numFmtId="0">
      <sharedItems containsSemiMixedTypes="0" containsString="0" containsNumber="1" containsInteger="1" minValue="8079" maxValue="27227930"/>
    </cacheField>
    <cacheField name="Grupo  de edad " numFmtId="0">
      <sharedItems count="23">
        <s v="Total"/>
        <s v="00 - 04"/>
        <s v="05 - 09"/>
        <s v="10 - 14"/>
        <s v="15 - 19"/>
        <s v="20 - 24"/>
        <s v="25 - 29"/>
        <s v="30 - 34"/>
        <s v="35 - 39"/>
        <s v="40 - 44"/>
        <s v="45 - 49"/>
        <s v="50 - 54"/>
        <s v="55 - 59"/>
        <s v="60 - 64"/>
        <s v="65 - 69"/>
        <s v="70 - 74"/>
        <s v="75 - 79"/>
        <s v="80 - 84"/>
        <s v="85 - 89"/>
        <s v="90 - 94 "/>
        <s v="95 y más"/>
        <s v="85 y más"/>
        <s v="90 y más"/>
      </sharedItems>
    </cacheField>
    <cacheField name="Hombres" numFmtId="0">
      <sharedItems containsSemiMixedTypes="0" containsString="0" containsNumber="1" containsInteger="1" minValue="3407" maxValue="13549752"/>
    </cacheField>
    <cacheField name="Mujeres" numFmtId="0">
      <sharedItems containsSemiMixedTypes="0" containsString="0" containsNumber="1" containsInteger="1" minValue="3401" maxValue="13678178"/>
    </cacheField>
  </cacheFields>
</pivotCacheDefinition>
</file>

<file path=xl/pivotCache/pivotCacheRecords1.xml><?xml version="1.0" encoding="utf-8"?>
<pivotCacheRecords xmlns="http://schemas.openxmlformats.org/spreadsheetml/2006/main" xmlns:r="http://schemas.openxmlformats.org/officeDocument/2006/relationships" count="192">
  <r>
    <x v="0"/>
    <n v="2890720"/>
    <x v="0"/>
    <n v="1414590"/>
    <n v="1476130"/>
  </r>
  <r>
    <x v="0"/>
    <n v="383236"/>
    <x v="1"/>
    <n v="192264"/>
    <n v="190972"/>
  </r>
  <r>
    <x v="0"/>
    <n v="338372"/>
    <x v="2"/>
    <n v="172610"/>
    <n v="165762"/>
  </r>
  <r>
    <x v="0"/>
    <n v="326781"/>
    <x v="3"/>
    <n v="168508"/>
    <n v="158273"/>
  </r>
  <r>
    <x v="0"/>
    <n v="309247"/>
    <x v="4"/>
    <n v="148420"/>
    <n v="160827"/>
  </r>
  <r>
    <x v="0"/>
    <n v="273599"/>
    <x v="5"/>
    <n v="130616"/>
    <n v="142983"/>
  </r>
  <r>
    <x v="0"/>
    <n v="252367"/>
    <x v="6"/>
    <n v="119159"/>
    <n v="133208"/>
  </r>
  <r>
    <x v="0"/>
    <n v="216612"/>
    <x v="7"/>
    <n v="102748"/>
    <n v="113864"/>
  </r>
  <r>
    <x v="0"/>
    <n v="167592"/>
    <x v="8"/>
    <n v="80202"/>
    <n v="87390"/>
  </r>
  <r>
    <x v="0"/>
    <n v="150735"/>
    <x v="9"/>
    <n v="71605"/>
    <n v="79130"/>
  </r>
  <r>
    <x v="0"/>
    <n v="106915"/>
    <x v="10"/>
    <n v="54991"/>
    <n v="51924"/>
  </r>
  <r>
    <x v="0"/>
    <n v="98705"/>
    <x v="11"/>
    <n v="47993"/>
    <n v="50712"/>
  </r>
  <r>
    <x v="0"/>
    <n v="46357"/>
    <x v="12"/>
    <n v="23661"/>
    <n v="22696"/>
  </r>
  <r>
    <x v="0"/>
    <n v="47801"/>
    <x v="13"/>
    <n v="21794"/>
    <n v="26007"/>
  </r>
  <r>
    <x v="0"/>
    <n v="24676"/>
    <x v="14"/>
    <n v="11530"/>
    <n v="13146"/>
  </r>
  <r>
    <x v="0"/>
    <n v="20515"/>
    <x v="15"/>
    <n v="8712"/>
    <n v="11803"/>
  </r>
  <r>
    <x v="0"/>
    <n v="11516"/>
    <x v="16"/>
    <n v="5228"/>
    <n v="6288"/>
  </r>
  <r>
    <x v="0"/>
    <n v="9880"/>
    <x v="17"/>
    <n v="3869"/>
    <n v="6011"/>
  </r>
  <r>
    <x v="0"/>
    <n v="105814"/>
    <x v="18"/>
    <n v="50680"/>
    <n v="55134"/>
  </r>
  <r>
    <x v="1"/>
    <n v="3364347"/>
    <x v="0"/>
    <n v="1652130"/>
    <n v="1712217"/>
  </r>
  <r>
    <x v="1"/>
    <n v="473628"/>
    <x v="1"/>
    <n v="240120"/>
    <n v="233508"/>
  </r>
  <r>
    <x v="1"/>
    <n v="471508"/>
    <x v="2"/>
    <n v="241375"/>
    <n v="230133"/>
  </r>
  <r>
    <x v="1"/>
    <n v="412115"/>
    <x v="3"/>
    <n v="214908"/>
    <n v="197207"/>
  </r>
  <r>
    <x v="1"/>
    <n v="349040"/>
    <x v="4"/>
    <n v="164434"/>
    <n v="184606"/>
  </r>
  <r>
    <x v="1"/>
    <n v="333070"/>
    <x v="5"/>
    <n v="158839"/>
    <n v="174231"/>
  </r>
  <r>
    <x v="1"/>
    <n v="285065"/>
    <x v="6"/>
    <n v="135653"/>
    <n v="149412"/>
  </r>
  <r>
    <x v="1"/>
    <n v="217779"/>
    <x v="7"/>
    <n v="104115"/>
    <n v="113664"/>
  </r>
  <r>
    <x v="1"/>
    <n v="200191"/>
    <x v="8"/>
    <n v="98195"/>
    <n v="101996"/>
  </r>
  <r>
    <x v="1"/>
    <n v="168589"/>
    <x v="9"/>
    <n v="80264"/>
    <n v="88325"/>
  </r>
  <r>
    <x v="1"/>
    <n v="125202"/>
    <x v="10"/>
    <n v="65393"/>
    <n v="59809"/>
  </r>
  <r>
    <x v="1"/>
    <n v="111159"/>
    <x v="11"/>
    <n v="52251"/>
    <n v="58908"/>
  </r>
  <r>
    <x v="1"/>
    <n v="65039"/>
    <x v="12"/>
    <n v="32890"/>
    <n v="32149"/>
  </r>
  <r>
    <x v="1"/>
    <n v="66708"/>
    <x v="13"/>
    <n v="28734"/>
    <n v="37974"/>
  </r>
  <r>
    <x v="1"/>
    <n v="29652"/>
    <x v="14"/>
    <n v="13591"/>
    <n v="16061"/>
  </r>
  <r>
    <x v="1"/>
    <n v="23248"/>
    <x v="15"/>
    <n v="9200"/>
    <n v="14048"/>
  </r>
  <r>
    <x v="1"/>
    <n v="10926"/>
    <x v="16"/>
    <n v="4498"/>
    <n v="6428"/>
  </r>
  <r>
    <x v="1"/>
    <n v="10202"/>
    <x v="17"/>
    <n v="3407"/>
    <n v="6795"/>
  </r>
  <r>
    <x v="1"/>
    <n v="11226"/>
    <x v="18"/>
    <n v="4263"/>
    <n v="6963"/>
  </r>
  <r>
    <x v="2"/>
    <n v="3850771"/>
    <x v="0"/>
    <n v="1908545"/>
    <n v="1942226"/>
  </r>
  <r>
    <x v="2"/>
    <n v="577993"/>
    <x v="1"/>
    <n v="292473"/>
    <n v="285520"/>
  </r>
  <r>
    <x v="2"/>
    <n v="522646"/>
    <x v="2"/>
    <n v="266753"/>
    <n v="255893"/>
  </r>
  <r>
    <x v="2"/>
    <n v="473152"/>
    <x v="3"/>
    <n v="246333"/>
    <n v="226819"/>
  </r>
  <r>
    <x v="2"/>
    <n v="402521"/>
    <x v="4"/>
    <n v="190892"/>
    <n v="211629"/>
  </r>
  <r>
    <x v="2"/>
    <n v="373287"/>
    <x v="5"/>
    <n v="182714"/>
    <n v="190573"/>
  </r>
  <r>
    <x v="2"/>
    <n v="321653"/>
    <x v="6"/>
    <n v="154307"/>
    <n v="167346"/>
  </r>
  <r>
    <x v="2"/>
    <n v="251468"/>
    <x v="7"/>
    <n v="124440"/>
    <n v="127028"/>
  </r>
  <r>
    <x v="2"/>
    <n v="215279"/>
    <x v="8"/>
    <n v="106042"/>
    <n v="109237"/>
  </r>
  <r>
    <x v="2"/>
    <n v="190461"/>
    <x v="9"/>
    <n v="93873"/>
    <n v="96588"/>
  </r>
  <r>
    <x v="2"/>
    <n v="152074"/>
    <x v="10"/>
    <n v="79815"/>
    <n v="72259"/>
  </r>
  <r>
    <x v="2"/>
    <n v="118307"/>
    <x v="11"/>
    <n v="57600"/>
    <n v="60707"/>
  </r>
  <r>
    <x v="2"/>
    <n v="76601"/>
    <x v="12"/>
    <n v="38303"/>
    <n v="38298"/>
  </r>
  <r>
    <x v="2"/>
    <n v="72612"/>
    <x v="13"/>
    <n v="31757"/>
    <n v="40855"/>
  </r>
  <r>
    <x v="2"/>
    <n v="35252"/>
    <x v="14"/>
    <n v="16089"/>
    <n v="19163"/>
  </r>
  <r>
    <x v="2"/>
    <n v="26920"/>
    <x v="15"/>
    <n v="10478"/>
    <n v="16442"/>
  </r>
  <r>
    <x v="2"/>
    <n v="13459"/>
    <x v="16"/>
    <n v="5521"/>
    <n v="7938"/>
  </r>
  <r>
    <x v="2"/>
    <n v="11503"/>
    <x v="17"/>
    <n v="4079"/>
    <n v="7424"/>
  </r>
  <r>
    <x v="2"/>
    <n v="15583"/>
    <x v="18"/>
    <n v="7076"/>
    <n v="8507"/>
  </r>
  <r>
    <x v="3"/>
    <n v="5034838"/>
    <x v="0"/>
    <n v="2552491"/>
    <n v="2482347"/>
  </r>
  <r>
    <x v="3"/>
    <n v="847748"/>
    <x v="1"/>
    <n v="432681"/>
    <n v="415067"/>
  </r>
  <r>
    <x v="3"/>
    <n v="687318"/>
    <x v="2"/>
    <n v="352758"/>
    <n v="334560"/>
  </r>
  <r>
    <x v="3"/>
    <n v="574722"/>
    <x v="3"/>
    <n v="298518"/>
    <n v="276204"/>
  </r>
  <r>
    <x v="3"/>
    <n v="496566"/>
    <x v="4"/>
    <n v="244191"/>
    <n v="252375"/>
  </r>
  <r>
    <x v="3"/>
    <n v="473748"/>
    <x v="5"/>
    <n v="236133"/>
    <n v="237615"/>
  </r>
  <r>
    <x v="3"/>
    <n v="400614"/>
    <x v="6"/>
    <n v="202418"/>
    <n v="198196"/>
  </r>
  <r>
    <x v="3"/>
    <n v="327613"/>
    <x v="7"/>
    <n v="170176"/>
    <n v="157437"/>
  </r>
  <r>
    <x v="3"/>
    <n v="301543"/>
    <x v="8"/>
    <n v="156330"/>
    <n v="145213"/>
  </r>
  <r>
    <x v="3"/>
    <n v="239608"/>
    <x v="9"/>
    <n v="124964"/>
    <n v="114644"/>
  </r>
  <r>
    <x v="3"/>
    <n v="184768"/>
    <x v="10"/>
    <n v="97832"/>
    <n v="86936"/>
  </r>
  <r>
    <x v="3"/>
    <n v="164736"/>
    <x v="11"/>
    <n v="82619"/>
    <n v="82117"/>
  </r>
  <r>
    <x v="3"/>
    <n v="101879"/>
    <x v="12"/>
    <n v="52359"/>
    <n v="49520"/>
  </r>
  <r>
    <x v="3"/>
    <n v="92466"/>
    <x v="13"/>
    <n v="41518"/>
    <n v="50948"/>
  </r>
  <r>
    <x v="3"/>
    <n v="47919"/>
    <x v="14"/>
    <n v="22025"/>
    <n v="25894"/>
  </r>
  <r>
    <x v="3"/>
    <n v="38280"/>
    <x v="15"/>
    <n v="15491"/>
    <n v="22789"/>
  </r>
  <r>
    <x v="3"/>
    <n v="18798"/>
    <x v="16"/>
    <n v="7802"/>
    <n v="10996"/>
  </r>
  <r>
    <x v="3"/>
    <n v="16560"/>
    <x v="17"/>
    <n v="5873"/>
    <n v="10687"/>
  </r>
  <r>
    <x v="3"/>
    <n v="11873"/>
    <x v="18"/>
    <n v="4125"/>
    <n v="7748"/>
  </r>
  <r>
    <x v="3"/>
    <n v="8079"/>
    <x v="19"/>
    <n v="4678"/>
    <n v="3401"/>
  </r>
  <r>
    <x v="4"/>
    <n v="7523999"/>
    <x v="0"/>
    <n v="3821722"/>
    <n v="3702277"/>
  </r>
  <r>
    <x v="4"/>
    <n v="1374096"/>
    <x v="1"/>
    <n v="698316"/>
    <n v="675780"/>
  </r>
  <r>
    <x v="4"/>
    <n v="1163320"/>
    <x v="2"/>
    <n v="591273"/>
    <n v="572047"/>
  </r>
  <r>
    <x v="4"/>
    <n v="901881"/>
    <x v="3"/>
    <n v="458372"/>
    <n v="443509"/>
  </r>
  <r>
    <x v="4"/>
    <n v="679636"/>
    <x v="4"/>
    <n v="340465"/>
    <n v="339171"/>
  </r>
  <r>
    <x v="4"/>
    <n v="618411"/>
    <x v="5"/>
    <n v="311678"/>
    <n v="306733"/>
  </r>
  <r>
    <x v="4"/>
    <n v="550882"/>
    <x v="6"/>
    <n v="283008"/>
    <n v="267874"/>
  </r>
  <r>
    <x v="4"/>
    <n v="502697"/>
    <x v="7"/>
    <n v="264861"/>
    <n v="237836"/>
  </r>
  <r>
    <x v="4"/>
    <n v="405172"/>
    <x v="8"/>
    <n v="210638"/>
    <n v="194534"/>
  </r>
  <r>
    <x v="4"/>
    <n v="331587"/>
    <x v="9"/>
    <n v="174323"/>
    <n v="157264"/>
  </r>
  <r>
    <x v="4"/>
    <n v="280801"/>
    <x v="10"/>
    <n v="146041"/>
    <n v="134760"/>
  </r>
  <r>
    <x v="4"/>
    <n v="218773"/>
    <x v="11"/>
    <n v="112531"/>
    <n v="106242"/>
  </r>
  <r>
    <x v="4"/>
    <n v="167309"/>
    <x v="12"/>
    <n v="84211"/>
    <n v="83098"/>
  </r>
  <r>
    <x v="4"/>
    <n v="131714"/>
    <x v="13"/>
    <n v="62356"/>
    <n v="69358"/>
  </r>
  <r>
    <x v="4"/>
    <n v="77722"/>
    <x v="14"/>
    <n v="36152"/>
    <n v="41570"/>
  </r>
  <r>
    <x v="4"/>
    <n v="51015"/>
    <x v="15"/>
    <n v="21657"/>
    <n v="29358"/>
  </r>
  <r>
    <x v="4"/>
    <n v="30949"/>
    <x v="16"/>
    <n v="12601"/>
    <n v="18348"/>
  </r>
  <r>
    <x v="4"/>
    <n v="20732"/>
    <x v="17"/>
    <n v="7431"/>
    <n v="13301"/>
  </r>
  <r>
    <x v="4"/>
    <n v="17302"/>
    <x v="18"/>
    <n v="5808"/>
    <n v="11494"/>
  </r>
  <r>
    <x v="5"/>
    <n v="10721522"/>
    <x v="0"/>
    <n v="5357157"/>
    <n v="5364365"/>
  </r>
  <r>
    <x v="5"/>
    <n v="1734538"/>
    <x v="1"/>
    <n v="878007"/>
    <n v="856531"/>
  </r>
  <r>
    <x v="5"/>
    <n v="1655032"/>
    <x v="2"/>
    <n v="851071"/>
    <n v="803961"/>
  </r>
  <r>
    <x v="5"/>
    <n v="1455861"/>
    <x v="3"/>
    <n v="728788"/>
    <n v="727073"/>
  </r>
  <r>
    <x v="5"/>
    <n v="1227697"/>
    <x v="4"/>
    <n v="601038"/>
    <n v="626659"/>
  </r>
  <r>
    <x v="5"/>
    <n v="954413"/>
    <x v="5"/>
    <n v="464191"/>
    <n v="490222"/>
  </r>
  <r>
    <x v="5"/>
    <n v="693185"/>
    <x v="6"/>
    <n v="336538"/>
    <n v="356647"/>
  </r>
  <r>
    <x v="5"/>
    <n v="582976"/>
    <x v="7"/>
    <n v="290210"/>
    <n v="292766"/>
  </r>
  <r>
    <x v="5"/>
    <n v="537496"/>
    <x v="8"/>
    <n v="269941"/>
    <n v="267555"/>
  </r>
  <r>
    <x v="5"/>
    <n v="468590"/>
    <x v="9"/>
    <n v="242951"/>
    <n v="225639"/>
  </r>
  <r>
    <x v="5"/>
    <n v="371042"/>
    <x v="10"/>
    <n v="191292"/>
    <n v="179750"/>
  </r>
  <r>
    <x v="5"/>
    <n v="303520"/>
    <x v="11"/>
    <n v="153806"/>
    <n v="149714"/>
  </r>
  <r>
    <x v="5"/>
    <n v="231769"/>
    <x v="12"/>
    <n v="115284"/>
    <n v="116485"/>
  </r>
  <r>
    <x v="5"/>
    <n v="189970"/>
    <x v="13"/>
    <n v="93197"/>
    <n v="96773"/>
  </r>
  <r>
    <x v="5"/>
    <n v="119823"/>
    <x v="14"/>
    <n v="57256"/>
    <n v="62567"/>
  </r>
  <r>
    <x v="5"/>
    <n v="88397"/>
    <x v="15"/>
    <n v="40723"/>
    <n v="47674"/>
  </r>
  <r>
    <x v="5"/>
    <n v="45799"/>
    <x v="16"/>
    <n v="19900"/>
    <n v="25899"/>
  </r>
  <r>
    <x v="5"/>
    <n v="31850"/>
    <x v="17"/>
    <n v="12470"/>
    <n v="19380"/>
  </r>
  <r>
    <x v="5"/>
    <n v="29564"/>
    <x v="18"/>
    <n v="10494"/>
    <n v="19070"/>
  </r>
  <r>
    <x v="6"/>
    <n v="14516735"/>
    <x v="0"/>
    <n v="7259812"/>
    <n v="7256923"/>
  </r>
  <r>
    <x v="6"/>
    <n v="2098639"/>
    <x v="1"/>
    <n v="1066796"/>
    <n v="1031843"/>
  </r>
  <r>
    <x v="6"/>
    <n v="1906047"/>
    <x v="2"/>
    <n v="966393"/>
    <n v="939654"/>
  </r>
  <r>
    <x v="6"/>
    <n v="1792583"/>
    <x v="3"/>
    <n v="903908"/>
    <n v="888675"/>
  </r>
  <r>
    <x v="6"/>
    <n v="1646343"/>
    <x v="4"/>
    <n v="822575"/>
    <n v="823768"/>
  </r>
  <r>
    <x v="6"/>
    <n v="1449072"/>
    <x v="5"/>
    <n v="716784"/>
    <n v="732288"/>
  </r>
  <r>
    <x v="6"/>
    <n v="1236929"/>
    <x v="6"/>
    <n v="610993"/>
    <n v="625936"/>
  </r>
  <r>
    <x v="6"/>
    <n v="986766"/>
    <x v="7"/>
    <n v="492405"/>
    <n v="494361"/>
  </r>
  <r>
    <x v="6"/>
    <n v="727764"/>
    <x v="8"/>
    <n v="363267"/>
    <n v="364497"/>
  </r>
  <r>
    <x v="6"/>
    <n v="601705"/>
    <x v="9"/>
    <n v="303292"/>
    <n v="298413"/>
  </r>
  <r>
    <x v="6"/>
    <n v="512503"/>
    <x v="10"/>
    <n v="258065"/>
    <n v="254438"/>
  </r>
  <r>
    <x v="6"/>
    <n v="445765"/>
    <x v="11"/>
    <n v="225406"/>
    <n v="220359"/>
  </r>
  <r>
    <x v="6"/>
    <n v="340139"/>
    <x v="12"/>
    <n v="170190"/>
    <n v="169949"/>
  </r>
  <r>
    <x v="6"/>
    <n v="260896"/>
    <x v="13"/>
    <n v="127759"/>
    <n v="133137"/>
  </r>
  <r>
    <x v="6"/>
    <n v="194759"/>
    <x v="14"/>
    <n v="92020"/>
    <n v="102739"/>
  </r>
  <r>
    <x v="6"/>
    <n v="138384"/>
    <x v="15"/>
    <n v="63663"/>
    <n v="74721"/>
  </r>
  <r>
    <x v="6"/>
    <n v="85354"/>
    <x v="16"/>
    <n v="38076"/>
    <n v="47278"/>
  </r>
  <r>
    <x v="6"/>
    <n v="93087"/>
    <x v="17"/>
    <n v="38220"/>
    <n v="54867"/>
  </r>
  <r>
    <x v="7"/>
    <n v="18105265"/>
    <x v="0"/>
    <n v="9019757"/>
    <n v="9085508"/>
  </r>
  <r>
    <x v="7"/>
    <n v="2343059"/>
    <x v="1"/>
    <n v="1194896"/>
    <n v="1148163"/>
  </r>
  <r>
    <x v="7"/>
    <n v="2253798"/>
    <x v="2"/>
    <n v="1146087"/>
    <n v="1107711"/>
  </r>
  <r>
    <x v="7"/>
    <n v="2146994"/>
    <x v="3"/>
    <n v="1087702"/>
    <n v="1059292"/>
  </r>
  <r>
    <x v="7"/>
    <n v="1922514"/>
    <x v="4"/>
    <n v="968497"/>
    <n v="954017"/>
  </r>
  <r>
    <x v="7"/>
    <n v="1725187"/>
    <x v="5"/>
    <n v="858225"/>
    <n v="866962"/>
  </r>
  <r>
    <x v="7"/>
    <n v="1569542"/>
    <x v="6"/>
    <n v="772081"/>
    <n v="797461"/>
  </r>
  <r>
    <x v="7"/>
    <n v="1366694"/>
    <x v="7"/>
    <n v="671020"/>
    <n v="695674"/>
  </r>
  <r>
    <x v="7"/>
    <n v="1163580"/>
    <x v="8"/>
    <n v="570519"/>
    <n v="593061"/>
  </r>
  <r>
    <x v="7"/>
    <n v="887884"/>
    <x v="9"/>
    <n v="437768"/>
    <n v="450116"/>
  </r>
  <r>
    <x v="7"/>
    <n v="644217"/>
    <x v="10"/>
    <n v="318990"/>
    <n v="325227"/>
  </r>
  <r>
    <x v="7"/>
    <n v="544860"/>
    <x v="11"/>
    <n v="268059"/>
    <n v="276801"/>
  </r>
  <r>
    <x v="7"/>
    <n v="435339"/>
    <x v="12"/>
    <n v="213658"/>
    <n v="221681"/>
  </r>
  <r>
    <x v="7"/>
    <n v="375538"/>
    <x v="13"/>
    <n v="182223"/>
    <n v="193315"/>
  </r>
  <r>
    <x v="7"/>
    <n v="258785"/>
    <x v="14"/>
    <n v="122834"/>
    <n v="135951"/>
  </r>
  <r>
    <x v="7"/>
    <n v="191662"/>
    <x v="15"/>
    <n v="88974"/>
    <n v="102688"/>
  </r>
  <r>
    <x v="7"/>
    <n v="130782"/>
    <x v="16"/>
    <n v="57796"/>
    <n v="72986"/>
  </r>
  <r>
    <x v="7"/>
    <n v="87978"/>
    <x v="17"/>
    <n v="37974"/>
    <n v="50004"/>
  </r>
  <r>
    <x v="7"/>
    <n v="56852"/>
    <x v="18"/>
    <n v="22454"/>
    <n v="34398"/>
  </r>
  <r>
    <x v="8"/>
    <n v="23232553"/>
    <x v="0"/>
    <n v="11495270"/>
    <n v="11737283"/>
  </r>
  <r>
    <x v="8"/>
    <n v="2501894"/>
    <x v="1"/>
    <n v="1282639"/>
    <n v="1219255"/>
  </r>
  <r>
    <x v="8"/>
    <n v="2680308"/>
    <x v="2"/>
    <n v="1367727"/>
    <n v="1312581"/>
  </r>
  <r>
    <x v="8"/>
    <n v="2535766"/>
    <x v="3"/>
    <n v="1281342"/>
    <n v="1254424"/>
  </r>
  <r>
    <x v="8"/>
    <n v="2319853"/>
    <x v="4"/>
    <n v="1164429"/>
    <n v="1155424"/>
  </r>
  <r>
    <x v="8"/>
    <n v="2185621"/>
    <x v="5"/>
    <n v="1080653"/>
    <n v="1104968"/>
  </r>
  <r>
    <x v="8"/>
    <n v="1888838"/>
    <x v="6"/>
    <n v="924446"/>
    <n v="964392"/>
  </r>
  <r>
    <x v="8"/>
    <n v="1762621"/>
    <x v="7"/>
    <n v="863034"/>
    <n v="899587"/>
  </r>
  <r>
    <x v="8"/>
    <n v="1593742"/>
    <x v="8"/>
    <n v="772881"/>
    <n v="820861"/>
  </r>
  <r>
    <x v="8"/>
    <n v="1428506"/>
    <x v="9"/>
    <n v="695516"/>
    <n v="732990"/>
  </r>
  <r>
    <x v="8"/>
    <n v="1159743"/>
    <x v="10"/>
    <n v="564987"/>
    <n v="594756"/>
  </r>
  <r>
    <x v="8"/>
    <n v="925449"/>
    <x v="11"/>
    <n v="452112"/>
    <n v="473337"/>
  </r>
  <r>
    <x v="8"/>
    <n v="619029"/>
    <x v="12"/>
    <n v="297806"/>
    <n v="321223"/>
  </r>
  <r>
    <x v="8"/>
    <n v="503568"/>
    <x v="13"/>
    <n v="240296"/>
    <n v="263272"/>
  </r>
  <r>
    <x v="8"/>
    <n v="383306"/>
    <x v="14"/>
    <n v="178264"/>
    <n v="205042"/>
  </r>
  <r>
    <x v="8"/>
    <n v="304303"/>
    <x v="15"/>
    <n v="140060"/>
    <n v="164243"/>
  </r>
  <r>
    <x v="8"/>
    <n v="206737"/>
    <x v="16"/>
    <n v="93302"/>
    <n v="113435"/>
  </r>
  <r>
    <x v="8"/>
    <n v="124442"/>
    <x v="17"/>
    <n v="52605"/>
    <n v="71837"/>
  </r>
  <r>
    <x v="8"/>
    <n v="108827"/>
    <x v="18"/>
    <n v="43171"/>
    <n v="65656"/>
  </r>
  <r>
    <x v="9"/>
    <n v="27227930"/>
    <x v="0"/>
    <n v="13549752"/>
    <n v="13678178"/>
  </r>
  <r>
    <x v="9"/>
    <n v="2437631"/>
    <x v="1"/>
    <n v="1254208"/>
    <n v="1183423"/>
  </r>
  <r>
    <x v="9"/>
    <n v="2402364"/>
    <x v="2"/>
    <n v="1236217"/>
    <n v="1166147"/>
  </r>
  <r>
    <x v="9"/>
    <n v="2516779"/>
    <x v="3"/>
    <n v="1298191"/>
    <n v="1218588"/>
  </r>
  <r>
    <x v="9"/>
    <n v="2641320"/>
    <x v="4"/>
    <n v="1336159"/>
    <n v="1305161"/>
  </r>
  <r>
    <x v="9"/>
    <n v="2560649"/>
    <x v="5"/>
    <n v="1280125"/>
    <n v="1280524"/>
  </r>
  <r>
    <x v="9"/>
    <n v="2344332"/>
    <x v="6"/>
    <n v="1159400"/>
    <n v="1184932"/>
  </r>
  <r>
    <x v="9"/>
    <n v="2219741"/>
    <x v="7"/>
    <n v="1105617"/>
    <n v="1114124"/>
  </r>
  <r>
    <x v="9"/>
    <n v="1905253"/>
    <x v="8"/>
    <n v="942311"/>
    <n v="962942"/>
  </r>
  <r>
    <x v="9"/>
    <n v="1755490"/>
    <x v="9"/>
    <n v="873509"/>
    <n v="881981"/>
  </r>
  <r>
    <x v="9"/>
    <n v="1528781"/>
    <x v="10"/>
    <n v="747704"/>
    <n v="781077"/>
  </r>
  <r>
    <x v="9"/>
    <n v="1337934"/>
    <x v="11"/>
    <n v="651255"/>
    <n v="686679"/>
  </r>
  <r>
    <x v="9"/>
    <n v="1108799"/>
    <x v="12"/>
    <n v="530935"/>
    <n v="577864"/>
  </r>
  <r>
    <x v="9"/>
    <n v="848358"/>
    <x v="13"/>
    <n v="407656"/>
    <n v="440702"/>
  </r>
  <r>
    <x v="9"/>
    <n v="568688"/>
    <x v="14"/>
    <n v="267691"/>
    <n v="300997"/>
  </r>
  <r>
    <x v="9"/>
    <n v="410455"/>
    <x v="15"/>
    <n v="189285"/>
    <n v="221170"/>
  </r>
  <r>
    <x v="9"/>
    <n v="292992"/>
    <x v="16"/>
    <n v="130126"/>
    <n v="162866"/>
  </r>
  <r>
    <x v="9"/>
    <n v="188895"/>
    <x v="17"/>
    <n v="78996"/>
    <n v="109899"/>
  </r>
  <r>
    <x v="9"/>
    <n v="104141"/>
    <x v="20"/>
    <n v="40560"/>
    <n v="63581"/>
  </r>
  <r>
    <x v="9"/>
    <n v="40370"/>
    <x v="21"/>
    <n v="14875"/>
    <n v="25495"/>
  </r>
  <r>
    <x v="9"/>
    <n v="14958"/>
    <x v="22"/>
    <n v="4932"/>
    <n v="10026"/>
  </r>
</pivotCacheRecords>
</file>

<file path=xl/pivotCache/pivotCacheRecords2.xml><?xml version="1.0" encoding="utf-8"?>
<pivotCacheRecords xmlns="http://schemas.openxmlformats.org/spreadsheetml/2006/main" xmlns:r="http://schemas.openxmlformats.org/officeDocument/2006/relationships" count="192">
  <r>
    <x v="0"/>
    <n v="27227930"/>
    <x v="0"/>
    <n v="13549752"/>
    <n v="13678178"/>
  </r>
  <r>
    <x v="0"/>
    <n v="2437631"/>
    <x v="1"/>
    <n v="1254208"/>
    <n v="1183423"/>
  </r>
  <r>
    <x v="0"/>
    <n v="2402364"/>
    <x v="2"/>
    <n v="1236217"/>
    <n v="1166147"/>
  </r>
  <r>
    <x v="0"/>
    <n v="2516779"/>
    <x v="3"/>
    <n v="1298191"/>
    <n v="1218588"/>
  </r>
  <r>
    <x v="0"/>
    <n v="2641320"/>
    <x v="4"/>
    <n v="1336159"/>
    <n v="1305161"/>
  </r>
  <r>
    <x v="0"/>
    <n v="2560649"/>
    <x v="5"/>
    <n v="1280125"/>
    <n v="1280524"/>
  </r>
  <r>
    <x v="0"/>
    <n v="2344332"/>
    <x v="6"/>
    <n v="1159400"/>
    <n v="1184932"/>
  </r>
  <r>
    <x v="0"/>
    <n v="2219741"/>
    <x v="7"/>
    <n v="1105617"/>
    <n v="1114124"/>
  </r>
  <r>
    <x v="0"/>
    <n v="1905253"/>
    <x v="8"/>
    <n v="942311"/>
    <n v="962942"/>
  </r>
  <r>
    <x v="0"/>
    <n v="1755490"/>
    <x v="9"/>
    <n v="873509"/>
    <n v="881981"/>
  </r>
  <r>
    <x v="0"/>
    <n v="1528781"/>
    <x v="10"/>
    <n v="747704"/>
    <n v="781077"/>
  </r>
  <r>
    <x v="0"/>
    <n v="1337934"/>
    <x v="11"/>
    <n v="651255"/>
    <n v="686679"/>
  </r>
  <r>
    <x v="0"/>
    <n v="1108799"/>
    <x v="12"/>
    <n v="530935"/>
    <n v="577864"/>
  </r>
  <r>
    <x v="0"/>
    <n v="848358"/>
    <x v="13"/>
    <n v="407656"/>
    <n v="440702"/>
  </r>
  <r>
    <x v="0"/>
    <n v="568688"/>
    <x v="14"/>
    <n v="267691"/>
    <n v="300997"/>
  </r>
  <r>
    <x v="0"/>
    <n v="410455"/>
    <x v="15"/>
    <n v="189285"/>
    <n v="221170"/>
  </r>
  <r>
    <x v="0"/>
    <n v="292992"/>
    <x v="16"/>
    <n v="130126"/>
    <n v="162866"/>
  </r>
  <r>
    <x v="0"/>
    <n v="188895"/>
    <x v="17"/>
    <n v="78996"/>
    <n v="109899"/>
  </r>
  <r>
    <x v="0"/>
    <n v="104141"/>
    <x v="18"/>
    <n v="40560"/>
    <n v="63581"/>
  </r>
  <r>
    <x v="0"/>
    <n v="40370"/>
    <x v="19"/>
    <n v="14875"/>
    <n v="25495"/>
  </r>
  <r>
    <x v="0"/>
    <n v="14958"/>
    <x v="20"/>
    <n v="4932"/>
    <n v="10026"/>
  </r>
  <r>
    <x v="1"/>
    <n v="23232553"/>
    <x v="0"/>
    <n v="11495270"/>
    <n v="11737283"/>
  </r>
  <r>
    <x v="1"/>
    <n v="2501894"/>
    <x v="1"/>
    <n v="1282639"/>
    <n v="1219255"/>
  </r>
  <r>
    <x v="1"/>
    <n v="2680308"/>
    <x v="2"/>
    <n v="1367727"/>
    <n v="1312581"/>
  </r>
  <r>
    <x v="1"/>
    <n v="2535766"/>
    <x v="3"/>
    <n v="1281342"/>
    <n v="1254424"/>
  </r>
  <r>
    <x v="1"/>
    <n v="2319853"/>
    <x v="4"/>
    <n v="1164429"/>
    <n v="1155424"/>
  </r>
  <r>
    <x v="1"/>
    <n v="2185621"/>
    <x v="5"/>
    <n v="1080653"/>
    <n v="1104968"/>
  </r>
  <r>
    <x v="1"/>
    <n v="1888838"/>
    <x v="6"/>
    <n v="924446"/>
    <n v="964392"/>
  </r>
  <r>
    <x v="1"/>
    <n v="1762621"/>
    <x v="7"/>
    <n v="863034"/>
    <n v="899587"/>
  </r>
  <r>
    <x v="1"/>
    <n v="1593742"/>
    <x v="8"/>
    <n v="772881"/>
    <n v="820861"/>
  </r>
  <r>
    <x v="1"/>
    <n v="1428506"/>
    <x v="9"/>
    <n v="695516"/>
    <n v="732990"/>
  </r>
  <r>
    <x v="1"/>
    <n v="1159743"/>
    <x v="10"/>
    <n v="564987"/>
    <n v="594756"/>
  </r>
  <r>
    <x v="1"/>
    <n v="925449"/>
    <x v="11"/>
    <n v="452112"/>
    <n v="473337"/>
  </r>
  <r>
    <x v="1"/>
    <n v="619029"/>
    <x v="12"/>
    <n v="297806"/>
    <n v="321223"/>
  </r>
  <r>
    <x v="1"/>
    <n v="503568"/>
    <x v="13"/>
    <n v="240296"/>
    <n v="263272"/>
  </r>
  <r>
    <x v="1"/>
    <n v="383306"/>
    <x v="14"/>
    <n v="178264"/>
    <n v="205042"/>
  </r>
  <r>
    <x v="1"/>
    <n v="304303"/>
    <x v="15"/>
    <n v="140060"/>
    <n v="164243"/>
  </r>
  <r>
    <x v="1"/>
    <n v="206737"/>
    <x v="16"/>
    <n v="93302"/>
    <n v="113435"/>
  </r>
  <r>
    <x v="1"/>
    <n v="124442"/>
    <x v="17"/>
    <n v="52605"/>
    <n v="71837"/>
  </r>
  <r>
    <x v="1"/>
    <n v="108827"/>
    <x v="21"/>
    <n v="43171"/>
    <n v="65656"/>
  </r>
  <r>
    <x v="2"/>
    <n v="18105265"/>
    <x v="0"/>
    <n v="9019757"/>
    <n v="9085508"/>
  </r>
  <r>
    <x v="2"/>
    <n v="2343059"/>
    <x v="1"/>
    <n v="1194896"/>
    <n v="1148163"/>
  </r>
  <r>
    <x v="2"/>
    <n v="2253798"/>
    <x v="2"/>
    <n v="1146087"/>
    <n v="1107711"/>
  </r>
  <r>
    <x v="2"/>
    <n v="2146994"/>
    <x v="3"/>
    <n v="1087702"/>
    <n v="1059292"/>
  </r>
  <r>
    <x v="2"/>
    <n v="1922514"/>
    <x v="4"/>
    <n v="968497"/>
    <n v="954017"/>
  </r>
  <r>
    <x v="2"/>
    <n v="1725187"/>
    <x v="5"/>
    <n v="858225"/>
    <n v="866962"/>
  </r>
  <r>
    <x v="2"/>
    <n v="1569542"/>
    <x v="6"/>
    <n v="772081"/>
    <n v="797461"/>
  </r>
  <r>
    <x v="2"/>
    <n v="1366694"/>
    <x v="7"/>
    <n v="671020"/>
    <n v="695674"/>
  </r>
  <r>
    <x v="2"/>
    <n v="1163580"/>
    <x v="8"/>
    <n v="570519"/>
    <n v="593061"/>
  </r>
  <r>
    <x v="2"/>
    <n v="887884"/>
    <x v="9"/>
    <n v="437768"/>
    <n v="450116"/>
  </r>
  <r>
    <x v="2"/>
    <n v="644217"/>
    <x v="10"/>
    <n v="318990"/>
    <n v="325227"/>
  </r>
  <r>
    <x v="2"/>
    <n v="544860"/>
    <x v="11"/>
    <n v="268059"/>
    <n v="276801"/>
  </r>
  <r>
    <x v="2"/>
    <n v="435339"/>
    <x v="12"/>
    <n v="213658"/>
    <n v="221681"/>
  </r>
  <r>
    <x v="2"/>
    <n v="375538"/>
    <x v="13"/>
    <n v="182223"/>
    <n v="193315"/>
  </r>
  <r>
    <x v="2"/>
    <n v="258785"/>
    <x v="14"/>
    <n v="122834"/>
    <n v="135951"/>
  </r>
  <r>
    <x v="2"/>
    <n v="191662"/>
    <x v="15"/>
    <n v="88974"/>
    <n v="102688"/>
  </r>
  <r>
    <x v="2"/>
    <n v="130782"/>
    <x v="16"/>
    <n v="57796"/>
    <n v="72986"/>
  </r>
  <r>
    <x v="2"/>
    <n v="87978"/>
    <x v="17"/>
    <n v="37974"/>
    <n v="50004"/>
  </r>
  <r>
    <x v="2"/>
    <n v="56852"/>
    <x v="21"/>
    <n v="22454"/>
    <n v="34398"/>
  </r>
  <r>
    <x v="3"/>
    <n v="14516735"/>
    <x v="0"/>
    <n v="7259812"/>
    <n v="7256923"/>
  </r>
  <r>
    <x v="3"/>
    <n v="2098639"/>
    <x v="1"/>
    <n v="1066796"/>
    <n v="1031843"/>
  </r>
  <r>
    <x v="3"/>
    <n v="1906047"/>
    <x v="2"/>
    <n v="966393"/>
    <n v="939654"/>
  </r>
  <r>
    <x v="3"/>
    <n v="1792583"/>
    <x v="3"/>
    <n v="903908"/>
    <n v="888675"/>
  </r>
  <r>
    <x v="3"/>
    <n v="1646343"/>
    <x v="4"/>
    <n v="822575"/>
    <n v="823768"/>
  </r>
  <r>
    <x v="3"/>
    <n v="1449072"/>
    <x v="5"/>
    <n v="716784"/>
    <n v="732288"/>
  </r>
  <r>
    <x v="3"/>
    <n v="1236929"/>
    <x v="6"/>
    <n v="610993"/>
    <n v="625936"/>
  </r>
  <r>
    <x v="3"/>
    <n v="986766"/>
    <x v="7"/>
    <n v="492405"/>
    <n v="494361"/>
  </r>
  <r>
    <x v="3"/>
    <n v="727764"/>
    <x v="8"/>
    <n v="363267"/>
    <n v="364497"/>
  </r>
  <r>
    <x v="3"/>
    <n v="601705"/>
    <x v="9"/>
    <n v="303292"/>
    <n v="298413"/>
  </r>
  <r>
    <x v="3"/>
    <n v="512503"/>
    <x v="10"/>
    <n v="258065"/>
    <n v="254438"/>
  </r>
  <r>
    <x v="3"/>
    <n v="445765"/>
    <x v="11"/>
    <n v="225406"/>
    <n v="220359"/>
  </r>
  <r>
    <x v="3"/>
    <n v="340139"/>
    <x v="12"/>
    <n v="170190"/>
    <n v="169949"/>
  </r>
  <r>
    <x v="3"/>
    <n v="260896"/>
    <x v="13"/>
    <n v="127759"/>
    <n v="133137"/>
  </r>
  <r>
    <x v="3"/>
    <n v="194759"/>
    <x v="14"/>
    <n v="92020"/>
    <n v="102739"/>
  </r>
  <r>
    <x v="3"/>
    <n v="138384"/>
    <x v="15"/>
    <n v="63663"/>
    <n v="74721"/>
  </r>
  <r>
    <x v="3"/>
    <n v="85354"/>
    <x v="16"/>
    <n v="38076"/>
    <n v="47278"/>
  </r>
  <r>
    <x v="3"/>
    <n v="93087"/>
    <x v="17"/>
    <n v="38220"/>
    <n v="54867"/>
  </r>
  <r>
    <x v="4"/>
    <n v="10721522"/>
    <x v="0"/>
    <n v="5357157"/>
    <n v="5364365"/>
  </r>
  <r>
    <x v="4"/>
    <n v="1734538"/>
    <x v="1"/>
    <n v="878007"/>
    <n v="856531"/>
  </r>
  <r>
    <x v="4"/>
    <n v="1655032"/>
    <x v="2"/>
    <n v="851071"/>
    <n v="803961"/>
  </r>
  <r>
    <x v="4"/>
    <n v="1455861"/>
    <x v="3"/>
    <n v="728788"/>
    <n v="727073"/>
  </r>
  <r>
    <x v="4"/>
    <n v="1227697"/>
    <x v="4"/>
    <n v="601038"/>
    <n v="626659"/>
  </r>
  <r>
    <x v="4"/>
    <n v="954413"/>
    <x v="5"/>
    <n v="464191"/>
    <n v="490222"/>
  </r>
  <r>
    <x v="4"/>
    <n v="693185"/>
    <x v="6"/>
    <n v="336538"/>
    <n v="356647"/>
  </r>
  <r>
    <x v="4"/>
    <n v="582976"/>
    <x v="7"/>
    <n v="290210"/>
    <n v="292766"/>
  </r>
  <r>
    <x v="4"/>
    <n v="537496"/>
    <x v="8"/>
    <n v="269941"/>
    <n v="267555"/>
  </r>
  <r>
    <x v="4"/>
    <n v="468590"/>
    <x v="9"/>
    <n v="242951"/>
    <n v="225639"/>
  </r>
  <r>
    <x v="4"/>
    <n v="371042"/>
    <x v="10"/>
    <n v="191292"/>
    <n v="179750"/>
  </r>
  <r>
    <x v="4"/>
    <n v="303520"/>
    <x v="11"/>
    <n v="153806"/>
    <n v="149714"/>
  </r>
  <r>
    <x v="4"/>
    <n v="231769"/>
    <x v="12"/>
    <n v="115284"/>
    <n v="116485"/>
  </r>
  <r>
    <x v="4"/>
    <n v="189970"/>
    <x v="13"/>
    <n v="93197"/>
    <n v="96773"/>
  </r>
  <r>
    <x v="4"/>
    <n v="119823"/>
    <x v="14"/>
    <n v="57256"/>
    <n v="62567"/>
  </r>
  <r>
    <x v="4"/>
    <n v="88397"/>
    <x v="15"/>
    <n v="40723"/>
    <n v="47674"/>
  </r>
  <r>
    <x v="4"/>
    <n v="45799"/>
    <x v="16"/>
    <n v="19900"/>
    <n v="25899"/>
  </r>
  <r>
    <x v="4"/>
    <n v="31850"/>
    <x v="17"/>
    <n v="12470"/>
    <n v="19380"/>
  </r>
  <r>
    <x v="4"/>
    <n v="29564"/>
    <x v="21"/>
    <n v="10494"/>
    <n v="19070"/>
  </r>
  <r>
    <x v="5"/>
    <n v="7523999"/>
    <x v="0"/>
    <n v="3821722"/>
    <n v="3702277"/>
  </r>
  <r>
    <x v="5"/>
    <n v="1374096"/>
    <x v="1"/>
    <n v="698316"/>
    <n v="675780"/>
  </r>
  <r>
    <x v="5"/>
    <n v="1163320"/>
    <x v="2"/>
    <n v="591273"/>
    <n v="572047"/>
  </r>
  <r>
    <x v="5"/>
    <n v="901881"/>
    <x v="3"/>
    <n v="458372"/>
    <n v="443509"/>
  </r>
  <r>
    <x v="5"/>
    <n v="679636"/>
    <x v="4"/>
    <n v="340465"/>
    <n v="339171"/>
  </r>
  <r>
    <x v="5"/>
    <n v="618411"/>
    <x v="5"/>
    <n v="311678"/>
    <n v="306733"/>
  </r>
  <r>
    <x v="5"/>
    <n v="550882"/>
    <x v="6"/>
    <n v="283008"/>
    <n v="267874"/>
  </r>
  <r>
    <x v="5"/>
    <n v="502697"/>
    <x v="7"/>
    <n v="264861"/>
    <n v="237836"/>
  </r>
  <r>
    <x v="5"/>
    <n v="405172"/>
    <x v="8"/>
    <n v="210638"/>
    <n v="194534"/>
  </r>
  <r>
    <x v="5"/>
    <n v="331587"/>
    <x v="9"/>
    <n v="174323"/>
    <n v="157264"/>
  </r>
  <r>
    <x v="5"/>
    <n v="280801"/>
    <x v="10"/>
    <n v="146041"/>
    <n v="134760"/>
  </r>
  <r>
    <x v="5"/>
    <n v="218773"/>
    <x v="11"/>
    <n v="112531"/>
    <n v="106242"/>
  </r>
  <r>
    <x v="5"/>
    <n v="167309"/>
    <x v="12"/>
    <n v="84211"/>
    <n v="83098"/>
  </r>
  <r>
    <x v="5"/>
    <n v="131714"/>
    <x v="13"/>
    <n v="62356"/>
    <n v="69358"/>
  </r>
  <r>
    <x v="5"/>
    <n v="77722"/>
    <x v="14"/>
    <n v="36152"/>
    <n v="41570"/>
  </r>
  <r>
    <x v="5"/>
    <n v="51015"/>
    <x v="15"/>
    <n v="21657"/>
    <n v="29358"/>
  </r>
  <r>
    <x v="5"/>
    <n v="30949"/>
    <x v="16"/>
    <n v="12601"/>
    <n v="18348"/>
  </r>
  <r>
    <x v="5"/>
    <n v="20732"/>
    <x v="17"/>
    <n v="7431"/>
    <n v="13301"/>
  </r>
  <r>
    <x v="5"/>
    <n v="17302"/>
    <x v="21"/>
    <n v="5808"/>
    <n v="11494"/>
  </r>
  <r>
    <x v="6"/>
    <n v="5034838"/>
    <x v="0"/>
    <n v="2552491"/>
    <n v="2482347"/>
  </r>
  <r>
    <x v="6"/>
    <n v="847748"/>
    <x v="1"/>
    <n v="432681"/>
    <n v="415067"/>
  </r>
  <r>
    <x v="6"/>
    <n v="687318"/>
    <x v="2"/>
    <n v="352758"/>
    <n v="334560"/>
  </r>
  <r>
    <x v="6"/>
    <n v="574722"/>
    <x v="3"/>
    <n v="298518"/>
    <n v="276204"/>
  </r>
  <r>
    <x v="6"/>
    <n v="496566"/>
    <x v="4"/>
    <n v="244191"/>
    <n v="252375"/>
  </r>
  <r>
    <x v="6"/>
    <n v="473748"/>
    <x v="5"/>
    <n v="236133"/>
    <n v="237615"/>
  </r>
  <r>
    <x v="6"/>
    <n v="400614"/>
    <x v="6"/>
    <n v="202418"/>
    <n v="198196"/>
  </r>
  <r>
    <x v="6"/>
    <n v="327613"/>
    <x v="7"/>
    <n v="170176"/>
    <n v="157437"/>
  </r>
  <r>
    <x v="6"/>
    <n v="301543"/>
    <x v="8"/>
    <n v="156330"/>
    <n v="145213"/>
  </r>
  <r>
    <x v="6"/>
    <n v="239608"/>
    <x v="9"/>
    <n v="124964"/>
    <n v="114644"/>
  </r>
  <r>
    <x v="6"/>
    <n v="184768"/>
    <x v="10"/>
    <n v="97832"/>
    <n v="86936"/>
  </r>
  <r>
    <x v="6"/>
    <n v="164736"/>
    <x v="11"/>
    <n v="82619"/>
    <n v="82117"/>
  </r>
  <r>
    <x v="6"/>
    <n v="101879"/>
    <x v="12"/>
    <n v="52359"/>
    <n v="49520"/>
  </r>
  <r>
    <x v="6"/>
    <n v="92466"/>
    <x v="13"/>
    <n v="41518"/>
    <n v="50948"/>
  </r>
  <r>
    <x v="6"/>
    <n v="47919"/>
    <x v="14"/>
    <n v="22025"/>
    <n v="25894"/>
  </r>
  <r>
    <x v="6"/>
    <n v="38280"/>
    <x v="15"/>
    <n v="15491"/>
    <n v="22789"/>
  </r>
  <r>
    <x v="6"/>
    <n v="18798"/>
    <x v="16"/>
    <n v="7802"/>
    <n v="10996"/>
  </r>
  <r>
    <x v="6"/>
    <n v="16560"/>
    <x v="17"/>
    <n v="5873"/>
    <n v="10687"/>
  </r>
  <r>
    <x v="6"/>
    <n v="11873"/>
    <x v="21"/>
    <n v="4125"/>
    <n v="7748"/>
  </r>
  <r>
    <x v="6"/>
    <n v="8079"/>
    <x v="22"/>
    <n v="4678"/>
    <n v="3401"/>
  </r>
  <r>
    <x v="7"/>
    <n v="3850771"/>
    <x v="0"/>
    <n v="1908545"/>
    <n v="1942226"/>
  </r>
  <r>
    <x v="7"/>
    <n v="577993"/>
    <x v="1"/>
    <n v="292473"/>
    <n v="285520"/>
  </r>
  <r>
    <x v="7"/>
    <n v="522646"/>
    <x v="2"/>
    <n v="266753"/>
    <n v="255893"/>
  </r>
  <r>
    <x v="7"/>
    <n v="473152"/>
    <x v="3"/>
    <n v="246333"/>
    <n v="226819"/>
  </r>
  <r>
    <x v="7"/>
    <n v="402521"/>
    <x v="4"/>
    <n v="190892"/>
    <n v="211629"/>
  </r>
  <r>
    <x v="7"/>
    <n v="373287"/>
    <x v="5"/>
    <n v="182714"/>
    <n v="190573"/>
  </r>
  <r>
    <x v="7"/>
    <n v="321653"/>
    <x v="6"/>
    <n v="154307"/>
    <n v="167346"/>
  </r>
  <r>
    <x v="7"/>
    <n v="251468"/>
    <x v="7"/>
    <n v="124440"/>
    <n v="127028"/>
  </r>
  <r>
    <x v="7"/>
    <n v="215279"/>
    <x v="8"/>
    <n v="106042"/>
    <n v="109237"/>
  </r>
  <r>
    <x v="7"/>
    <n v="190461"/>
    <x v="9"/>
    <n v="93873"/>
    <n v="96588"/>
  </r>
  <r>
    <x v="7"/>
    <n v="152074"/>
    <x v="10"/>
    <n v="79815"/>
    <n v="72259"/>
  </r>
  <r>
    <x v="7"/>
    <n v="118307"/>
    <x v="11"/>
    <n v="57600"/>
    <n v="60707"/>
  </r>
  <r>
    <x v="7"/>
    <n v="76601"/>
    <x v="12"/>
    <n v="38303"/>
    <n v="38298"/>
  </r>
  <r>
    <x v="7"/>
    <n v="72612"/>
    <x v="13"/>
    <n v="31757"/>
    <n v="40855"/>
  </r>
  <r>
    <x v="7"/>
    <n v="35252"/>
    <x v="14"/>
    <n v="16089"/>
    <n v="19163"/>
  </r>
  <r>
    <x v="7"/>
    <n v="26920"/>
    <x v="15"/>
    <n v="10478"/>
    <n v="16442"/>
  </r>
  <r>
    <x v="7"/>
    <n v="13459"/>
    <x v="16"/>
    <n v="5521"/>
    <n v="7938"/>
  </r>
  <r>
    <x v="7"/>
    <n v="11503"/>
    <x v="17"/>
    <n v="4079"/>
    <n v="7424"/>
  </r>
  <r>
    <x v="7"/>
    <n v="15583"/>
    <x v="21"/>
    <n v="7076"/>
    <n v="8507"/>
  </r>
  <r>
    <x v="8"/>
    <n v="3364347"/>
    <x v="0"/>
    <n v="1652130"/>
    <n v="1712217"/>
  </r>
  <r>
    <x v="8"/>
    <n v="473628"/>
    <x v="1"/>
    <n v="240120"/>
    <n v="233508"/>
  </r>
  <r>
    <x v="8"/>
    <n v="471508"/>
    <x v="2"/>
    <n v="241375"/>
    <n v="230133"/>
  </r>
  <r>
    <x v="8"/>
    <n v="412115"/>
    <x v="3"/>
    <n v="214908"/>
    <n v="197207"/>
  </r>
  <r>
    <x v="8"/>
    <n v="349040"/>
    <x v="4"/>
    <n v="164434"/>
    <n v="184606"/>
  </r>
  <r>
    <x v="8"/>
    <n v="333070"/>
    <x v="5"/>
    <n v="158839"/>
    <n v="174231"/>
  </r>
  <r>
    <x v="8"/>
    <n v="285065"/>
    <x v="6"/>
    <n v="135653"/>
    <n v="149412"/>
  </r>
  <r>
    <x v="8"/>
    <n v="217779"/>
    <x v="7"/>
    <n v="104115"/>
    <n v="113664"/>
  </r>
  <r>
    <x v="8"/>
    <n v="200191"/>
    <x v="8"/>
    <n v="98195"/>
    <n v="101996"/>
  </r>
  <r>
    <x v="8"/>
    <n v="168589"/>
    <x v="9"/>
    <n v="80264"/>
    <n v="88325"/>
  </r>
  <r>
    <x v="8"/>
    <n v="125202"/>
    <x v="10"/>
    <n v="65393"/>
    <n v="59809"/>
  </r>
  <r>
    <x v="8"/>
    <n v="111159"/>
    <x v="11"/>
    <n v="52251"/>
    <n v="58908"/>
  </r>
  <r>
    <x v="8"/>
    <n v="65039"/>
    <x v="12"/>
    <n v="32890"/>
    <n v="32149"/>
  </r>
  <r>
    <x v="8"/>
    <n v="66708"/>
    <x v="13"/>
    <n v="28734"/>
    <n v="37974"/>
  </r>
  <r>
    <x v="8"/>
    <n v="29652"/>
    <x v="14"/>
    <n v="13591"/>
    <n v="16061"/>
  </r>
  <r>
    <x v="8"/>
    <n v="23248"/>
    <x v="15"/>
    <n v="9200"/>
    <n v="14048"/>
  </r>
  <r>
    <x v="8"/>
    <n v="10926"/>
    <x v="16"/>
    <n v="4498"/>
    <n v="6428"/>
  </r>
  <r>
    <x v="8"/>
    <n v="10202"/>
    <x v="17"/>
    <n v="3407"/>
    <n v="6795"/>
  </r>
  <r>
    <x v="8"/>
    <n v="11226"/>
    <x v="21"/>
    <n v="4263"/>
    <n v="6963"/>
  </r>
  <r>
    <x v="9"/>
    <n v="2890720"/>
    <x v="0"/>
    <n v="1414590"/>
    <n v="1476130"/>
  </r>
  <r>
    <x v="9"/>
    <n v="383236"/>
    <x v="1"/>
    <n v="192264"/>
    <n v="190972"/>
  </r>
  <r>
    <x v="9"/>
    <n v="338372"/>
    <x v="2"/>
    <n v="172610"/>
    <n v="165762"/>
  </r>
  <r>
    <x v="9"/>
    <n v="326781"/>
    <x v="3"/>
    <n v="168508"/>
    <n v="158273"/>
  </r>
  <r>
    <x v="9"/>
    <n v="309247"/>
    <x v="4"/>
    <n v="148420"/>
    <n v="160827"/>
  </r>
  <r>
    <x v="9"/>
    <n v="273599"/>
    <x v="5"/>
    <n v="130616"/>
    <n v="142983"/>
  </r>
  <r>
    <x v="9"/>
    <n v="252367"/>
    <x v="6"/>
    <n v="119159"/>
    <n v="133208"/>
  </r>
  <r>
    <x v="9"/>
    <n v="216612"/>
    <x v="7"/>
    <n v="102748"/>
    <n v="113864"/>
  </r>
  <r>
    <x v="9"/>
    <n v="167592"/>
    <x v="8"/>
    <n v="80202"/>
    <n v="87390"/>
  </r>
  <r>
    <x v="9"/>
    <n v="150735"/>
    <x v="9"/>
    <n v="71605"/>
    <n v="79130"/>
  </r>
  <r>
    <x v="9"/>
    <n v="106915"/>
    <x v="10"/>
    <n v="54991"/>
    <n v="51924"/>
  </r>
  <r>
    <x v="9"/>
    <n v="98705"/>
    <x v="11"/>
    <n v="47993"/>
    <n v="50712"/>
  </r>
  <r>
    <x v="9"/>
    <n v="46357"/>
    <x v="12"/>
    <n v="23661"/>
    <n v="22696"/>
  </r>
  <r>
    <x v="9"/>
    <n v="47801"/>
    <x v="13"/>
    <n v="21794"/>
    <n v="26007"/>
  </r>
  <r>
    <x v="9"/>
    <n v="24676"/>
    <x v="14"/>
    <n v="11530"/>
    <n v="13146"/>
  </r>
  <r>
    <x v="9"/>
    <n v="20515"/>
    <x v="15"/>
    <n v="8712"/>
    <n v="11803"/>
  </r>
  <r>
    <x v="9"/>
    <n v="11516"/>
    <x v="16"/>
    <n v="5228"/>
    <n v="6288"/>
  </r>
  <r>
    <x v="9"/>
    <n v="9880"/>
    <x v="17"/>
    <n v="3869"/>
    <n v="6011"/>
  </r>
  <r>
    <x v="9"/>
    <n v="105814"/>
    <x v="21"/>
    <n v="50680"/>
    <n v="55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1" cacheId="6"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location ref="H2:AF14" firstHeaderRow="1" firstDataRow="2" firstDataCol="1"/>
  <pivotFields count="5">
    <pivotField axis="axisRow" numFmtId="164" showAll="0">
      <items count="11">
        <item x="0"/>
        <item x="1"/>
        <item x="2"/>
        <item x="3"/>
        <item x="4"/>
        <item x="5"/>
        <item x="6"/>
        <item x="7"/>
        <item x="8"/>
        <item x="9"/>
        <item t="default"/>
      </items>
    </pivotField>
    <pivotField showAll="0"/>
    <pivotField axis="axisCol" showAll="0">
      <items count="24">
        <item x="1"/>
        <item x="2"/>
        <item x="3"/>
        <item x="4"/>
        <item x="5"/>
        <item x="6"/>
        <item x="7"/>
        <item x="8"/>
        <item x="9"/>
        <item x="10"/>
        <item x="11"/>
        <item x="12"/>
        <item x="13"/>
        <item x="14"/>
        <item x="15"/>
        <item x="16"/>
        <item x="17"/>
        <item x="20"/>
        <item x="18"/>
        <item x="21"/>
        <item x="19"/>
        <item x="22"/>
        <item x="0"/>
        <item t="default"/>
      </items>
    </pivotField>
    <pivotField dataField="1" showAll="0"/>
    <pivotField showAll="0"/>
  </pivotFields>
  <rowFields count="1">
    <field x="0"/>
  </rowFields>
  <rowItems count="11">
    <i>
      <x/>
    </i>
    <i>
      <x v="1"/>
    </i>
    <i>
      <x v="2"/>
    </i>
    <i>
      <x v="3"/>
    </i>
    <i>
      <x v="4"/>
    </i>
    <i>
      <x v="5"/>
    </i>
    <i>
      <x v="6"/>
    </i>
    <i>
      <x v="7"/>
    </i>
    <i>
      <x v="8"/>
    </i>
    <i>
      <x v="9"/>
    </i>
    <i t="grand">
      <x/>
    </i>
  </rowItems>
  <colFields count="1">
    <field x="2"/>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Suma de Hombres" fld="3" baseField="0" baseItem="0"/>
  </dataFields>
  <formats count="6">
    <format dxfId="11">
      <pivotArea outline="0" collapsedLevelsAreSubtotals="1" fieldPosition="0">
        <references count="1">
          <reference field="2" count="17" selected="0">
            <x v="0"/>
            <x v="1"/>
            <x v="2"/>
            <x v="3"/>
            <x v="4"/>
            <x v="5"/>
            <x v="6"/>
            <x v="7"/>
            <x v="8"/>
            <x v="9"/>
            <x v="10"/>
            <x v="11"/>
            <x v="12"/>
            <x v="13"/>
            <x v="14"/>
            <x v="15"/>
            <x v="16"/>
          </reference>
        </references>
      </pivotArea>
    </format>
    <format dxfId="10">
      <pivotArea outline="0" collapsedLevelsAreSubtotals="1" fieldPosition="0"/>
    </format>
    <format dxfId="9">
      <pivotArea field="2" type="button" dataOnly="0" labelOnly="1" outline="0" axis="axisCol" fieldPosition="0"/>
    </format>
    <format dxfId="8">
      <pivotArea type="topRight" dataOnly="0" labelOnly="1" outline="0" fieldPosition="0"/>
    </format>
    <format dxfId="7">
      <pivotArea dataOnly="0" labelOnly="1" fieldPosition="0">
        <references count="1">
          <reference field="2" count="0"/>
        </references>
      </pivotArea>
    </format>
    <format dxfId="6">
      <pivotArea dataOnly="0" labelOnly="1" grandCol="1" outline="0" fieldPosition="0"/>
    </format>
  </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la dinámica1" cacheId="7"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location ref="H2:AF14" firstHeaderRow="1" firstDataRow="2" firstDataCol="1"/>
  <pivotFields count="5">
    <pivotField axis="axisRow" numFmtId="164" showAll="0">
      <items count="11">
        <item x="9"/>
        <item x="8"/>
        <item x="7"/>
        <item x="6"/>
        <item x="5"/>
        <item x="4"/>
        <item x="3"/>
        <item x="2"/>
        <item x="1"/>
        <item x="0"/>
        <item t="default"/>
      </items>
    </pivotField>
    <pivotField showAll="0"/>
    <pivotField axis="axisCol" showAll="0">
      <items count="24">
        <item x="1"/>
        <item x="2"/>
        <item x="3"/>
        <item x="4"/>
        <item x="5"/>
        <item x="6"/>
        <item x="7"/>
        <item x="8"/>
        <item x="9"/>
        <item x="10"/>
        <item x="11"/>
        <item x="12"/>
        <item x="13"/>
        <item x="14"/>
        <item x="15"/>
        <item x="16"/>
        <item x="17"/>
        <item x="18"/>
        <item x="21"/>
        <item x="19"/>
        <item x="22"/>
        <item x="20"/>
        <item x="0"/>
        <item t="default"/>
      </items>
    </pivotField>
    <pivotField showAll="0"/>
    <pivotField dataField="1" showAll="0"/>
  </pivotFields>
  <rowFields count="1">
    <field x="0"/>
  </rowFields>
  <rowItems count="11">
    <i>
      <x/>
    </i>
    <i>
      <x v="1"/>
    </i>
    <i>
      <x v="2"/>
    </i>
    <i>
      <x v="3"/>
    </i>
    <i>
      <x v="4"/>
    </i>
    <i>
      <x v="5"/>
    </i>
    <i>
      <x v="6"/>
    </i>
    <i>
      <x v="7"/>
    </i>
    <i>
      <x v="8"/>
    </i>
    <i>
      <x v="9"/>
    </i>
    <i t="grand">
      <x/>
    </i>
  </rowItems>
  <colFields count="1">
    <field x="2"/>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Suma de Mujeres" fld="4" baseField="0" baseItem="0"/>
  </dataFields>
  <formats count="6">
    <format dxfId="5">
      <pivotArea outline="0" collapsedLevelsAreSubtotals="1" fieldPosition="0">
        <references count="1">
          <reference field="2" count="17" selected="0">
            <x v="0"/>
            <x v="1"/>
            <x v="2"/>
            <x v="3"/>
            <x v="4"/>
            <x v="5"/>
            <x v="6"/>
            <x v="7"/>
            <x v="8"/>
            <x v="9"/>
            <x v="10"/>
            <x v="11"/>
            <x v="12"/>
            <x v="13"/>
            <x v="14"/>
            <x v="15"/>
            <x v="16"/>
          </reference>
        </references>
      </pivotArea>
    </format>
    <format dxfId="4">
      <pivotArea outline="0" collapsedLevelsAreSubtotals="1" fieldPosition="0"/>
    </format>
    <format dxfId="3">
      <pivotArea field="2" type="button" dataOnly="0" labelOnly="1" outline="0" axis="axisCol" fieldPosition="0"/>
    </format>
    <format dxfId="2">
      <pivotArea type="topRight" dataOnly="0" labelOnly="1" outline="0" fieldPosition="0"/>
    </format>
    <format dxfId="1">
      <pivotArea dataOnly="0" labelOnly="1" fieldPosition="0">
        <references count="1">
          <reference field="2" count="0"/>
        </references>
      </pivotArea>
    </format>
    <format dxfId="0">
      <pivotArea dataOnly="0" labelOnly="1" grandCol="1" outline="0" fieldPosition="0"/>
    </format>
  </formats>
  <pivotTableStyleInfo name="PivotStyleLight16" showRowHeaders="1" showColHeaders="1" showRowStripes="0" showColStripes="0" showLastColumn="1"/>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tabColor rgb="FFC00000"/>
  </sheetPr>
  <dimension ref="A1:B9"/>
  <sheetViews>
    <sheetView workbookViewId="0">
      <selection activeCell="A9" sqref="A9:B9"/>
    </sheetView>
  </sheetViews>
  <sheetFormatPr baseColWidth="10" defaultRowHeight="15"/>
  <cols>
    <col min="1" max="1" width="21" style="86" customWidth="1"/>
    <col min="2" max="2" width="49.140625" style="85" customWidth="1"/>
  </cols>
  <sheetData>
    <row r="1" spans="1:2">
      <c r="A1" s="87" t="s">
        <v>110</v>
      </c>
      <c r="B1" s="88"/>
    </row>
    <row r="2" spans="1:2" ht="75">
      <c r="A2" s="87" t="s">
        <v>107</v>
      </c>
      <c r="B2" s="88" t="s">
        <v>108</v>
      </c>
    </row>
    <row r="3" spans="1:2" ht="45">
      <c r="A3" s="87" t="s">
        <v>109</v>
      </c>
      <c r="B3" s="88" t="s">
        <v>111</v>
      </c>
    </row>
    <row r="4" spans="1:2">
      <c r="A4" s="87" t="s">
        <v>112</v>
      </c>
      <c r="B4" s="88" t="s">
        <v>113</v>
      </c>
    </row>
    <row r="5" spans="1:2" ht="60">
      <c r="A5" s="87" t="s">
        <v>114</v>
      </c>
      <c r="B5" s="88" t="s">
        <v>116</v>
      </c>
    </row>
    <row r="6" spans="1:2" ht="45">
      <c r="A6" s="87" t="s">
        <v>115</v>
      </c>
      <c r="B6" s="88" t="s">
        <v>117</v>
      </c>
    </row>
    <row r="7" spans="1:2" ht="45">
      <c r="A7" s="87" t="s">
        <v>118</v>
      </c>
      <c r="B7" s="88" t="s">
        <v>119</v>
      </c>
    </row>
    <row r="8" spans="1:2" ht="60">
      <c r="A8" s="87" t="s">
        <v>120</v>
      </c>
      <c r="B8" s="88" t="s">
        <v>121</v>
      </c>
    </row>
    <row r="9" spans="1:2" ht="90">
      <c r="A9" s="87" t="s">
        <v>122</v>
      </c>
      <c r="B9" s="88" t="s">
        <v>123</v>
      </c>
    </row>
  </sheetData>
  <printOptions horizontalCentered="1"/>
  <pageMargins left="0.70866141732283472" right="0.70866141732283472" top="0.74803149606299213" bottom="0.74803149606299213"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sheetPr>
    <tabColor rgb="FFC00000"/>
  </sheetPr>
  <dimension ref="A1:EW304"/>
  <sheetViews>
    <sheetView showGridLines="0" workbookViewId="0">
      <selection activeCell="E14" sqref="E14"/>
    </sheetView>
  </sheetViews>
  <sheetFormatPr baseColWidth="10" defaultRowHeight="12.75"/>
  <cols>
    <col min="1" max="2" width="11.5703125" style="25" bestFit="1" customWidth="1"/>
    <col min="3" max="3" width="11.42578125" style="79"/>
    <col min="4" max="9" width="11.5703125" style="25" bestFit="1" customWidth="1"/>
    <col min="10" max="10" width="11.85546875" style="25" bestFit="1" customWidth="1"/>
    <col min="11" max="12" width="11.5703125" style="25" bestFit="1" customWidth="1"/>
    <col min="13" max="13" width="11.85546875" style="25" bestFit="1" customWidth="1"/>
    <col min="14" max="14" width="11.5703125" style="25" bestFit="1" customWidth="1"/>
    <col min="15" max="22" width="11.42578125" style="25"/>
    <col min="23" max="30" width="10.140625" style="25" bestFit="1" customWidth="1"/>
    <col min="31" max="31" width="10.140625" style="25" customWidth="1"/>
    <col min="32" max="257" width="11.42578125" style="25"/>
    <col min="258" max="265" width="11.5703125" style="25" bestFit="1" customWidth="1"/>
    <col min="266" max="266" width="11.85546875" style="25" bestFit="1" customWidth="1"/>
    <col min="267" max="268" width="11.5703125" style="25" bestFit="1" customWidth="1"/>
    <col min="269" max="269" width="11.85546875" style="25" bestFit="1" customWidth="1"/>
    <col min="270" max="270" width="11.5703125" style="25" bestFit="1" customWidth="1"/>
    <col min="271" max="278" width="11.42578125" style="25"/>
    <col min="279" max="286" width="10.140625" style="25" bestFit="1" customWidth="1"/>
    <col min="287" max="513" width="11.42578125" style="25"/>
    <col min="514" max="521" width="11.5703125" style="25" bestFit="1" customWidth="1"/>
    <col min="522" max="522" width="11.85546875" style="25" bestFit="1" customWidth="1"/>
    <col min="523" max="524" width="11.5703125" style="25" bestFit="1" customWidth="1"/>
    <col min="525" max="525" width="11.85546875" style="25" bestFit="1" customWidth="1"/>
    <col min="526" max="526" width="11.5703125" style="25" bestFit="1" customWidth="1"/>
    <col min="527" max="534" width="11.42578125" style="25"/>
    <col min="535" max="542" width="10.140625" style="25" bestFit="1" customWidth="1"/>
    <col min="543" max="769" width="11.42578125" style="25"/>
    <col min="770" max="777" width="11.5703125" style="25" bestFit="1" customWidth="1"/>
    <col min="778" max="778" width="11.85546875" style="25" bestFit="1" customWidth="1"/>
    <col min="779" max="780" width="11.5703125" style="25" bestFit="1" customWidth="1"/>
    <col min="781" max="781" width="11.85546875" style="25" bestFit="1" customWidth="1"/>
    <col min="782" max="782" width="11.5703125" style="25" bestFit="1" customWidth="1"/>
    <col min="783" max="790" width="11.42578125" style="25"/>
    <col min="791" max="798" width="10.140625" style="25" bestFit="1" customWidth="1"/>
    <col min="799" max="1025" width="11.42578125" style="25"/>
    <col min="1026" max="1033" width="11.5703125" style="25" bestFit="1" customWidth="1"/>
    <col min="1034" max="1034" width="11.85546875" style="25" bestFit="1" customWidth="1"/>
    <col min="1035" max="1036" width="11.5703125" style="25" bestFit="1" customWidth="1"/>
    <col min="1037" max="1037" width="11.85546875" style="25" bestFit="1" customWidth="1"/>
    <col min="1038" max="1038" width="11.5703125" style="25" bestFit="1" customWidth="1"/>
    <col min="1039" max="1046" width="11.42578125" style="25"/>
    <col min="1047" max="1054" width="10.140625" style="25" bestFit="1" customWidth="1"/>
    <col min="1055" max="1281" width="11.42578125" style="25"/>
    <col min="1282" max="1289" width="11.5703125" style="25" bestFit="1" customWidth="1"/>
    <col min="1290" max="1290" width="11.85546875" style="25" bestFit="1" customWidth="1"/>
    <col min="1291" max="1292" width="11.5703125" style="25" bestFit="1" customWidth="1"/>
    <col min="1293" max="1293" width="11.85546875" style="25" bestFit="1" customWidth="1"/>
    <col min="1294" max="1294" width="11.5703125" style="25" bestFit="1" customWidth="1"/>
    <col min="1295" max="1302" width="11.42578125" style="25"/>
    <col min="1303" max="1310" width="10.140625" style="25" bestFit="1" customWidth="1"/>
    <col min="1311" max="1537" width="11.42578125" style="25"/>
    <col min="1538" max="1545" width="11.5703125" style="25" bestFit="1" customWidth="1"/>
    <col min="1546" max="1546" width="11.85546875" style="25" bestFit="1" customWidth="1"/>
    <col min="1547" max="1548" width="11.5703125" style="25" bestFit="1" customWidth="1"/>
    <col min="1549" max="1549" width="11.85546875" style="25" bestFit="1" customWidth="1"/>
    <col min="1550" max="1550" width="11.5703125" style="25" bestFit="1" customWidth="1"/>
    <col min="1551" max="1558" width="11.42578125" style="25"/>
    <col min="1559" max="1566" width="10.140625" style="25" bestFit="1" customWidth="1"/>
    <col min="1567" max="1793" width="11.42578125" style="25"/>
    <col min="1794" max="1801" width="11.5703125" style="25" bestFit="1" customWidth="1"/>
    <col min="1802" max="1802" width="11.85546875" style="25" bestFit="1" customWidth="1"/>
    <col min="1803" max="1804" width="11.5703125" style="25" bestFit="1" customWidth="1"/>
    <col min="1805" max="1805" width="11.85546875" style="25" bestFit="1" customWidth="1"/>
    <col min="1806" max="1806" width="11.5703125" style="25" bestFit="1" customWidth="1"/>
    <col min="1807" max="1814" width="11.42578125" style="25"/>
    <col min="1815" max="1822" width="10.140625" style="25" bestFit="1" customWidth="1"/>
    <col min="1823" max="2049" width="11.42578125" style="25"/>
    <col min="2050" max="2057" width="11.5703125" style="25" bestFit="1" customWidth="1"/>
    <col min="2058" max="2058" width="11.85546875" style="25" bestFit="1" customWidth="1"/>
    <col min="2059" max="2060" width="11.5703125" style="25" bestFit="1" customWidth="1"/>
    <col min="2061" max="2061" width="11.85546875" style="25" bestFit="1" customWidth="1"/>
    <col min="2062" max="2062" width="11.5703125" style="25" bestFit="1" customWidth="1"/>
    <col min="2063" max="2070" width="11.42578125" style="25"/>
    <col min="2071" max="2078" width="10.140625" style="25" bestFit="1" customWidth="1"/>
    <col min="2079" max="2305" width="11.42578125" style="25"/>
    <col min="2306" max="2313" width="11.5703125" style="25" bestFit="1" customWidth="1"/>
    <col min="2314" max="2314" width="11.85546875" style="25" bestFit="1" customWidth="1"/>
    <col min="2315" max="2316" width="11.5703125" style="25" bestFit="1" customWidth="1"/>
    <col min="2317" max="2317" width="11.85546875" style="25" bestFit="1" customWidth="1"/>
    <col min="2318" max="2318" width="11.5703125" style="25" bestFit="1" customWidth="1"/>
    <col min="2319" max="2326" width="11.42578125" style="25"/>
    <col min="2327" max="2334" width="10.140625" style="25" bestFit="1" customWidth="1"/>
    <col min="2335" max="2561" width="11.42578125" style="25"/>
    <col min="2562" max="2569" width="11.5703125" style="25" bestFit="1" customWidth="1"/>
    <col min="2570" max="2570" width="11.85546875" style="25" bestFit="1" customWidth="1"/>
    <col min="2571" max="2572" width="11.5703125" style="25" bestFit="1" customWidth="1"/>
    <col min="2573" max="2573" width="11.85546875" style="25" bestFit="1" customWidth="1"/>
    <col min="2574" max="2574" width="11.5703125" style="25" bestFit="1" customWidth="1"/>
    <col min="2575" max="2582" width="11.42578125" style="25"/>
    <col min="2583" max="2590" width="10.140625" style="25" bestFit="1" customWidth="1"/>
    <col min="2591" max="2817" width="11.42578125" style="25"/>
    <col min="2818" max="2825" width="11.5703125" style="25" bestFit="1" customWidth="1"/>
    <col min="2826" max="2826" width="11.85546875" style="25" bestFit="1" customWidth="1"/>
    <col min="2827" max="2828" width="11.5703125" style="25" bestFit="1" customWidth="1"/>
    <col min="2829" max="2829" width="11.85546875" style="25" bestFit="1" customWidth="1"/>
    <col min="2830" max="2830" width="11.5703125" style="25" bestFit="1" customWidth="1"/>
    <col min="2831" max="2838" width="11.42578125" style="25"/>
    <col min="2839" max="2846" width="10.140625" style="25" bestFit="1" customWidth="1"/>
    <col min="2847" max="3073" width="11.42578125" style="25"/>
    <col min="3074" max="3081" width="11.5703125" style="25" bestFit="1" customWidth="1"/>
    <col min="3082" max="3082" width="11.85546875" style="25" bestFit="1" customWidth="1"/>
    <col min="3083" max="3084" width="11.5703125" style="25" bestFit="1" customWidth="1"/>
    <col min="3085" max="3085" width="11.85546875" style="25" bestFit="1" customWidth="1"/>
    <col min="3086" max="3086" width="11.5703125" style="25" bestFit="1" customWidth="1"/>
    <col min="3087" max="3094" width="11.42578125" style="25"/>
    <col min="3095" max="3102" width="10.140625" style="25" bestFit="1" customWidth="1"/>
    <col min="3103" max="3329" width="11.42578125" style="25"/>
    <col min="3330" max="3337" width="11.5703125" style="25" bestFit="1" customWidth="1"/>
    <col min="3338" max="3338" width="11.85546875" style="25" bestFit="1" customWidth="1"/>
    <col min="3339" max="3340" width="11.5703125" style="25" bestFit="1" customWidth="1"/>
    <col min="3341" max="3341" width="11.85546875" style="25" bestFit="1" customWidth="1"/>
    <col min="3342" max="3342" width="11.5703125" style="25" bestFit="1" customWidth="1"/>
    <col min="3343" max="3350" width="11.42578125" style="25"/>
    <col min="3351" max="3358" width="10.140625" style="25" bestFit="1" customWidth="1"/>
    <col min="3359" max="3585" width="11.42578125" style="25"/>
    <col min="3586" max="3593" width="11.5703125" style="25" bestFit="1" customWidth="1"/>
    <col min="3594" max="3594" width="11.85546875" style="25" bestFit="1" customWidth="1"/>
    <col min="3595" max="3596" width="11.5703125" style="25" bestFit="1" customWidth="1"/>
    <col min="3597" max="3597" width="11.85546875" style="25" bestFit="1" customWidth="1"/>
    <col min="3598" max="3598" width="11.5703125" style="25" bestFit="1" customWidth="1"/>
    <col min="3599" max="3606" width="11.42578125" style="25"/>
    <col min="3607" max="3614" width="10.140625" style="25" bestFit="1" customWidth="1"/>
    <col min="3615" max="3841" width="11.42578125" style="25"/>
    <col min="3842" max="3849" width="11.5703125" style="25" bestFit="1" customWidth="1"/>
    <col min="3850" max="3850" width="11.85546875" style="25" bestFit="1" customWidth="1"/>
    <col min="3851" max="3852" width="11.5703125" style="25" bestFit="1" customWidth="1"/>
    <col min="3853" max="3853" width="11.85546875" style="25" bestFit="1" customWidth="1"/>
    <col min="3854" max="3854" width="11.5703125" style="25" bestFit="1" customWidth="1"/>
    <col min="3855" max="3862" width="11.42578125" style="25"/>
    <col min="3863" max="3870" width="10.140625" style="25" bestFit="1" customWidth="1"/>
    <col min="3871" max="4097" width="11.42578125" style="25"/>
    <col min="4098" max="4105" width="11.5703125" style="25" bestFit="1" customWidth="1"/>
    <col min="4106" max="4106" width="11.85546875" style="25" bestFit="1" customWidth="1"/>
    <col min="4107" max="4108" width="11.5703125" style="25" bestFit="1" customWidth="1"/>
    <col min="4109" max="4109" width="11.85546875" style="25" bestFit="1" customWidth="1"/>
    <col min="4110" max="4110" width="11.5703125" style="25" bestFit="1" customWidth="1"/>
    <col min="4111" max="4118" width="11.42578125" style="25"/>
    <col min="4119" max="4126" width="10.140625" style="25" bestFit="1" customWidth="1"/>
    <col min="4127" max="4353" width="11.42578125" style="25"/>
    <col min="4354" max="4361" width="11.5703125" style="25" bestFit="1" customWidth="1"/>
    <col min="4362" max="4362" width="11.85546875" style="25" bestFit="1" customWidth="1"/>
    <col min="4363" max="4364" width="11.5703125" style="25" bestFit="1" customWidth="1"/>
    <col min="4365" max="4365" width="11.85546875" style="25" bestFit="1" customWidth="1"/>
    <col min="4366" max="4366" width="11.5703125" style="25" bestFit="1" customWidth="1"/>
    <col min="4367" max="4374" width="11.42578125" style="25"/>
    <col min="4375" max="4382" width="10.140625" style="25" bestFit="1" customWidth="1"/>
    <col min="4383" max="4609" width="11.42578125" style="25"/>
    <col min="4610" max="4617" width="11.5703125" style="25" bestFit="1" customWidth="1"/>
    <col min="4618" max="4618" width="11.85546875" style="25" bestFit="1" customWidth="1"/>
    <col min="4619" max="4620" width="11.5703125" style="25" bestFit="1" customWidth="1"/>
    <col min="4621" max="4621" width="11.85546875" style="25" bestFit="1" customWidth="1"/>
    <col min="4622" max="4622" width="11.5703125" style="25" bestFit="1" customWidth="1"/>
    <col min="4623" max="4630" width="11.42578125" style="25"/>
    <col min="4631" max="4638" width="10.140625" style="25" bestFit="1" customWidth="1"/>
    <col min="4639" max="4865" width="11.42578125" style="25"/>
    <col min="4866" max="4873" width="11.5703125" style="25" bestFit="1" customWidth="1"/>
    <col min="4874" max="4874" width="11.85546875" style="25" bestFit="1" customWidth="1"/>
    <col min="4875" max="4876" width="11.5703125" style="25" bestFit="1" customWidth="1"/>
    <col min="4877" max="4877" width="11.85546875" style="25" bestFit="1" customWidth="1"/>
    <col min="4878" max="4878" width="11.5703125" style="25" bestFit="1" customWidth="1"/>
    <col min="4879" max="4886" width="11.42578125" style="25"/>
    <col min="4887" max="4894" width="10.140625" style="25" bestFit="1" customWidth="1"/>
    <col min="4895" max="5121" width="11.42578125" style="25"/>
    <col min="5122" max="5129" width="11.5703125" style="25" bestFit="1" customWidth="1"/>
    <col min="5130" max="5130" width="11.85546875" style="25" bestFit="1" customWidth="1"/>
    <col min="5131" max="5132" width="11.5703125" style="25" bestFit="1" customWidth="1"/>
    <col min="5133" max="5133" width="11.85546875" style="25" bestFit="1" customWidth="1"/>
    <col min="5134" max="5134" width="11.5703125" style="25" bestFit="1" customWidth="1"/>
    <col min="5135" max="5142" width="11.42578125" style="25"/>
    <col min="5143" max="5150" width="10.140625" style="25" bestFit="1" customWidth="1"/>
    <col min="5151" max="5377" width="11.42578125" style="25"/>
    <col min="5378" max="5385" width="11.5703125" style="25" bestFit="1" customWidth="1"/>
    <col min="5386" max="5386" width="11.85546875" style="25" bestFit="1" customWidth="1"/>
    <col min="5387" max="5388" width="11.5703125" style="25" bestFit="1" customWidth="1"/>
    <col min="5389" max="5389" width="11.85546875" style="25" bestFit="1" customWidth="1"/>
    <col min="5390" max="5390" width="11.5703125" style="25" bestFit="1" customWidth="1"/>
    <col min="5391" max="5398" width="11.42578125" style="25"/>
    <col min="5399" max="5406" width="10.140625" style="25" bestFit="1" customWidth="1"/>
    <col min="5407" max="5633" width="11.42578125" style="25"/>
    <col min="5634" max="5641" width="11.5703125" style="25" bestFit="1" customWidth="1"/>
    <col min="5642" max="5642" width="11.85546875" style="25" bestFit="1" customWidth="1"/>
    <col min="5643" max="5644" width="11.5703125" style="25" bestFit="1" customWidth="1"/>
    <col min="5645" max="5645" width="11.85546875" style="25" bestFit="1" customWidth="1"/>
    <col min="5646" max="5646" width="11.5703125" style="25" bestFit="1" customWidth="1"/>
    <col min="5647" max="5654" width="11.42578125" style="25"/>
    <col min="5655" max="5662" width="10.140625" style="25" bestFit="1" customWidth="1"/>
    <col min="5663" max="5889" width="11.42578125" style="25"/>
    <col min="5890" max="5897" width="11.5703125" style="25" bestFit="1" customWidth="1"/>
    <col min="5898" max="5898" width="11.85546875" style="25" bestFit="1" customWidth="1"/>
    <col min="5899" max="5900" width="11.5703125" style="25" bestFit="1" customWidth="1"/>
    <col min="5901" max="5901" width="11.85546875" style="25" bestFit="1" customWidth="1"/>
    <col min="5902" max="5902" width="11.5703125" style="25" bestFit="1" customWidth="1"/>
    <col min="5903" max="5910" width="11.42578125" style="25"/>
    <col min="5911" max="5918" width="10.140625" style="25" bestFit="1" customWidth="1"/>
    <col min="5919" max="6145" width="11.42578125" style="25"/>
    <col min="6146" max="6153" width="11.5703125" style="25" bestFit="1" customWidth="1"/>
    <col min="6154" max="6154" width="11.85546875" style="25" bestFit="1" customWidth="1"/>
    <col min="6155" max="6156" width="11.5703125" style="25" bestFit="1" customWidth="1"/>
    <col min="6157" max="6157" width="11.85546875" style="25" bestFit="1" customWidth="1"/>
    <col min="6158" max="6158" width="11.5703125" style="25" bestFit="1" customWidth="1"/>
    <col min="6159" max="6166" width="11.42578125" style="25"/>
    <col min="6167" max="6174" width="10.140625" style="25" bestFit="1" customWidth="1"/>
    <col min="6175" max="6401" width="11.42578125" style="25"/>
    <col min="6402" max="6409" width="11.5703125" style="25" bestFit="1" customWidth="1"/>
    <col min="6410" max="6410" width="11.85546875" style="25" bestFit="1" customWidth="1"/>
    <col min="6411" max="6412" width="11.5703125" style="25" bestFit="1" customWidth="1"/>
    <col min="6413" max="6413" width="11.85546875" style="25" bestFit="1" customWidth="1"/>
    <col min="6414" max="6414" width="11.5703125" style="25" bestFit="1" customWidth="1"/>
    <col min="6415" max="6422" width="11.42578125" style="25"/>
    <col min="6423" max="6430" width="10.140625" style="25" bestFit="1" customWidth="1"/>
    <col min="6431" max="6657" width="11.42578125" style="25"/>
    <col min="6658" max="6665" width="11.5703125" style="25" bestFit="1" customWidth="1"/>
    <col min="6666" max="6666" width="11.85546875" style="25" bestFit="1" customWidth="1"/>
    <col min="6667" max="6668" width="11.5703125" style="25" bestFit="1" customWidth="1"/>
    <col min="6669" max="6669" width="11.85546875" style="25" bestFit="1" customWidth="1"/>
    <col min="6670" max="6670" width="11.5703125" style="25" bestFit="1" customWidth="1"/>
    <col min="6671" max="6678" width="11.42578125" style="25"/>
    <col min="6679" max="6686" width="10.140625" style="25" bestFit="1" customWidth="1"/>
    <col min="6687" max="6913" width="11.42578125" style="25"/>
    <col min="6914" max="6921" width="11.5703125" style="25" bestFit="1" customWidth="1"/>
    <col min="6922" max="6922" width="11.85546875" style="25" bestFit="1" customWidth="1"/>
    <col min="6923" max="6924" width="11.5703125" style="25" bestFit="1" customWidth="1"/>
    <col min="6925" max="6925" width="11.85546875" style="25" bestFit="1" customWidth="1"/>
    <col min="6926" max="6926" width="11.5703125" style="25" bestFit="1" customWidth="1"/>
    <col min="6927" max="6934" width="11.42578125" style="25"/>
    <col min="6935" max="6942" width="10.140625" style="25" bestFit="1" customWidth="1"/>
    <col min="6943" max="7169" width="11.42578125" style="25"/>
    <col min="7170" max="7177" width="11.5703125" style="25" bestFit="1" customWidth="1"/>
    <col min="7178" max="7178" width="11.85546875" style="25" bestFit="1" customWidth="1"/>
    <col min="7179" max="7180" width="11.5703125" style="25" bestFit="1" customWidth="1"/>
    <col min="7181" max="7181" width="11.85546875" style="25" bestFit="1" customWidth="1"/>
    <col min="7182" max="7182" width="11.5703125" style="25" bestFit="1" customWidth="1"/>
    <col min="7183" max="7190" width="11.42578125" style="25"/>
    <col min="7191" max="7198" width="10.140625" style="25" bestFit="1" customWidth="1"/>
    <col min="7199" max="7425" width="11.42578125" style="25"/>
    <col min="7426" max="7433" width="11.5703125" style="25" bestFit="1" customWidth="1"/>
    <col min="7434" max="7434" width="11.85546875" style="25" bestFit="1" customWidth="1"/>
    <col min="7435" max="7436" width="11.5703125" style="25" bestFit="1" customWidth="1"/>
    <col min="7437" max="7437" width="11.85546875" style="25" bestFit="1" customWidth="1"/>
    <col min="7438" max="7438" width="11.5703125" style="25" bestFit="1" customWidth="1"/>
    <col min="7439" max="7446" width="11.42578125" style="25"/>
    <col min="7447" max="7454" width="10.140625" style="25" bestFit="1" customWidth="1"/>
    <col min="7455" max="7681" width="11.42578125" style="25"/>
    <col min="7682" max="7689" width="11.5703125" style="25" bestFit="1" customWidth="1"/>
    <col min="7690" max="7690" width="11.85546875" style="25" bestFit="1" customWidth="1"/>
    <col min="7691" max="7692" width="11.5703125" style="25" bestFit="1" customWidth="1"/>
    <col min="7693" max="7693" width="11.85546875" style="25" bestFit="1" customWidth="1"/>
    <col min="7694" max="7694" width="11.5703125" style="25" bestFit="1" customWidth="1"/>
    <col min="7695" max="7702" width="11.42578125" style="25"/>
    <col min="7703" max="7710" width="10.140625" style="25" bestFit="1" customWidth="1"/>
    <col min="7711" max="7937" width="11.42578125" style="25"/>
    <col min="7938" max="7945" width="11.5703125" style="25" bestFit="1" customWidth="1"/>
    <col min="7946" max="7946" width="11.85546875" style="25" bestFit="1" customWidth="1"/>
    <col min="7947" max="7948" width="11.5703125" style="25" bestFit="1" customWidth="1"/>
    <col min="7949" max="7949" width="11.85546875" style="25" bestFit="1" customWidth="1"/>
    <col min="7950" max="7950" width="11.5703125" style="25" bestFit="1" customWidth="1"/>
    <col min="7951" max="7958" width="11.42578125" style="25"/>
    <col min="7959" max="7966" width="10.140625" style="25" bestFit="1" customWidth="1"/>
    <col min="7967" max="8193" width="11.42578125" style="25"/>
    <col min="8194" max="8201" width="11.5703125" style="25" bestFit="1" customWidth="1"/>
    <col min="8202" max="8202" width="11.85546875" style="25" bestFit="1" customWidth="1"/>
    <col min="8203" max="8204" width="11.5703125" style="25" bestFit="1" customWidth="1"/>
    <col min="8205" max="8205" width="11.85546875" style="25" bestFit="1" customWidth="1"/>
    <col min="8206" max="8206" width="11.5703125" style="25" bestFit="1" customWidth="1"/>
    <col min="8207" max="8214" width="11.42578125" style="25"/>
    <col min="8215" max="8222" width="10.140625" style="25" bestFit="1" customWidth="1"/>
    <col min="8223" max="8449" width="11.42578125" style="25"/>
    <col min="8450" max="8457" width="11.5703125" style="25" bestFit="1" customWidth="1"/>
    <col min="8458" max="8458" width="11.85546875" style="25" bestFit="1" customWidth="1"/>
    <col min="8459" max="8460" width="11.5703125" style="25" bestFit="1" customWidth="1"/>
    <col min="8461" max="8461" width="11.85546875" style="25" bestFit="1" customWidth="1"/>
    <col min="8462" max="8462" width="11.5703125" style="25" bestFit="1" customWidth="1"/>
    <col min="8463" max="8470" width="11.42578125" style="25"/>
    <col min="8471" max="8478" width="10.140625" style="25" bestFit="1" customWidth="1"/>
    <col min="8479" max="8705" width="11.42578125" style="25"/>
    <col min="8706" max="8713" width="11.5703125" style="25" bestFit="1" customWidth="1"/>
    <col min="8714" max="8714" width="11.85546875" style="25" bestFit="1" customWidth="1"/>
    <col min="8715" max="8716" width="11.5703125" style="25" bestFit="1" customWidth="1"/>
    <col min="8717" max="8717" width="11.85546875" style="25" bestFit="1" customWidth="1"/>
    <col min="8718" max="8718" width="11.5703125" style="25" bestFit="1" customWidth="1"/>
    <col min="8719" max="8726" width="11.42578125" style="25"/>
    <col min="8727" max="8734" width="10.140625" style="25" bestFit="1" customWidth="1"/>
    <col min="8735" max="8961" width="11.42578125" style="25"/>
    <col min="8962" max="8969" width="11.5703125" style="25" bestFit="1" customWidth="1"/>
    <col min="8970" max="8970" width="11.85546875" style="25" bestFit="1" customWidth="1"/>
    <col min="8971" max="8972" width="11.5703125" style="25" bestFit="1" customWidth="1"/>
    <col min="8973" max="8973" width="11.85546875" style="25" bestFit="1" customWidth="1"/>
    <col min="8974" max="8974" width="11.5703125" style="25" bestFit="1" customWidth="1"/>
    <col min="8975" max="8982" width="11.42578125" style="25"/>
    <col min="8983" max="8990" width="10.140625" style="25" bestFit="1" customWidth="1"/>
    <col min="8991" max="9217" width="11.42578125" style="25"/>
    <col min="9218" max="9225" width="11.5703125" style="25" bestFit="1" customWidth="1"/>
    <col min="9226" max="9226" width="11.85546875" style="25" bestFit="1" customWidth="1"/>
    <col min="9227" max="9228" width="11.5703125" style="25" bestFit="1" customWidth="1"/>
    <col min="9229" max="9229" width="11.85546875" style="25" bestFit="1" customWidth="1"/>
    <col min="9230" max="9230" width="11.5703125" style="25" bestFit="1" customWidth="1"/>
    <col min="9231" max="9238" width="11.42578125" style="25"/>
    <col min="9239" max="9246" width="10.140625" style="25" bestFit="1" customWidth="1"/>
    <col min="9247" max="9473" width="11.42578125" style="25"/>
    <col min="9474" max="9481" width="11.5703125" style="25" bestFit="1" customWidth="1"/>
    <col min="9482" max="9482" width="11.85546875" style="25" bestFit="1" customWidth="1"/>
    <col min="9483" max="9484" width="11.5703125" style="25" bestFit="1" customWidth="1"/>
    <col min="9485" max="9485" width="11.85546875" style="25" bestFit="1" customWidth="1"/>
    <col min="9486" max="9486" width="11.5703125" style="25" bestFit="1" customWidth="1"/>
    <col min="9487" max="9494" width="11.42578125" style="25"/>
    <col min="9495" max="9502" width="10.140625" style="25" bestFit="1" customWidth="1"/>
    <col min="9503" max="9729" width="11.42578125" style="25"/>
    <col min="9730" max="9737" width="11.5703125" style="25" bestFit="1" customWidth="1"/>
    <col min="9738" max="9738" width="11.85546875" style="25" bestFit="1" customWidth="1"/>
    <col min="9739" max="9740" width="11.5703125" style="25" bestFit="1" customWidth="1"/>
    <col min="9741" max="9741" width="11.85546875" style="25" bestFit="1" customWidth="1"/>
    <col min="9742" max="9742" width="11.5703125" style="25" bestFit="1" customWidth="1"/>
    <col min="9743" max="9750" width="11.42578125" style="25"/>
    <col min="9751" max="9758" width="10.140625" style="25" bestFit="1" customWidth="1"/>
    <col min="9759" max="9985" width="11.42578125" style="25"/>
    <col min="9986" max="9993" width="11.5703125" style="25" bestFit="1" customWidth="1"/>
    <col min="9994" max="9994" width="11.85546875" style="25" bestFit="1" customWidth="1"/>
    <col min="9995" max="9996" width="11.5703125" style="25" bestFit="1" customWidth="1"/>
    <col min="9997" max="9997" width="11.85546875" style="25" bestFit="1" customWidth="1"/>
    <col min="9998" max="9998" width="11.5703125" style="25" bestFit="1" customWidth="1"/>
    <col min="9999" max="10006" width="11.42578125" style="25"/>
    <col min="10007" max="10014" width="10.140625" style="25" bestFit="1" customWidth="1"/>
    <col min="10015" max="10241" width="11.42578125" style="25"/>
    <col min="10242" max="10249" width="11.5703125" style="25" bestFit="1" customWidth="1"/>
    <col min="10250" max="10250" width="11.85546875" style="25" bestFit="1" customWidth="1"/>
    <col min="10251" max="10252" width="11.5703125" style="25" bestFit="1" customWidth="1"/>
    <col min="10253" max="10253" width="11.85546875" style="25" bestFit="1" customWidth="1"/>
    <col min="10254" max="10254" width="11.5703125" style="25" bestFit="1" customWidth="1"/>
    <col min="10255" max="10262" width="11.42578125" style="25"/>
    <col min="10263" max="10270" width="10.140625" style="25" bestFit="1" customWidth="1"/>
    <col min="10271" max="10497" width="11.42578125" style="25"/>
    <col min="10498" max="10505" width="11.5703125" style="25" bestFit="1" customWidth="1"/>
    <col min="10506" max="10506" width="11.85546875" style="25" bestFit="1" customWidth="1"/>
    <col min="10507" max="10508" width="11.5703125" style="25" bestFit="1" customWidth="1"/>
    <col min="10509" max="10509" width="11.85546875" style="25" bestFit="1" customWidth="1"/>
    <col min="10510" max="10510" width="11.5703125" style="25" bestFit="1" customWidth="1"/>
    <col min="10511" max="10518" width="11.42578125" style="25"/>
    <col min="10519" max="10526" width="10.140625" style="25" bestFit="1" customWidth="1"/>
    <col min="10527" max="10753" width="11.42578125" style="25"/>
    <col min="10754" max="10761" width="11.5703125" style="25" bestFit="1" customWidth="1"/>
    <col min="10762" max="10762" width="11.85546875" style="25" bestFit="1" customWidth="1"/>
    <col min="10763" max="10764" width="11.5703125" style="25" bestFit="1" customWidth="1"/>
    <col min="10765" max="10765" width="11.85546875" style="25" bestFit="1" customWidth="1"/>
    <col min="10766" max="10766" width="11.5703125" style="25" bestFit="1" customWidth="1"/>
    <col min="10767" max="10774" width="11.42578125" style="25"/>
    <col min="10775" max="10782" width="10.140625" style="25" bestFit="1" customWidth="1"/>
    <col min="10783" max="11009" width="11.42578125" style="25"/>
    <col min="11010" max="11017" width="11.5703125" style="25" bestFit="1" customWidth="1"/>
    <col min="11018" max="11018" width="11.85546875" style="25" bestFit="1" customWidth="1"/>
    <col min="11019" max="11020" width="11.5703125" style="25" bestFit="1" customWidth="1"/>
    <col min="11021" max="11021" width="11.85546875" style="25" bestFit="1" customWidth="1"/>
    <col min="11022" max="11022" width="11.5703125" style="25" bestFit="1" customWidth="1"/>
    <col min="11023" max="11030" width="11.42578125" style="25"/>
    <col min="11031" max="11038" width="10.140625" style="25" bestFit="1" customWidth="1"/>
    <col min="11039" max="11265" width="11.42578125" style="25"/>
    <col min="11266" max="11273" width="11.5703125" style="25" bestFit="1" customWidth="1"/>
    <col min="11274" max="11274" width="11.85546875" style="25" bestFit="1" customWidth="1"/>
    <col min="11275" max="11276" width="11.5703125" style="25" bestFit="1" customWidth="1"/>
    <col min="11277" max="11277" width="11.85546875" style="25" bestFit="1" customWidth="1"/>
    <col min="11278" max="11278" width="11.5703125" style="25" bestFit="1" customWidth="1"/>
    <col min="11279" max="11286" width="11.42578125" style="25"/>
    <col min="11287" max="11294" width="10.140625" style="25" bestFit="1" customWidth="1"/>
    <col min="11295" max="11521" width="11.42578125" style="25"/>
    <col min="11522" max="11529" width="11.5703125" style="25" bestFit="1" customWidth="1"/>
    <col min="11530" max="11530" width="11.85546875" style="25" bestFit="1" customWidth="1"/>
    <col min="11531" max="11532" width="11.5703125" style="25" bestFit="1" customWidth="1"/>
    <col min="11533" max="11533" width="11.85546875" style="25" bestFit="1" customWidth="1"/>
    <col min="11534" max="11534" width="11.5703125" style="25" bestFit="1" customWidth="1"/>
    <col min="11535" max="11542" width="11.42578125" style="25"/>
    <col min="11543" max="11550" width="10.140625" style="25" bestFit="1" customWidth="1"/>
    <col min="11551" max="11777" width="11.42578125" style="25"/>
    <col min="11778" max="11785" width="11.5703125" style="25" bestFit="1" customWidth="1"/>
    <col min="11786" max="11786" width="11.85546875" style="25" bestFit="1" customWidth="1"/>
    <col min="11787" max="11788" width="11.5703125" style="25" bestFit="1" customWidth="1"/>
    <col min="11789" max="11789" width="11.85546875" style="25" bestFit="1" customWidth="1"/>
    <col min="11790" max="11790" width="11.5703125" style="25" bestFit="1" customWidth="1"/>
    <col min="11791" max="11798" width="11.42578125" style="25"/>
    <col min="11799" max="11806" width="10.140625" style="25" bestFit="1" customWidth="1"/>
    <col min="11807" max="12033" width="11.42578125" style="25"/>
    <col min="12034" max="12041" width="11.5703125" style="25" bestFit="1" customWidth="1"/>
    <col min="12042" max="12042" width="11.85546875" style="25" bestFit="1" customWidth="1"/>
    <col min="12043" max="12044" width="11.5703125" style="25" bestFit="1" customWidth="1"/>
    <col min="12045" max="12045" width="11.85546875" style="25" bestFit="1" customWidth="1"/>
    <col min="12046" max="12046" width="11.5703125" style="25" bestFit="1" customWidth="1"/>
    <col min="12047" max="12054" width="11.42578125" style="25"/>
    <col min="12055" max="12062" width="10.140625" style="25" bestFit="1" customWidth="1"/>
    <col min="12063" max="12289" width="11.42578125" style="25"/>
    <col min="12290" max="12297" width="11.5703125" style="25" bestFit="1" customWidth="1"/>
    <col min="12298" max="12298" width="11.85546875" style="25" bestFit="1" customWidth="1"/>
    <col min="12299" max="12300" width="11.5703125" style="25" bestFit="1" customWidth="1"/>
    <col min="12301" max="12301" width="11.85546875" style="25" bestFit="1" customWidth="1"/>
    <col min="12302" max="12302" width="11.5703125" style="25" bestFit="1" customWidth="1"/>
    <col min="12303" max="12310" width="11.42578125" style="25"/>
    <col min="12311" max="12318" width="10.140625" style="25" bestFit="1" customWidth="1"/>
    <col min="12319" max="12545" width="11.42578125" style="25"/>
    <col min="12546" max="12553" width="11.5703125" style="25" bestFit="1" customWidth="1"/>
    <col min="12554" max="12554" width="11.85546875" style="25" bestFit="1" customWidth="1"/>
    <col min="12555" max="12556" width="11.5703125" style="25" bestFit="1" customWidth="1"/>
    <col min="12557" max="12557" width="11.85546875" style="25" bestFit="1" customWidth="1"/>
    <col min="12558" max="12558" width="11.5703125" style="25" bestFit="1" customWidth="1"/>
    <col min="12559" max="12566" width="11.42578125" style="25"/>
    <col min="12567" max="12574" width="10.140625" style="25" bestFit="1" customWidth="1"/>
    <col min="12575" max="12801" width="11.42578125" style="25"/>
    <col min="12802" max="12809" width="11.5703125" style="25" bestFit="1" customWidth="1"/>
    <col min="12810" max="12810" width="11.85546875" style="25" bestFit="1" customWidth="1"/>
    <col min="12811" max="12812" width="11.5703125" style="25" bestFit="1" customWidth="1"/>
    <col min="12813" max="12813" width="11.85546875" style="25" bestFit="1" customWidth="1"/>
    <col min="12814" max="12814" width="11.5703125" style="25" bestFit="1" customWidth="1"/>
    <col min="12815" max="12822" width="11.42578125" style="25"/>
    <col min="12823" max="12830" width="10.140625" style="25" bestFit="1" customWidth="1"/>
    <col min="12831" max="13057" width="11.42578125" style="25"/>
    <col min="13058" max="13065" width="11.5703125" style="25" bestFit="1" customWidth="1"/>
    <col min="13066" max="13066" width="11.85546875" style="25" bestFit="1" customWidth="1"/>
    <col min="13067" max="13068" width="11.5703125" style="25" bestFit="1" customWidth="1"/>
    <col min="13069" max="13069" width="11.85546875" style="25" bestFit="1" customWidth="1"/>
    <col min="13070" max="13070" width="11.5703125" style="25" bestFit="1" customWidth="1"/>
    <col min="13071" max="13078" width="11.42578125" style="25"/>
    <col min="13079" max="13086" width="10.140625" style="25" bestFit="1" customWidth="1"/>
    <col min="13087" max="13313" width="11.42578125" style="25"/>
    <col min="13314" max="13321" width="11.5703125" style="25" bestFit="1" customWidth="1"/>
    <col min="13322" max="13322" width="11.85546875" style="25" bestFit="1" customWidth="1"/>
    <col min="13323" max="13324" width="11.5703125" style="25" bestFit="1" customWidth="1"/>
    <col min="13325" max="13325" width="11.85546875" style="25" bestFit="1" customWidth="1"/>
    <col min="13326" max="13326" width="11.5703125" style="25" bestFit="1" customWidth="1"/>
    <col min="13327" max="13334" width="11.42578125" style="25"/>
    <col min="13335" max="13342" width="10.140625" style="25" bestFit="1" customWidth="1"/>
    <col min="13343" max="13569" width="11.42578125" style="25"/>
    <col min="13570" max="13577" width="11.5703125" style="25" bestFit="1" customWidth="1"/>
    <col min="13578" max="13578" width="11.85546875" style="25" bestFit="1" customWidth="1"/>
    <col min="13579" max="13580" width="11.5703125" style="25" bestFit="1" customWidth="1"/>
    <col min="13581" max="13581" width="11.85546875" style="25" bestFit="1" customWidth="1"/>
    <col min="13582" max="13582" width="11.5703125" style="25" bestFit="1" customWidth="1"/>
    <col min="13583" max="13590" width="11.42578125" style="25"/>
    <col min="13591" max="13598" width="10.140625" style="25" bestFit="1" customWidth="1"/>
    <col min="13599" max="13825" width="11.42578125" style="25"/>
    <col min="13826" max="13833" width="11.5703125" style="25" bestFit="1" customWidth="1"/>
    <col min="13834" max="13834" width="11.85546875" style="25" bestFit="1" customWidth="1"/>
    <col min="13835" max="13836" width="11.5703125" style="25" bestFit="1" customWidth="1"/>
    <col min="13837" max="13837" width="11.85546875" style="25" bestFit="1" customWidth="1"/>
    <col min="13838" max="13838" width="11.5703125" style="25" bestFit="1" customWidth="1"/>
    <col min="13839" max="13846" width="11.42578125" style="25"/>
    <col min="13847" max="13854" width="10.140625" style="25" bestFit="1" customWidth="1"/>
    <col min="13855" max="14081" width="11.42578125" style="25"/>
    <col min="14082" max="14089" width="11.5703125" style="25" bestFit="1" customWidth="1"/>
    <col min="14090" max="14090" width="11.85546875" style="25" bestFit="1" customWidth="1"/>
    <col min="14091" max="14092" width="11.5703125" style="25" bestFit="1" customWidth="1"/>
    <col min="14093" max="14093" width="11.85546875" style="25" bestFit="1" customWidth="1"/>
    <col min="14094" max="14094" width="11.5703125" style="25" bestFit="1" customWidth="1"/>
    <col min="14095" max="14102" width="11.42578125" style="25"/>
    <col min="14103" max="14110" width="10.140625" style="25" bestFit="1" customWidth="1"/>
    <col min="14111" max="14337" width="11.42578125" style="25"/>
    <col min="14338" max="14345" width="11.5703125" style="25" bestFit="1" customWidth="1"/>
    <col min="14346" max="14346" width="11.85546875" style="25" bestFit="1" customWidth="1"/>
    <col min="14347" max="14348" width="11.5703125" style="25" bestFit="1" customWidth="1"/>
    <col min="14349" max="14349" width="11.85546875" style="25" bestFit="1" customWidth="1"/>
    <col min="14350" max="14350" width="11.5703125" style="25" bestFit="1" customWidth="1"/>
    <col min="14351" max="14358" width="11.42578125" style="25"/>
    <col min="14359" max="14366" width="10.140625" style="25" bestFit="1" customWidth="1"/>
    <col min="14367" max="14593" width="11.42578125" style="25"/>
    <col min="14594" max="14601" width="11.5703125" style="25" bestFit="1" customWidth="1"/>
    <col min="14602" max="14602" width="11.85546875" style="25" bestFit="1" customWidth="1"/>
    <col min="14603" max="14604" width="11.5703125" style="25" bestFit="1" customWidth="1"/>
    <col min="14605" max="14605" width="11.85546875" style="25" bestFit="1" customWidth="1"/>
    <col min="14606" max="14606" width="11.5703125" style="25" bestFit="1" customWidth="1"/>
    <col min="14607" max="14614" width="11.42578125" style="25"/>
    <col min="14615" max="14622" width="10.140625" style="25" bestFit="1" customWidth="1"/>
    <col min="14623" max="14849" width="11.42578125" style="25"/>
    <col min="14850" max="14857" width="11.5703125" style="25" bestFit="1" customWidth="1"/>
    <col min="14858" max="14858" width="11.85546875" style="25" bestFit="1" customWidth="1"/>
    <col min="14859" max="14860" width="11.5703125" style="25" bestFit="1" customWidth="1"/>
    <col min="14861" max="14861" width="11.85546875" style="25" bestFit="1" customWidth="1"/>
    <col min="14862" max="14862" width="11.5703125" style="25" bestFit="1" customWidth="1"/>
    <col min="14863" max="14870" width="11.42578125" style="25"/>
    <col min="14871" max="14878" width="10.140625" style="25" bestFit="1" customWidth="1"/>
    <col min="14879" max="15105" width="11.42578125" style="25"/>
    <col min="15106" max="15113" width="11.5703125" style="25" bestFit="1" customWidth="1"/>
    <col min="15114" max="15114" width="11.85546875" style="25" bestFit="1" customWidth="1"/>
    <col min="15115" max="15116" width="11.5703125" style="25" bestFit="1" customWidth="1"/>
    <col min="15117" max="15117" width="11.85546875" style="25" bestFit="1" customWidth="1"/>
    <col min="15118" max="15118" width="11.5703125" style="25" bestFit="1" customWidth="1"/>
    <col min="15119" max="15126" width="11.42578125" style="25"/>
    <col min="15127" max="15134" width="10.140625" style="25" bestFit="1" customWidth="1"/>
    <col min="15135" max="15361" width="11.42578125" style="25"/>
    <col min="15362" max="15369" width="11.5703125" style="25" bestFit="1" customWidth="1"/>
    <col min="15370" max="15370" width="11.85546875" style="25" bestFit="1" customWidth="1"/>
    <col min="15371" max="15372" width="11.5703125" style="25" bestFit="1" customWidth="1"/>
    <col min="15373" max="15373" width="11.85546875" style="25" bestFit="1" customWidth="1"/>
    <col min="15374" max="15374" width="11.5703125" style="25" bestFit="1" customWidth="1"/>
    <col min="15375" max="15382" width="11.42578125" style="25"/>
    <col min="15383" max="15390" width="10.140625" style="25" bestFit="1" customWidth="1"/>
    <col min="15391" max="15617" width="11.42578125" style="25"/>
    <col min="15618" max="15625" width="11.5703125" style="25" bestFit="1" customWidth="1"/>
    <col min="15626" max="15626" width="11.85546875" style="25" bestFit="1" customWidth="1"/>
    <col min="15627" max="15628" width="11.5703125" style="25" bestFit="1" customWidth="1"/>
    <col min="15629" max="15629" width="11.85546875" style="25" bestFit="1" customWidth="1"/>
    <col min="15630" max="15630" width="11.5703125" style="25" bestFit="1" customWidth="1"/>
    <col min="15631" max="15638" width="11.42578125" style="25"/>
    <col min="15639" max="15646" width="10.140625" style="25" bestFit="1" customWidth="1"/>
    <col min="15647" max="15873" width="11.42578125" style="25"/>
    <col min="15874" max="15881" width="11.5703125" style="25" bestFit="1" customWidth="1"/>
    <col min="15882" max="15882" width="11.85546875" style="25" bestFit="1" customWidth="1"/>
    <col min="15883" max="15884" width="11.5703125" style="25" bestFit="1" customWidth="1"/>
    <col min="15885" max="15885" width="11.85546875" style="25" bestFit="1" customWidth="1"/>
    <col min="15886" max="15886" width="11.5703125" style="25" bestFit="1" customWidth="1"/>
    <col min="15887" max="15894" width="11.42578125" style="25"/>
    <col min="15895" max="15902" width="10.140625" style="25" bestFit="1" customWidth="1"/>
    <col min="15903" max="16129" width="11.42578125" style="25"/>
    <col min="16130" max="16137" width="11.5703125" style="25" bestFit="1" customWidth="1"/>
    <col min="16138" max="16138" width="11.85546875" style="25" bestFit="1" customWidth="1"/>
    <col min="16139" max="16140" width="11.5703125" style="25" bestFit="1" customWidth="1"/>
    <col min="16141" max="16141" width="11.85546875" style="25" bestFit="1" customWidth="1"/>
    <col min="16142" max="16142" width="11.5703125" style="25" bestFit="1" customWidth="1"/>
    <col min="16143" max="16150" width="11.42578125" style="25"/>
    <col min="16151" max="16158" width="10.140625" style="25" bestFit="1" customWidth="1"/>
    <col min="16159" max="16384" width="11.42578125" style="25"/>
  </cols>
  <sheetData>
    <row r="1" spans="1:153">
      <c r="A1" s="24" t="s">
        <v>64</v>
      </c>
      <c r="CN1" s="26" t="s">
        <v>64</v>
      </c>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row>
    <row r="2" spans="1:153">
      <c r="D2" s="28"/>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row>
    <row r="3" spans="1:153">
      <c r="A3" s="29" t="s">
        <v>65</v>
      </c>
      <c r="B3" s="30"/>
      <c r="D3" s="30"/>
      <c r="E3" s="30"/>
      <c r="F3" s="30"/>
      <c r="G3" s="30"/>
      <c r="H3" s="30"/>
      <c r="I3" s="30"/>
      <c r="J3" s="30"/>
      <c r="K3" s="30"/>
      <c r="L3" s="30"/>
      <c r="M3" s="30"/>
      <c r="N3" s="30"/>
      <c r="O3" s="30"/>
      <c r="P3" s="30"/>
      <c r="Q3" s="30"/>
      <c r="R3" s="30"/>
      <c r="CN3" s="31" t="s">
        <v>66</v>
      </c>
      <c r="CO3" s="31">
        <v>1990</v>
      </c>
      <c r="CP3" s="31">
        <v>1991</v>
      </c>
      <c r="CQ3" s="31">
        <v>1992</v>
      </c>
      <c r="CR3" s="31">
        <v>1993</v>
      </c>
      <c r="CS3" s="31">
        <v>1994</v>
      </c>
      <c r="CT3" s="31">
        <v>1995</v>
      </c>
      <c r="CU3" s="31">
        <v>1996</v>
      </c>
      <c r="CV3" s="31">
        <v>1997</v>
      </c>
      <c r="CW3" s="31">
        <v>1998</v>
      </c>
      <c r="CX3" s="31">
        <v>1999</v>
      </c>
      <c r="CY3" s="31">
        <v>2000</v>
      </c>
      <c r="CZ3" s="31">
        <v>2001</v>
      </c>
      <c r="DA3" s="31">
        <v>2002</v>
      </c>
      <c r="DB3" s="31">
        <v>2003</v>
      </c>
      <c r="DC3" s="31">
        <v>2004</v>
      </c>
      <c r="DD3" s="31">
        <v>2005</v>
      </c>
      <c r="DE3" s="31">
        <v>2006</v>
      </c>
      <c r="DF3" s="31">
        <v>2007</v>
      </c>
      <c r="DG3" s="31">
        <v>2008</v>
      </c>
      <c r="DH3" s="31">
        <v>2009</v>
      </c>
      <c r="DI3" s="31">
        <v>2010</v>
      </c>
      <c r="DJ3" s="31">
        <v>2011</v>
      </c>
      <c r="DK3" s="31">
        <v>2012</v>
      </c>
      <c r="DL3" s="31">
        <v>2013</v>
      </c>
      <c r="DM3" s="31">
        <v>2014</v>
      </c>
      <c r="DN3" s="31">
        <v>2015</v>
      </c>
      <c r="DO3" s="31">
        <v>2016</v>
      </c>
      <c r="DP3" s="31">
        <v>2017</v>
      </c>
      <c r="DQ3" s="31">
        <v>2018</v>
      </c>
      <c r="DR3" s="31">
        <v>2019</v>
      </c>
      <c r="DS3" s="31">
        <v>2020</v>
      </c>
      <c r="DT3" s="31">
        <v>2021</v>
      </c>
      <c r="DU3" s="31">
        <v>2022</v>
      </c>
      <c r="DV3" s="31">
        <v>2023</v>
      </c>
      <c r="DW3" s="31">
        <v>2024</v>
      </c>
      <c r="DX3" s="31">
        <v>2025</v>
      </c>
      <c r="DY3" s="31">
        <v>2026</v>
      </c>
      <c r="DZ3" s="31">
        <v>2027</v>
      </c>
      <c r="EA3" s="31">
        <v>2028</v>
      </c>
      <c r="EB3" s="31">
        <v>2029</v>
      </c>
      <c r="EC3" s="31">
        <v>2030</v>
      </c>
      <c r="ED3" s="31">
        <v>2031</v>
      </c>
      <c r="EE3" s="31">
        <v>2032</v>
      </c>
      <c r="EF3" s="31">
        <v>2033</v>
      </c>
      <c r="EG3" s="31">
        <v>2034</v>
      </c>
      <c r="EH3" s="31">
        <v>2035</v>
      </c>
      <c r="EI3" s="31">
        <v>2036</v>
      </c>
      <c r="EJ3" s="31">
        <v>2037</v>
      </c>
      <c r="EK3" s="31">
        <v>2038</v>
      </c>
      <c r="EL3" s="31">
        <v>2039</v>
      </c>
      <c r="EM3" s="31">
        <v>2040</v>
      </c>
      <c r="EN3" s="31">
        <v>2041</v>
      </c>
      <c r="EO3" s="31">
        <v>2042</v>
      </c>
      <c r="EP3" s="31">
        <v>2043</v>
      </c>
      <c r="EQ3" s="31">
        <v>2044</v>
      </c>
      <c r="ER3" s="31">
        <v>2045</v>
      </c>
      <c r="ES3" s="31">
        <v>2046</v>
      </c>
      <c r="ET3" s="31">
        <v>2047</v>
      </c>
      <c r="EU3" s="31">
        <v>2048</v>
      </c>
      <c r="EV3" s="31">
        <v>2049</v>
      </c>
      <c r="EW3" s="31">
        <v>2050</v>
      </c>
    </row>
    <row r="4" spans="1:153">
      <c r="A4" s="29" t="s">
        <v>67</v>
      </c>
      <c r="B4" s="32">
        <v>2000</v>
      </c>
      <c r="D4" s="32">
        <v>2001</v>
      </c>
      <c r="E4" s="32">
        <v>2002</v>
      </c>
      <c r="F4" s="32">
        <v>2003</v>
      </c>
      <c r="G4" s="32">
        <v>2004</v>
      </c>
      <c r="H4" s="32">
        <v>2005</v>
      </c>
      <c r="I4" s="32">
        <v>2006</v>
      </c>
      <c r="J4" s="32">
        <v>2007</v>
      </c>
      <c r="K4" s="32">
        <v>2008</v>
      </c>
      <c r="L4" s="32">
        <v>2009</v>
      </c>
      <c r="M4" s="32">
        <v>2010</v>
      </c>
      <c r="N4" s="32">
        <v>2011</v>
      </c>
      <c r="O4" s="32">
        <v>2012</v>
      </c>
      <c r="P4" s="32">
        <v>2013</v>
      </c>
      <c r="Q4" s="32">
        <v>2014</v>
      </c>
      <c r="R4" s="32">
        <v>2015</v>
      </c>
      <c r="S4" s="32">
        <v>2016</v>
      </c>
      <c r="T4" s="32">
        <v>2017</v>
      </c>
      <c r="U4" s="32">
        <v>2018</v>
      </c>
      <c r="V4" s="32">
        <v>2019</v>
      </c>
      <c r="W4" s="32">
        <v>2020</v>
      </c>
      <c r="X4" s="32">
        <v>2021</v>
      </c>
      <c r="Y4" s="32">
        <v>2022</v>
      </c>
      <c r="Z4" s="32">
        <v>2023</v>
      </c>
      <c r="AA4" s="32">
        <v>2024</v>
      </c>
      <c r="AB4" s="32">
        <v>2025</v>
      </c>
      <c r="AC4" s="32">
        <v>2026</v>
      </c>
      <c r="AD4" s="32">
        <v>2027</v>
      </c>
      <c r="AE4" s="32"/>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row>
    <row r="5" spans="1:153" s="30" customFormat="1">
      <c r="A5" s="34"/>
      <c r="B5" s="34"/>
      <c r="C5" s="80"/>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CN5" s="35" t="s">
        <v>68</v>
      </c>
      <c r="CO5" s="36">
        <v>9956666</v>
      </c>
      <c r="CP5" s="36">
        <v>10186733</v>
      </c>
      <c r="CQ5" s="36">
        <v>10416960</v>
      </c>
      <c r="CR5" s="36">
        <v>10647110</v>
      </c>
      <c r="CS5" s="36">
        <v>10876944</v>
      </c>
      <c r="CT5" s="36">
        <v>11106197</v>
      </c>
      <c r="CU5" s="36">
        <v>11333607</v>
      </c>
      <c r="CV5" s="36">
        <v>11559949</v>
      </c>
      <c r="CW5" s="36">
        <v>11784967</v>
      </c>
      <c r="CX5" s="36">
        <v>12010280</v>
      </c>
      <c r="CY5" s="36">
        <v>12229953</v>
      </c>
      <c r="CZ5" s="36">
        <v>12454204</v>
      </c>
      <c r="DA5" s="36">
        <v>12678275</v>
      </c>
      <c r="DB5" s="36">
        <v>12901999</v>
      </c>
      <c r="DC5" s="36">
        <v>13125804</v>
      </c>
      <c r="DD5" s="36">
        <v>13347732</v>
      </c>
      <c r="DE5" s="36">
        <v>13570418</v>
      </c>
      <c r="DF5" s="36">
        <v>13792761</v>
      </c>
      <c r="DG5" s="36">
        <v>14014614</v>
      </c>
      <c r="DH5" s="36">
        <v>14235351</v>
      </c>
      <c r="DI5" s="36">
        <v>14456287</v>
      </c>
      <c r="DJ5" s="36">
        <v>14673402</v>
      </c>
      <c r="DK5" s="36">
        <v>14888876</v>
      </c>
      <c r="DL5" s="36">
        <v>15102533</v>
      </c>
      <c r="DM5" s="36">
        <v>15313881</v>
      </c>
      <c r="DN5" s="36">
        <v>15523702</v>
      </c>
      <c r="DO5" s="36">
        <v>15728959</v>
      </c>
      <c r="DP5" s="36">
        <v>15931336</v>
      </c>
      <c r="DQ5" s="36">
        <v>16130644</v>
      </c>
      <c r="DR5" s="36">
        <v>16326788</v>
      </c>
      <c r="DS5" s="36">
        <v>16519307</v>
      </c>
      <c r="DT5" s="36">
        <v>16707676</v>
      </c>
      <c r="DU5" s="36">
        <v>16892332</v>
      </c>
      <c r="DV5" s="36">
        <v>17073102</v>
      </c>
      <c r="DW5" s="36">
        <v>17250156</v>
      </c>
      <c r="DX5" s="36">
        <v>17422288</v>
      </c>
      <c r="DY5" s="36">
        <v>17590805</v>
      </c>
      <c r="DZ5" s="36">
        <v>17755123</v>
      </c>
      <c r="EA5" s="36">
        <v>17915090</v>
      </c>
      <c r="EB5" s="36">
        <v>18070999</v>
      </c>
      <c r="EC5" s="36">
        <v>18221385</v>
      </c>
      <c r="ED5" s="36">
        <v>18368445</v>
      </c>
      <c r="EE5" s="36">
        <v>18511038</v>
      </c>
      <c r="EF5" s="36">
        <v>18649038</v>
      </c>
      <c r="EG5" s="36">
        <v>18782673</v>
      </c>
      <c r="EH5" s="36">
        <v>18910790</v>
      </c>
      <c r="EI5" s="36">
        <v>19035147</v>
      </c>
      <c r="EJ5" s="36">
        <v>19154801</v>
      </c>
      <c r="EK5" s="36">
        <v>19269651</v>
      </c>
      <c r="EL5" s="36">
        <v>19379606</v>
      </c>
      <c r="EM5" s="36">
        <v>19484556</v>
      </c>
      <c r="EN5" s="36">
        <v>19584545</v>
      </c>
      <c r="EO5" s="36">
        <v>19679355</v>
      </c>
      <c r="EP5" s="36">
        <v>19768907</v>
      </c>
      <c r="EQ5" s="36">
        <v>19854961</v>
      </c>
      <c r="ER5" s="36">
        <v>19931944</v>
      </c>
      <c r="ES5" s="36">
        <v>20011039</v>
      </c>
      <c r="ET5" s="36">
        <v>20086480</v>
      </c>
      <c r="EU5" s="36">
        <v>20158221</v>
      </c>
      <c r="EV5" s="36">
        <v>20226221</v>
      </c>
      <c r="EW5" s="36">
        <v>20290430</v>
      </c>
    </row>
    <row r="6" spans="1:153">
      <c r="A6" s="28" t="s">
        <v>69</v>
      </c>
      <c r="B6" s="32">
        <v>24310896</v>
      </c>
      <c r="D6" s="32">
        <v>24765581</v>
      </c>
      <c r="E6" s="32">
        <v>25219910</v>
      </c>
      <c r="F6" s="32">
        <v>25673550</v>
      </c>
      <c r="G6" s="32">
        <v>26127351</v>
      </c>
      <c r="H6" s="32">
        <v>26577423</v>
      </c>
      <c r="I6" s="32">
        <v>27030656</v>
      </c>
      <c r="J6" s="32">
        <v>27483208</v>
      </c>
      <c r="K6" s="32">
        <v>27934783</v>
      </c>
      <c r="L6" s="32">
        <v>28384132</v>
      </c>
      <c r="M6" s="32">
        <v>28833845</v>
      </c>
      <c r="N6" s="32">
        <v>29277736</v>
      </c>
      <c r="O6" s="32">
        <v>29718357</v>
      </c>
      <c r="P6" s="32">
        <v>30155352</v>
      </c>
      <c r="Q6" s="32">
        <v>30587736</v>
      </c>
      <c r="R6" s="32">
        <v>31017064</v>
      </c>
      <c r="S6" s="32">
        <v>31439105</v>
      </c>
      <c r="T6" s="32">
        <v>31855396</v>
      </c>
      <c r="U6" s="32">
        <v>32265553</v>
      </c>
      <c r="V6" s="32">
        <v>32669379</v>
      </c>
      <c r="W6" s="32">
        <v>33065965</v>
      </c>
      <c r="X6" s="32">
        <v>33456022</v>
      </c>
      <c r="Y6" s="32">
        <v>33838655</v>
      </c>
      <c r="Z6" s="32">
        <v>34213506</v>
      </c>
      <c r="AA6" s="32">
        <v>34580906</v>
      </c>
      <c r="AB6" s="32">
        <v>34938434</v>
      </c>
      <c r="AC6" s="32">
        <v>35289945</v>
      </c>
      <c r="AD6" s="32">
        <v>35633043</v>
      </c>
      <c r="AE6" s="32"/>
    </row>
    <row r="8" spans="1:153">
      <c r="A8" s="37" t="s">
        <v>70</v>
      </c>
      <c r="B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row>
    <row r="9" spans="1:153">
      <c r="A9" s="38">
        <v>0</v>
      </c>
      <c r="B9" s="24">
        <v>553335</v>
      </c>
      <c r="C9" s="79">
        <f>+B9/B14</f>
        <v>0.20008085170546114</v>
      </c>
      <c r="D9" s="24">
        <v>560034</v>
      </c>
      <c r="E9" s="24">
        <v>566727</v>
      </c>
      <c r="F9" s="24">
        <v>573402</v>
      </c>
      <c r="G9" s="24">
        <v>580080</v>
      </c>
      <c r="H9" s="24">
        <v>586678</v>
      </c>
      <c r="I9" s="24">
        <v>587449</v>
      </c>
      <c r="J9" s="24">
        <v>588204</v>
      </c>
      <c r="K9" s="24">
        <v>588939</v>
      </c>
      <c r="L9" s="24">
        <v>589626</v>
      </c>
      <c r="M9" s="24">
        <v>590326</v>
      </c>
      <c r="N9" s="24">
        <v>588794</v>
      </c>
      <c r="O9" s="24">
        <v>587193</v>
      </c>
      <c r="P9" s="24">
        <v>585519</v>
      </c>
      <c r="Q9" s="24">
        <v>583756</v>
      </c>
      <c r="R9" s="24">
        <v>581937</v>
      </c>
      <c r="S9" s="24">
        <v>579930</v>
      </c>
      <c r="T9" s="24">
        <v>577810</v>
      </c>
      <c r="U9" s="24">
        <v>575577</v>
      </c>
      <c r="V9" s="24">
        <v>573232</v>
      </c>
      <c r="W9" s="24">
        <v>570768</v>
      </c>
      <c r="X9" s="24">
        <v>569005</v>
      </c>
      <c r="Y9" s="24">
        <v>567110</v>
      </c>
      <c r="Z9" s="24">
        <v>565083</v>
      </c>
      <c r="AA9" s="24">
        <v>562935</v>
      </c>
      <c r="AB9" s="24">
        <v>560631</v>
      </c>
      <c r="AC9" s="24">
        <v>558715</v>
      </c>
      <c r="AD9" s="24">
        <v>556661</v>
      </c>
      <c r="AE9" s="24"/>
      <c r="AF9" s="48"/>
      <c r="AG9" s="48"/>
      <c r="AH9" s="48"/>
      <c r="AI9" s="48"/>
      <c r="AJ9" s="48"/>
      <c r="AK9" s="48"/>
      <c r="AL9" s="48"/>
      <c r="AM9" s="48"/>
      <c r="AN9" s="48"/>
      <c r="AO9" s="48"/>
    </row>
    <row r="10" spans="1:153">
      <c r="A10" s="38">
        <v>1</v>
      </c>
      <c r="B10" s="24">
        <v>555223</v>
      </c>
      <c r="C10" s="79">
        <f>+B10/B14</f>
        <v>0.20076353515765541</v>
      </c>
      <c r="D10" s="24">
        <v>559206</v>
      </c>
      <c r="E10" s="24">
        <v>563181</v>
      </c>
      <c r="F10" s="24">
        <v>567141</v>
      </c>
      <c r="G10" s="24">
        <v>571103</v>
      </c>
      <c r="H10" s="24">
        <v>574986</v>
      </c>
      <c r="I10" s="24">
        <v>577156</v>
      </c>
      <c r="J10" s="24">
        <v>579311</v>
      </c>
      <c r="K10" s="24">
        <v>581446</v>
      </c>
      <c r="L10" s="24">
        <v>583534</v>
      </c>
      <c r="M10" s="24">
        <v>585634</v>
      </c>
      <c r="N10" s="24">
        <v>585417</v>
      </c>
      <c r="O10" s="24">
        <v>585132</v>
      </c>
      <c r="P10" s="24">
        <v>584775</v>
      </c>
      <c r="Q10" s="24">
        <v>584328</v>
      </c>
      <c r="R10" s="24">
        <v>583826</v>
      </c>
      <c r="S10" s="24">
        <v>582079</v>
      </c>
      <c r="T10" s="24">
        <v>580219</v>
      </c>
      <c r="U10" s="24">
        <v>578246</v>
      </c>
      <c r="V10" s="24">
        <v>576161</v>
      </c>
      <c r="W10" s="24">
        <v>573954</v>
      </c>
      <c r="X10" s="24">
        <v>571884</v>
      </c>
      <c r="Y10" s="24">
        <v>569680</v>
      </c>
      <c r="Z10" s="24">
        <v>567343</v>
      </c>
      <c r="AA10" s="24">
        <v>564884</v>
      </c>
      <c r="AB10" s="24">
        <v>562271</v>
      </c>
      <c r="AC10" s="24">
        <v>560177</v>
      </c>
      <c r="AD10" s="24">
        <v>557944</v>
      </c>
      <c r="AE10" s="24"/>
      <c r="AF10" s="48"/>
      <c r="AG10" s="48"/>
      <c r="AH10" s="48"/>
      <c r="AI10" s="48"/>
      <c r="AJ10" s="48"/>
      <c r="AK10" s="48"/>
      <c r="AL10" s="48"/>
      <c r="AM10" s="48"/>
      <c r="AN10" s="48"/>
      <c r="AO10" s="48"/>
    </row>
    <row r="11" spans="1:153">
      <c r="A11" s="38">
        <v>2</v>
      </c>
      <c r="B11" s="24">
        <v>554738</v>
      </c>
      <c r="C11" s="79">
        <f>+B11/B14</f>
        <v>0.20058816361405676</v>
      </c>
      <c r="D11" s="24">
        <v>557062</v>
      </c>
      <c r="E11" s="24">
        <v>559377</v>
      </c>
      <c r="F11" s="24">
        <v>561677</v>
      </c>
      <c r="G11" s="24">
        <v>563979</v>
      </c>
      <c r="H11" s="24">
        <v>566203</v>
      </c>
      <c r="I11" s="24">
        <v>569316</v>
      </c>
      <c r="J11" s="24">
        <v>572414</v>
      </c>
      <c r="K11" s="24">
        <v>575491</v>
      </c>
      <c r="L11" s="24">
        <v>578523</v>
      </c>
      <c r="M11" s="24">
        <v>581566</v>
      </c>
      <c r="N11" s="24">
        <v>582337</v>
      </c>
      <c r="O11" s="24">
        <v>583041</v>
      </c>
      <c r="P11" s="24">
        <v>583672</v>
      </c>
      <c r="Q11" s="24">
        <v>584216</v>
      </c>
      <c r="R11" s="24">
        <v>584703</v>
      </c>
      <c r="S11" s="24">
        <v>583254</v>
      </c>
      <c r="T11" s="24">
        <v>581693</v>
      </c>
      <c r="U11" s="24">
        <v>580019</v>
      </c>
      <c r="V11" s="24">
        <v>578233</v>
      </c>
      <c r="W11" s="24">
        <v>576324</v>
      </c>
      <c r="X11" s="24">
        <v>574108</v>
      </c>
      <c r="Y11" s="24">
        <v>571758</v>
      </c>
      <c r="Z11" s="24">
        <v>569274</v>
      </c>
      <c r="AA11" s="24">
        <v>566669</v>
      </c>
      <c r="AB11" s="24">
        <v>563908</v>
      </c>
      <c r="AC11" s="24">
        <v>561718</v>
      </c>
      <c r="AD11" s="24">
        <v>559388</v>
      </c>
      <c r="AE11" s="24"/>
      <c r="AF11" s="48"/>
      <c r="AG11" s="48"/>
      <c r="AH11" s="48"/>
      <c r="AI11" s="48"/>
      <c r="AJ11" s="48"/>
      <c r="AK11" s="48"/>
      <c r="AL11" s="48"/>
      <c r="AM11" s="48"/>
      <c r="AN11" s="48"/>
      <c r="AO11" s="48"/>
    </row>
    <row r="12" spans="1:153">
      <c r="A12" s="38">
        <v>3</v>
      </c>
      <c r="B12" s="24">
        <v>552627</v>
      </c>
      <c r="C12" s="79">
        <f>+B12/B14</f>
        <v>0.1998248454108883</v>
      </c>
      <c r="D12" s="24">
        <v>554100</v>
      </c>
      <c r="E12" s="24">
        <v>555564</v>
      </c>
      <c r="F12" s="24">
        <v>557012</v>
      </c>
      <c r="G12" s="24">
        <v>558464</v>
      </c>
      <c r="H12" s="24">
        <v>559837</v>
      </c>
      <c r="I12" s="24">
        <v>563502</v>
      </c>
      <c r="J12" s="24">
        <v>567151</v>
      </c>
      <c r="K12" s="24">
        <v>570780</v>
      </c>
      <c r="L12" s="24">
        <v>574364</v>
      </c>
      <c r="M12" s="24">
        <v>577958</v>
      </c>
      <c r="N12" s="24">
        <v>579450</v>
      </c>
      <c r="O12" s="24">
        <v>580874</v>
      </c>
      <c r="P12" s="24">
        <v>582226</v>
      </c>
      <c r="Q12" s="24">
        <v>583490</v>
      </c>
      <c r="R12" s="24">
        <v>584698</v>
      </c>
      <c r="S12" s="24">
        <v>583588</v>
      </c>
      <c r="T12" s="24">
        <v>582365</v>
      </c>
      <c r="U12" s="24">
        <v>581029</v>
      </c>
      <c r="V12" s="24">
        <v>579580</v>
      </c>
      <c r="W12" s="24">
        <v>578008</v>
      </c>
      <c r="X12" s="24">
        <v>575785</v>
      </c>
      <c r="Y12" s="24">
        <v>573429</v>
      </c>
      <c r="Z12" s="24">
        <v>570939</v>
      </c>
      <c r="AA12" s="24">
        <v>568326</v>
      </c>
      <c r="AB12" s="24">
        <v>565558</v>
      </c>
      <c r="AC12" s="24">
        <v>563337</v>
      </c>
      <c r="AD12" s="24">
        <v>560976</v>
      </c>
      <c r="AE12" s="24"/>
      <c r="AF12" s="48"/>
      <c r="AG12" s="48"/>
      <c r="AH12" s="48"/>
      <c r="AI12" s="48"/>
      <c r="AJ12" s="48"/>
      <c r="AK12" s="48"/>
      <c r="AL12" s="48"/>
      <c r="AM12" s="48"/>
      <c r="AN12" s="48"/>
      <c r="AO12" s="48"/>
    </row>
    <row r="13" spans="1:153">
      <c r="A13" s="38">
        <v>4</v>
      </c>
      <c r="B13" s="24">
        <v>549634</v>
      </c>
      <c r="C13" s="79">
        <f>+B13/B14</f>
        <v>0.19874260411193839</v>
      </c>
      <c r="D13" s="24">
        <v>550816</v>
      </c>
      <c r="E13" s="24">
        <v>551991</v>
      </c>
      <c r="F13" s="24">
        <v>553149</v>
      </c>
      <c r="G13" s="24">
        <v>554310</v>
      </c>
      <c r="H13" s="24">
        <v>555394</v>
      </c>
      <c r="I13" s="24">
        <v>559284</v>
      </c>
      <c r="J13" s="24">
        <v>563160</v>
      </c>
      <c r="K13" s="24">
        <v>567016</v>
      </c>
      <c r="L13" s="24">
        <v>570826</v>
      </c>
      <c r="M13" s="24">
        <v>574647</v>
      </c>
      <c r="N13" s="24">
        <v>576649</v>
      </c>
      <c r="O13" s="24">
        <v>578585</v>
      </c>
      <c r="P13" s="24">
        <v>580449</v>
      </c>
      <c r="Q13" s="24">
        <v>582225</v>
      </c>
      <c r="R13" s="24">
        <v>583946</v>
      </c>
      <c r="S13" s="24">
        <v>583212</v>
      </c>
      <c r="T13" s="24">
        <v>582366</v>
      </c>
      <c r="U13" s="24">
        <v>581406</v>
      </c>
      <c r="V13" s="24">
        <v>580335</v>
      </c>
      <c r="W13" s="24">
        <v>579137</v>
      </c>
      <c r="X13" s="24">
        <v>577025</v>
      </c>
      <c r="Y13" s="24">
        <v>574779</v>
      </c>
      <c r="Z13" s="24">
        <v>572398</v>
      </c>
      <c r="AA13" s="24">
        <v>569894</v>
      </c>
      <c r="AB13" s="24">
        <v>567233</v>
      </c>
      <c r="AC13" s="24">
        <v>565034</v>
      </c>
      <c r="AD13" s="24">
        <v>562693</v>
      </c>
      <c r="AE13" s="24"/>
      <c r="AF13" s="48"/>
      <c r="AG13" s="48"/>
      <c r="AH13" s="48"/>
      <c r="AI13" s="48"/>
      <c r="AJ13" s="48"/>
      <c r="AK13" s="48"/>
      <c r="AL13" s="48"/>
      <c r="AM13" s="48"/>
      <c r="AN13" s="48"/>
      <c r="AO13" s="48"/>
    </row>
    <row r="14" spans="1:153">
      <c r="A14" s="37" t="s">
        <v>71</v>
      </c>
      <c r="B14" s="49">
        <f>SUM(B9:B13)</f>
        <v>2765557</v>
      </c>
      <c r="D14" s="49">
        <f t="shared" ref="D14:AD14" si="0">SUM(D9:D13)</f>
        <v>2781218</v>
      </c>
      <c r="E14" s="49">
        <f t="shared" si="0"/>
        <v>2796840</v>
      </c>
      <c r="F14" s="49">
        <f t="shared" si="0"/>
        <v>2812381</v>
      </c>
      <c r="G14" s="49">
        <f t="shared" si="0"/>
        <v>2827936</v>
      </c>
      <c r="H14" s="49">
        <f t="shared" si="0"/>
        <v>2843098</v>
      </c>
      <c r="I14" s="49">
        <f t="shared" si="0"/>
        <v>2856707</v>
      </c>
      <c r="J14" s="49">
        <f t="shared" si="0"/>
        <v>2870240</v>
      </c>
      <c r="K14" s="49">
        <f t="shared" si="0"/>
        <v>2883672</v>
      </c>
      <c r="L14" s="49">
        <f t="shared" si="0"/>
        <v>2896873</v>
      </c>
      <c r="M14" s="49">
        <f t="shared" si="0"/>
        <v>2910131</v>
      </c>
      <c r="N14" s="49">
        <f t="shared" si="0"/>
        <v>2912647</v>
      </c>
      <c r="O14" s="49">
        <f t="shared" si="0"/>
        <v>2914825</v>
      </c>
      <c r="P14" s="49">
        <f t="shared" si="0"/>
        <v>2916641</v>
      </c>
      <c r="Q14" s="49">
        <f t="shared" si="0"/>
        <v>2918015</v>
      </c>
      <c r="R14" s="49">
        <f t="shared" si="0"/>
        <v>2919110</v>
      </c>
      <c r="S14" s="49">
        <f t="shared" si="0"/>
        <v>2912063</v>
      </c>
      <c r="T14" s="49">
        <f t="shared" si="0"/>
        <v>2904453</v>
      </c>
      <c r="U14" s="49">
        <f t="shared" si="0"/>
        <v>2896277</v>
      </c>
      <c r="V14" s="49">
        <f t="shared" si="0"/>
        <v>2887541</v>
      </c>
      <c r="W14" s="49">
        <f t="shared" si="0"/>
        <v>2878191</v>
      </c>
      <c r="X14" s="49">
        <f t="shared" si="0"/>
        <v>2867807</v>
      </c>
      <c r="Y14" s="49">
        <f t="shared" si="0"/>
        <v>2856756</v>
      </c>
      <c r="Z14" s="49">
        <f t="shared" si="0"/>
        <v>2845037</v>
      </c>
      <c r="AA14" s="49">
        <f t="shared" si="0"/>
        <v>2832708</v>
      </c>
      <c r="AB14" s="49">
        <f t="shared" si="0"/>
        <v>2819601</v>
      </c>
      <c r="AC14" s="49">
        <f t="shared" si="0"/>
        <v>2808981</v>
      </c>
      <c r="AD14" s="49">
        <f t="shared" si="0"/>
        <v>2797662</v>
      </c>
      <c r="AE14" s="49"/>
      <c r="AF14" s="48"/>
      <c r="AG14" s="48"/>
      <c r="AH14" s="48"/>
      <c r="AI14" s="48"/>
      <c r="AJ14" s="48"/>
      <c r="AK14" s="48"/>
      <c r="AL14" s="48"/>
      <c r="AM14" s="48"/>
      <c r="AN14" s="48"/>
      <c r="AO14" s="48"/>
    </row>
    <row r="15" spans="1:153">
      <c r="A15" s="38">
        <v>5</v>
      </c>
      <c r="B15" s="24">
        <v>546548</v>
      </c>
      <c r="C15" s="79">
        <f>+B15/B20</f>
        <v>0.20077275108348988</v>
      </c>
      <c r="D15" s="24">
        <v>547741</v>
      </c>
      <c r="E15" s="24">
        <v>548927</v>
      </c>
      <c r="F15" s="24">
        <v>550097</v>
      </c>
      <c r="G15" s="24">
        <v>551269</v>
      </c>
      <c r="H15" s="24">
        <v>552365</v>
      </c>
      <c r="I15" s="24">
        <v>556222</v>
      </c>
      <c r="J15" s="24">
        <v>560066</v>
      </c>
      <c r="K15" s="24">
        <v>563890</v>
      </c>
      <c r="L15" s="24">
        <v>567668</v>
      </c>
      <c r="M15" s="24">
        <v>571456</v>
      </c>
      <c r="N15" s="24">
        <v>573823</v>
      </c>
      <c r="O15" s="24">
        <v>576125</v>
      </c>
      <c r="P15" s="24">
        <v>578353</v>
      </c>
      <c r="Q15" s="24">
        <v>580495</v>
      </c>
      <c r="R15" s="24">
        <v>582583</v>
      </c>
      <c r="S15" s="24">
        <v>582264</v>
      </c>
      <c r="T15" s="24">
        <v>581834</v>
      </c>
      <c r="U15" s="24">
        <v>581290</v>
      </c>
      <c r="V15" s="24">
        <v>580634</v>
      </c>
      <c r="W15" s="24">
        <v>579852</v>
      </c>
      <c r="X15" s="24">
        <v>577940</v>
      </c>
      <c r="Y15" s="24">
        <v>575895</v>
      </c>
      <c r="Z15" s="24">
        <v>573716</v>
      </c>
      <c r="AA15" s="24">
        <v>571413</v>
      </c>
      <c r="AB15" s="24">
        <v>568953</v>
      </c>
      <c r="AC15" s="24">
        <v>566807</v>
      </c>
      <c r="AD15" s="24">
        <v>564520</v>
      </c>
      <c r="AE15" s="24"/>
      <c r="AF15" s="48"/>
      <c r="AG15" s="48"/>
      <c r="AH15" s="48"/>
      <c r="AI15" s="48"/>
      <c r="AJ15" s="48"/>
      <c r="AK15" s="48"/>
      <c r="AL15" s="48"/>
      <c r="AM15" s="48"/>
      <c r="AN15" s="48"/>
      <c r="AO15" s="48"/>
    </row>
    <row r="16" spans="1:153">
      <c r="A16" s="38">
        <v>6</v>
      </c>
      <c r="B16" s="24">
        <v>544113</v>
      </c>
      <c r="C16" s="79">
        <f>+B16/B20</f>
        <v>0.19987826121455193</v>
      </c>
      <c r="D16" s="24">
        <v>545372</v>
      </c>
      <c r="E16" s="24">
        <v>546622</v>
      </c>
      <c r="F16" s="24">
        <v>547856</v>
      </c>
      <c r="G16" s="24">
        <v>549094</v>
      </c>
      <c r="H16" s="24">
        <v>550254</v>
      </c>
      <c r="I16" s="24">
        <v>553888</v>
      </c>
      <c r="J16" s="24">
        <v>557506</v>
      </c>
      <c r="K16" s="24">
        <v>561105</v>
      </c>
      <c r="L16" s="24">
        <v>564659</v>
      </c>
      <c r="M16" s="24">
        <v>568223</v>
      </c>
      <c r="N16" s="24">
        <v>570867</v>
      </c>
      <c r="O16" s="24">
        <v>573445</v>
      </c>
      <c r="P16" s="24">
        <v>575953</v>
      </c>
      <c r="Q16" s="24">
        <v>578373</v>
      </c>
      <c r="R16" s="24">
        <v>580740</v>
      </c>
      <c r="S16" s="24">
        <v>580875</v>
      </c>
      <c r="T16" s="24">
        <v>580899</v>
      </c>
      <c r="U16" s="24">
        <v>580810</v>
      </c>
      <c r="V16" s="24">
        <v>580609</v>
      </c>
      <c r="W16" s="24">
        <v>580281</v>
      </c>
      <c r="X16" s="24">
        <v>578640</v>
      </c>
      <c r="Y16" s="24">
        <v>576865</v>
      </c>
      <c r="Z16" s="24">
        <v>574954</v>
      </c>
      <c r="AA16" s="24">
        <v>572921</v>
      </c>
      <c r="AB16" s="24">
        <v>570730</v>
      </c>
      <c r="AC16" s="24">
        <v>568657</v>
      </c>
      <c r="AD16" s="24">
        <v>566444</v>
      </c>
      <c r="AE16" s="24"/>
      <c r="AF16" s="48"/>
      <c r="AG16" s="48"/>
      <c r="AH16" s="48"/>
      <c r="AI16" s="48"/>
      <c r="AJ16" s="48"/>
      <c r="AK16" s="48"/>
      <c r="AL16" s="48"/>
      <c r="AM16" s="48"/>
      <c r="AN16" s="48"/>
      <c r="AO16" s="48"/>
    </row>
    <row r="17" spans="1:41">
      <c r="A17" s="38">
        <v>7</v>
      </c>
      <c r="B17" s="24">
        <v>542938</v>
      </c>
      <c r="C17" s="79">
        <f>+B17/B20</f>
        <v>0.19944662852625539</v>
      </c>
      <c r="D17" s="24">
        <v>544105</v>
      </c>
      <c r="E17" s="24">
        <v>545262</v>
      </c>
      <c r="F17" s="24">
        <v>546404</v>
      </c>
      <c r="G17" s="24">
        <v>547550</v>
      </c>
      <c r="H17" s="24">
        <v>548617</v>
      </c>
      <c r="I17" s="24">
        <v>551895</v>
      </c>
      <c r="J17" s="24">
        <v>555159</v>
      </c>
      <c r="K17" s="24">
        <v>558402</v>
      </c>
      <c r="L17" s="24">
        <v>561602</v>
      </c>
      <c r="M17" s="24">
        <v>564810</v>
      </c>
      <c r="N17" s="24">
        <v>567696</v>
      </c>
      <c r="O17" s="24">
        <v>570516</v>
      </c>
      <c r="P17" s="24">
        <v>573266</v>
      </c>
      <c r="Q17" s="24">
        <v>575929</v>
      </c>
      <c r="R17" s="24">
        <v>578539</v>
      </c>
      <c r="S17" s="24">
        <v>579165</v>
      </c>
      <c r="T17" s="24">
        <v>579680</v>
      </c>
      <c r="U17" s="24">
        <v>580082</v>
      </c>
      <c r="V17" s="24">
        <v>580373</v>
      </c>
      <c r="W17" s="24">
        <v>580537</v>
      </c>
      <c r="X17" s="24">
        <v>579212</v>
      </c>
      <c r="Y17" s="24">
        <v>577754</v>
      </c>
      <c r="Z17" s="24">
        <v>576160</v>
      </c>
      <c r="AA17" s="24">
        <v>574443</v>
      </c>
      <c r="AB17" s="24">
        <v>572567</v>
      </c>
      <c r="AC17" s="24">
        <v>570576</v>
      </c>
      <c r="AD17" s="24">
        <v>568442</v>
      </c>
      <c r="AE17" s="24"/>
      <c r="AF17" s="48"/>
      <c r="AG17" s="48"/>
      <c r="AH17" s="48"/>
      <c r="AI17" s="48"/>
      <c r="AJ17" s="48"/>
      <c r="AK17" s="48"/>
      <c r="AL17" s="48"/>
      <c r="AM17" s="48"/>
      <c r="AN17" s="48"/>
      <c r="AO17" s="48"/>
    </row>
    <row r="18" spans="1:41">
      <c r="A18" s="38">
        <v>8</v>
      </c>
      <c r="B18" s="24">
        <v>543406</v>
      </c>
      <c r="C18" s="79">
        <f>+B18/B20</f>
        <v>0.19961854690763647</v>
      </c>
      <c r="D18" s="24">
        <v>544172</v>
      </c>
      <c r="E18" s="24">
        <v>544929</v>
      </c>
      <c r="F18" s="24">
        <v>545671</v>
      </c>
      <c r="G18" s="24">
        <v>546416</v>
      </c>
      <c r="H18" s="24">
        <v>547083</v>
      </c>
      <c r="I18" s="24">
        <v>549932</v>
      </c>
      <c r="J18" s="24">
        <v>552766</v>
      </c>
      <c r="K18" s="24">
        <v>555580</v>
      </c>
      <c r="L18" s="24">
        <v>558350</v>
      </c>
      <c r="M18" s="24">
        <v>561129</v>
      </c>
      <c r="N18" s="24">
        <v>564260</v>
      </c>
      <c r="O18" s="24">
        <v>567325</v>
      </c>
      <c r="P18" s="24">
        <v>570321</v>
      </c>
      <c r="Q18" s="24">
        <v>573231</v>
      </c>
      <c r="R18" s="24">
        <v>576085</v>
      </c>
      <c r="S18" s="24">
        <v>577232</v>
      </c>
      <c r="T18" s="24">
        <v>578270</v>
      </c>
      <c r="U18" s="24">
        <v>579195</v>
      </c>
      <c r="V18" s="24">
        <v>580008</v>
      </c>
      <c r="W18" s="24">
        <v>580695</v>
      </c>
      <c r="X18" s="24">
        <v>579716</v>
      </c>
      <c r="Y18" s="24">
        <v>578603</v>
      </c>
      <c r="Z18" s="24">
        <v>577355</v>
      </c>
      <c r="AA18" s="24">
        <v>575983</v>
      </c>
      <c r="AB18" s="24">
        <v>574452</v>
      </c>
      <c r="AC18" s="24">
        <v>572538</v>
      </c>
      <c r="AD18" s="24">
        <v>570482</v>
      </c>
      <c r="AE18" s="24"/>
      <c r="AF18" s="48"/>
      <c r="AG18" s="48"/>
      <c r="AH18" s="48"/>
      <c r="AI18" s="48"/>
      <c r="AJ18" s="48"/>
      <c r="AK18" s="48"/>
      <c r="AL18" s="48"/>
      <c r="AM18" s="48"/>
      <c r="AN18" s="48"/>
      <c r="AO18" s="48"/>
    </row>
    <row r="19" spans="1:41">
      <c r="A19" s="38">
        <v>9</v>
      </c>
      <c r="B19" s="24">
        <v>545217</v>
      </c>
      <c r="C19" s="79">
        <f>+B19/B20</f>
        <v>0.2002838122680663</v>
      </c>
      <c r="D19" s="24">
        <v>545307</v>
      </c>
      <c r="E19" s="24">
        <v>545388</v>
      </c>
      <c r="F19" s="24">
        <v>545454</v>
      </c>
      <c r="G19" s="24">
        <v>545523</v>
      </c>
      <c r="H19" s="24">
        <v>545513</v>
      </c>
      <c r="I19" s="24">
        <v>547898</v>
      </c>
      <c r="J19" s="24">
        <v>550267</v>
      </c>
      <c r="K19" s="24">
        <v>552617</v>
      </c>
      <c r="L19" s="24">
        <v>554923</v>
      </c>
      <c r="M19" s="24">
        <v>557237</v>
      </c>
      <c r="N19" s="24">
        <v>560615</v>
      </c>
      <c r="O19" s="24">
        <v>563928</v>
      </c>
      <c r="P19" s="24">
        <v>567172</v>
      </c>
      <c r="Q19" s="24">
        <v>570330</v>
      </c>
      <c r="R19" s="24">
        <v>573431</v>
      </c>
      <c r="S19" s="24">
        <v>575115</v>
      </c>
      <c r="T19" s="24">
        <v>576691</v>
      </c>
      <c r="U19" s="24">
        <v>578154</v>
      </c>
      <c r="V19" s="24">
        <v>579505</v>
      </c>
      <c r="W19" s="24">
        <v>580731</v>
      </c>
      <c r="X19" s="24">
        <v>580117</v>
      </c>
      <c r="Y19" s="24">
        <v>579370</v>
      </c>
      <c r="Z19" s="24">
        <v>578488</v>
      </c>
      <c r="AA19" s="24">
        <v>577481</v>
      </c>
      <c r="AB19" s="24">
        <v>576314</v>
      </c>
      <c r="AC19" s="24">
        <v>574481</v>
      </c>
      <c r="AD19" s="24">
        <v>572505</v>
      </c>
      <c r="AE19" s="24"/>
      <c r="AF19" s="48"/>
      <c r="AG19" s="48"/>
      <c r="AH19" s="48"/>
      <c r="AI19" s="48"/>
      <c r="AJ19" s="48"/>
      <c r="AK19" s="48"/>
      <c r="AL19" s="48"/>
      <c r="AM19" s="48"/>
      <c r="AN19" s="48"/>
      <c r="AO19" s="48"/>
    </row>
    <row r="20" spans="1:41">
      <c r="A20" s="37" t="s">
        <v>72</v>
      </c>
      <c r="B20" s="32">
        <f>SUM(B15:B19)</f>
        <v>2722222</v>
      </c>
      <c r="D20" s="32">
        <v>0</v>
      </c>
      <c r="E20" s="32">
        <v>0</v>
      </c>
      <c r="F20" s="32">
        <v>0</v>
      </c>
      <c r="G20" s="32">
        <v>0</v>
      </c>
      <c r="H20" s="32">
        <v>0</v>
      </c>
      <c r="I20" s="32">
        <v>0</v>
      </c>
      <c r="J20" s="32">
        <v>0</v>
      </c>
      <c r="K20" s="32">
        <v>0</v>
      </c>
      <c r="L20" s="32">
        <v>0</v>
      </c>
      <c r="M20" s="32">
        <v>0</v>
      </c>
      <c r="N20" s="32">
        <v>0</v>
      </c>
      <c r="O20" s="32">
        <v>0</v>
      </c>
      <c r="P20" s="32">
        <v>0</v>
      </c>
      <c r="Q20" s="32">
        <v>0</v>
      </c>
      <c r="R20" s="32">
        <v>0</v>
      </c>
      <c r="S20" s="32">
        <v>0</v>
      </c>
      <c r="T20" s="32">
        <v>0</v>
      </c>
      <c r="U20" s="32">
        <v>0</v>
      </c>
      <c r="V20" s="32">
        <v>0</v>
      </c>
      <c r="W20" s="32">
        <v>0</v>
      </c>
      <c r="X20" s="32">
        <v>0</v>
      </c>
      <c r="Y20" s="32">
        <v>0</v>
      </c>
      <c r="Z20" s="32">
        <v>0</v>
      </c>
      <c r="AA20" s="32">
        <v>0</v>
      </c>
      <c r="AB20" s="32">
        <v>0</v>
      </c>
      <c r="AC20" s="32">
        <v>0</v>
      </c>
      <c r="AD20" s="32">
        <v>0</v>
      </c>
      <c r="AE20" s="32"/>
      <c r="AF20" s="48"/>
      <c r="AG20" s="48"/>
      <c r="AH20" s="48"/>
      <c r="AI20" s="48"/>
      <c r="AJ20" s="48"/>
      <c r="AK20" s="48"/>
      <c r="AL20" s="48"/>
      <c r="AM20" s="48"/>
      <c r="AN20" s="48"/>
      <c r="AO20" s="48"/>
    </row>
    <row r="21" spans="1:41">
      <c r="A21" s="38">
        <v>10</v>
      </c>
      <c r="B21" s="24">
        <v>547352</v>
      </c>
      <c r="C21" s="79">
        <f>+B21/B26</f>
        <v>0.20207706478921078</v>
      </c>
      <c r="D21" s="24">
        <v>546716</v>
      </c>
      <c r="E21" s="24">
        <v>546071</v>
      </c>
      <c r="F21" s="24">
        <v>545411</v>
      </c>
      <c r="G21" s="24">
        <v>544755</v>
      </c>
      <c r="H21" s="24">
        <v>544018</v>
      </c>
      <c r="I21" s="24">
        <v>545923</v>
      </c>
      <c r="J21" s="24">
        <v>547813</v>
      </c>
      <c r="K21" s="24">
        <v>549682</v>
      </c>
      <c r="L21" s="24">
        <v>551508</v>
      </c>
      <c r="M21" s="24">
        <v>553343</v>
      </c>
      <c r="N21" s="24">
        <v>556928</v>
      </c>
      <c r="O21" s="24">
        <v>560448</v>
      </c>
      <c r="P21" s="24">
        <v>563900</v>
      </c>
      <c r="Q21" s="24">
        <v>567266</v>
      </c>
      <c r="R21" s="24">
        <v>570575</v>
      </c>
      <c r="S21" s="24">
        <v>572784</v>
      </c>
      <c r="T21" s="24">
        <v>574887</v>
      </c>
      <c r="U21" s="24">
        <v>576876</v>
      </c>
      <c r="V21" s="24">
        <v>578755</v>
      </c>
      <c r="W21" s="24">
        <v>580508</v>
      </c>
      <c r="X21" s="24">
        <v>580282</v>
      </c>
      <c r="Y21" s="24">
        <v>579923</v>
      </c>
      <c r="Z21" s="24">
        <v>579429</v>
      </c>
      <c r="AA21" s="24">
        <v>578809</v>
      </c>
      <c r="AB21" s="24">
        <v>578030</v>
      </c>
      <c r="AC21" s="24">
        <v>576296</v>
      </c>
      <c r="AD21" s="24">
        <v>574419</v>
      </c>
      <c r="AE21" s="24"/>
      <c r="AF21" s="48"/>
      <c r="AG21" s="48"/>
      <c r="AH21" s="48"/>
      <c r="AI21" s="48"/>
      <c r="AJ21" s="48"/>
      <c r="AK21" s="48"/>
      <c r="AL21" s="48"/>
      <c r="AM21" s="48"/>
      <c r="AN21" s="48"/>
      <c r="AO21" s="48"/>
    </row>
    <row r="22" spans="1:41">
      <c r="A22" s="38">
        <v>11</v>
      </c>
      <c r="B22" s="24">
        <v>548152</v>
      </c>
      <c r="C22" s="79">
        <f>+B22/B26</f>
        <v>0.20237241705216291</v>
      </c>
      <c r="D22" s="24">
        <v>547138</v>
      </c>
      <c r="E22" s="24">
        <v>546115</v>
      </c>
      <c r="F22" s="24">
        <v>545075</v>
      </c>
      <c r="G22" s="24">
        <v>544040</v>
      </c>
      <c r="H22" s="24">
        <v>542924</v>
      </c>
      <c r="I22" s="24">
        <v>544337</v>
      </c>
      <c r="J22" s="24">
        <v>545735</v>
      </c>
      <c r="K22" s="24">
        <v>547113</v>
      </c>
      <c r="L22" s="24">
        <v>548448</v>
      </c>
      <c r="M22" s="24">
        <v>549791</v>
      </c>
      <c r="N22" s="24">
        <v>553464</v>
      </c>
      <c r="O22" s="24">
        <v>557073</v>
      </c>
      <c r="P22" s="24">
        <v>560613</v>
      </c>
      <c r="Q22" s="24">
        <v>564069</v>
      </c>
      <c r="R22" s="24">
        <v>567464</v>
      </c>
      <c r="S22" s="24">
        <v>570153</v>
      </c>
      <c r="T22" s="24">
        <v>572734</v>
      </c>
      <c r="U22" s="24">
        <v>575204</v>
      </c>
      <c r="V22" s="24">
        <v>577562</v>
      </c>
      <c r="W22" s="24">
        <v>579797</v>
      </c>
      <c r="X22" s="24">
        <v>579992</v>
      </c>
      <c r="Y22" s="24">
        <v>580056</v>
      </c>
      <c r="Z22" s="24">
        <v>579981</v>
      </c>
      <c r="AA22" s="24">
        <v>579783</v>
      </c>
      <c r="AB22" s="24">
        <v>579425</v>
      </c>
      <c r="AC22" s="24">
        <v>577838</v>
      </c>
      <c r="AD22" s="24">
        <v>576107</v>
      </c>
      <c r="AE22" s="24"/>
      <c r="AF22" s="48"/>
      <c r="AG22" s="48"/>
      <c r="AH22" s="48"/>
      <c r="AI22" s="48"/>
      <c r="AJ22" s="48"/>
      <c r="AK22" s="48"/>
      <c r="AL22" s="48"/>
      <c r="AM22" s="48"/>
      <c r="AN22" s="48"/>
      <c r="AO22" s="48"/>
    </row>
    <row r="23" spans="1:41">
      <c r="A23" s="38">
        <v>12</v>
      </c>
      <c r="B23" s="24">
        <v>545692</v>
      </c>
      <c r="C23" s="79">
        <f>+B23/B26</f>
        <v>0.20146420884358512</v>
      </c>
      <c r="D23" s="24">
        <v>545115</v>
      </c>
      <c r="E23" s="24">
        <v>544529</v>
      </c>
      <c r="F23" s="24">
        <v>543927</v>
      </c>
      <c r="G23" s="24">
        <v>543328</v>
      </c>
      <c r="H23" s="24">
        <v>542650</v>
      </c>
      <c r="I23" s="24">
        <v>543556</v>
      </c>
      <c r="J23" s="24">
        <v>544447</v>
      </c>
      <c r="K23" s="24">
        <v>545319</v>
      </c>
      <c r="L23" s="24">
        <v>546147</v>
      </c>
      <c r="M23" s="24">
        <v>546983</v>
      </c>
      <c r="N23" s="24">
        <v>550529</v>
      </c>
      <c r="O23" s="24">
        <v>554013</v>
      </c>
      <c r="P23" s="24">
        <v>557428</v>
      </c>
      <c r="Q23" s="24">
        <v>560758</v>
      </c>
      <c r="R23" s="24">
        <v>564028</v>
      </c>
      <c r="S23" s="24">
        <v>567108</v>
      </c>
      <c r="T23" s="24">
        <v>570082</v>
      </c>
      <c r="U23" s="24">
        <v>572945</v>
      </c>
      <c r="V23" s="24">
        <v>575696</v>
      </c>
      <c r="W23" s="24">
        <v>578325</v>
      </c>
      <c r="X23" s="24">
        <v>578990</v>
      </c>
      <c r="Y23" s="24">
        <v>579521</v>
      </c>
      <c r="Z23" s="24">
        <v>579918</v>
      </c>
      <c r="AA23" s="24">
        <v>580189</v>
      </c>
      <c r="AB23" s="24">
        <v>580301</v>
      </c>
      <c r="AC23" s="24">
        <v>578943</v>
      </c>
      <c r="AD23" s="24">
        <v>577441</v>
      </c>
      <c r="AE23" s="24"/>
      <c r="AF23" s="48"/>
      <c r="AG23" s="48"/>
      <c r="AH23" s="48"/>
      <c r="AI23" s="48"/>
      <c r="AJ23" s="48"/>
      <c r="AK23" s="48"/>
      <c r="AL23" s="48"/>
      <c r="AM23" s="48"/>
      <c r="AN23" s="48"/>
      <c r="AO23" s="48"/>
    </row>
    <row r="24" spans="1:41">
      <c r="A24" s="38">
        <v>13</v>
      </c>
      <c r="B24" s="24">
        <v>538813</v>
      </c>
      <c r="C24" s="79">
        <f>+B24/B26</f>
        <v>0.19892454857252559</v>
      </c>
      <c r="D24" s="24">
        <v>539751</v>
      </c>
      <c r="E24" s="24">
        <v>540681</v>
      </c>
      <c r="F24" s="24">
        <v>541596</v>
      </c>
      <c r="G24" s="24">
        <v>542514</v>
      </c>
      <c r="H24" s="24">
        <v>543352</v>
      </c>
      <c r="I24" s="24">
        <v>543753</v>
      </c>
      <c r="J24" s="24">
        <v>544138</v>
      </c>
      <c r="K24" s="24">
        <v>544504</v>
      </c>
      <c r="L24" s="24">
        <v>544827</v>
      </c>
      <c r="M24" s="24">
        <v>545157</v>
      </c>
      <c r="N24" s="24">
        <v>548313</v>
      </c>
      <c r="O24" s="24">
        <v>551406</v>
      </c>
      <c r="P24" s="24">
        <v>554431</v>
      </c>
      <c r="Q24" s="24">
        <v>557372</v>
      </c>
      <c r="R24" s="24">
        <v>560254</v>
      </c>
      <c r="S24" s="24">
        <v>563610</v>
      </c>
      <c r="T24" s="24">
        <v>566860</v>
      </c>
      <c r="U24" s="24">
        <v>570001</v>
      </c>
      <c r="V24" s="24">
        <v>573030</v>
      </c>
      <c r="W24" s="24">
        <v>575938</v>
      </c>
      <c r="X24" s="24">
        <v>577123</v>
      </c>
      <c r="Y24" s="24">
        <v>578176</v>
      </c>
      <c r="Z24" s="24">
        <v>579095</v>
      </c>
      <c r="AA24" s="24">
        <v>579889</v>
      </c>
      <c r="AB24" s="24">
        <v>580522</v>
      </c>
      <c r="AC24" s="24">
        <v>579496</v>
      </c>
      <c r="AD24" s="24">
        <v>578326</v>
      </c>
      <c r="AE24" s="24"/>
      <c r="AF24" s="48"/>
      <c r="AG24" s="48"/>
      <c r="AH24" s="48"/>
      <c r="AI24" s="48"/>
      <c r="AJ24" s="48"/>
      <c r="AK24" s="48"/>
      <c r="AL24" s="48"/>
      <c r="AM24" s="48"/>
      <c r="AN24" s="48"/>
      <c r="AO24" s="48"/>
    </row>
    <row r="25" spans="1:41">
      <c r="A25" s="38">
        <v>14</v>
      </c>
      <c r="B25" s="24">
        <v>528621</v>
      </c>
      <c r="C25" s="79">
        <f>+B25/B26</f>
        <v>0.19516176074251559</v>
      </c>
      <c r="D25" s="24">
        <v>531810</v>
      </c>
      <c r="E25" s="24">
        <v>534990</v>
      </c>
      <c r="F25" s="24">
        <v>538156</v>
      </c>
      <c r="G25" s="24">
        <v>541324</v>
      </c>
      <c r="H25" s="24">
        <v>544415</v>
      </c>
      <c r="I25" s="24">
        <v>544384</v>
      </c>
      <c r="J25" s="24">
        <v>544341</v>
      </c>
      <c r="K25" s="24">
        <v>544277</v>
      </c>
      <c r="L25" s="24">
        <v>544171</v>
      </c>
      <c r="M25" s="24">
        <v>544072</v>
      </c>
      <c r="N25" s="24">
        <v>546654</v>
      </c>
      <c r="O25" s="24">
        <v>549172</v>
      </c>
      <c r="P25" s="24">
        <v>551623</v>
      </c>
      <c r="Q25" s="24">
        <v>553990</v>
      </c>
      <c r="R25" s="24">
        <v>556300</v>
      </c>
      <c r="S25" s="24">
        <v>559822</v>
      </c>
      <c r="T25" s="24">
        <v>563239</v>
      </c>
      <c r="U25" s="24">
        <v>566547</v>
      </c>
      <c r="V25" s="24">
        <v>569744</v>
      </c>
      <c r="W25" s="24">
        <v>572820</v>
      </c>
      <c r="X25" s="24">
        <v>574550</v>
      </c>
      <c r="Y25" s="24">
        <v>576148</v>
      </c>
      <c r="Z25" s="24">
        <v>577614</v>
      </c>
      <c r="AA25" s="24">
        <v>578954</v>
      </c>
      <c r="AB25" s="24">
        <v>580133</v>
      </c>
      <c r="AC25" s="24">
        <v>579518</v>
      </c>
      <c r="AD25" s="24">
        <v>578758</v>
      </c>
      <c r="AE25" s="24"/>
      <c r="AF25" s="48"/>
      <c r="AG25" s="48"/>
      <c r="AH25" s="48"/>
      <c r="AI25" s="48"/>
      <c r="AJ25" s="48"/>
      <c r="AK25" s="48"/>
      <c r="AL25" s="48"/>
      <c r="AM25" s="48"/>
      <c r="AN25" s="48"/>
      <c r="AO25" s="48"/>
    </row>
    <row r="26" spans="1:41">
      <c r="A26" s="37" t="s">
        <v>73</v>
      </c>
      <c r="B26" s="32">
        <f>SUM(B21:B25)</f>
        <v>2708630</v>
      </c>
      <c r="D26" s="32">
        <v>0</v>
      </c>
      <c r="E26" s="32">
        <v>0</v>
      </c>
      <c r="F26" s="32">
        <v>0</v>
      </c>
      <c r="G26" s="32">
        <v>0</v>
      </c>
      <c r="H26" s="32">
        <v>0</v>
      </c>
      <c r="I26" s="32">
        <v>0</v>
      </c>
      <c r="J26" s="32">
        <v>0</v>
      </c>
      <c r="K26" s="32">
        <v>0</v>
      </c>
      <c r="L26" s="32">
        <v>0</v>
      </c>
      <c r="M26" s="32">
        <v>0</v>
      </c>
      <c r="N26" s="32">
        <v>0</v>
      </c>
      <c r="O26" s="32">
        <v>0</v>
      </c>
      <c r="P26" s="32">
        <v>0</v>
      </c>
      <c r="Q26" s="32">
        <v>0</v>
      </c>
      <c r="R26" s="32">
        <v>0</v>
      </c>
      <c r="S26" s="32">
        <v>0</v>
      </c>
      <c r="T26" s="32">
        <v>0</v>
      </c>
      <c r="U26" s="32">
        <v>0</v>
      </c>
      <c r="V26" s="32">
        <v>0</v>
      </c>
      <c r="W26" s="32">
        <v>0</v>
      </c>
      <c r="X26" s="32">
        <v>0</v>
      </c>
      <c r="Y26" s="32">
        <v>0</v>
      </c>
      <c r="Z26" s="32">
        <v>0</v>
      </c>
      <c r="AA26" s="32">
        <v>0</v>
      </c>
      <c r="AB26" s="32">
        <v>0</v>
      </c>
      <c r="AC26" s="32">
        <v>0</v>
      </c>
      <c r="AD26" s="32">
        <v>0</v>
      </c>
      <c r="AE26" s="32"/>
      <c r="AF26" s="48"/>
      <c r="AG26" s="48"/>
      <c r="AH26" s="48"/>
      <c r="AI26" s="48"/>
      <c r="AJ26" s="48"/>
      <c r="AK26" s="48"/>
      <c r="AL26" s="48"/>
      <c r="AM26" s="48"/>
      <c r="AN26" s="48"/>
      <c r="AO26" s="48"/>
    </row>
    <row r="27" spans="1:41">
      <c r="A27" s="38">
        <v>15</v>
      </c>
      <c r="B27" s="24">
        <v>516877</v>
      </c>
      <c r="C27" s="79">
        <f>+B27/B32</f>
        <v>0.2082231039232203</v>
      </c>
      <c r="D27" s="24">
        <v>522713</v>
      </c>
      <c r="E27" s="24">
        <v>528544</v>
      </c>
      <c r="F27" s="24">
        <v>534357</v>
      </c>
      <c r="G27" s="24">
        <v>540175</v>
      </c>
      <c r="H27" s="24">
        <v>545914</v>
      </c>
      <c r="I27" s="24">
        <v>545319</v>
      </c>
      <c r="J27" s="24">
        <v>544712</v>
      </c>
      <c r="K27" s="24">
        <v>544081</v>
      </c>
      <c r="L27" s="24">
        <v>543411</v>
      </c>
      <c r="M27" s="24">
        <v>542747</v>
      </c>
      <c r="N27" s="24">
        <v>544765</v>
      </c>
      <c r="O27" s="24">
        <v>546719</v>
      </c>
      <c r="P27" s="24">
        <v>548607</v>
      </c>
      <c r="Q27" s="24">
        <v>550410</v>
      </c>
      <c r="R27" s="24">
        <v>552162</v>
      </c>
      <c r="S27" s="24">
        <v>555836</v>
      </c>
      <c r="T27" s="24">
        <v>559407</v>
      </c>
      <c r="U27" s="24">
        <v>562868</v>
      </c>
      <c r="V27" s="24">
        <v>566220</v>
      </c>
      <c r="W27" s="24">
        <v>569451</v>
      </c>
      <c r="X27" s="24">
        <v>571718</v>
      </c>
      <c r="Y27" s="24">
        <v>573856</v>
      </c>
      <c r="Z27" s="24">
        <v>575861</v>
      </c>
      <c r="AA27" s="24">
        <v>577740</v>
      </c>
      <c r="AB27" s="24">
        <v>579458</v>
      </c>
      <c r="AC27" s="24">
        <v>579268</v>
      </c>
      <c r="AD27" s="24">
        <v>578934</v>
      </c>
      <c r="AE27" s="24"/>
      <c r="AF27" s="48"/>
      <c r="AG27" s="48"/>
      <c r="AH27" s="48"/>
      <c r="AI27" s="48"/>
      <c r="AJ27" s="48"/>
      <c r="AK27" s="48"/>
      <c r="AL27" s="48"/>
      <c r="AM27" s="48"/>
      <c r="AN27" s="48"/>
      <c r="AO27" s="48"/>
    </row>
    <row r="28" spans="1:41">
      <c r="A28" s="38">
        <v>16</v>
      </c>
      <c r="B28" s="24">
        <v>505486</v>
      </c>
      <c r="C28" s="79">
        <f>+B28/B32</f>
        <v>0.20363425710513902</v>
      </c>
      <c r="D28" s="24">
        <v>513668</v>
      </c>
      <c r="E28" s="24">
        <v>521842</v>
      </c>
      <c r="F28" s="24">
        <v>530002</v>
      </c>
      <c r="G28" s="24">
        <v>538165</v>
      </c>
      <c r="H28" s="24">
        <v>546247</v>
      </c>
      <c r="I28" s="24">
        <v>545285</v>
      </c>
      <c r="J28" s="24">
        <v>544307</v>
      </c>
      <c r="K28" s="24">
        <v>543310</v>
      </c>
      <c r="L28" s="24">
        <v>542269</v>
      </c>
      <c r="M28" s="24">
        <v>541236</v>
      </c>
      <c r="N28" s="24">
        <v>542768</v>
      </c>
      <c r="O28" s="24">
        <v>544237</v>
      </c>
      <c r="P28" s="24">
        <v>545639</v>
      </c>
      <c r="Q28" s="24">
        <v>546959</v>
      </c>
      <c r="R28" s="24">
        <v>548227</v>
      </c>
      <c r="S28" s="24">
        <v>551994</v>
      </c>
      <c r="T28" s="24">
        <v>555658</v>
      </c>
      <c r="U28" s="24">
        <v>559214</v>
      </c>
      <c r="V28" s="24">
        <v>562661</v>
      </c>
      <c r="W28" s="24">
        <v>565986</v>
      </c>
      <c r="X28" s="24">
        <v>568738</v>
      </c>
      <c r="Y28" s="24">
        <v>571361</v>
      </c>
      <c r="Z28" s="24">
        <v>573852</v>
      </c>
      <c r="AA28" s="24">
        <v>576219</v>
      </c>
      <c r="AB28" s="24">
        <v>578423</v>
      </c>
      <c r="AC28" s="24">
        <v>578660</v>
      </c>
      <c r="AD28" s="24">
        <v>578756</v>
      </c>
      <c r="AE28" s="24"/>
      <c r="AF28" s="48"/>
      <c r="AG28" s="48"/>
      <c r="AH28" s="48"/>
      <c r="AI28" s="48"/>
      <c r="AJ28" s="48"/>
      <c r="AK28" s="48"/>
      <c r="AL28" s="48"/>
      <c r="AM28" s="48"/>
      <c r="AN28" s="48"/>
      <c r="AO28" s="48"/>
    </row>
    <row r="29" spans="1:41">
      <c r="A29" s="38">
        <v>17</v>
      </c>
      <c r="B29" s="24">
        <v>495009</v>
      </c>
      <c r="C29" s="79">
        <f>+B29/B32</f>
        <v>0.19941361378031788</v>
      </c>
      <c r="D29" s="24">
        <v>504698</v>
      </c>
      <c r="E29" s="24">
        <v>514379</v>
      </c>
      <c r="F29" s="24">
        <v>524047</v>
      </c>
      <c r="G29" s="24">
        <v>533718</v>
      </c>
      <c r="H29" s="24">
        <v>543309</v>
      </c>
      <c r="I29" s="24">
        <v>542788</v>
      </c>
      <c r="J29" s="24">
        <v>542252</v>
      </c>
      <c r="K29" s="24">
        <v>541697</v>
      </c>
      <c r="L29" s="24">
        <v>541098</v>
      </c>
      <c r="M29" s="24">
        <v>540507</v>
      </c>
      <c r="N29" s="24">
        <v>541541</v>
      </c>
      <c r="O29" s="24">
        <v>542512</v>
      </c>
      <c r="P29" s="24">
        <v>543415</v>
      </c>
      <c r="Q29" s="24">
        <v>544237</v>
      </c>
      <c r="R29" s="24">
        <v>545009</v>
      </c>
      <c r="S29" s="24">
        <v>548656</v>
      </c>
      <c r="T29" s="24">
        <v>552201</v>
      </c>
      <c r="U29" s="24">
        <v>555639</v>
      </c>
      <c r="V29" s="24">
        <v>558968</v>
      </c>
      <c r="W29" s="24">
        <v>562176</v>
      </c>
      <c r="X29" s="24">
        <v>565325</v>
      </c>
      <c r="Y29" s="24">
        <v>568346</v>
      </c>
      <c r="Z29" s="24">
        <v>571236</v>
      </c>
      <c r="AA29" s="24">
        <v>574002</v>
      </c>
      <c r="AB29" s="24">
        <v>576606</v>
      </c>
      <c r="AC29" s="24">
        <v>577318</v>
      </c>
      <c r="AD29" s="24">
        <v>577889</v>
      </c>
      <c r="AE29" s="24"/>
      <c r="AF29" s="48"/>
      <c r="AG29" s="48"/>
      <c r="AH29" s="48"/>
      <c r="AI29" s="48"/>
      <c r="AJ29" s="48"/>
      <c r="AK29" s="48"/>
      <c r="AL29" s="48"/>
      <c r="AM29" s="48"/>
      <c r="AN29" s="48"/>
      <c r="AO29" s="48"/>
    </row>
    <row r="30" spans="1:41">
      <c r="A30" s="38">
        <v>18</v>
      </c>
      <c r="B30" s="24">
        <v>486282</v>
      </c>
      <c r="C30" s="79">
        <f>+B30/B32</f>
        <v>0.19589795526206702</v>
      </c>
      <c r="D30" s="24">
        <v>496252</v>
      </c>
      <c r="E30" s="24">
        <v>506215</v>
      </c>
      <c r="F30" s="24">
        <v>516165</v>
      </c>
      <c r="G30" s="24">
        <v>526118</v>
      </c>
      <c r="H30" s="24">
        <v>535993</v>
      </c>
      <c r="I30" s="24">
        <v>536984</v>
      </c>
      <c r="J30" s="24">
        <v>537960</v>
      </c>
      <c r="K30" s="24">
        <v>538918</v>
      </c>
      <c r="L30" s="24">
        <v>539832</v>
      </c>
      <c r="M30" s="24">
        <v>540754</v>
      </c>
      <c r="N30" s="24">
        <v>541293</v>
      </c>
      <c r="O30" s="24">
        <v>541769</v>
      </c>
      <c r="P30" s="24">
        <v>542178</v>
      </c>
      <c r="Q30" s="24">
        <v>542505</v>
      </c>
      <c r="R30" s="24">
        <v>542783</v>
      </c>
      <c r="S30" s="24">
        <v>546048</v>
      </c>
      <c r="T30" s="24">
        <v>549210</v>
      </c>
      <c r="U30" s="24">
        <v>552266</v>
      </c>
      <c r="V30" s="24">
        <v>555214</v>
      </c>
      <c r="W30" s="24">
        <v>558043</v>
      </c>
      <c r="X30" s="24">
        <v>561472</v>
      </c>
      <c r="Y30" s="24">
        <v>564774</v>
      </c>
      <c r="Z30" s="24">
        <v>567945</v>
      </c>
      <c r="AA30" s="24">
        <v>570994</v>
      </c>
      <c r="AB30" s="24">
        <v>573881</v>
      </c>
      <c r="AC30" s="24">
        <v>575118</v>
      </c>
      <c r="AD30" s="24">
        <v>576215</v>
      </c>
      <c r="AE30" s="24"/>
      <c r="AF30" s="48"/>
      <c r="AG30" s="48"/>
      <c r="AH30" s="48"/>
      <c r="AI30" s="48"/>
      <c r="AJ30" s="48"/>
      <c r="AK30" s="48"/>
      <c r="AL30" s="48"/>
      <c r="AM30" s="48"/>
      <c r="AN30" s="48"/>
      <c r="AO30" s="48"/>
    </row>
    <row r="31" spans="1:41">
      <c r="A31" s="38">
        <v>19</v>
      </c>
      <c r="B31" s="24">
        <v>478669</v>
      </c>
      <c r="C31" s="79">
        <f>+B31/B32</f>
        <v>0.19283106992925578</v>
      </c>
      <c r="D31" s="24">
        <v>488044</v>
      </c>
      <c r="E31" s="24">
        <v>497411</v>
      </c>
      <c r="F31" s="24">
        <v>506765</v>
      </c>
      <c r="G31" s="24">
        <v>516122</v>
      </c>
      <c r="H31" s="24">
        <v>525404</v>
      </c>
      <c r="I31" s="24">
        <v>528635</v>
      </c>
      <c r="J31" s="24">
        <v>531852</v>
      </c>
      <c r="K31" s="24">
        <v>535050</v>
      </c>
      <c r="L31" s="24">
        <v>538206</v>
      </c>
      <c r="M31" s="24">
        <v>541368</v>
      </c>
      <c r="N31" s="24">
        <v>541491</v>
      </c>
      <c r="O31" s="24">
        <v>541550</v>
      </c>
      <c r="P31" s="24">
        <v>541541</v>
      </c>
      <c r="Q31" s="24">
        <v>541451</v>
      </c>
      <c r="R31" s="24">
        <v>541311</v>
      </c>
      <c r="S31" s="24">
        <v>544010</v>
      </c>
      <c r="T31" s="24">
        <v>546607</v>
      </c>
      <c r="U31" s="24">
        <v>549098</v>
      </c>
      <c r="V31" s="24">
        <v>551482</v>
      </c>
      <c r="W31" s="24">
        <v>553747</v>
      </c>
      <c r="X31" s="24">
        <v>557345</v>
      </c>
      <c r="Y31" s="24">
        <v>560816</v>
      </c>
      <c r="Z31" s="24">
        <v>564158</v>
      </c>
      <c r="AA31" s="24">
        <v>567378</v>
      </c>
      <c r="AB31" s="24">
        <v>570437</v>
      </c>
      <c r="AC31" s="24">
        <v>572222</v>
      </c>
      <c r="AD31" s="24">
        <v>573867</v>
      </c>
      <c r="AE31" s="24"/>
      <c r="AF31" s="48"/>
      <c r="AG31" s="48"/>
      <c r="AH31" s="48"/>
      <c r="AI31" s="48"/>
      <c r="AJ31" s="48"/>
      <c r="AK31" s="48"/>
      <c r="AL31" s="48"/>
      <c r="AM31" s="48"/>
      <c r="AN31" s="48"/>
      <c r="AO31" s="48"/>
    </row>
    <row r="32" spans="1:41">
      <c r="A32" s="37" t="s">
        <v>74</v>
      </c>
      <c r="B32" s="32">
        <f>SUM(B27:B31)</f>
        <v>2482323</v>
      </c>
      <c r="D32" s="32">
        <v>0</v>
      </c>
      <c r="E32" s="32">
        <v>0</v>
      </c>
      <c r="F32" s="32">
        <v>0</v>
      </c>
      <c r="G32" s="32">
        <v>0</v>
      </c>
      <c r="H32" s="32">
        <v>0</v>
      </c>
      <c r="I32" s="32">
        <v>0</v>
      </c>
      <c r="J32" s="32">
        <v>0</v>
      </c>
      <c r="K32" s="32">
        <v>0</v>
      </c>
      <c r="L32" s="32">
        <v>0</v>
      </c>
      <c r="M32" s="32">
        <v>0</v>
      </c>
      <c r="N32" s="32">
        <v>0</v>
      </c>
      <c r="O32" s="32">
        <v>0</v>
      </c>
      <c r="P32" s="32">
        <v>0</v>
      </c>
      <c r="Q32" s="32">
        <v>0</v>
      </c>
      <c r="R32" s="32">
        <v>0</v>
      </c>
      <c r="S32" s="32">
        <v>0</v>
      </c>
      <c r="T32" s="32">
        <v>0</v>
      </c>
      <c r="U32" s="32">
        <v>0</v>
      </c>
      <c r="V32" s="32">
        <v>0</v>
      </c>
      <c r="W32" s="32">
        <v>0</v>
      </c>
      <c r="X32" s="32">
        <v>0</v>
      </c>
      <c r="Y32" s="32">
        <v>0</v>
      </c>
      <c r="Z32" s="32">
        <v>0</v>
      </c>
      <c r="AA32" s="32">
        <v>0</v>
      </c>
      <c r="AB32" s="32">
        <v>0</v>
      </c>
      <c r="AC32" s="32">
        <v>0</v>
      </c>
      <c r="AD32" s="32">
        <v>0</v>
      </c>
      <c r="AE32" s="32"/>
      <c r="AF32" s="48"/>
      <c r="AG32" s="48"/>
      <c r="AH32" s="48"/>
      <c r="AI32" s="48"/>
      <c r="AJ32" s="48"/>
      <c r="AK32" s="48"/>
      <c r="AL32" s="48"/>
      <c r="AM32" s="48"/>
      <c r="AN32" s="48"/>
      <c r="AO32" s="48"/>
    </row>
    <row r="33" spans="1:41">
      <c r="A33" s="38">
        <v>20</v>
      </c>
      <c r="B33" s="24">
        <v>471638</v>
      </c>
      <c r="C33" s="79">
        <f>+B33/B38</f>
        <v>0.20926894439068197</v>
      </c>
      <c r="D33" s="24">
        <v>479983</v>
      </c>
      <c r="E33" s="24">
        <v>488322</v>
      </c>
      <c r="F33" s="24">
        <v>496647</v>
      </c>
      <c r="G33" s="24">
        <v>504976</v>
      </c>
      <c r="H33" s="24">
        <v>513233</v>
      </c>
      <c r="I33" s="24">
        <v>519099</v>
      </c>
      <c r="J33" s="24">
        <v>524955</v>
      </c>
      <c r="K33" s="24">
        <v>530788</v>
      </c>
      <c r="L33" s="24">
        <v>536581</v>
      </c>
      <c r="M33" s="24">
        <v>542381</v>
      </c>
      <c r="N33" s="24">
        <v>541952</v>
      </c>
      <c r="O33" s="24">
        <v>541461</v>
      </c>
      <c r="P33" s="24">
        <v>540902</v>
      </c>
      <c r="Q33" s="24">
        <v>540260</v>
      </c>
      <c r="R33" s="24">
        <v>539569</v>
      </c>
      <c r="S33" s="24">
        <v>541712</v>
      </c>
      <c r="T33" s="24">
        <v>543755</v>
      </c>
      <c r="U33" s="24">
        <v>545692</v>
      </c>
      <c r="V33" s="24">
        <v>547523</v>
      </c>
      <c r="W33" s="24">
        <v>549237</v>
      </c>
      <c r="X33" s="24">
        <v>552989</v>
      </c>
      <c r="Y33" s="24">
        <v>556617</v>
      </c>
      <c r="Z33" s="24">
        <v>560118</v>
      </c>
      <c r="AA33" s="24">
        <v>563494</v>
      </c>
      <c r="AB33" s="24">
        <v>566714</v>
      </c>
      <c r="AC33" s="24">
        <v>569039</v>
      </c>
      <c r="AD33" s="24">
        <v>571225</v>
      </c>
      <c r="AE33" s="24"/>
      <c r="AF33" s="48"/>
      <c r="AG33" s="48"/>
      <c r="AH33" s="48"/>
      <c r="AI33" s="48"/>
      <c r="AJ33" s="48"/>
      <c r="AK33" s="48"/>
      <c r="AL33" s="48"/>
      <c r="AM33" s="48"/>
      <c r="AN33" s="48"/>
      <c r="AO33" s="48"/>
    </row>
    <row r="34" spans="1:41">
      <c r="A34" s="38">
        <v>21</v>
      </c>
      <c r="B34" s="24">
        <v>463619</v>
      </c>
      <c r="C34" s="79">
        <f>+B34/B38</f>
        <v>0.20571086029849925</v>
      </c>
      <c r="D34" s="24">
        <v>471203</v>
      </c>
      <c r="E34" s="24">
        <v>478779</v>
      </c>
      <c r="F34" s="24">
        <v>486343</v>
      </c>
      <c r="G34" s="24">
        <v>493909</v>
      </c>
      <c r="H34" s="24">
        <v>501407</v>
      </c>
      <c r="I34" s="24">
        <v>509608</v>
      </c>
      <c r="J34" s="24">
        <v>517796</v>
      </c>
      <c r="K34" s="24">
        <v>525966</v>
      </c>
      <c r="L34" s="24">
        <v>534094</v>
      </c>
      <c r="M34" s="24">
        <v>542229</v>
      </c>
      <c r="N34" s="24">
        <v>541444</v>
      </c>
      <c r="O34" s="24">
        <v>540595</v>
      </c>
      <c r="P34" s="24">
        <v>539678</v>
      </c>
      <c r="Q34" s="24">
        <v>538681</v>
      </c>
      <c r="R34" s="24">
        <v>537631</v>
      </c>
      <c r="S34" s="24">
        <v>539299</v>
      </c>
      <c r="T34" s="24">
        <v>540864</v>
      </c>
      <c r="U34" s="24">
        <v>542324</v>
      </c>
      <c r="V34" s="24">
        <v>543678</v>
      </c>
      <c r="W34" s="24">
        <v>544918</v>
      </c>
      <c r="X34" s="24">
        <v>548768</v>
      </c>
      <c r="Y34" s="24">
        <v>552493</v>
      </c>
      <c r="Z34" s="24">
        <v>556091</v>
      </c>
      <c r="AA34" s="24">
        <v>559569</v>
      </c>
      <c r="AB34" s="24">
        <v>562887</v>
      </c>
      <c r="AC34" s="24">
        <v>565701</v>
      </c>
      <c r="AD34" s="24">
        <v>568377</v>
      </c>
      <c r="AE34" s="24"/>
      <c r="AF34" s="48"/>
      <c r="AG34" s="48"/>
      <c r="AH34" s="48"/>
      <c r="AI34" s="48"/>
      <c r="AJ34" s="48"/>
      <c r="AK34" s="48"/>
      <c r="AL34" s="48"/>
      <c r="AM34" s="48"/>
      <c r="AN34" s="48"/>
      <c r="AO34" s="48"/>
    </row>
    <row r="35" spans="1:41">
      <c r="A35" s="38">
        <v>22</v>
      </c>
      <c r="B35" s="24">
        <v>453378</v>
      </c>
      <c r="C35" s="79">
        <f>+B35/B38</f>
        <v>0.20116685990093805</v>
      </c>
      <c r="D35" s="24">
        <v>460845</v>
      </c>
      <c r="E35" s="24">
        <v>468307</v>
      </c>
      <c r="F35" s="24">
        <v>475755</v>
      </c>
      <c r="G35" s="24">
        <v>483206</v>
      </c>
      <c r="H35" s="24">
        <v>490590</v>
      </c>
      <c r="I35" s="24">
        <v>500292</v>
      </c>
      <c r="J35" s="24">
        <v>509981</v>
      </c>
      <c r="K35" s="24">
        <v>519652</v>
      </c>
      <c r="L35" s="24">
        <v>529282</v>
      </c>
      <c r="M35" s="24">
        <v>538919</v>
      </c>
      <c r="N35" s="24">
        <v>538578</v>
      </c>
      <c r="O35" s="24">
        <v>538173</v>
      </c>
      <c r="P35" s="24">
        <v>537702</v>
      </c>
      <c r="Q35" s="24">
        <v>537149</v>
      </c>
      <c r="R35" s="24">
        <v>536544</v>
      </c>
      <c r="S35" s="24">
        <v>537721</v>
      </c>
      <c r="T35" s="24">
        <v>538796</v>
      </c>
      <c r="U35" s="24">
        <v>539766</v>
      </c>
      <c r="V35" s="24">
        <v>540631</v>
      </c>
      <c r="W35" s="24">
        <v>541383</v>
      </c>
      <c r="X35" s="24">
        <v>545117</v>
      </c>
      <c r="Y35" s="24">
        <v>548728</v>
      </c>
      <c r="Z35" s="24">
        <v>552212</v>
      </c>
      <c r="AA35" s="24">
        <v>555577</v>
      </c>
      <c r="AB35" s="24">
        <v>558784</v>
      </c>
      <c r="AC35" s="24">
        <v>561996</v>
      </c>
      <c r="AD35" s="24">
        <v>565073</v>
      </c>
      <c r="AE35" s="24"/>
      <c r="AF35" s="48"/>
      <c r="AG35" s="48"/>
      <c r="AH35" s="48"/>
      <c r="AI35" s="48"/>
      <c r="AJ35" s="48"/>
      <c r="AK35" s="48"/>
      <c r="AL35" s="48"/>
      <c r="AM35" s="48"/>
      <c r="AN35" s="48"/>
      <c r="AO35" s="48"/>
    </row>
    <row r="36" spans="1:41">
      <c r="A36" s="38">
        <v>23</v>
      </c>
      <c r="B36" s="24">
        <v>440119</v>
      </c>
      <c r="C36" s="79">
        <f>+B36/B38</f>
        <v>0.19528375265835782</v>
      </c>
      <c r="D36" s="24">
        <v>448452</v>
      </c>
      <c r="E36" s="24">
        <v>456778</v>
      </c>
      <c r="F36" s="24">
        <v>465091</v>
      </c>
      <c r="G36" s="24">
        <v>473408</v>
      </c>
      <c r="H36" s="24">
        <v>481657</v>
      </c>
      <c r="I36" s="24">
        <v>491640</v>
      </c>
      <c r="J36" s="24">
        <v>501610</v>
      </c>
      <c r="K36" s="24">
        <v>511563</v>
      </c>
      <c r="L36" s="24">
        <v>521475</v>
      </c>
      <c r="M36" s="24">
        <v>531393</v>
      </c>
      <c r="N36" s="24">
        <v>532553</v>
      </c>
      <c r="O36" s="24">
        <v>533650</v>
      </c>
      <c r="P36" s="24">
        <v>534682</v>
      </c>
      <c r="Q36" s="24">
        <v>535633</v>
      </c>
      <c r="R36" s="24">
        <v>536531</v>
      </c>
      <c r="S36" s="24">
        <v>537221</v>
      </c>
      <c r="T36" s="24">
        <v>537809</v>
      </c>
      <c r="U36" s="24">
        <v>538292</v>
      </c>
      <c r="V36" s="24">
        <v>538670</v>
      </c>
      <c r="W36" s="24">
        <v>538935</v>
      </c>
      <c r="X36" s="24">
        <v>542292</v>
      </c>
      <c r="Y36" s="24">
        <v>545526</v>
      </c>
      <c r="Z36" s="24">
        <v>548633</v>
      </c>
      <c r="AA36" s="24">
        <v>551623</v>
      </c>
      <c r="AB36" s="24">
        <v>554456</v>
      </c>
      <c r="AC36" s="24">
        <v>557949</v>
      </c>
      <c r="AD36" s="24">
        <v>561307</v>
      </c>
      <c r="AE36" s="24"/>
      <c r="AF36" s="48"/>
      <c r="AG36" s="48"/>
      <c r="AH36" s="48"/>
      <c r="AI36" s="48"/>
      <c r="AJ36" s="48"/>
      <c r="AK36" s="48"/>
      <c r="AL36" s="48"/>
      <c r="AM36" s="48"/>
      <c r="AN36" s="48"/>
      <c r="AO36" s="48"/>
    </row>
    <row r="37" spans="1:41">
      <c r="A37" s="38">
        <v>24</v>
      </c>
      <c r="B37" s="24">
        <v>424987</v>
      </c>
      <c r="C37" s="79">
        <f>+B37/B38</f>
        <v>0.18856958275152291</v>
      </c>
      <c r="D37" s="24">
        <v>434804</v>
      </c>
      <c r="E37" s="24">
        <v>444615</v>
      </c>
      <c r="F37" s="24">
        <v>454414</v>
      </c>
      <c r="G37" s="24">
        <v>464215</v>
      </c>
      <c r="H37" s="24">
        <v>473949</v>
      </c>
      <c r="I37" s="24">
        <v>483339</v>
      </c>
      <c r="J37" s="24">
        <v>492716</v>
      </c>
      <c r="K37" s="24">
        <v>502077</v>
      </c>
      <c r="L37" s="24">
        <v>511397</v>
      </c>
      <c r="M37" s="24">
        <v>520722</v>
      </c>
      <c r="N37" s="24">
        <v>524102</v>
      </c>
      <c r="O37" s="24">
        <v>527421</v>
      </c>
      <c r="P37" s="24">
        <v>530675</v>
      </c>
      <c r="Q37" s="24">
        <v>533849</v>
      </c>
      <c r="R37" s="24">
        <v>536970</v>
      </c>
      <c r="S37" s="24">
        <v>537249</v>
      </c>
      <c r="T37" s="24">
        <v>537426</v>
      </c>
      <c r="U37" s="24">
        <v>537497</v>
      </c>
      <c r="V37" s="24">
        <v>537465</v>
      </c>
      <c r="W37" s="24">
        <v>537319</v>
      </c>
      <c r="X37" s="24">
        <v>540115</v>
      </c>
      <c r="Y37" s="24">
        <v>542789</v>
      </c>
      <c r="Z37" s="24">
        <v>545337</v>
      </c>
      <c r="AA37" s="24">
        <v>547768</v>
      </c>
      <c r="AB37" s="24">
        <v>550043</v>
      </c>
      <c r="AC37" s="24">
        <v>553704</v>
      </c>
      <c r="AD37" s="24">
        <v>557232</v>
      </c>
      <c r="AE37" s="24"/>
      <c r="AF37" s="48"/>
      <c r="AG37" s="48"/>
      <c r="AH37" s="48"/>
      <c r="AI37" s="48"/>
      <c r="AJ37" s="48"/>
      <c r="AK37" s="48"/>
      <c r="AL37" s="48"/>
      <c r="AM37" s="48"/>
      <c r="AN37" s="48"/>
      <c r="AO37" s="48"/>
    </row>
    <row r="38" spans="1:41">
      <c r="A38" s="39" t="s">
        <v>75</v>
      </c>
      <c r="B38" s="32">
        <f>SUM(B33:B37)</f>
        <v>2253741</v>
      </c>
      <c r="D38" s="32">
        <v>0</v>
      </c>
      <c r="E38" s="32">
        <v>0</v>
      </c>
      <c r="F38" s="32">
        <v>0</v>
      </c>
      <c r="G38" s="32">
        <v>0</v>
      </c>
      <c r="H38" s="32">
        <v>0</v>
      </c>
      <c r="I38" s="32">
        <v>0</v>
      </c>
      <c r="J38" s="32">
        <v>0</v>
      </c>
      <c r="K38" s="32">
        <v>0</v>
      </c>
      <c r="L38" s="32">
        <v>0</v>
      </c>
      <c r="M38" s="32">
        <v>0</v>
      </c>
      <c r="N38" s="32">
        <v>0</v>
      </c>
      <c r="O38" s="32">
        <v>0</v>
      </c>
      <c r="P38" s="32">
        <v>0</v>
      </c>
      <c r="Q38" s="32">
        <v>0</v>
      </c>
      <c r="R38" s="32">
        <v>0</v>
      </c>
      <c r="S38" s="32">
        <v>0</v>
      </c>
      <c r="T38" s="32">
        <v>0</v>
      </c>
      <c r="U38" s="32">
        <v>0</v>
      </c>
      <c r="V38" s="32">
        <v>0</v>
      </c>
      <c r="W38" s="32">
        <v>0</v>
      </c>
      <c r="X38" s="32">
        <v>0</v>
      </c>
      <c r="Y38" s="32">
        <v>0</v>
      </c>
      <c r="Z38" s="32">
        <v>0</v>
      </c>
      <c r="AA38" s="32">
        <v>0</v>
      </c>
      <c r="AB38" s="32">
        <v>0</v>
      </c>
      <c r="AC38" s="32">
        <v>0</v>
      </c>
      <c r="AD38" s="32">
        <v>0</v>
      </c>
      <c r="AE38" s="32"/>
      <c r="AF38" s="48"/>
      <c r="AG38" s="48"/>
      <c r="AH38" s="48"/>
      <c r="AI38" s="48"/>
      <c r="AJ38" s="48"/>
      <c r="AK38" s="48"/>
      <c r="AL38" s="48"/>
      <c r="AM38" s="48"/>
      <c r="AN38" s="48"/>
      <c r="AO38" s="48"/>
    </row>
    <row r="39" spans="1:41">
      <c r="A39" s="39">
        <v>25</v>
      </c>
      <c r="B39" s="24">
        <v>408834</v>
      </c>
      <c r="C39" s="79">
        <f>+B39/B44</f>
        <v>0.21089604277821081</v>
      </c>
      <c r="D39" s="24">
        <v>420461</v>
      </c>
      <c r="E39" s="24">
        <v>432083</v>
      </c>
      <c r="F39" s="24">
        <v>443694</v>
      </c>
      <c r="G39" s="24">
        <v>455307</v>
      </c>
      <c r="H39" s="24">
        <v>466850</v>
      </c>
      <c r="I39" s="24">
        <v>475218</v>
      </c>
      <c r="J39" s="24">
        <v>483573</v>
      </c>
      <c r="K39" s="24">
        <v>491911</v>
      </c>
      <c r="L39" s="24">
        <v>500209</v>
      </c>
      <c r="M39" s="24">
        <v>508512</v>
      </c>
      <c r="N39" s="24">
        <v>514503</v>
      </c>
      <c r="O39" s="24">
        <v>520435</v>
      </c>
      <c r="P39" s="24">
        <v>526305</v>
      </c>
      <c r="Q39" s="24">
        <v>532094</v>
      </c>
      <c r="R39" s="24">
        <v>537829</v>
      </c>
      <c r="S39" s="24">
        <v>537564</v>
      </c>
      <c r="T39" s="24">
        <v>537197</v>
      </c>
      <c r="U39" s="24">
        <v>536724</v>
      </c>
      <c r="V39" s="24">
        <v>536148</v>
      </c>
      <c r="W39" s="24">
        <v>535458</v>
      </c>
      <c r="X39" s="24">
        <v>537703</v>
      </c>
      <c r="Y39" s="24">
        <v>539827</v>
      </c>
      <c r="Z39" s="24">
        <v>541826</v>
      </c>
      <c r="AA39" s="24">
        <v>543708</v>
      </c>
      <c r="AB39" s="24">
        <v>545438</v>
      </c>
      <c r="AC39" s="24">
        <v>549252</v>
      </c>
      <c r="AD39" s="24">
        <v>552935</v>
      </c>
      <c r="AE39" s="24"/>
      <c r="AF39" s="48"/>
      <c r="AG39" s="48"/>
      <c r="AH39" s="48"/>
      <c r="AI39" s="48"/>
      <c r="AJ39" s="48"/>
      <c r="AK39" s="48"/>
      <c r="AL39" s="48"/>
      <c r="AM39" s="48"/>
      <c r="AN39" s="48"/>
      <c r="AO39" s="48"/>
    </row>
    <row r="40" spans="1:41">
      <c r="A40" s="39">
        <v>26</v>
      </c>
      <c r="B40" s="24">
        <v>394149</v>
      </c>
      <c r="C40" s="79">
        <f>+B40/B44</f>
        <v>0.20332082058974793</v>
      </c>
      <c r="D40" s="24">
        <v>407098</v>
      </c>
      <c r="E40" s="24">
        <v>420043</v>
      </c>
      <c r="F40" s="24">
        <v>432976</v>
      </c>
      <c r="G40" s="24">
        <v>445912</v>
      </c>
      <c r="H40" s="24">
        <v>458778</v>
      </c>
      <c r="I40" s="24">
        <v>466387</v>
      </c>
      <c r="J40" s="24">
        <v>473984</v>
      </c>
      <c r="K40" s="24">
        <v>481564</v>
      </c>
      <c r="L40" s="24">
        <v>489106</v>
      </c>
      <c r="M40" s="24">
        <v>496650</v>
      </c>
      <c r="N40" s="24">
        <v>504952</v>
      </c>
      <c r="O40" s="24">
        <v>513199</v>
      </c>
      <c r="P40" s="24">
        <v>521382</v>
      </c>
      <c r="Q40" s="24">
        <v>529486</v>
      </c>
      <c r="R40" s="24">
        <v>537538</v>
      </c>
      <c r="S40" s="24">
        <v>536921</v>
      </c>
      <c r="T40" s="24">
        <v>536201</v>
      </c>
      <c r="U40" s="24">
        <v>535376</v>
      </c>
      <c r="V40" s="24">
        <v>534448</v>
      </c>
      <c r="W40" s="24">
        <v>533406</v>
      </c>
      <c r="X40" s="24">
        <v>535179</v>
      </c>
      <c r="Y40" s="24">
        <v>536830</v>
      </c>
      <c r="Z40" s="24">
        <v>538356</v>
      </c>
      <c r="AA40" s="24">
        <v>539766</v>
      </c>
      <c r="AB40" s="24">
        <v>541024</v>
      </c>
      <c r="AC40" s="24">
        <v>544936</v>
      </c>
      <c r="AD40" s="24">
        <v>548716</v>
      </c>
      <c r="AE40" s="24"/>
      <c r="AF40" s="48"/>
      <c r="AG40" s="48"/>
      <c r="AH40" s="48"/>
      <c r="AI40" s="48"/>
      <c r="AJ40" s="48"/>
      <c r="AK40" s="48"/>
      <c r="AL40" s="48"/>
      <c r="AM40" s="48"/>
      <c r="AN40" s="48"/>
      <c r="AO40" s="48"/>
    </row>
    <row r="41" spans="1:41">
      <c r="A41" s="39">
        <v>27</v>
      </c>
      <c r="B41" s="24">
        <v>383146</v>
      </c>
      <c r="C41" s="79">
        <f>+B41/B44</f>
        <v>0.19764494931023435</v>
      </c>
      <c r="D41" s="24">
        <v>396252</v>
      </c>
      <c r="E41" s="24">
        <v>409352</v>
      </c>
      <c r="F41" s="24">
        <v>422441</v>
      </c>
      <c r="G41" s="24">
        <v>435533</v>
      </c>
      <c r="H41" s="24">
        <v>448556</v>
      </c>
      <c r="I41" s="24">
        <v>456046</v>
      </c>
      <c r="J41" s="24">
        <v>463524</v>
      </c>
      <c r="K41" s="24">
        <v>470986</v>
      </c>
      <c r="L41" s="24">
        <v>478411</v>
      </c>
      <c r="M41" s="24">
        <v>485837</v>
      </c>
      <c r="N41" s="24">
        <v>495625</v>
      </c>
      <c r="O41" s="24">
        <v>505358</v>
      </c>
      <c r="P41" s="24">
        <v>515030</v>
      </c>
      <c r="Q41" s="24">
        <v>524622</v>
      </c>
      <c r="R41" s="24">
        <v>534163</v>
      </c>
      <c r="S41" s="24">
        <v>533986</v>
      </c>
      <c r="T41" s="24">
        <v>533708</v>
      </c>
      <c r="U41" s="24">
        <v>533325</v>
      </c>
      <c r="V41" s="24">
        <v>532839</v>
      </c>
      <c r="W41" s="24">
        <v>532239</v>
      </c>
      <c r="X41" s="24">
        <v>533525</v>
      </c>
      <c r="Y41" s="24">
        <v>534689</v>
      </c>
      <c r="Z41" s="24">
        <v>535729</v>
      </c>
      <c r="AA41" s="24">
        <v>536653</v>
      </c>
      <c r="AB41" s="24">
        <v>537427</v>
      </c>
      <c r="AC41" s="24">
        <v>541223</v>
      </c>
      <c r="AD41" s="24">
        <v>544888</v>
      </c>
      <c r="AE41" s="24"/>
      <c r="AF41" s="48"/>
      <c r="AG41" s="48"/>
      <c r="AH41" s="48"/>
      <c r="AI41" s="48"/>
      <c r="AJ41" s="48"/>
      <c r="AK41" s="48"/>
      <c r="AL41" s="48"/>
      <c r="AM41" s="48"/>
      <c r="AN41" s="48"/>
      <c r="AO41" s="48"/>
    </row>
    <row r="42" spans="1:41">
      <c r="A42" s="39">
        <v>28</v>
      </c>
      <c r="B42" s="24">
        <v>377276</v>
      </c>
      <c r="C42" s="79">
        <f>+B42/B44</f>
        <v>0.19461692382529891</v>
      </c>
      <c r="D42" s="24">
        <v>388923</v>
      </c>
      <c r="E42" s="24">
        <v>400565</v>
      </c>
      <c r="F42" s="24">
        <v>412196</v>
      </c>
      <c r="G42" s="24">
        <v>423830</v>
      </c>
      <c r="H42" s="24">
        <v>435396</v>
      </c>
      <c r="I42" s="24">
        <v>443738</v>
      </c>
      <c r="J42" s="24">
        <v>452069</v>
      </c>
      <c r="K42" s="24">
        <v>460385</v>
      </c>
      <c r="L42" s="24">
        <v>468663</v>
      </c>
      <c r="M42" s="24">
        <v>476944</v>
      </c>
      <c r="N42" s="24">
        <v>487007</v>
      </c>
      <c r="O42" s="24">
        <v>497016</v>
      </c>
      <c r="P42" s="24">
        <v>506966</v>
      </c>
      <c r="Q42" s="24">
        <v>516837</v>
      </c>
      <c r="R42" s="24">
        <v>526656</v>
      </c>
      <c r="S42" s="24">
        <v>527967</v>
      </c>
      <c r="T42" s="24">
        <v>529177</v>
      </c>
      <c r="U42" s="24">
        <v>530285</v>
      </c>
      <c r="V42" s="24">
        <v>531290</v>
      </c>
      <c r="W42" s="24">
        <v>532178</v>
      </c>
      <c r="X42" s="24">
        <v>532980</v>
      </c>
      <c r="Y42" s="24">
        <v>533660</v>
      </c>
      <c r="Z42" s="24">
        <v>534216</v>
      </c>
      <c r="AA42" s="24">
        <v>534657</v>
      </c>
      <c r="AB42" s="24">
        <v>534948</v>
      </c>
      <c r="AC42" s="24">
        <v>538368</v>
      </c>
      <c r="AD42" s="24">
        <v>541659</v>
      </c>
      <c r="AE42" s="24"/>
      <c r="AF42" s="48"/>
      <c r="AG42" s="48"/>
      <c r="AH42" s="48"/>
      <c r="AI42" s="48"/>
      <c r="AJ42" s="48"/>
      <c r="AK42" s="48"/>
      <c r="AL42" s="48"/>
      <c r="AM42" s="48"/>
      <c r="AN42" s="48"/>
      <c r="AO42" s="48"/>
    </row>
    <row r="43" spans="1:41">
      <c r="A43" s="39">
        <v>29</v>
      </c>
      <c r="B43" s="24">
        <v>375152</v>
      </c>
      <c r="C43" s="79">
        <f>+B43/B44</f>
        <v>0.19352126349650797</v>
      </c>
      <c r="D43" s="24">
        <v>384228</v>
      </c>
      <c r="E43" s="24">
        <v>393298</v>
      </c>
      <c r="F43" s="24">
        <v>402358</v>
      </c>
      <c r="G43" s="24">
        <v>411421</v>
      </c>
      <c r="H43" s="24">
        <v>420419</v>
      </c>
      <c r="I43" s="24">
        <v>430227</v>
      </c>
      <c r="J43" s="24">
        <v>440025</v>
      </c>
      <c r="K43" s="24">
        <v>449807</v>
      </c>
      <c r="L43" s="24">
        <v>459554</v>
      </c>
      <c r="M43" s="24">
        <v>469303</v>
      </c>
      <c r="N43" s="24">
        <v>478775</v>
      </c>
      <c r="O43" s="24">
        <v>488194</v>
      </c>
      <c r="P43" s="24">
        <v>497553</v>
      </c>
      <c r="Q43" s="24">
        <v>506837</v>
      </c>
      <c r="R43" s="24">
        <v>516069</v>
      </c>
      <c r="S43" s="24">
        <v>519578</v>
      </c>
      <c r="T43" s="24">
        <v>522989</v>
      </c>
      <c r="U43" s="24">
        <v>526300</v>
      </c>
      <c r="V43" s="24">
        <v>529507</v>
      </c>
      <c r="W43" s="24">
        <v>532597</v>
      </c>
      <c r="X43" s="24">
        <v>532991</v>
      </c>
      <c r="Y43" s="24">
        <v>533262</v>
      </c>
      <c r="Z43" s="24">
        <v>533409</v>
      </c>
      <c r="AA43" s="24">
        <v>533441</v>
      </c>
      <c r="AB43" s="24">
        <v>533324</v>
      </c>
      <c r="AC43" s="24">
        <v>536187</v>
      </c>
      <c r="AD43" s="24">
        <v>538920</v>
      </c>
      <c r="AE43" s="24"/>
      <c r="AF43" s="48"/>
      <c r="AG43" s="48"/>
      <c r="AH43" s="48"/>
      <c r="AI43" s="48"/>
      <c r="AJ43" s="48"/>
      <c r="AK43" s="48"/>
      <c r="AL43" s="48"/>
      <c r="AM43" s="48"/>
      <c r="AN43" s="48"/>
      <c r="AO43" s="48"/>
    </row>
    <row r="44" spans="1:41">
      <c r="A44" s="39" t="s">
        <v>76</v>
      </c>
      <c r="B44" s="32">
        <f>SUM(B39:B43)</f>
        <v>1938557</v>
      </c>
      <c r="D44" s="32">
        <v>0</v>
      </c>
      <c r="E44" s="32">
        <v>0</v>
      </c>
      <c r="F44" s="32">
        <v>0</v>
      </c>
      <c r="G44" s="32">
        <v>0</v>
      </c>
      <c r="H44" s="32">
        <v>0</v>
      </c>
      <c r="I44" s="32">
        <v>0</v>
      </c>
      <c r="J44" s="32">
        <v>0</v>
      </c>
      <c r="K44" s="32">
        <v>0</v>
      </c>
      <c r="L44" s="32">
        <v>0</v>
      </c>
      <c r="M44" s="32">
        <v>0</v>
      </c>
      <c r="N44" s="32">
        <v>0</v>
      </c>
      <c r="O44" s="32">
        <v>0</v>
      </c>
      <c r="P44" s="32">
        <v>0</v>
      </c>
      <c r="Q44" s="32">
        <v>0</v>
      </c>
      <c r="R44" s="32">
        <v>0</v>
      </c>
      <c r="S44" s="32">
        <v>0</v>
      </c>
      <c r="T44" s="32">
        <v>0</v>
      </c>
      <c r="U44" s="32">
        <v>0</v>
      </c>
      <c r="V44" s="32">
        <v>0</v>
      </c>
      <c r="W44" s="32">
        <v>0</v>
      </c>
      <c r="X44" s="32">
        <v>0</v>
      </c>
      <c r="Y44" s="32">
        <v>0</v>
      </c>
      <c r="Z44" s="32">
        <v>0</v>
      </c>
      <c r="AA44" s="32">
        <v>0</v>
      </c>
      <c r="AB44" s="32">
        <v>0</v>
      </c>
      <c r="AC44" s="32">
        <v>0</v>
      </c>
      <c r="AD44" s="32">
        <v>0</v>
      </c>
      <c r="AE44" s="32"/>
      <c r="AF44" s="48"/>
      <c r="AG44" s="48"/>
      <c r="AH44" s="48"/>
      <c r="AI44" s="48"/>
      <c r="AJ44" s="48"/>
      <c r="AK44" s="48"/>
      <c r="AL44" s="48"/>
      <c r="AM44" s="48"/>
      <c r="AN44" s="48"/>
      <c r="AO44" s="48"/>
    </row>
    <row r="45" spans="1:41">
      <c r="A45" s="39">
        <v>30</v>
      </c>
      <c r="B45" s="24">
        <v>374002</v>
      </c>
      <c r="C45" s="79">
        <f>+B45/B50</f>
        <v>0.20328615199309047</v>
      </c>
      <c r="D45" s="24">
        <v>380117</v>
      </c>
      <c r="E45" s="24">
        <v>386224</v>
      </c>
      <c r="F45" s="24">
        <v>392322</v>
      </c>
      <c r="G45" s="24">
        <v>398421</v>
      </c>
      <c r="H45" s="24">
        <v>404459</v>
      </c>
      <c r="I45" s="24">
        <v>416057</v>
      </c>
      <c r="J45" s="24">
        <v>427643</v>
      </c>
      <c r="K45" s="24">
        <v>439216</v>
      </c>
      <c r="L45" s="24">
        <v>450753</v>
      </c>
      <c r="M45" s="24">
        <v>462292</v>
      </c>
      <c r="N45" s="24">
        <v>470746</v>
      </c>
      <c r="O45" s="24">
        <v>479148</v>
      </c>
      <c r="P45" s="24">
        <v>487492</v>
      </c>
      <c r="Q45" s="24">
        <v>495762</v>
      </c>
      <c r="R45" s="24">
        <v>503980</v>
      </c>
      <c r="S45" s="24">
        <v>510074</v>
      </c>
      <c r="T45" s="24">
        <v>516075</v>
      </c>
      <c r="U45" s="24">
        <v>521976</v>
      </c>
      <c r="V45" s="24">
        <v>527774</v>
      </c>
      <c r="W45" s="24">
        <v>533453</v>
      </c>
      <c r="X45" s="24">
        <v>533307</v>
      </c>
      <c r="Y45" s="24">
        <v>533034</v>
      </c>
      <c r="Z45" s="24">
        <v>532641</v>
      </c>
      <c r="AA45" s="24">
        <v>532132</v>
      </c>
      <c r="AB45" s="24">
        <v>531475</v>
      </c>
      <c r="AC45" s="24">
        <v>533789</v>
      </c>
      <c r="AD45" s="24">
        <v>535974</v>
      </c>
      <c r="AE45" s="24"/>
      <c r="AF45" s="48"/>
      <c r="AG45" s="48"/>
      <c r="AH45" s="48"/>
      <c r="AI45" s="48"/>
      <c r="AJ45" s="48"/>
      <c r="AK45" s="48"/>
      <c r="AL45" s="48"/>
      <c r="AM45" s="48"/>
      <c r="AN45" s="48"/>
      <c r="AO45" s="48"/>
    </row>
    <row r="46" spans="1:41">
      <c r="A46" s="39">
        <v>31</v>
      </c>
      <c r="B46" s="24">
        <v>371885</v>
      </c>
      <c r="C46" s="79">
        <f>+B46/B50</f>
        <v>0.20213547155884315</v>
      </c>
      <c r="D46" s="24">
        <v>375522</v>
      </c>
      <c r="E46" s="24">
        <v>379153</v>
      </c>
      <c r="F46" s="24">
        <v>382773</v>
      </c>
      <c r="G46" s="24">
        <v>386396</v>
      </c>
      <c r="H46" s="24">
        <v>389962</v>
      </c>
      <c r="I46" s="24">
        <v>402863</v>
      </c>
      <c r="J46" s="24">
        <v>415755</v>
      </c>
      <c r="K46" s="24">
        <v>428632</v>
      </c>
      <c r="L46" s="24">
        <v>441475</v>
      </c>
      <c r="M46" s="24">
        <v>454322</v>
      </c>
      <c r="N46" s="24">
        <v>462020</v>
      </c>
      <c r="O46" s="24">
        <v>469667</v>
      </c>
      <c r="P46" s="24">
        <v>477256</v>
      </c>
      <c r="Q46" s="24">
        <v>484772</v>
      </c>
      <c r="R46" s="24">
        <v>492240</v>
      </c>
      <c r="S46" s="24">
        <v>500622</v>
      </c>
      <c r="T46" s="24">
        <v>508914</v>
      </c>
      <c r="U46" s="24">
        <v>517108</v>
      </c>
      <c r="V46" s="24">
        <v>525201</v>
      </c>
      <c r="W46" s="24">
        <v>533172</v>
      </c>
      <c r="X46" s="24">
        <v>532673</v>
      </c>
      <c r="Y46" s="24">
        <v>532052</v>
      </c>
      <c r="Z46" s="24">
        <v>531306</v>
      </c>
      <c r="AA46" s="24">
        <v>530446</v>
      </c>
      <c r="AB46" s="24">
        <v>529440</v>
      </c>
      <c r="AC46" s="24">
        <v>531282</v>
      </c>
      <c r="AD46" s="24">
        <v>532994</v>
      </c>
      <c r="AE46" s="24"/>
      <c r="AF46" s="48"/>
      <c r="AG46" s="48"/>
      <c r="AH46" s="48"/>
      <c r="AI46" s="48"/>
      <c r="AJ46" s="48"/>
      <c r="AK46" s="48"/>
      <c r="AL46" s="48"/>
      <c r="AM46" s="48"/>
      <c r="AN46" s="48"/>
      <c r="AO46" s="48"/>
    </row>
    <row r="47" spans="1:41">
      <c r="A47" s="39">
        <v>32</v>
      </c>
      <c r="B47" s="24">
        <v>369128</v>
      </c>
      <c r="C47" s="79">
        <f>+B47/B50</f>
        <v>0.20063692363384555</v>
      </c>
      <c r="D47" s="24">
        <v>371142</v>
      </c>
      <c r="E47" s="24">
        <v>373151</v>
      </c>
      <c r="F47" s="24">
        <v>375149</v>
      </c>
      <c r="G47" s="24">
        <v>377150</v>
      </c>
      <c r="H47" s="24">
        <v>379096</v>
      </c>
      <c r="I47" s="24">
        <v>392147</v>
      </c>
      <c r="J47" s="24">
        <v>405190</v>
      </c>
      <c r="K47" s="24">
        <v>418218</v>
      </c>
      <c r="L47" s="24">
        <v>431212</v>
      </c>
      <c r="M47" s="24">
        <v>444212</v>
      </c>
      <c r="N47" s="24">
        <v>451787</v>
      </c>
      <c r="O47" s="24">
        <v>459312</v>
      </c>
      <c r="P47" s="24">
        <v>466781</v>
      </c>
      <c r="Q47" s="24">
        <v>474178</v>
      </c>
      <c r="R47" s="24">
        <v>481527</v>
      </c>
      <c r="S47" s="24">
        <v>491378</v>
      </c>
      <c r="T47" s="24">
        <v>501141</v>
      </c>
      <c r="U47" s="24">
        <v>510809</v>
      </c>
      <c r="V47" s="24">
        <v>520375</v>
      </c>
      <c r="W47" s="24">
        <v>529820</v>
      </c>
      <c r="X47" s="24">
        <v>529756</v>
      </c>
      <c r="Y47" s="24">
        <v>529571</v>
      </c>
      <c r="Z47" s="24">
        <v>529262</v>
      </c>
      <c r="AA47" s="24">
        <v>528839</v>
      </c>
      <c r="AB47" s="24">
        <v>528269</v>
      </c>
      <c r="AC47" s="24">
        <v>529626</v>
      </c>
      <c r="AD47" s="24">
        <v>530853</v>
      </c>
      <c r="AE47" s="24"/>
      <c r="AF47" s="48"/>
      <c r="AG47" s="48"/>
      <c r="AH47" s="48"/>
      <c r="AI47" s="48"/>
      <c r="AJ47" s="48"/>
      <c r="AK47" s="48"/>
      <c r="AL47" s="48"/>
      <c r="AM47" s="48"/>
      <c r="AN47" s="48"/>
      <c r="AO47" s="48"/>
    </row>
    <row r="48" spans="1:41">
      <c r="A48" s="39">
        <v>33</v>
      </c>
      <c r="B48" s="24">
        <v>365041</v>
      </c>
      <c r="C48" s="79">
        <f>+B48/B50</f>
        <v>0.19841546357963258</v>
      </c>
      <c r="D48" s="24">
        <v>366709</v>
      </c>
      <c r="E48" s="24">
        <v>368372</v>
      </c>
      <c r="F48" s="24">
        <v>370025</v>
      </c>
      <c r="G48" s="24">
        <v>371679</v>
      </c>
      <c r="H48" s="24">
        <v>373281</v>
      </c>
      <c r="I48" s="24">
        <v>384886</v>
      </c>
      <c r="J48" s="24">
        <v>396482</v>
      </c>
      <c r="K48" s="24">
        <v>408064</v>
      </c>
      <c r="L48" s="24">
        <v>419614</v>
      </c>
      <c r="M48" s="24">
        <v>431169</v>
      </c>
      <c r="N48" s="24">
        <v>439582</v>
      </c>
      <c r="O48" s="24">
        <v>447947</v>
      </c>
      <c r="P48" s="24">
        <v>456258</v>
      </c>
      <c r="Q48" s="24">
        <v>464499</v>
      </c>
      <c r="R48" s="24">
        <v>472692</v>
      </c>
      <c r="S48" s="24">
        <v>482812</v>
      </c>
      <c r="T48" s="24">
        <v>492846</v>
      </c>
      <c r="U48" s="24">
        <v>502786</v>
      </c>
      <c r="V48" s="24">
        <v>512627</v>
      </c>
      <c r="W48" s="24">
        <v>522349</v>
      </c>
      <c r="X48" s="24">
        <v>523757</v>
      </c>
      <c r="Y48" s="24">
        <v>525047</v>
      </c>
      <c r="Z48" s="24">
        <v>526214</v>
      </c>
      <c r="AA48" s="24">
        <v>527268</v>
      </c>
      <c r="AB48" s="24">
        <v>528174</v>
      </c>
      <c r="AC48" s="24">
        <v>529050</v>
      </c>
      <c r="AD48" s="24">
        <v>529797</v>
      </c>
      <c r="AE48" s="24"/>
      <c r="AF48" s="48"/>
      <c r="AG48" s="48"/>
      <c r="AH48" s="48"/>
      <c r="AI48" s="48"/>
      <c r="AJ48" s="48"/>
      <c r="AK48" s="48"/>
      <c r="AL48" s="48"/>
      <c r="AM48" s="48"/>
      <c r="AN48" s="48"/>
      <c r="AO48" s="48"/>
    </row>
    <row r="49" spans="1:41">
      <c r="A49" s="39">
        <v>34</v>
      </c>
      <c r="B49" s="24">
        <v>359725</v>
      </c>
      <c r="C49" s="79">
        <f>+B49/B50</f>
        <v>0.19552598923458825</v>
      </c>
      <c r="D49" s="24">
        <v>362030</v>
      </c>
      <c r="E49" s="24">
        <v>364330</v>
      </c>
      <c r="F49" s="24">
        <v>366619</v>
      </c>
      <c r="G49" s="24">
        <v>368911</v>
      </c>
      <c r="H49" s="24">
        <v>371150</v>
      </c>
      <c r="I49" s="24">
        <v>380208</v>
      </c>
      <c r="J49" s="24">
        <v>389258</v>
      </c>
      <c r="K49" s="24">
        <v>398293</v>
      </c>
      <c r="L49" s="24">
        <v>407296</v>
      </c>
      <c r="M49" s="24">
        <v>416305</v>
      </c>
      <c r="N49" s="24">
        <v>426165</v>
      </c>
      <c r="O49" s="24">
        <v>435979</v>
      </c>
      <c r="P49" s="24">
        <v>445739</v>
      </c>
      <c r="Q49" s="24">
        <v>455431</v>
      </c>
      <c r="R49" s="24">
        <v>465076</v>
      </c>
      <c r="S49" s="24">
        <v>474607</v>
      </c>
      <c r="T49" s="24">
        <v>484052</v>
      </c>
      <c r="U49" s="24">
        <v>493405</v>
      </c>
      <c r="V49" s="24">
        <v>502660</v>
      </c>
      <c r="W49" s="24">
        <v>511801</v>
      </c>
      <c r="X49" s="24">
        <v>515388</v>
      </c>
      <c r="Y49" s="24">
        <v>518859</v>
      </c>
      <c r="Z49" s="24">
        <v>522209</v>
      </c>
      <c r="AA49" s="24">
        <v>525447</v>
      </c>
      <c r="AB49" s="24">
        <v>528536</v>
      </c>
      <c r="AC49" s="24">
        <v>529006</v>
      </c>
      <c r="AD49" s="24">
        <v>529346</v>
      </c>
      <c r="AE49" s="24"/>
      <c r="AF49" s="48"/>
      <c r="AG49" s="48"/>
      <c r="AH49" s="48"/>
      <c r="AI49" s="48"/>
      <c r="AJ49" s="48"/>
      <c r="AK49" s="48"/>
      <c r="AL49" s="48"/>
      <c r="AM49" s="48"/>
      <c r="AN49" s="48"/>
      <c r="AO49" s="48"/>
    </row>
    <row r="50" spans="1:41">
      <c r="A50" s="39" t="s">
        <v>77</v>
      </c>
      <c r="B50" s="32">
        <f>SUM(B45:B49)</f>
        <v>1839781</v>
      </c>
      <c r="D50" s="32">
        <v>0</v>
      </c>
      <c r="E50" s="32">
        <v>0</v>
      </c>
      <c r="F50" s="32">
        <v>0</v>
      </c>
      <c r="G50" s="32">
        <v>0</v>
      </c>
      <c r="H50" s="32">
        <v>0</v>
      </c>
      <c r="I50" s="32">
        <v>0</v>
      </c>
      <c r="J50" s="32">
        <v>0</v>
      </c>
      <c r="K50" s="32">
        <v>0</v>
      </c>
      <c r="L50" s="32">
        <v>0</v>
      </c>
      <c r="M50" s="32">
        <v>0</v>
      </c>
      <c r="N50" s="32">
        <v>0</v>
      </c>
      <c r="O50" s="32">
        <v>0</v>
      </c>
      <c r="P50" s="32">
        <v>0</v>
      </c>
      <c r="Q50" s="32">
        <v>0</v>
      </c>
      <c r="R50" s="32">
        <v>0</v>
      </c>
      <c r="S50" s="32">
        <v>0</v>
      </c>
      <c r="T50" s="32">
        <v>0</v>
      </c>
      <c r="U50" s="32">
        <v>0</v>
      </c>
      <c r="V50" s="32">
        <v>0</v>
      </c>
      <c r="W50" s="32">
        <v>0</v>
      </c>
      <c r="X50" s="32">
        <v>0</v>
      </c>
      <c r="Y50" s="32">
        <v>0</v>
      </c>
      <c r="Z50" s="32">
        <v>0</v>
      </c>
      <c r="AA50" s="32">
        <v>0</v>
      </c>
      <c r="AB50" s="32">
        <v>0</v>
      </c>
      <c r="AC50" s="32">
        <v>0</v>
      </c>
      <c r="AD50" s="32">
        <v>0</v>
      </c>
      <c r="AE50" s="32"/>
      <c r="AF50" s="48"/>
      <c r="AG50" s="48"/>
      <c r="AH50" s="48"/>
      <c r="AI50" s="48"/>
      <c r="AJ50" s="48"/>
      <c r="AK50" s="48"/>
      <c r="AL50" s="48"/>
      <c r="AM50" s="48"/>
      <c r="AN50" s="48"/>
      <c r="AO50" s="48"/>
    </row>
    <row r="51" spans="1:41">
      <c r="A51" s="39">
        <v>35</v>
      </c>
      <c r="B51" s="24">
        <v>354752</v>
      </c>
      <c r="C51" s="79">
        <f>+B51/B56</f>
        <v>0.20945509508823928</v>
      </c>
      <c r="D51" s="24">
        <v>357818</v>
      </c>
      <c r="E51" s="24">
        <v>360878</v>
      </c>
      <c r="F51" s="24">
        <v>363928</v>
      </c>
      <c r="G51" s="24">
        <v>366980</v>
      </c>
      <c r="H51" s="24">
        <v>369979</v>
      </c>
      <c r="I51" s="24">
        <v>376104</v>
      </c>
      <c r="J51" s="24">
        <v>382218</v>
      </c>
      <c r="K51" s="24">
        <v>388317</v>
      </c>
      <c r="L51" s="24">
        <v>394388</v>
      </c>
      <c r="M51" s="24">
        <v>400462</v>
      </c>
      <c r="N51" s="24">
        <v>412086</v>
      </c>
      <c r="O51" s="24">
        <v>423668</v>
      </c>
      <c r="P51" s="24">
        <v>435199</v>
      </c>
      <c r="Q51" s="24">
        <v>446661</v>
      </c>
      <c r="R51" s="24">
        <v>458077</v>
      </c>
      <c r="S51" s="24">
        <v>466595</v>
      </c>
      <c r="T51" s="24">
        <v>475028</v>
      </c>
      <c r="U51" s="24">
        <v>483371</v>
      </c>
      <c r="V51" s="24">
        <v>491619</v>
      </c>
      <c r="W51" s="24">
        <v>499758</v>
      </c>
      <c r="X51" s="24">
        <v>505906</v>
      </c>
      <c r="Y51" s="24">
        <v>511941</v>
      </c>
      <c r="Z51" s="24">
        <v>517861</v>
      </c>
      <c r="AA51" s="24">
        <v>523666</v>
      </c>
      <c r="AB51" s="24">
        <v>529320</v>
      </c>
      <c r="AC51" s="24">
        <v>529255</v>
      </c>
      <c r="AD51" s="24">
        <v>529058</v>
      </c>
      <c r="AE51" s="24"/>
      <c r="AF51" s="48"/>
      <c r="AG51" s="48"/>
      <c r="AH51" s="48"/>
      <c r="AI51" s="48"/>
      <c r="AJ51" s="48"/>
      <c r="AK51" s="48"/>
      <c r="AL51" s="48"/>
      <c r="AM51" s="48"/>
      <c r="AN51" s="48"/>
      <c r="AO51" s="48"/>
    </row>
    <row r="52" spans="1:41">
      <c r="A52" s="39">
        <v>36</v>
      </c>
      <c r="B52" s="24">
        <v>349540</v>
      </c>
      <c r="C52" s="79">
        <f>+B52/B56</f>
        <v>0.20637779050475588</v>
      </c>
      <c r="D52" s="24">
        <v>353222</v>
      </c>
      <c r="E52" s="24">
        <v>356898</v>
      </c>
      <c r="F52" s="24">
        <v>360564</v>
      </c>
      <c r="G52" s="24">
        <v>364232</v>
      </c>
      <c r="H52" s="24">
        <v>367851</v>
      </c>
      <c r="I52" s="24">
        <v>371520</v>
      </c>
      <c r="J52" s="24">
        <v>375179</v>
      </c>
      <c r="K52" s="24">
        <v>378826</v>
      </c>
      <c r="L52" s="24">
        <v>382442</v>
      </c>
      <c r="M52" s="24">
        <v>386064</v>
      </c>
      <c r="N52" s="24">
        <v>398975</v>
      </c>
      <c r="O52" s="24">
        <v>411844</v>
      </c>
      <c r="P52" s="24">
        <v>424663</v>
      </c>
      <c r="Q52" s="24">
        <v>437417</v>
      </c>
      <c r="R52" s="24">
        <v>450124</v>
      </c>
      <c r="S52" s="24">
        <v>457888</v>
      </c>
      <c r="T52" s="24">
        <v>465570</v>
      </c>
      <c r="U52" s="24">
        <v>473162</v>
      </c>
      <c r="V52" s="24">
        <v>480661</v>
      </c>
      <c r="W52" s="24">
        <v>488055</v>
      </c>
      <c r="X52" s="24">
        <v>496470</v>
      </c>
      <c r="Y52" s="24">
        <v>504776</v>
      </c>
      <c r="Z52" s="24">
        <v>512966</v>
      </c>
      <c r="AA52" s="24">
        <v>521044</v>
      </c>
      <c r="AB52" s="24">
        <v>528972</v>
      </c>
      <c r="AC52" s="24">
        <v>528556</v>
      </c>
      <c r="AD52" s="24">
        <v>528010</v>
      </c>
      <c r="AE52" s="24"/>
      <c r="AF52" s="48"/>
      <c r="AG52" s="48"/>
      <c r="AH52" s="48"/>
      <c r="AI52" s="48"/>
      <c r="AJ52" s="48"/>
      <c r="AK52" s="48"/>
      <c r="AL52" s="48"/>
      <c r="AM52" s="48"/>
      <c r="AN52" s="48"/>
      <c r="AO52" s="48"/>
    </row>
    <row r="53" spans="1:41">
      <c r="A53" s="39">
        <v>37</v>
      </c>
      <c r="B53" s="24">
        <v>341742</v>
      </c>
      <c r="C53" s="79">
        <f>+B53/B56</f>
        <v>0.20177364216592175</v>
      </c>
      <c r="D53" s="24">
        <v>346427</v>
      </c>
      <c r="E53" s="24">
        <v>351107</v>
      </c>
      <c r="F53" s="24">
        <v>355778</v>
      </c>
      <c r="G53" s="24">
        <v>360450</v>
      </c>
      <c r="H53" s="24">
        <v>365074</v>
      </c>
      <c r="I53" s="24">
        <v>367135</v>
      </c>
      <c r="J53" s="24">
        <v>369187</v>
      </c>
      <c r="K53" s="24">
        <v>371226</v>
      </c>
      <c r="L53" s="24">
        <v>373235</v>
      </c>
      <c r="M53" s="24">
        <v>375250</v>
      </c>
      <c r="N53" s="24">
        <v>388305</v>
      </c>
      <c r="O53" s="24">
        <v>401319</v>
      </c>
      <c r="P53" s="24">
        <v>414285</v>
      </c>
      <c r="Q53" s="24">
        <v>427187</v>
      </c>
      <c r="R53" s="24">
        <v>440043</v>
      </c>
      <c r="S53" s="24">
        <v>447680</v>
      </c>
      <c r="T53" s="24">
        <v>455236</v>
      </c>
      <c r="U53" s="24">
        <v>462705</v>
      </c>
      <c r="V53" s="24">
        <v>470082</v>
      </c>
      <c r="W53" s="24">
        <v>477358</v>
      </c>
      <c r="X53" s="24">
        <v>487226</v>
      </c>
      <c r="Y53" s="24">
        <v>496989</v>
      </c>
      <c r="Z53" s="24">
        <v>506638</v>
      </c>
      <c r="AA53" s="24">
        <v>516176</v>
      </c>
      <c r="AB53" s="24">
        <v>525564</v>
      </c>
      <c r="AC53" s="24">
        <v>525577</v>
      </c>
      <c r="AD53" s="24">
        <v>525462</v>
      </c>
      <c r="AE53" s="24"/>
      <c r="AF53" s="48"/>
      <c r="AG53" s="48"/>
      <c r="AH53" s="48"/>
      <c r="AI53" s="48"/>
      <c r="AJ53" s="48"/>
      <c r="AK53" s="48"/>
      <c r="AL53" s="48"/>
      <c r="AM53" s="48"/>
      <c r="AN53" s="48"/>
      <c r="AO53" s="48"/>
    </row>
    <row r="54" spans="1:41">
      <c r="A54" s="39">
        <v>38</v>
      </c>
      <c r="B54" s="24">
        <v>330583</v>
      </c>
      <c r="C54" s="79">
        <f>+B54/B56</f>
        <v>0.19518506928658727</v>
      </c>
      <c r="D54" s="24">
        <v>336677</v>
      </c>
      <c r="E54" s="24">
        <v>342766</v>
      </c>
      <c r="F54" s="24">
        <v>348846</v>
      </c>
      <c r="G54" s="24">
        <v>354929</v>
      </c>
      <c r="H54" s="24">
        <v>360963</v>
      </c>
      <c r="I54" s="24">
        <v>362681</v>
      </c>
      <c r="J54" s="24">
        <v>364390</v>
      </c>
      <c r="K54" s="24">
        <v>366086</v>
      </c>
      <c r="L54" s="24">
        <v>367752</v>
      </c>
      <c r="M54" s="24">
        <v>369424</v>
      </c>
      <c r="N54" s="24">
        <v>381044</v>
      </c>
      <c r="O54" s="24">
        <v>392622</v>
      </c>
      <c r="P54" s="24">
        <v>404154</v>
      </c>
      <c r="Q54" s="24">
        <v>415623</v>
      </c>
      <c r="R54" s="24">
        <v>427048</v>
      </c>
      <c r="S54" s="24">
        <v>435509</v>
      </c>
      <c r="T54" s="24">
        <v>443892</v>
      </c>
      <c r="U54" s="24">
        <v>452189</v>
      </c>
      <c r="V54" s="24">
        <v>460398</v>
      </c>
      <c r="W54" s="24">
        <v>468505</v>
      </c>
      <c r="X54" s="24">
        <v>478637</v>
      </c>
      <c r="Y54" s="24">
        <v>488667</v>
      </c>
      <c r="Z54" s="24">
        <v>498585</v>
      </c>
      <c r="AA54" s="24">
        <v>508393</v>
      </c>
      <c r="AB54" s="24">
        <v>518053</v>
      </c>
      <c r="AC54" s="24">
        <v>519525</v>
      </c>
      <c r="AD54" s="24">
        <v>520871</v>
      </c>
      <c r="AE54" s="24"/>
      <c r="AF54" s="48"/>
      <c r="AG54" s="48"/>
      <c r="AH54" s="48"/>
      <c r="AI54" s="48"/>
      <c r="AJ54" s="48"/>
      <c r="AK54" s="48"/>
      <c r="AL54" s="48"/>
      <c r="AM54" s="48"/>
      <c r="AN54" s="48"/>
      <c r="AO54" s="48"/>
    </row>
    <row r="55" spans="1:41">
      <c r="A55" s="39">
        <v>39</v>
      </c>
      <c r="B55" s="24">
        <v>317073</v>
      </c>
      <c r="C55" s="79">
        <f>+B55/B56</f>
        <v>0.18720840295449581</v>
      </c>
      <c r="D55" s="24">
        <v>324799</v>
      </c>
      <c r="E55" s="24">
        <v>332521</v>
      </c>
      <c r="F55" s="24">
        <v>340234</v>
      </c>
      <c r="G55" s="24">
        <v>347949</v>
      </c>
      <c r="H55" s="24">
        <v>355618</v>
      </c>
      <c r="I55" s="24">
        <v>357966</v>
      </c>
      <c r="J55" s="24">
        <v>360305</v>
      </c>
      <c r="K55" s="24">
        <v>362631</v>
      </c>
      <c r="L55" s="24">
        <v>364928</v>
      </c>
      <c r="M55" s="24">
        <v>367230</v>
      </c>
      <c r="N55" s="24">
        <v>376325</v>
      </c>
      <c r="O55" s="24">
        <v>385379</v>
      </c>
      <c r="P55" s="24">
        <v>394386</v>
      </c>
      <c r="Q55" s="24">
        <v>403333</v>
      </c>
      <c r="R55" s="24">
        <v>412237</v>
      </c>
      <c r="S55" s="24">
        <v>422123</v>
      </c>
      <c r="T55" s="24">
        <v>431934</v>
      </c>
      <c r="U55" s="24">
        <v>441663</v>
      </c>
      <c r="V55" s="24">
        <v>451304</v>
      </c>
      <c r="W55" s="24">
        <v>460844</v>
      </c>
      <c r="X55" s="24">
        <v>470388</v>
      </c>
      <c r="Y55" s="24">
        <v>479831</v>
      </c>
      <c r="Z55" s="24">
        <v>489165</v>
      </c>
      <c r="AA55" s="24">
        <v>498392</v>
      </c>
      <c r="AB55" s="24">
        <v>507473</v>
      </c>
      <c r="AC55" s="24">
        <v>511102</v>
      </c>
      <c r="AD55" s="24">
        <v>514609</v>
      </c>
      <c r="AE55" s="24"/>
      <c r="AF55" s="48"/>
      <c r="AG55" s="48"/>
      <c r="AH55" s="48"/>
      <c r="AI55" s="48"/>
      <c r="AJ55" s="48"/>
      <c r="AK55" s="48"/>
      <c r="AL55" s="48"/>
      <c r="AM55" s="48"/>
      <c r="AN55" s="48"/>
      <c r="AO55" s="48"/>
    </row>
    <row r="56" spans="1:41">
      <c r="A56" s="39" t="s">
        <v>78</v>
      </c>
      <c r="B56" s="32">
        <f>SUM(B51:B55)</f>
        <v>1693690</v>
      </c>
      <c r="D56" s="32">
        <v>0</v>
      </c>
      <c r="E56" s="32">
        <v>0</v>
      </c>
      <c r="F56" s="32">
        <v>0</v>
      </c>
      <c r="G56" s="32">
        <v>0</v>
      </c>
      <c r="H56" s="32">
        <v>0</v>
      </c>
      <c r="I56" s="32">
        <v>0</v>
      </c>
      <c r="J56" s="32">
        <v>0</v>
      </c>
      <c r="K56" s="32">
        <v>0</v>
      </c>
      <c r="L56" s="32">
        <v>0</v>
      </c>
      <c r="M56" s="32">
        <v>0</v>
      </c>
      <c r="N56" s="32">
        <v>0</v>
      </c>
      <c r="O56" s="32">
        <v>0</v>
      </c>
      <c r="P56" s="32">
        <v>0</v>
      </c>
      <c r="Q56" s="32">
        <v>0</v>
      </c>
      <c r="R56" s="32">
        <v>0</v>
      </c>
      <c r="S56" s="32">
        <v>0</v>
      </c>
      <c r="T56" s="32">
        <v>0</v>
      </c>
      <c r="U56" s="32">
        <v>0</v>
      </c>
      <c r="V56" s="32">
        <v>0</v>
      </c>
      <c r="W56" s="32">
        <v>0</v>
      </c>
      <c r="X56" s="32">
        <v>0</v>
      </c>
      <c r="Y56" s="32">
        <v>0</v>
      </c>
      <c r="Z56" s="32">
        <v>0</v>
      </c>
      <c r="AA56" s="32">
        <v>0</v>
      </c>
      <c r="AB56" s="32">
        <v>0</v>
      </c>
      <c r="AC56" s="32">
        <v>0</v>
      </c>
      <c r="AD56" s="32">
        <v>0</v>
      </c>
      <c r="AE56" s="32"/>
      <c r="AF56" s="48"/>
      <c r="AG56" s="48"/>
      <c r="AH56" s="48"/>
      <c r="AI56" s="48"/>
      <c r="AJ56" s="48"/>
      <c r="AK56" s="48"/>
      <c r="AL56" s="48"/>
      <c r="AM56" s="48"/>
      <c r="AN56" s="48"/>
      <c r="AO56" s="48"/>
    </row>
    <row r="57" spans="1:41">
      <c r="A57" s="39">
        <v>40</v>
      </c>
      <c r="B57" s="24">
        <v>302323</v>
      </c>
      <c r="C57" s="79">
        <f>+B57/B62</f>
        <v>0.21669227880146677</v>
      </c>
      <c r="D57" s="24">
        <v>311995</v>
      </c>
      <c r="E57" s="24">
        <v>321663</v>
      </c>
      <c r="F57" s="24">
        <v>331323</v>
      </c>
      <c r="G57" s="24">
        <v>340984</v>
      </c>
      <c r="H57" s="24">
        <v>350600</v>
      </c>
      <c r="I57" s="24">
        <v>353703</v>
      </c>
      <c r="J57" s="24">
        <v>356795</v>
      </c>
      <c r="K57" s="24">
        <v>359873</v>
      </c>
      <c r="L57" s="24">
        <v>362923</v>
      </c>
      <c r="M57" s="24">
        <v>365979</v>
      </c>
      <c r="N57" s="24">
        <v>372165</v>
      </c>
      <c r="O57" s="24">
        <v>378308</v>
      </c>
      <c r="P57" s="24">
        <v>384405</v>
      </c>
      <c r="Q57" s="24">
        <v>390445</v>
      </c>
      <c r="R57" s="24">
        <v>396444</v>
      </c>
      <c r="S57" s="24">
        <v>408070</v>
      </c>
      <c r="T57" s="24">
        <v>419624</v>
      </c>
      <c r="U57" s="24">
        <v>431099</v>
      </c>
      <c r="V57" s="24">
        <v>442489</v>
      </c>
      <c r="W57" s="24">
        <v>453775</v>
      </c>
      <c r="X57" s="24">
        <v>462315</v>
      </c>
      <c r="Y57" s="24">
        <v>470753</v>
      </c>
      <c r="Z57" s="24">
        <v>479085</v>
      </c>
      <c r="AA57" s="24">
        <v>487312</v>
      </c>
      <c r="AB57" s="24">
        <v>495396</v>
      </c>
      <c r="AC57" s="24">
        <v>501563</v>
      </c>
      <c r="AD57" s="24">
        <v>507610</v>
      </c>
      <c r="AE57" s="24"/>
      <c r="AF57" s="48"/>
      <c r="AG57" s="48"/>
      <c r="AH57" s="48"/>
      <c r="AI57" s="48"/>
      <c r="AJ57" s="48"/>
      <c r="AK57" s="48"/>
      <c r="AL57" s="48"/>
      <c r="AM57" s="48"/>
      <c r="AN57" s="48"/>
      <c r="AO57" s="48"/>
    </row>
    <row r="58" spans="1:41">
      <c r="A58" s="39">
        <v>41</v>
      </c>
      <c r="B58" s="24">
        <v>288294</v>
      </c>
      <c r="C58" s="79">
        <f>+B58/B62</f>
        <v>0.20663688778157818</v>
      </c>
      <c r="D58" s="24">
        <v>299717</v>
      </c>
      <c r="E58" s="24">
        <v>311136</v>
      </c>
      <c r="F58" s="24">
        <v>322547</v>
      </c>
      <c r="G58" s="24">
        <v>333960</v>
      </c>
      <c r="H58" s="24">
        <v>345330</v>
      </c>
      <c r="I58" s="24">
        <v>349040</v>
      </c>
      <c r="J58" s="24">
        <v>352742</v>
      </c>
      <c r="K58" s="24">
        <v>356432</v>
      </c>
      <c r="L58" s="24">
        <v>360093</v>
      </c>
      <c r="M58" s="24">
        <v>363757</v>
      </c>
      <c r="N58" s="24">
        <v>367508</v>
      </c>
      <c r="O58" s="24">
        <v>371217</v>
      </c>
      <c r="P58" s="24">
        <v>374881</v>
      </c>
      <c r="Q58" s="24">
        <v>378488</v>
      </c>
      <c r="R58" s="24">
        <v>382058</v>
      </c>
      <c r="S58" s="24">
        <v>394950</v>
      </c>
      <c r="T58" s="24">
        <v>407774</v>
      </c>
      <c r="U58" s="24">
        <v>420521</v>
      </c>
      <c r="V58" s="24">
        <v>433184</v>
      </c>
      <c r="W58" s="24">
        <v>445743</v>
      </c>
      <c r="X58" s="24">
        <v>453532</v>
      </c>
      <c r="Y58" s="24">
        <v>461223</v>
      </c>
      <c r="Z58" s="24">
        <v>468808</v>
      </c>
      <c r="AA58" s="24">
        <v>476291</v>
      </c>
      <c r="AB58" s="24">
        <v>483636</v>
      </c>
      <c r="AC58" s="24">
        <v>492047</v>
      </c>
      <c r="AD58" s="24">
        <v>500343</v>
      </c>
      <c r="AE58" s="24"/>
      <c r="AF58" s="48"/>
      <c r="AG58" s="48"/>
      <c r="AH58" s="48"/>
      <c r="AI58" s="48"/>
      <c r="AJ58" s="48"/>
      <c r="AK58" s="48"/>
      <c r="AL58" s="48"/>
      <c r="AM58" s="48"/>
      <c r="AN58" s="48"/>
      <c r="AO58" s="48"/>
    </row>
    <row r="59" spans="1:41">
      <c r="A59" s="39">
        <v>42</v>
      </c>
      <c r="B59" s="24">
        <v>276314</v>
      </c>
      <c r="C59" s="79">
        <f>+B59/B62</f>
        <v>0.1980501328868412</v>
      </c>
      <c r="D59" s="24">
        <v>288561</v>
      </c>
      <c r="E59" s="24">
        <v>300804</v>
      </c>
      <c r="F59" s="24">
        <v>313040</v>
      </c>
      <c r="G59" s="24">
        <v>325278</v>
      </c>
      <c r="H59" s="24">
        <v>337472</v>
      </c>
      <c r="I59" s="24">
        <v>342172</v>
      </c>
      <c r="J59" s="24">
        <v>346864</v>
      </c>
      <c r="K59" s="24">
        <v>351543</v>
      </c>
      <c r="L59" s="24">
        <v>356194</v>
      </c>
      <c r="M59" s="24">
        <v>360847</v>
      </c>
      <c r="N59" s="24">
        <v>363004</v>
      </c>
      <c r="O59" s="24">
        <v>365119</v>
      </c>
      <c r="P59" s="24">
        <v>367189</v>
      </c>
      <c r="Q59" s="24">
        <v>369203</v>
      </c>
      <c r="R59" s="24">
        <v>371182</v>
      </c>
      <c r="S59" s="24">
        <v>384211</v>
      </c>
      <c r="T59" s="24">
        <v>397175</v>
      </c>
      <c r="U59" s="24">
        <v>410064</v>
      </c>
      <c r="V59" s="24">
        <v>422871</v>
      </c>
      <c r="W59" s="24">
        <v>435575</v>
      </c>
      <c r="X59" s="24">
        <v>443232</v>
      </c>
      <c r="Y59" s="24">
        <v>450793</v>
      </c>
      <c r="Z59" s="24">
        <v>458251</v>
      </c>
      <c r="AA59" s="24">
        <v>465608</v>
      </c>
      <c r="AB59" s="24">
        <v>472831</v>
      </c>
      <c r="AC59" s="24">
        <v>482680</v>
      </c>
      <c r="AD59" s="24">
        <v>492418</v>
      </c>
      <c r="AE59" s="24"/>
      <c r="AF59" s="48"/>
      <c r="AG59" s="48"/>
      <c r="AH59" s="48"/>
      <c r="AI59" s="48"/>
      <c r="AJ59" s="48"/>
      <c r="AK59" s="48"/>
      <c r="AL59" s="48"/>
      <c r="AM59" s="48"/>
      <c r="AN59" s="48"/>
      <c r="AO59" s="48"/>
    </row>
    <row r="60" spans="1:41">
      <c r="A60" s="39">
        <v>43</v>
      </c>
      <c r="B60" s="24">
        <v>267439</v>
      </c>
      <c r="C60" s="79">
        <f>+B60/B62</f>
        <v>0.19168891004119923</v>
      </c>
      <c r="D60" s="24">
        <v>279218</v>
      </c>
      <c r="E60" s="24">
        <v>290993</v>
      </c>
      <c r="F60" s="24">
        <v>302760</v>
      </c>
      <c r="G60" s="24">
        <v>314530</v>
      </c>
      <c r="H60" s="24">
        <v>326258</v>
      </c>
      <c r="I60" s="24">
        <v>332342</v>
      </c>
      <c r="J60" s="24">
        <v>338418</v>
      </c>
      <c r="K60" s="24">
        <v>344483</v>
      </c>
      <c r="L60" s="24">
        <v>350520</v>
      </c>
      <c r="M60" s="24">
        <v>356559</v>
      </c>
      <c r="N60" s="24">
        <v>358375</v>
      </c>
      <c r="O60" s="24">
        <v>360150</v>
      </c>
      <c r="P60" s="24">
        <v>361881</v>
      </c>
      <c r="Q60" s="24">
        <v>363556</v>
      </c>
      <c r="R60" s="24">
        <v>365197</v>
      </c>
      <c r="S60" s="24">
        <v>376803</v>
      </c>
      <c r="T60" s="24">
        <v>388345</v>
      </c>
      <c r="U60" s="24">
        <v>399813</v>
      </c>
      <c r="V60" s="24">
        <v>411201</v>
      </c>
      <c r="W60" s="24">
        <v>422491</v>
      </c>
      <c r="X60" s="24">
        <v>430954</v>
      </c>
      <c r="Y60" s="24">
        <v>439324</v>
      </c>
      <c r="Z60" s="24">
        <v>447594</v>
      </c>
      <c r="AA60" s="24">
        <v>455765</v>
      </c>
      <c r="AB60" s="24">
        <v>463805</v>
      </c>
      <c r="AC60" s="24">
        <v>473913</v>
      </c>
      <c r="AD60" s="24">
        <v>483913</v>
      </c>
      <c r="AE60" s="24"/>
      <c r="AF60" s="48"/>
      <c r="AG60" s="48"/>
      <c r="AH60" s="48"/>
      <c r="AI60" s="48"/>
      <c r="AJ60" s="48"/>
      <c r="AK60" s="48"/>
      <c r="AL60" s="48"/>
      <c r="AM60" s="48"/>
      <c r="AN60" s="48"/>
      <c r="AO60" s="48"/>
    </row>
    <row r="61" spans="1:41">
      <c r="A61" s="39">
        <v>44</v>
      </c>
      <c r="B61" s="24">
        <v>260802</v>
      </c>
      <c r="C61" s="79">
        <f>+B61/B62</f>
        <v>0.18693179048891462</v>
      </c>
      <c r="D61" s="24">
        <v>271194</v>
      </c>
      <c r="E61" s="24">
        <v>281583</v>
      </c>
      <c r="F61" s="24">
        <v>291964</v>
      </c>
      <c r="G61" s="24">
        <v>302348</v>
      </c>
      <c r="H61" s="24">
        <v>312690</v>
      </c>
      <c r="I61" s="24">
        <v>320376</v>
      </c>
      <c r="J61" s="24">
        <v>328054</v>
      </c>
      <c r="K61" s="24">
        <v>335721</v>
      </c>
      <c r="L61" s="24">
        <v>343362</v>
      </c>
      <c r="M61" s="24">
        <v>351004</v>
      </c>
      <c r="N61" s="24">
        <v>353444</v>
      </c>
      <c r="O61" s="24">
        <v>355844</v>
      </c>
      <c r="P61" s="24">
        <v>358200</v>
      </c>
      <c r="Q61" s="24">
        <v>360501</v>
      </c>
      <c r="R61" s="24">
        <v>362767</v>
      </c>
      <c r="S61" s="24">
        <v>371875</v>
      </c>
      <c r="T61" s="24">
        <v>380917</v>
      </c>
      <c r="U61" s="24">
        <v>389887</v>
      </c>
      <c r="V61" s="24">
        <v>398779</v>
      </c>
      <c r="W61" s="24">
        <v>407578</v>
      </c>
      <c r="X61" s="24">
        <v>417441</v>
      </c>
      <c r="Y61" s="24">
        <v>427214</v>
      </c>
      <c r="Z61" s="24">
        <v>436890</v>
      </c>
      <c r="AA61" s="24">
        <v>446470</v>
      </c>
      <c r="AB61" s="24">
        <v>455919</v>
      </c>
      <c r="AC61" s="24">
        <v>465442</v>
      </c>
      <c r="AD61" s="24">
        <v>474859</v>
      </c>
      <c r="AE61" s="24"/>
      <c r="AF61" s="48"/>
      <c r="AG61" s="48"/>
      <c r="AH61" s="48"/>
      <c r="AI61" s="48"/>
      <c r="AJ61" s="48"/>
      <c r="AK61" s="48"/>
      <c r="AL61" s="48"/>
      <c r="AM61" s="48"/>
      <c r="AN61" s="48"/>
      <c r="AO61" s="48"/>
    </row>
    <row r="62" spans="1:41">
      <c r="A62" s="39" t="s">
        <v>79</v>
      </c>
      <c r="B62" s="32">
        <f>SUM(B57:B61)</f>
        <v>1395172</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c r="AF62" s="48"/>
      <c r="AG62" s="48"/>
      <c r="AH62" s="48"/>
      <c r="AI62" s="48"/>
      <c r="AJ62" s="48"/>
      <c r="AK62" s="48"/>
      <c r="AL62" s="48"/>
      <c r="AM62" s="48"/>
      <c r="AN62" s="48"/>
      <c r="AO62" s="48"/>
    </row>
    <row r="63" spans="1:41">
      <c r="A63" s="39">
        <v>45</v>
      </c>
      <c r="B63" s="24">
        <v>254716</v>
      </c>
      <c r="C63" s="79">
        <f>+B63/B68</f>
        <v>0.21297716178725695</v>
      </c>
      <c r="D63" s="24">
        <v>263362</v>
      </c>
      <c r="E63" s="24">
        <v>272005</v>
      </c>
      <c r="F63" s="24">
        <v>280640</v>
      </c>
      <c r="G63" s="24">
        <v>289281</v>
      </c>
      <c r="H63" s="24">
        <v>297876</v>
      </c>
      <c r="I63" s="24">
        <v>307472</v>
      </c>
      <c r="J63" s="24">
        <v>317061</v>
      </c>
      <c r="K63" s="24">
        <v>326637</v>
      </c>
      <c r="L63" s="24">
        <v>336189</v>
      </c>
      <c r="M63" s="24">
        <v>345743</v>
      </c>
      <c r="N63" s="24">
        <v>348931</v>
      </c>
      <c r="O63" s="24">
        <v>352078</v>
      </c>
      <c r="P63" s="24">
        <v>355182</v>
      </c>
      <c r="Q63" s="24">
        <v>358233</v>
      </c>
      <c r="R63" s="24">
        <v>361248</v>
      </c>
      <c r="S63" s="24">
        <v>367475</v>
      </c>
      <c r="T63" s="24">
        <v>373635</v>
      </c>
      <c r="U63" s="24">
        <v>379725</v>
      </c>
      <c r="V63" s="24">
        <v>385739</v>
      </c>
      <c r="W63" s="24">
        <v>391666</v>
      </c>
      <c r="X63" s="24">
        <v>403237</v>
      </c>
      <c r="Y63" s="24">
        <v>414723</v>
      </c>
      <c r="Z63" s="24">
        <v>426117</v>
      </c>
      <c r="AA63" s="24">
        <v>437415</v>
      </c>
      <c r="AB63" s="24">
        <v>448584</v>
      </c>
      <c r="AC63" s="24">
        <v>457109</v>
      </c>
      <c r="AD63" s="24">
        <v>465529</v>
      </c>
      <c r="AE63" s="24"/>
      <c r="AF63" s="48"/>
      <c r="AG63" s="48"/>
      <c r="AH63" s="48"/>
      <c r="AI63" s="48"/>
      <c r="AJ63" s="48"/>
      <c r="AK63" s="48"/>
      <c r="AL63" s="48"/>
      <c r="AM63" s="48"/>
      <c r="AN63" s="48"/>
      <c r="AO63" s="48"/>
    </row>
    <row r="64" spans="1:41">
      <c r="A64" s="39">
        <v>46</v>
      </c>
      <c r="B64" s="24">
        <v>247835</v>
      </c>
      <c r="C64" s="79">
        <f>+B64/B68</f>
        <v>0.20722371147295351</v>
      </c>
      <c r="D64" s="24">
        <v>255036</v>
      </c>
      <c r="E64" s="24">
        <v>262233</v>
      </c>
      <c r="F64" s="24">
        <v>269423</v>
      </c>
      <c r="G64" s="24">
        <v>276614</v>
      </c>
      <c r="H64" s="24">
        <v>283766</v>
      </c>
      <c r="I64" s="24">
        <v>295079</v>
      </c>
      <c r="J64" s="24">
        <v>306386</v>
      </c>
      <c r="K64" s="24">
        <v>317682</v>
      </c>
      <c r="L64" s="24">
        <v>328953</v>
      </c>
      <c r="M64" s="24">
        <v>340226</v>
      </c>
      <c r="N64" s="24">
        <v>344016</v>
      </c>
      <c r="O64" s="24">
        <v>347768</v>
      </c>
      <c r="P64" s="24">
        <v>351477</v>
      </c>
      <c r="Q64" s="24">
        <v>355132</v>
      </c>
      <c r="R64" s="24">
        <v>358751</v>
      </c>
      <c r="S64" s="24">
        <v>362567</v>
      </c>
      <c r="T64" s="24">
        <v>366317</v>
      </c>
      <c r="U64" s="24">
        <v>369995</v>
      </c>
      <c r="V64" s="24">
        <v>373601</v>
      </c>
      <c r="W64" s="24">
        <v>377125</v>
      </c>
      <c r="X64" s="24">
        <v>389937</v>
      </c>
      <c r="Y64" s="24">
        <v>402669</v>
      </c>
      <c r="Z64" s="24">
        <v>415310</v>
      </c>
      <c r="AA64" s="24">
        <v>427859</v>
      </c>
      <c r="AB64" s="24">
        <v>440280</v>
      </c>
      <c r="AC64" s="24">
        <v>448060</v>
      </c>
      <c r="AD64" s="24">
        <v>455736</v>
      </c>
      <c r="AE64" s="24"/>
      <c r="AF64" s="48"/>
      <c r="AG64" s="48"/>
      <c r="AH64" s="48"/>
      <c r="AI64" s="48"/>
      <c r="AJ64" s="48"/>
      <c r="AK64" s="48"/>
      <c r="AL64" s="48"/>
      <c r="AM64" s="48"/>
      <c r="AN64" s="48"/>
      <c r="AO64" s="48"/>
    </row>
    <row r="65" spans="1:41">
      <c r="A65" s="39">
        <v>47</v>
      </c>
      <c r="B65" s="24">
        <v>240236</v>
      </c>
      <c r="C65" s="79">
        <f>+B65/B68</f>
        <v>0.20086991566734505</v>
      </c>
      <c r="D65" s="24">
        <v>246537</v>
      </c>
      <c r="E65" s="24">
        <v>252835</v>
      </c>
      <c r="F65" s="24">
        <v>259126</v>
      </c>
      <c r="G65" s="24">
        <v>265418</v>
      </c>
      <c r="H65" s="24">
        <v>271672</v>
      </c>
      <c r="I65" s="24">
        <v>283791</v>
      </c>
      <c r="J65" s="24">
        <v>295903</v>
      </c>
      <c r="K65" s="24">
        <v>308006</v>
      </c>
      <c r="L65" s="24">
        <v>320083</v>
      </c>
      <c r="M65" s="24">
        <v>332164</v>
      </c>
      <c r="N65" s="24">
        <v>336925</v>
      </c>
      <c r="O65" s="24">
        <v>341649</v>
      </c>
      <c r="P65" s="24">
        <v>346330</v>
      </c>
      <c r="Q65" s="24">
        <v>350959</v>
      </c>
      <c r="R65" s="24">
        <v>355553</v>
      </c>
      <c r="S65" s="24">
        <v>357790</v>
      </c>
      <c r="T65" s="24">
        <v>359959</v>
      </c>
      <c r="U65" s="24">
        <v>362059</v>
      </c>
      <c r="V65" s="24">
        <v>364088</v>
      </c>
      <c r="W65" s="24">
        <v>366039</v>
      </c>
      <c r="X65" s="24">
        <v>378982</v>
      </c>
      <c r="Y65" s="24">
        <v>391847</v>
      </c>
      <c r="Z65" s="24">
        <v>404623</v>
      </c>
      <c r="AA65" s="24">
        <v>417310</v>
      </c>
      <c r="AB65" s="24">
        <v>429871</v>
      </c>
      <c r="AC65" s="24">
        <v>437512</v>
      </c>
      <c r="AD65" s="24">
        <v>445052</v>
      </c>
      <c r="AE65" s="24"/>
      <c r="AF65" s="48"/>
      <c r="AG65" s="48"/>
      <c r="AH65" s="48"/>
      <c r="AI65" s="48"/>
      <c r="AJ65" s="48"/>
      <c r="AK65" s="48"/>
      <c r="AL65" s="48"/>
      <c r="AM65" s="48"/>
      <c r="AN65" s="48"/>
      <c r="AO65" s="48"/>
    </row>
    <row r="66" spans="1:41">
      <c r="A66" s="39">
        <v>48</v>
      </c>
      <c r="B66" s="24">
        <v>231443</v>
      </c>
      <c r="C66" s="79">
        <f>+B66/B68</f>
        <v>0.19351777373831291</v>
      </c>
      <c r="D66" s="24">
        <v>237696</v>
      </c>
      <c r="E66" s="24">
        <v>243947</v>
      </c>
      <c r="F66" s="24">
        <v>250191</v>
      </c>
      <c r="G66" s="24">
        <v>256436</v>
      </c>
      <c r="H66" s="24">
        <v>262644</v>
      </c>
      <c r="I66" s="24">
        <v>274297</v>
      </c>
      <c r="J66" s="24">
        <v>285943</v>
      </c>
      <c r="K66" s="24">
        <v>297580</v>
      </c>
      <c r="L66" s="24">
        <v>309192</v>
      </c>
      <c r="M66" s="24">
        <v>320808</v>
      </c>
      <c r="N66" s="24">
        <v>326921</v>
      </c>
      <c r="O66" s="24">
        <v>332998</v>
      </c>
      <c r="P66" s="24">
        <v>339035</v>
      </c>
      <c r="Q66" s="24">
        <v>345019</v>
      </c>
      <c r="R66" s="24">
        <v>350969</v>
      </c>
      <c r="S66" s="24">
        <v>352869</v>
      </c>
      <c r="T66" s="24">
        <v>354702</v>
      </c>
      <c r="U66" s="24">
        <v>356466</v>
      </c>
      <c r="V66" s="24">
        <v>358161</v>
      </c>
      <c r="W66" s="24">
        <v>359779</v>
      </c>
      <c r="X66" s="24">
        <v>371316</v>
      </c>
      <c r="Y66" s="24">
        <v>382776</v>
      </c>
      <c r="Z66" s="24">
        <v>394149</v>
      </c>
      <c r="AA66" s="24">
        <v>405435</v>
      </c>
      <c r="AB66" s="24">
        <v>416600</v>
      </c>
      <c r="AC66" s="24">
        <v>425024</v>
      </c>
      <c r="AD66" s="24">
        <v>433349</v>
      </c>
      <c r="AE66" s="24"/>
      <c r="AF66" s="48"/>
      <c r="AG66" s="48"/>
      <c r="AH66" s="48"/>
      <c r="AI66" s="48"/>
      <c r="AJ66" s="48"/>
      <c r="AK66" s="48"/>
      <c r="AL66" s="48"/>
      <c r="AM66" s="48"/>
      <c r="AN66" s="48"/>
      <c r="AO66" s="48"/>
    </row>
    <row r="67" spans="1:41">
      <c r="A67" s="39">
        <v>49</v>
      </c>
      <c r="B67" s="24">
        <v>221748</v>
      </c>
      <c r="C67" s="79">
        <f>+B67/B68</f>
        <v>0.18541143733413157</v>
      </c>
      <c r="D67" s="24">
        <v>228576</v>
      </c>
      <c r="E67" s="24">
        <v>235400</v>
      </c>
      <c r="F67" s="24">
        <v>242219</v>
      </c>
      <c r="G67" s="24">
        <v>249038</v>
      </c>
      <c r="H67" s="24">
        <v>255823</v>
      </c>
      <c r="I67" s="24">
        <v>266105</v>
      </c>
      <c r="J67" s="24">
        <v>276381</v>
      </c>
      <c r="K67" s="24">
        <v>286648</v>
      </c>
      <c r="L67" s="24">
        <v>296892</v>
      </c>
      <c r="M67" s="24">
        <v>307138</v>
      </c>
      <c r="N67" s="24">
        <v>314811</v>
      </c>
      <c r="O67" s="24">
        <v>322450</v>
      </c>
      <c r="P67" s="24">
        <v>330050</v>
      </c>
      <c r="Q67" s="24">
        <v>337599</v>
      </c>
      <c r="R67" s="24">
        <v>345114</v>
      </c>
      <c r="S67" s="24">
        <v>347630</v>
      </c>
      <c r="T67" s="24">
        <v>350082</v>
      </c>
      <c r="U67" s="24">
        <v>352465</v>
      </c>
      <c r="V67" s="24">
        <v>354780</v>
      </c>
      <c r="W67" s="24">
        <v>357018</v>
      </c>
      <c r="X67" s="24">
        <v>366090</v>
      </c>
      <c r="Y67" s="24">
        <v>375084</v>
      </c>
      <c r="Z67" s="24">
        <v>383992</v>
      </c>
      <c r="AA67" s="24">
        <v>392817</v>
      </c>
      <c r="AB67" s="24">
        <v>401525</v>
      </c>
      <c r="AC67" s="24">
        <v>411315</v>
      </c>
      <c r="AD67" s="24">
        <v>421011</v>
      </c>
      <c r="AE67" s="24"/>
      <c r="AF67" s="48"/>
      <c r="AG67" s="48"/>
      <c r="AH67" s="48"/>
      <c r="AI67" s="48"/>
      <c r="AJ67" s="48"/>
      <c r="AK67" s="48"/>
      <c r="AL67" s="48"/>
      <c r="AM67" s="48"/>
      <c r="AN67" s="48"/>
      <c r="AO67" s="48"/>
    </row>
    <row r="68" spans="1:41">
      <c r="A68" s="37" t="s">
        <v>80</v>
      </c>
      <c r="B68" s="32">
        <f>SUM(B63:B67)</f>
        <v>1195978</v>
      </c>
      <c r="D68" s="32">
        <v>0</v>
      </c>
      <c r="E68" s="32">
        <v>0</v>
      </c>
      <c r="F68" s="32">
        <v>0</v>
      </c>
      <c r="G68" s="32">
        <v>0</v>
      </c>
      <c r="H68" s="32">
        <v>0</v>
      </c>
      <c r="I68" s="32">
        <v>0</v>
      </c>
      <c r="J68" s="32">
        <v>0</v>
      </c>
      <c r="K68" s="32">
        <v>0</v>
      </c>
      <c r="L68" s="32">
        <v>0</v>
      </c>
      <c r="M68" s="32">
        <v>0</v>
      </c>
      <c r="N68" s="32">
        <v>0</v>
      </c>
      <c r="O68" s="32">
        <v>0</v>
      </c>
      <c r="P68" s="32">
        <v>0</v>
      </c>
      <c r="Q68" s="32">
        <v>0</v>
      </c>
      <c r="R68" s="32">
        <v>0</v>
      </c>
      <c r="S68" s="32">
        <v>0</v>
      </c>
      <c r="T68" s="32">
        <v>0</v>
      </c>
      <c r="U68" s="32">
        <v>0</v>
      </c>
      <c r="V68" s="32">
        <v>0</v>
      </c>
      <c r="W68" s="32">
        <v>0</v>
      </c>
      <c r="X68" s="32">
        <v>0</v>
      </c>
      <c r="Y68" s="32">
        <v>0</v>
      </c>
      <c r="Z68" s="32">
        <v>0</v>
      </c>
      <c r="AA68" s="32">
        <v>0</v>
      </c>
      <c r="AB68" s="32">
        <v>0</v>
      </c>
      <c r="AC68" s="32">
        <v>0</v>
      </c>
      <c r="AD68" s="32">
        <v>0</v>
      </c>
      <c r="AE68" s="32"/>
      <c r="AF68" s="48"/>
      <c r="AG68" s="48"/>
      <c r="AH68" s="48"/>
      <c r="AI68" s="48"/>
      <c r="AJ68" s="48"/>
      <c r="AK68" s="48"/>
      <c r="AL68" s="48"/>
      <c r="AM68" s="48"/>
      <c r="AN68" s="48"/>
      <c r="AO68" s="48"/>
    </row>
    <row r="69" spans="1:41">
      <c r="A69" s="38">
        <v>50</v>
      </c>
      <c r="B69" s="24">
        <v>212097</v>
      </c>
      <c r="C69" s="79">
        <f>+B69/B74</f>
        <v>0.22032343647095243</v>
      </c>
      <c r="D69" s="24">
        <v>219597</v>
      </c>
      <c r="E69" s="24">
        <v>227095</v>
      </c>
      <c r="F69" s="24">
        <v>234588</v>
      </c>
      <c r="G69" s="24">
        <v>242081</v>
      </c>
      <c r="H69" s="24">
        <v>249542</v>
      </c>
      <c r="I69" s="24">
        <v>258100</v>
      </c>
      <c r="J69" s="24">
        <v>266650</v>
      </c>
      <c r="K69" s="24">
        <v>275193</v>
      </c>
      <c r="L69" s="24">
        <v>283713</v>
      </c>
      <c r="M69" s="24">
        <v>292235</v>
      </c>
      <c r="N69" s="24">
        <v>301768</v>
      </c>
      <c r="O69" s="24">
        <v>311268</v>
      </c>
      <c r="P69" s="24">
        <v>320733</v>
      </c>
      <c r="Q69" s="24">
        <v>330145</v>
      </c>
      <c r="R69" s="24">
        <v>339526</v>
      </c>
      <c r="S69" s="24">
        <v>342784</v>
      </c>
      <c r="T69" s="24">
        <v>345978</v>
      </c>
      <c r="U69" s="24">
        <v>349105</v>
      </c>
      <c r="V69" s="24">
        <v>352164</v>
      </c>
      <c r="W69" s="24">
        <v>355145</v>
      </c>
      <c r="X69" s="24">
        <v>361374</v>
      </c>
      <c r="Y69" s="24">
        <v>367524</v>
      </c>
      <c r="Z69" s="24">
        <v>373590</v>
      </c>
      <c r="AA69" s="24">
        <v>379573</v>
      </c>
      <c r="AB69" s="24">
        <v>385446</v>
      </c>
      <c r="AC69" s="24">
        <v>396906</v>
      </c>
      <c r="AD69" s="24">
        <v>408274</v>
      </c>
      <c r="AE69" s="24"/>
      <c r="AF69" s="48"/>
      <c r="AG69" s="48"/>
      <c r="AH69" s="48"/>
      <c r="AI69" s="48"/>
      <c r="AJ69" s="48"/>
      <c r="AK69" s="48"/>
      <c r="AL69" s="48"/>
      <c r="AM69" s="48"/>
      <c r="AN69" s="48"/>
      <c r="AO69" s="48"/>
    </row>
    <row r="70" spans="1:41">
      <c r="A70" s="38">
        <v>51</v>
      </c>
      <c r="B70" s="24">
        <v>202717</v>
      </c>
      <c r="C70" s="79">
        <f>+B70/B74</f>
        <v>0.21057962192337498</v>
      </c>
      <c r="D70" s="24">
        <v>210678</v>
      </c>
      <c r="E70" s="24">
        <v>218636</v>
      </c>
      <c r="F70" s="24">
        <v>226588</v>
      </c>
      <c r="G70" s="24">
        <v>234541</v>
      </c>
      <c r="H70" s="24">
        <v>242464</v>
      </c>
      <c r="I70" s="24">
        <v>249589</v>
      </c>
      <c r="J70" s="24">
        <v>256709</v>
      </c>
      <c r="K70" s="24">
        <v>263819</v>
      </c>
      <c r="L70" s="24">
        <v>270908</v>
      </c>
      <c r="M70" s="24">
        <v>278000</v>
      </c>
      <c r="N70" s="24">
        <v>289205</v>
      </c>
      <c r="O70" s="24">
        <v>300380</v>
      </c>
      <c r="P70" s="24">
        <v>311519</v>
      </c>
      <c r="Q70" s="24">
        <v>322610</v>
      </c>
      <c r="R70" s="24">
        <v>333669</v>
      </c>
      <c r="S70" s="24">
        <v>337522</v>
      </c>
      <c r="T70" s="24">
        <v>341313</v>
      </c>
      <c r="U70" s="24">
        <v>345038</v>
      </c>
      <c r="V70" s="24">
        <v>348696</v>
      </c>
      <c r="W70" s="24">
        <v>352276</v>
      </c>
      <c r="X70" s="24">
        <v>356122</v>
      </c>
      <c r="Y70" s="24">
        <v>359889</v>
      </c>
      <c r="Z70" s="24">
        <v>363573</v>
      </c>
      <c r="AA70" s="24">
        <v>367178</v>
      </c>
      <c r="AB70" s="24">
        <v>370679</v>
      </c>
      <c r="AC70" s="24">
        <v>383346</v>
      </c>
      <c r="AD70" s="24">
        <v>395929</v>
      </c>
      <c r="AE70" s="24"/>
      <c r="AF70" s="48"/>
      <c r="AG70" s="48"/>
      <c r="AH70" s="48"/>
      <c r="AI70" s="48"/>
      <c r="AJ70" s="48"/>
      <c r="AK70" s="48"/>
      <c r="AL70" s="48"/>
      <c r="AM70" s="48"/>
      <c r="AN70" s="48"/>
      <c r="AO70" s="48"/>
    </row>
    <row r="71" spans="1:41">
      <c r="A71" s="38">
        <v>52</v>
      </c>
      <c r="B71" s="24">
        <v>192940</v>
      </c>
      <c r="C71" s="79">
        <f>+B71/B74</f>
        <v>0.20042340925475399</v>
      </c>
      <c r="D71" s="24">
        <v>201293</v>
      </c>
      <c r="E71" s="24">
        <v>209643</v>
      </c>
      <c r="F71" s="24">
        <v>217988</v>
      </c>
      <c r="G71" s="24">
        <v>226335</v>
      </c>
      <c r="H71" s="24">
        <v>234652</v>
      </c>
      <c r="I71" s="24">
        <v>240882</v>
      </c>
      <c r="J71" s="24">
        <v>247106</v>
      </c>
      <c r="K71" s="24">
        <v>253321</v>
      </c>
      <c r="L71" s="24">
        <v>259516</v>
      </c>
      <c r="M71" s="24">
        <v>265714</v>
      </c>
      <c r="N71" s="24">
        <v>277698</v>
      </c>
      <c r="O71" s="24">
        <v>289654</v>
      </c>
      <c r="P71" s="24">
        <v>301575</v>
      </c>
      <c r="Q71" s="24">
        <v>313450</v>
      </c>
      <c r="R71" s="24">
        <v>325293</v>
      </c>
      <c r="S71" s="24">
        <v>330094</v>
      </c>
      <c r="T71" s="24">
        <v>334834</v>
      </c>
      <c r="U71" s="24">
        <v>339510</v>
      </c>
      <c r="V71" s="24">
        <v>344119</v>
      </c>
      <c r="W71" s="24">
        <v>348652</v>
      </c>
      <c r="X71" s="24">
        <v>350938</v>
      </c>
      <c r="Y71" s="24">
        <v>353145</v>
      </c>
      <c r="Z71" s="24">
        <v>355270</v>
      </c>
      <c r="AA71" s="24">
        <v>357319</v>
      </c>
      <c r="AB71" s="24">
        <v>359267</v>
      </c>
      <c r="AC71" s="24">
        <v>372056</v>
      </c>
      <c r="AD71" s="24">
        <v>384763</v>
      </c>
      <c r="AE71" s="24"/>
      <c r="AF71" s="48"/>
      <c r="AG71" s="48"/>
      <c r="AH71" s="48"/>
      <c r="AI71" s="48"/>
      <c r="AJ71" s="48"/>
      <c r="AK71" s="48"/>
      <c r="AL71" s="48"/>
      <c r="AM71" s="48"/>
      <c r="AN71" s="48"/>
      <c r="AO71" s="48"/>
    </row>
    <row r="72" spans="1:41">
      <c r="A72" s="38">
        <v>53</v>
      </c>
      <c r="B72" s="24">
        <v>182696</v>
      </c>
      <c r="C72" s="79">
        <f>+B72/B74</f>
        <v>0.18978208343115235</v>
      </c>
      <c r="D72" s="24">
        <v>191294</v>
      </c>
      <c r="E72" s="24">
        <v>199889</v>
      </c>
      <c r="F72" s="24">
        <v>208479</v>
      </c>
      <c r="G72" s="24">
        <v>217071</v>
      </c>
      <c r="H72" s="24">
        <v>225634</v>
      </c>
      <c r="I72" s="24">
        <v>231804</v>
      </c>
      <c r="J72" s="24">
        <v>237969</v>
      </c>
      <c r="K72" s="24">
        <v>244125</v>
      </c>
      <c r="L72" s="24">
        <v>250262</v>
      </c>
      <c r="M72" s="24">
        <v>256402</v>
      </c>
      <c r="N72" s="24">
        <v>267920</v>
      </c>
      <c r="O72" s="24">
        <v>279411</v>
      </c>
      <c r="P72" s="24">
        <v>290868</v>
      </c>
      <c r="Q72" s="24">
        <v>302281</v>
      </c>
      <c r="R72" s="24">
        <v>313664</v>
      </c>
      <c r="S72" s="24">
        <v>319772</v>
      </c>
      <c r="T72" s="24">
        <v>325824</v>
      </c>
      <c r="U72" s="24">
        <v>331813</v>
      </c>
      <c r="V72" s="24">
        <v>337736</v>
      </c>
      <c r="W72" s="24">
        <v>343583</v>
      </c>
      <c r="X72" s="24">
        <v>345537</v>
      </c>
      <c r="Y72" s="24">
        <v>347413</v>
      </c>
      <c r="Z72" s="24">
        <v>349208</v>
      </c>
      <c r="AA72" s="24">
        <v>350928</v>
      </c>
      <c r="AB72" s="24">
        <v>352550</v>
      </c>
      <c r="AC72" s="24">
        <v>363956</v>
      </c>
      <c r="AD72" s="24">
        <v>375282</v>
      </c>
      <c r="AE72" s="24"/>
      <c r="AF72" s="48"/>
      <c r="AG72" s="48"/>
      <c r="AH72" s="48"/>
      <c r="AI72" s="48"/>
      <c r="AJ72" s="48"/>
      <c r="AK72" s="48"/>
      <c r="AL72" s="48"/>
      <c r="AM72" s="48"/>
      <c r="AN72" s="48"/>
      <c r="AO72" s="48"/>
    </row>
    <row r="73" spans="1:41">
      <c r="A73" s="38">
        <v>54</v>
      </c>
      <c r="B73" s="24">
        <v>172212</v>
      </c>
      <c r="C73" s="79">
        <f>+B73/B74</f>
        <v>0.17889144891976624</v>
      </c>
      <c r="D73" s="24">
        <v>180921</v>
      </c>
      <c r="E73" s="24">
        <v>189628</v>
      </c>
      <c r="F73" s="24">
        <v>198329</v>
      </c>
      <c r="G73" s="24">
        <v>207032</v>
      </c>
      <c r="H73" s="24">
        <v>215708</v>
      </c>
      <c r="I73" s="24">
        <v>222428</v>
      </c>
      <c r="J73" s="24">
        <v>229143</v>
      </c>
      <c r="K73" s="24">
        <v>235849</v>
      </c>
      <c r="L73" s="24">
        <v>242537</v>
      </c>
      <c r="M73" s="24">
        <v>249228</v>
      </c>
      <c r="N73" s="24">
        <v>259394</v>
      </c>
      <c r="O73" s="24">
        <v>269534</v>
      </c>
      <c r="P73" s="24">
        <v>279642</v>
      </c>
      <c r="Q73" s="24">
        <v>289707</v>
      </c>
      <c r="R73" s="24">
        <v>299743</v>
      </c>
      <c r="S73" s="24">
        <v>307355</v>
      </c>
      <c r="T73" s="24">
        <v>314912</v>
      </c>
      <c r="U73" s="24">
        <v>322410</v>
      </c>
      <c r="V73" s="24">
        <v>329844</v>
      </c>
      <c r="W73" s="24">
        <v>337202</v>
      </c>
      <c r="X73" s="24">
        <v>339765</v>
      </c>
      <c r="Y73" s="24">
        <v>342251</v>
      </c>
      <c r="Z73" s="24">
        <v>344659</v>
      </c>
      <c r="AA73" s="24">
        <v>346992</v>
      </c>
      <c r="AB73" s="24">
        <v>349227</v>
      </c>
      <c r="AC73" s="24">
        <v>358213</v>
      </c>
      <c r="AD73" s="24">
        <v>367119</v>
      </c>
      <c r="AE73" s="24"/>
      <c r="AF73" s="48"/>
      <c r="AG73" s="48"/>
      <c r="AH73" s="48"/>
      <c r="AI73" s="48"/>
      <c r="AJ73" s="48"/>
      <c r="AK73" s="48"/>
      <c r="AL73" s="48"/>
      <c r="AM73" s="48"/>
      <c r="AN73" s="48"/>
      <c r="AO73" s="48"/>
    </row>
    <row r="74" spans="1:41">
      <c r="A74" s="37" t="s">
        <v>81</v>
      </c>
      <c r="B74" s="32">
        <f>SUM(B69:B73)</f>
        <v>962662</v>
      </c>
      <c r="D74" s="32">
        <v>0</v>
      </c>
      <c r="E74" s="32">
        <v>0</v>
      </c>
      <c r="F74" s="32">
        <v>0</v>
      </c>
      <c r="G74" s="32">
        <v>0</v>
      </c>
      <c r="H74" s="32">
        <v>0</v>
      </c>
      <c r="I74" s="32">
        <v>0</v>
      </c>
      <c r="J74" s="32">
        <v>0</v>
      </c>
      <c r="K74" s="32">
        <v>0</v>
      </c>
      <c r="L74" s="32">
        <v>0</v>
      </c>
      <c r="M74" s="32">
        <v>0</v>
      </c>
      <c r="N74" s="32">
        <v>0</v>
      </c>
      <c r="O74" s="32">
        <v>0</v>
      </c>
      <c r="P74" s="32">
        <v>0</v>
      </c>
      <c r="Q74" s="32">
        <v>0</v>
      </c>
      <c r="R74" s="32">
        <v>0</v>
      </c>
      <c r="S74" s="32">
        <v>0</v>
      </c>
      <c r="T74" s="32">
        <v>0</v>
      </c>
      <c r="U74" s="32">
        <v>0</v>
      </c>
      <c r="V74" s="32">
        <v>0</v>
      </c>
      <c r="W74" s="32">
        <v>0</v>
      </c>
      <c r="X74" s="32">
        <v>0</v>
      </c>
      <c r="Y74" s="32">
        <v>0</v>
      </c>
      <c r="Z74" s="32">
        <v>0</v>
      </c>
      <c r="AA74" s="32">
        <v>0</v>
      </c>
      <c r="AB74" s="32">
        <v>0</v>
      </c>
      <c r="AC74" s="32">
        <v>0</v>
      </c>
      <c r="AD74" s="32">
        <v>0</v>
      </c>
      <c r="AE74" s="32"/>
      <c r="AF74" s="48"/>
      <c r="AG74" s="48"/>
      <c r="AH74" s="48"/>
      <c r="AI74" s="48"/>
      <c r="AJ74" s="48"/>
      <c r="AK74" s="48"/>
      <c r="AL74" s="48"/>
      <c r="AM74" s="48"/>
      <c r="AN74" s="48"/>
      <c r="AO74" s="48"/>
    </row>
    <row r="75" spans="1:41">
      <c r="A75" s="38">
        <v>55</v>
      </c>
      <c r="B75" s="24">
        <v>161713</v>
      </c>
      <c r="C75" s="79">
        <f>+B75/B80</f>
        <v>0.22609613556288799</v>
      </c>
      <c r="D75" s="24">
        <v>170542</v>
      </c>
      <c r="E75" s="24">
        <v>179369</v>
      </c>
      <c r="F75" s="24">
        <v>188192</v>
      </c>
      <c r="G75" s="24">
        <v>197016</v>
      </c>
      <c r="H75" s="24">
        <v>205812</v>
      </c>
      <c r="I75" s="24">
        <v>213180</v>
      </c>
      <c r="J75" s="24">
        <v>220544</v>
      </c>
      <c r="K75" s="24">
        <v>227897</v>
      </c>
      <c r="L75" s="24">
        <v>235235</v>
      </c>
      <c r="M75" s="24">
        <v>242575</v>
      </c>
      <c r="N75" s="24">
        <v>251042</v>
      </c>
      <c r="O75" s="24">
        <v>259482</v>
      </c>
      <c r="P75" s="24">
        <v>267891</v>
      </c>
      <c r="Q75" s="24">
        <v>276259</v>
      </c>
      <c r="R75" s="24">
        <v>284601</v>
      </c>
      <c r="S75" s="24">
        <v>294004</v>
      </c>
      <c r="T75" s="24">
        <v>303357</v>
      </c>
      <c r="U75" s="24">
        <v>312653</v>
      </c>
      <c r="V75" s="24">
        <v>321887</v>
      </c>
      <c r="W75" s="24">
        <v>331045</v>
      </c>
      <c r="X75" s="24">
        <v>334344</v>
      </c>
      <c r="Y75" s="24">
        <v>337568</v>
      </c>
      <c r="Z75" s="24">
        <v>340713</v>
      </c>
      <c r="AA75" s="24">
        <v>343784</v>
      </c>
      <c r="AB75" s="24">
        <v>346759</v>
      </c>
      <c r="AC75" s="24">
        <v>352953</v>
      </c>
      <c r="AD75" s="24">
        <v>359063</v>
      </c>
      <c r="AE75" s="24"/>
      <c r="AF75" s="48"/>
      <c r="AG75" s="48"/>
      <c r="AH75" s="48"/>
      <c r="AI75" s="48"/>
      <c r="AJ75" s="48"/>
      <c r="AK75" s="48"/>
      <c r="AL75" s="48"/>
      <c r="AM75" s="48"/>
      <c r="AN75" s="48"/>
      <c r="AO75" s="48"/>
    </row>
    <row r="76" spans="1:41">
      <c r="A76" s="38">
        <v>56</v>
      </c>
      <c r="B76" s="24">
        <v>151596</v>
      </c>
      <c r="C76" s="79">
        <f>+B76/B80</f>
        <v>0.21195123315250824</v>
      </c>
      <c r="D76" s="24">
        <v>160525</v>
      </c>
      <c r="E76" s="24">
        <v>169451</v>
      </c>
      <c r="F76" s="24">
        <v>178374</v>
      </c>
      <c r="G76" s="24">
        <v>187298</v>
      </c>
      <c r="H76" s="24">
        <v>196195</v>
      </c>
      <c r="I76" s="24">
        <v>203998</v>
      </c>
      <c r="J76" s="24">
        <v>211797</v>
      </c>
      <c r="K76" s="24">
        <v>219589</v>
      </c>
      <c r="L76" s="24">
        <v>227363</v>
      </c>
      <c r="M76" s="24">
        <v>235141</v>
      </c>
      <c r="N76" s="24">
        <v>242191</v>
      </c>
      <c r="O76" s="24">
        <v>249216</v>
      </c>
      <c r="P76" s="24">
        <v>256211</v>
      </c>
      <c r="Q76" s="24">
        <v>263166</v>
      </c>
      <c r="R76" s="24">
        <v>270097</v>
      </c>
      <c r="S76" s="24">
        <v>281112</v>
      </c>
      <c r="T76" s="24">
        <v>292080</v>
      </c>
      <c r="U76" s="24">
        <v>302993</v>
      </c>
      <c r="V76" s="24">
        <v>313845</v>
      </c>
      <c r="W76" s="24">
        <v>324624</v>
      </c>
      <c r="X76" s="24">
        <v>328509</v>
      </c>
      <c r="Y76" s="24">
        <v>332321</v>
      </c>
      <c r="Z76" s="24">
        <v>336057</v>
      </c>
      <c r="AA76" s="24">
        <v>339720</v>
      </c>
      <c r="AB76" s="24">
        <v>343285</v>
      </c>
      <c r="AC76" s="24">
        <v>347135</v>
      </c>
      <c r="AD76" s="24">
        <v>350903</v>
      </c>
      <c r="AE76" s="24"/>
      <c r="AF76" s="48"/>
      <c r="AG76" s="48"/>
      <c r="AH76" s="48"/>
      <c r="AI76" s="48"/>
      <c r="AJ76" s="48"/>
      <c r="AK76" s="48"/>
      <c r="AL76" s="48"/>
      <c r="AM76" s="48"/>
      <c r="AN76" s="48"/>
      <c r="AO76" s="48"/>
    </row>
    <row r="77" spans="1:41">
      <c r="A77" s="38">
        <v>57</v>
      </c>
      <c r="B77" s="24">
        <v>142176</v>
      </c>
      <c r="C77" s="79">
        <f>+B77/B80</f>
        <v>0.19878082881270623</v>
      </c>
      <c r="D77" s="24">
        <v>150991</v>
      </c>
      <c r="E77" s="24">
        <v>159805</v>
      </c>
      <c r="F77" s="24">
        <v>168614</v>
      </c>
      <c r="G77" s="24">
        <v>177425</v>
      </c>
      <c r="H77" s="24">
        <v>186210</v>
      </c>
      <c r="I77" s="24">
        <v>194378</v>
      </c>
      <c r="J77" s="24">
        <v>202541</v>
      </c>
      <c r="K77" s="24">
        <v>210698</v>
      </c>
      <c r="L77" s="24">
        <v>218837</v>
      </c>
      <c r="M77" s="24">
        <v>226980</v>
      </c>
      <c r="N77" s="24">
        <v>233137</v>
      </c>
      <c r="O77" s="24">
        <v>239269</v>
      </c>
      <c r="P77" s="24">
        <v>245372</v>
      </c>
      <c r="Q77" s="24">
        <v>251437</v>
      </c>
      <c r="R77" s="24">
        <v>257479</v>
      </c>
      <c r="S77" s="24">
        <v>269238</v>
      </c>
      <c r="T77" s="24">
        <v>280952</v>
      </c>
      <c r="U77" s="24">
        <v>292614</v>
      </c>
      <c r="V77" s="24">
        <v>304217</v>
      </c>
      <c r="W77" s="24">
        <v>315748</v>
      </c>
      <c r="X77" s="24">
        <v>320549</v>
      </c>
      <c r="Y77" s="24">
        <v>325279</v>
      </c>
      <c r="Z77" s="24">
        <v>329936</v>
      </c>
      <c r="AA77" s="24">
        <v>334520</v>
      </c>
      <c r="AB77" s="24">
        <v>339008</v>
      </c>
      <c r="AC77" s="24">
        <v>341323</v>
      </c>
      <c r="AD77" s="24">
        <v>343557</v>
      </c>
      <c r="AE77" s="24"/>
      <c r="AF77" s="48"/>
      <c r="AG77" s="48"/>
      <c r="AH77" s="48"/>
      <c r="AI77" s="48"/>
      <c r="AJ77" s="48"/>
      <c r="AK77" s="48"/>
      <c r="AL77" s="48"/>
      <c r="AM77" s="48"/>
      <c r="AN77" s="48"/>
      <c r="AO77" s="48"/>
    </row>
    <row r="78" spans="1:41">
      <c r="A78" s="38">
        <v>58</v>
      </c>
      <c r="B78" s="24">
        <v>133698</v>
      </c>
      <c r="C78" s="79">
        <f>+B78/B80</f>
        <v>0.18692746490688442</v>
      </c>
      <c r="D78" s="24">
        <v>142127</v>
      </c>
      <c r="E78" s="24">
        <v>150555</v>
      </c>
      <c r="F78" s="24">
        <v>158978</v>
      </c>
      <c r="G78" s="24">
        <v>167403</v>
      </c>
      <c r="H78" s="24">
        <v>175804</v>
      </c>
      <c r="I78" s="24">
        <v>184183</v>
      </c>
      <c r="J78" s="24">
        <v>192557</v>
      </c>
      <c r="K78" s="24">
        <v>200926</v>
      </c>
      <c r="L78" s="24">
        <v>209278</v>
      </c>
      <c r="M78" s="24">
        <v>217633</v>
      </c>
      <c r="N78" s="24">
        <v>223711</v>
      </c>
      <c r="O78" s="24">
        <v>229766</v>
      </c>
      <c r="P78" s="24">
        <v>235793</v>
      </c>
      <c r="Q78" s="24">
        <v>241783</v>
      </c>
      <c r="R78" s="24">
        <v>247750</v>
      </c>
      <c r="S78" s="24">
        <v>259044</v>
      </c>
      <c r="T78" s="24">
        <v>270295</v>
      </c>
      <c r="U78" s="24">
        <v>281496</v>
      </c>
      <c r="V78" s="24">
        <v>292640</v>
      </c>
      <c r="W78" s="24">
        <v>303714</v>
      </c>
      <c r="X78" s="24">
        <v>309763</v>
      </c>
      <c r="Y78" s="24">
        <v>315745</v>
      </c>
      <c r="Z78" s="24">
        <v>321655</v>
      </c>
      <c r="AA78" s="24">
        <v>327495</v>
      </c>
      <c r="AB78" s="24">
        <v>333239</v>
      </c>
      <c r="AC78" s="24">
        <v>335229</v>
      </c>
      <c r="AD78" s="24">
        <v>337138</v>
      </c>
      <c r="AE78" s="24"/>
      <c r="AF78" s="48"/>
      <c r="AG78" s="48"/>
      <c r="AH78" s="48"/>
      <c r="AI78" s="48"/>
      <c r="AJ78" s="48"/>
      <c r="AK78" s="48"/>
      <c r="AL78" s="48"/>
      <c r="AM78" s="48"/>
      <c r="AN78" s="48"/>
      <c r="AO78" s="48"/>
    </row>
    <row r="79" spans="1:41">
      <c r="A79" s="38">
        <v>59</v>
      </c>
      <c r="B79" s="24">
        <v>126057</v>
      </c>
      <c r="C79" s="79">
        <f>+B79/B80</f>
        <v>0.17624433756501315</v>
      </c>
      <c r="D79" s="24">
        <v>133891</v>
      </c>
      <c r="E79" s="24">
        <v>141723</v>
      </c>
      <c r="F79" s="24">
        <v>149552</v>
      </c>
      <c r="G79" s="24">
        <v>157382</v>
      </c>
      <c r="H79" s="24">
        <v>165189</v>
      </c>
      <c r="I79" s="24">
        <v>173643</v>
      </c>
      <c r="J79" s="24">
        <v>182093</v>
      </c>
      <c r="K79" s="24">
        <v>190537</v>
      </c>
      <c r="L79" s="24">
        <v>198965</v>
      </c>
      <c r="M79" s="24">
        <v>207397</v>
      </c>
      <c r="N79" s="24">
        <v>213990</v>
      </c>
      <c r="O79" s="24">
        <v>220560</v>
      </c>
      <c r="P79" s="24">
        <v>227104</v>
      </c>
      <c r="Q79" s="24">
        <v>233613</v>
      </c>
      <c r="R79" s="24">
        <v>240098</v>
      </c>
      <c r="S79" s="24">
        <v>250067</v>
      </c>
      <c r="T79" s="24">
        <v>259994</v>
      </c>
      <c r="U79" s="24">
        <v>269872</v>
      </c>
      <c r="V79" s="24">
        <v>279695</v>
      </c>
      <c r="W79" s="24">
        <v>289453</v>
      </c>
      <c r="X79" s="24">
        <v>296926</v>
      </c>
      <c r="Y79" s="24">
        <v>304336</v>
      </c>
      <c r="Z79" s="24">
        <v>311677</v>
      </c>
      <c r="AA79" s="24">
        <v>318949</v>
      </c>
      <c r="AB79" s="24">
        <v>326128</v>
      </c>
      <c r="AC79" s="24">
        <v>328715</v>
      </c>
      <c r="AD79" s="24">
        <v>331224</v>
      </c>
      <c r="AE79" s="24"/>
      <c r="AF79" s="48"/>
      <c r="AG79" s="48"/>
      <c r="AH79" s="48"/>
      <c r="AI79" s="48"/>
      <c r="AJ79" s="48"/>
      <c r="AK79" s="48"/>
      <c r="AL79" s="48"/>
      <c r="AM79" s="48"/>
      <c r="AN79" s="48"/>
      <c r="AO79" s="48"/>
    </row>
    <row r="80" spans="1:41">
      <c r="A80" s="37" t="s">
        <v>82</v>
      </c>
      <c r="B80" s="32">
        <f>SUM(B75:B79)</f>
        <v>715240</v>
      </c>
      <c r="D80" s="32">
        <v>0</v>
      </c>
      <c r="E80" s="32">
        <v>0</v>
      </c>
      <c r="F80" s="32">
        <v>0</v>
      </c>
      <c r="G80" s="32">
        <v>0</v>
      </c>
      <c r="H80" s="32">
        <v>0</v>
      </c>
      <c r="I80" s="32">
        <v>0</v>
      </c>
      <c r="J80" s="32">
        <v>0</v>
      </c>
      <c r="K80" s="32">
        <v>0</v>
      </c>
      <c r="L80" s="32">
        <v>0</v>
      </c>
      <c r="M80" s="32">
        <v>0</v>
      </c>
      <c r="N80" s="32">
        <v>0</v>
      </c>
      <c r="O80" s="32">
        <v>0</v>
      </c>
      <c r="P80" s="32">
        <v>0</v>
      </c>
      <c r="Q80" s="32">
        <v>0</v>
      </c>
      <c r="R80" s="32">
        <v>0</v>
      </c>
      <c r="S80" s="32">
        <v>0</v>
      </c>
      <c r="T80" s="32">
        <v>0</v>
      </c>
      <c r="U80" s="32">
        <v>0</v>
      </c>
      <c r="V80" s="32">
        <v>0</v>
      </c>
      <c r="W80" s="32">
        <v>0</v>
      </c>
      <c r="X80" s="32">
        <v>0</v>
      </c>
      <c r="Y80" s="32">
        <v>0</v>
      </c>
      <c r="Z80" s="32">
        <v>0</v>
      </c>
      <c r="AA80" s="32">
        <v>0</v>
      </c>
      <c r="AB80" s="32">
        <v>0</v>
      </c>
      <c r="AC80" s="32">
        <v>0</v>
      </c>
      <c r="AD80" s="32">
        <v>0</v>
      </c>
      <c r="AE80" s="32"/>
      <c r="AF80" s="48"/>
      <c r="AG80" s="48"/>
      <c r="AH80" s="48"/>
      <c r="AI80" s="48"/>
      <c r="AJ80" s="48"/>
      <c r="AK80" s="48"/>
      <c r="AL80" s="48"/>
      <c r="AM80" s="48"/>
      <c r="AN80" s="48"/>
      <c r="AO80" s="48"/>
    </row>
    <row r="81" spans="1:41">
      <c r="A81" s="38">
        <v>60</v>
      </c>
      <c r="B81" s="24">
        <v>118729</v>
      </c>
      <c r="C81" s="79">
        <f>+B81/B86</f>
        <v>0.22289409953629827</v>
      </c>
      <c r="D81" s="24">
        <v>125902</v>
      </c>
      <c r="E81" s="24">
        <v>133074</v>
      </c>
      <c r="F81" s="24">
        <v>140244</v>
      </c>
      <c r="G81" s="24">
        <v>147414</v>
      </c>
      <c r="H81" s="24">
        <v>154564</v>
      </c>
      <c r="I81" s="24">
        <v>163099</v>
      </c>
      <c r="J81" s="24">
        <v>171633</v>
      </c>
      <c r="K81" s="24">
        <v>180162</v>
      </c>
      <c r="L81" s="24">
        <v>188673</v>
      </c>
      <c r="M81" s="24">
        <v>197191</v>
      </c>
      <c r="N81" s="24">
        <v>204395</v>
      </c>
      <c r="O81" s="24">
        <v>211578</v>
      </c>
      <c r="P81" s="24">
        <v>218735</v>
      </c>
      <c r="Q81" s="24">
        <v>225860</v>
      </c>
      <c r="R81" s="24">
        <v>232958</v>
      </c>
      <c r="S81" s="24">
        <v>241261</v>
      </c>
      <c r="T81" s="24">
        <v>249524</v>
      </c>
      <c r="U81" s="24">
        <v>257738</v>
      </c>
      <c r="V81" s="24">
        <v>265901</v>
      </c>
      <c r="W81" s="24">
        <v>274003</v>
      </c>
      <c r="X81" s="24">
        <v>283173</v>
      </c>
      <c r="Y81" s="24">
        <v>292286</v>
      </c>
      <c r="Z81" s="24">
        <v>301331</v>
      </c>
      <c r="AA81" s="24">
        <v>310312</v>
      </c>
      <c r="AB81" s="24">
        <v>319200</v>
      </c>
      <c r="AC81" s="24">
        <v>322514</v>
      </c>
      <c r="AD81" s="24">
        <v>325751</v>
      </c>
      <c r="AE81" s="24"/>
      <c r="AF81" s="48"/>
      <c r="AG81" s="48"/>
      <c r="AH81" s="48"/>
      <c r="AI81" s="48"/>
      <c r="AJ81" s="48"/>
      <c r="AK81" s="48"/>
      <c r="AL81" s="48"/>
      <c r="AM81" s="48"/>
      <c r="AN81" s="48"/>
      <c r="AO81" s="48"/>
    </row>
    <row r="82" spans="1:41">
      <c r="A82" s="38">
        <v>61</v>
      </c>
      <c r="B82" s="24">
        <v>111724</v>
      </c>
      <c r="C82" s="79">
        <f>+B82/B86</f>
        <v>0.20974336831434096</v>
      </c>
      <c r="D82" s="24">
        <v>118248</v>
      </c>
      <c r="E82" s="24">
        <v>124770</v>
      </c>
      <c r="F82" s="24">
        <v>131288</v>
      </c>
      <c r="G82" s="24">
        <v>137808</v>
      </c>
      <c r="H82" s="24">
        <v>144308</v>
      </c>
      <c r="I82" s="24">
        <v>152911</v>
      </c>
      <c r="J82" s="24">
        <v>161511</v>
      </c>
      <c r="K82" s="24">
        <v>170104</v>
      </c>
      <c r="L82" s="24">
        <v>178685</v>
      </c>
      <c r="M82" s="24">
        <v>187267</v>
      </c>
      <c r="N82" s="24">
        <v>194874</v>
      </c>
      <c r="O82" s="24">
        <v>202460</v>
      </c>
      <c r="P82" s="24">
        <v>210023</v>
      </c>
      <c r="Q82" s="24">
        <v>217553</v>
      </c>
      <c r="R82" s="24">
        <v>225057</v>
      </c>
      <c r="S82" s="24">
        <v>231966</v>
      </c>
      <c r="T82" s="24">
        <v>238835</v>
      </c>
      <c r="U82" s="24">
        <v>245659</v>
      </c>
      <c r="V82" s="24">
        <v>252434</v>
      </c>
      <c r="W82" s="24">
        <v>259151</v>
      </c>
      <c r="X82" s="24">
        <v>269849</v>
      </c>
      <c r="Y82" s="24">
        <v>280492</v>
      </c>
      <c r="Z82" s="24">
        <v>291073</v>
      </c>
      <c r="AA82" s="24">
        <v>301589</v>
      </c>
      <c r="AB82" s="24">
        <v>312013</v>
      </c>
      <c r="AC82" s="24">
        <v>315901</v>
      </c>
      <c r="AD82" s="24">
        <v>319715</v>
      </c>
      <c r="AE82" s="24"/>
      <c r="AF82" s="48"/>
      <c r="AG82" s="48"/>
      <c r="AH82" s="48"/>
      <c r="AI82" s="48"/>
      <c r="AJ82" s="48"/>
      <c r="AK82" s="48"/>
      <c r="AL82" s="48"/>
      <c r="AM82" s="48"/>
      <c r="AN82" s="48"/>
      <c r="AO82" s="48"/>
    </row>
    <row r="83" spans="1:41">
      <c r="A83" s="38">
        <v>62</v>
      </c>
      <c r="B83" s="24">
        <v>105596</v>
      </c>
      <c r="C83" s="79">
        <f>+B83/B86</f>
        <v>0.19823905983066439</v>
      </c>
      <c r="D83" s="24">
        <v>111432</v>
      </c>
      <c r="E83" s="24">
        <v>117267</v>
      </c>
      <c r="F83" s="24">
        <v>123099</v>
      </c>
      <c r="G83" s="24">
        <v>128932</v>
      </c>
      <c r="H83" s="24">
        <v>134746</v>
      </c>
      <c r="I83" s="24">
        <v>143211</v>
      </c>
      <c r="J83" s="24">
        <v>151672</v>
      </c>
      <c r="K83" s="24">
        <v>160128</v>
      </c>
      <c r="L83" s="24">
        <v>168571</v>
      </c>
      <c r="M83" s="24">
        <v>177016</v>
      </c>
      <c r="N83" s="24">
        <v>184946</v>
      </c>
      <c r="O83" s="24">
        <v>192857</v>
      </c>
      <c r="P83" s="24">
        <v>200746</v>
      </c>
      <c r="Q83" s="24">
        <v>208603</v>
      </c>
      <c r="R83" s="24">
        <v>216434</v>
      </c>
      <c r="S83" s="24">
        <v>222452</v>
      </c>
      <c r="T83" s="24">
        <v>228431</v>
      </c>
      <c r="U83" s="24">
        <v>234367</v>
      </c>
      <c r="V83" s="24">
        <v>240257</v>
      </c>
      <c r="W83" s="24">
        <v>246091</v>
      </c>
      <c r="X83" s="24">
        <v>257484</v>
      </c>
      <c r="Y83" s="24">
        <v>268825</v>
      </c>
      <c r="Z83" s="24">
        <v>280107</v>
      </c>
      <c r="AA83" s="24">
        <v>291325</v>
      </c>
      <c r="AB83" s="24">
        <v>302455</v>
      </c>
      <c r="AC83" s="24">
        <v>307215</v>
      </c>
      <c r="AD83" s="24">
        <v>311903</v>
      </c>
      <c r="AE83" s="24"/>
      <c r="AF83" s="48"/>
      <c r="AG83" s="48"/>
      <c r="AH83" s="48"/>
      <c r="AI83" s="48"/>
      <c r="AJ83" s="48"/>
      <c r="AK83" s="48"/>
      <c r="AL83" s="48"/>
      <c r="AM83" s="48"/>
      <c r="AN83" s="48"/>
      <c r="AO83" s="48"/>
    </row>
    <row r="84" spans="1:41">
      <c r="A84" s="38">
        <v>63</v>
      </c>
      <c r="B84" s="24">
        <v>100476</v>
      </c>
      <c r="C84" s="79">
        <f>+B84/B86</f>
        <v>0.18862710496179624</v>
      </c>
      <c r="D84" s="24">
        <v>105611</v>
      </c>
      <c r="E84" s="24">
        <v>110744</v>
      </c>
      <c r="F84" s="24">
        <v>115874</v>
      </c>
      <c r="G84" s="24">
        <v>121005</v>
      </c>
      <c r="H84" s="24">
        <v>126119</v>
      </c>
      <c r="I84" s="24">
        <v>134184</v>
      </c>
      <c r="J84" s="24">
        <v>142245</v>
      </c>
      <c r="K84" s="24">
        <v>150301</v>
      </c>
      <c r="L84" s="24">
        <v>158346</v>
      </c>
      <c r="M84" s="24">
        <v>166392</v>
      </c>
      <c r="N84" s="24">
        <v>174485</v>
      </c>
      <c r="O84" s="24">
        <v>182561</v>
      </c>
      <c r="P84" s="24">
        <v>190615</v>
      </c>
      <c r="Q84" s="24">
        <v>198639</v>
      </c>
      <c r="R84" s="24">
        <v>206639</v>
      </c>
      <c r="S84" s="24">
        <v>212552</v>
      </c>
      <c r="T84" s="24">
        <v>218427</v>
      </c>
      <c r="U84" s="24">
        <v>224262</v>
      </c>
      <c r="V84" s="24">
        <v>230051</v>
      </c>
      <c r="W84" s="24">
        <v>235789</v>
      </c>
      <c r="X84" s="24">
        <v>246718</v>
      </c>
      <c r="Y84" s="24">
        <v>257598</v>
      </c>
      <c r="Z84" s="24">
        <v>268420</v>
      </c>
      <c r="AA84" s="24">
        <v>279182</v>
      </c>
      <c r="AB84" s="24">
        <v>289859</v>
      </c>
      <c r="AC84" s="24">
        <v>295783</v>
      </c>
      <c r="AD84" s="24">
        <v>301639</v>
      </c>
      <c r="AE84" s="24"/>
      <c r="AF84" s="48"/>
      <c r="AG84" s="48"/>
      <c r="AH84" s="48"/>
      <c r="AI84" s="48"/>
      <c r="AJ84" s="48"/>
      <c r="AK84" s="48"/>
      <c r="AL84" s="48"/>
      <c r="AM84" s="48"/>
      <c r="AN84" s="48"/>
      <c r="AO84" s="48"/>
    </row>
    <row r="85" spans="1:41">
      <c r="A85" s="38">
        <v>64</v>
      </c>
      <c r="B85" s="24">
        <v>96145</v>
      </c>
      <c r="C85" s="79">
        <f>+B85/B86</f>
        <v>0.18049636735690014</v>
      </c>
      <c r="D85" s="24">
        <v>100585</v>
      </c>
      <c r="E85" s="24">
        <v>105024</v>
      </c>
      <c r="F85" s="24">
        <v>109460</v>
      </c>
      <c r="G85" s="24">
        <v>113897</v>
      </c>
      <c r="H85" s="24">
        <v>118318</v>
      </c>
      <c r="I85" s="24">
        <v>125783</v>
      </c>
      <c r="J85" s="24">
        <v>133245</v>
      </c>
      <c r="K85" s="24">
        <v>140703</v>
      </c>
      <c r="L85" s="24">
        <v>148150</v>
      </c>
      <c r="M85" s="24">
        <v>155598</v>
      </c>
      <c r="N85" s="24">
        <v>163715</v>
      </c>
      <c r="O85" s="24">
        <v>171815</v>
      </c>
      <c r="P85" s="24">
        <v>179895</v>
      </c>
      <c r="Q85" s="24">
        <v>187946</v>
      </c>
      <c r="R85" s="24">
        <v>195976</v>
      </c>
      <c r="S85" s="24">
        <v>202354</v>
      </c>
      <c r="T85" s="24">
        <v>208697</v>
      </c>
      <c r="U85" s="24">
        <v>215001</v>
      </c>
      <c r="V85" s="24">
        <v>221262</v>
      </c>
      <c r="W85" s="24">
        <v>227472</v>
      </c>
      <c r="X85" s="24">
        <v>237112</v>
      </c>
      <c r="Y85" s="24">
        <v>246704</v>
      </c>
      <c r="Z85" s="24">
        <v>256241</v>
      </c>
      <c r="AA85" s="24">
        <v>265720</v>
      </c>
      <c r="AB85" s="24">
        <v>275119</v>
      </c>
      <c r="AC85" s="24">
        <v>282357</v>
      </c>
      <c r="AD85" s="24">
        <v>289531</v>
      </c>
      <c r="AE85" s="24"/>
      <c r="AF85" s="48"/>
      <c r="AG85" s="48"/>
      <c r="AH85" s="48"/>
      <c r="AI85" s="48"/>
      <c r="AJ85" s="48"/>
      <c r="AK85" s="48"/>
      <c r="AL85" s="48"/>
      <c r="AM85" s="48"/>
      <c r="AN85" s="48"/>
      <c r="AO85" s="48"/>
    </row>
    <row r="86" spans="1:41">
      <c r="A86" s="37" t="s">
        <v>83</v>
      </c>
      <c r="B86" s="32">
        <f>SUM(B81:B85)</f>
        <v>532670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c r="AF86" s="48"/>
      <c r="AG86" s="48"/>
      <c r="AH86" s="48"/>
      <c r="AI86" s="48"/>
      <c r="AJ86" s="48"/>
      <c r="AK86" s="48"/>
      <c r="AL86" s="48"/>
      <c r="AM86" s="48"/>
      <c r="AN86" s="48"/>
      <c r="AO86" s="48"/>
    </row>
    <row r="87" spans="1:41">
      <c r="A87" s="38">
        <v>65</v>
      </c>
      <c r="B87" s="24">
        <v>92246</v>
      </c>
      <c r="C87" s="79">
        <f>+B87/B92</f>
        <v>0.21794992959144135</v>
      </c>
      <c r="D87" s="24">
        <v>95969</v>
      </c>
      <c r="E87" s="24">
        <v>99692</v>
      </c>
      <c r="F87" s="24">
        <v>103412</v>
      </c>
      <c r="G87" s="24">
        <v>107133</v>
      </c>
      <c r="H87" s="24">
        <v>110837</v>
      </c>
      <c r="I87" s="24">
        <v>117639</v>
      </c>
      <c r="J87" s="24">
        <v>124440</v>
      </c>
      <c r="K87" s="24">
        <v>131235</v>
      </c>
      <c r="L87" s="24">
        <v>138020</v>
      </c>
      <c r="M87" s="24">
        <v>144807</v>
      </c>
      <c r="N87" s="24">
        <v>152953</v>
      </c>
      <c r="O87" s="24">
        <v>161085</v>
      </c>
      <c r="P87" s="24">
        <v>169196</v>
      </c>
      <c r="Q87" s="24">
        <v>177283</v>
      </c>
      <c r="R87" s="24">
        <v>185349</v>
      </c>
      <c r="S87" s="24">
        <v>192286</v>
      </c>
      <c r="T87" s="24">
        <v>199192</v>
      </c>
      <c r="U87" s="24">
        <v>206060</v>
      </c>
      <c r="V87" s="24">
        <v>212886</v>
      </c>
      <c r="W87" s="24">
        <v>219664</v>
      </c>
      <c r="X87" s="24">
        <v>227686</v>
      </c>
      <c r="Y87" s="24">
        <v>235662</v>
      </c>
      <c r="Z87" s="24">
        <v>243585</v>
      </c>
      <c r="AA87" s="24">
        <v>251453</v>
      </c>
      <c r="AB87" s="24">
        <v>259244</v>
      </c>
      <c r="AC87" s="24">
        <v>268050</v>
      </c>
      <c r="AD87" s="24">
        <v>276797</v>
      </c>
      <c r="AE87" s="24"/>
      <c r="AF87" s="48"/>
      <c r="AG87" s="48"/>
      <c r="AH87" s="48"/>
      <c r="AI87" s="48"/>
      <c r="AJ87" s="48"/>
      <c r="AK87" s="48"/>
      <c r="AL87" s="48"/>
      <c r="AM87" s="48"/>
      <c r="AN87" s="48"/>
      <c r="AO87" s="48"/>
    </row>
    <row r="88" spans="1:41">
      <c r="A88" s="38">
        <v>66</v>
      </c>
      <c r="B88" s="24">
        <v>88461</v>
      </c>
      <c r="C88" s="79">
        <f>+B88/B92</f>
        <v>0.20900709756074509</v>
      </c>
      <c r="D88" s="24">
        <v>91509</v>
      </c>
      <c r="E88" s="24">
        <v>94555</v>
      </c>
      <c r="F88" s="24">
        <v>97598</v>
      </c>
      <c r="G88" s="24">
        <v>100642</v>
      </c>
      <c r="H88" s="24">
        <v>103672</v>
      </c>
      <c r="I88" s="24">
        <v>109823</v>
      </c>
      <c r="J88" s="24">
        <v>115972</v>
      </c>
      <c r="K88" s="24">
        <v>122117</v>
      </c>
      <c r="L88" s="24">
        <v>128252</v>
      </c>
      <c r="M88" s="24">
        <v>134389</v>
      </c>
      <c r="N88" s="24">
        <v>142553</v>
      </c>
      <c r="O88" s="24">
        <v>150704</v>
      </c>
      <c r="P88" s="24">
        <v>158837</v>
      </c>
      <c r="Q88" s="24">
        <v>166945</v>
      </c>
      <c r="R88" s="24">
        <v>175034</v>
      </c>
      <c r="S88" s="24">
        <v>182327</v>
      </c>
      <c r="T88" s="24">
        <v>189589</v>
      </c>
      <c r="U88" s="24">
        <v>196816</v>
      </c>
      <c r="V88" s="24">
        <v>204003</v>
      </c>
      <c r="W88" s="24">
        <v>211143</v>
      </c>
      <c r="X88" s="24">
        <v>217803</v>
      </c>
      <c r="Y88" s="24">
        <v>224418</v>
      </c>
      <c r="Z88" s="24">
        <v>230982</v>
      </c>
      <c r="AA88" s="24">
        <v>237495</v>
      </c>
      <c r="AB88" s="24">
        <v>243938</v>
      </c>
      <c r="AC88" s="24">
        <v>254154</v>
      </c>
      <c r="AD88" s="24">
        <v>264316</v>
      </c>
      <c r="AE88" s="24"/>
      <c r="AF88" s="48"/>
      <c r="AG88" s="48"/>
      <c r="AH88" s="48"/>
      <c r="AI88" s="48"/>
      <c r="AJ88" s="48"/>
      <c r="AK88" s="48"/>
      <c r="AL88" s="48"/>
      <c r="AM88" s="48"/>
      <c r="AN88" s="48"/>
      <c r="AO88" s="48"/>
    </row>
    <row r="89" spans="1:41">
      <c r="A89" s="38">
        <v>67</v>
      </c>
      <c r="B89" s="24">
        <v>84724</v>
      </c>
      <c r="C89" s="79">
        <f>+B89/B92</f>
        <v>0.20017767528895861</v>
      </c>
      <c r="D89" s="24">
        <v>87250</v>
      </c>
      <c r="E89" s="24">
        <v>89774</v>
      </c>
      <c r="F89" s="24">
        <v>92296</v>
      </c>
      <c r="G89" s="24">
        <v>94819</v>
      </c>
      <c r="H89" s="24">
        <v>97328</v>
      </c>
      <c r="I89" s="24">
        <v>102804</v>
      </c>
      <c r="J89" s="24">
        <v>108278</v>
      </c>
      <c r="K89" s="24">
        <v>113749</v>
      </c>
      <c r="L89" s="24">
        <v>119210</v>
      </c>
      <c r="M89" s="24">
        <v>124674</v>
      </c>
      <c r="N89" s="24">
        <v>132664</v>
      </c>
      <c r="O89" s="24">
        <v>140642</v>
      </c>
      <c r="P89" s="24">
        <v>148604</v>
      </c>
      <c r="Q89" s="24">
        <v>156542</v>
      </c>
      <c r="R89" s="24">
        <v>164464</v>
      </c>
      <c r="S89" s="24">
        <v>172025</v>
      </c>
      <c r="T89" s="24">
        <v>179558</v>
      </c>
      <c r="U89" s="24">
        <v>187057</v>
      </c>
      <c r="V89" s="24">
        <v>194519</v>
      </c>
      <c r="W89" s="24">
        <v>201935</v>
      </c>
      <c r="X89" s="24">
        <v>207708</v>
      </c>
      <c r="Y89" s="24">
        <v>213438</v>
      </c>
      <c r="Z89" s="24">
        <v>219120</v>
      </c>
      <c r="AA89" s="24">
        <v>224753</v>
      </c>
      <c r="AB89" s="24">
        <v>230320</v>
      </c>
      <c r="AC89" s="24">
        <v>241163</v>
      </c>
      <c r="AD89" s="24">
        <v>251955</v>
      </c>
      <c r="AE89" s="24"/>
      <c r="AF89" s="48"/>
      <c r="AG89" s="48"/>
      <c r="AH89" s="48"/>
      <c r="AI89" s="48"/>
      <c r="AJ89" s="48"/>
      <c r="AK89" s="48"/>
      <c r="AL89" s="48"/>
      <c r="AM89" s="48"/>
      <c r="AN89" s="48"/>
      <c r="AO89" s="48"/>
    </row>
    <row r="90" spans="1:41">
      <c r="A90" s="38">
        <v>68</v>
      </c>
      <c r="B90" s="24">
        <v>80879</v>
      </c>
      <c r="C90" s="79">
        <f>+B90/B92</f>
        <v>0.19109308105962519</v>
      </c>
      <c r="D90" s="24">
        <v>83092</v>
      </c>
      <c r="E90" s="24">
        <v>85304</v>
      </c>
      <c r="F90" s="24">
        <v>87514</v>
      </c>
      <c r="G90" s="24">
        <v>89724</v>
      </c>
      <c r="H90" s="24">
        <v>91921</v>
      </c>
      <c r="I90" s="24">
        <v>96724</v>
      </c>
      <c r="J90" s="24">
        <v>101524</v>
      </c>
      <c r="K90" s="24">
        <v>106321</v>
      </c>
      <c r="L90" s="24">
        <v>111109</v>
      </c>
      <c r="M90" s="24">
        <v>115900</v>
      </c>
      <c r="N90" s="24">
        <v>123473</v>
      </c>
      <c r="O90" s="24">
        <v>131034</v>
      </c>
      <c r="P90" s="24">
        <v>138580</v>
      </c>
      <c r="Q90" s="24">
        <v>146103</v>
      </c>
      <c r="R90" s="24">
        <v>153612</v>
      </c>
      <c r="S90" s="24">
        <v>161274</v>
      </c>
      <c r="T90" s="24">
        <v>168909</v>
      </c>
      <c r="U90" s="24">
        <v>176513</v>
      </c>
      <c r="V90" s="24">
        <v>184082</v>
      </c>
      <c r="W90" s="24">
        <v>191606</v>
      </c>
      <c r="X90" s="24">
        <v>197239</v>
      </c>
      <c r="Y90" s="24">
        <v>202830</v>
      </c>
      <c r="Z90" s="24">
        <v>208374</v>
      </c>
      <c r="AA90" s="24">
        <v>213873</v>
      </c>
      <c r="AB90" s="24">
        <v>219309</v>
      </c>
      <c r="AC90" s="24">
        <v>229689</v>
      </c>
      <c r="AD90" s="24">
        <v>240021</v>
      </c>
      <c r="AE90" s="24"/>
      <c r="AF90" s="48"/>
      <c r="AG90" s="48"/>
      <c r="AH90" s="48"/>
      <c r="AI90" s="48"/>
      <c r="AJ90" s="48"/>
      <c r="AK90" s="48"/>
      <c r="AL90" s="48"/>
      <c r="AM90" s="48"/>
      <c r="AN90" s="48"/>
      <c r="AO90" s="48"/>
    </row>
    <row r="91" spans="1:41">
      <c r="A91" s="38">
        <v>69</v>
      </c>
      <c r="B91" s="24">
        <v>76934</v>
      </c>
      <c r="C91" s="79">
        <f>+B91/B92</f>
        <v>0.18177221649922976</v>
      </c>
      <c r="D91" s="24">
        <v>79003</v>
      </c>
      <c r="E91" s="24">
        <v>81070</v>
      </c>
      <c r="F91" s="24">
        <v>83136</v>
      </c>
      <c r="G91" s="24">
        <v>85202</v>
      </c>
      <c r="H91" s="24">
        <v>87256</v>
      </c>
      <c r="I91" s="24">
        <v>91402</v>
      </c>
      <c r="J91" s="24">
        <v>95546</v>
      </c>
      <c r="K91" s="24">
        <v>99687</v>
      </c>
      <c r="L91" s="24">
        <v>103820</v>
      </c>
      <c r="M91" s="24">
        <v>107955</v>
      </c>
      <c r="N91" s="24">
        <v>114926</v>
      </c>
      <c r="O91" s="24">
        <v>121885</v>
      </c>
      <c r="P91" s="24">
        <v>128831</v>
      </c>
      <c r="Q91" s="24">
        <v>135756</v>
      </c>
      <c r="R91" s="24">
        <v>142666</v>
      </c>
      <c r="S91" s="24">
        <v>150286</v>
      </c>
      <c r="T91" s="24">
        <v>157881</v>
      </c>
      <c r="U91" s="24">
        <v>165446</v>
      </c>
      <c r="V91" s="24">
        <v>172978</v>
      </c>
      <c r="W91" s="24">
        <v>180469</v>
      </c>
      <c r="X91" s="24">
        <v>186500</v>
      </c>
      <c r="Y91" s="24">
        <v>192492</v>
      </c>
      <c r="Z91" s="24">
        <v>198441</v>
      </c>
      <c r="AA91" s="24">
        <v>204346</v>
      </c>
      <c r="AB91" s="24">
        <v>210190</v>
      </c>
      <c r="AC91" s="24">
        <v>219331</v>
      </c>
      <c r="AD91" s="24">
        <v>228424</v>
      </c>
      <c r="AE91" s="24"/>
      <c r="AF91" s="48"/>
      <c r="AG91" s="48"/>
      <c r="AH91" s="48"/>
      <c r="AI91" s="48"/>
      <c r="AJ91" s="48"/>
      <c r="AK91" s="48"/>
      <c r="AL91" s="48"/>
      <c r="AM91" s="48"/>
      <c r="AN91" s="48"/>
      <c r="AO91" s="48"/>
    </row>
    <row r="92" spans="1:41">
      <c r="A92" s="37" t="s">
        <v>84</v>
      </c>
      <c r="B92" s="32">
        <f>SUM(B87:B91)</f>
        <v>423244</v>
      </c>
      <c r="D92" s="32">
        <v>0</v>
      </c>
      <c r="E92" s="32">
        <v>0</v>
      </c>
      <c r="F92" s="32">
        <v>0</v>
      </c>
      <c r="G92" s="32">
        <v>0</v>
      </c>
      <c r="H92" s="32">
        <v>0</v>
      </c>
      <c r="I92" s="32">
        <v>0</v>
      </c>
      <c r="J92" s="32">
        <v>0</v>
      </c>
      <c r="K92" s="32">
        <v>0</v>
      </c>
      <c r="L92" s="32">
        <v>0</v>
      </c>
      <c r="M92" s="32">
        <v>0</v>
      </c>
      <c r="N92" s="32">
        <v>0</v>
      </c>
      <c r="O92" s="32">
        <v>0</v>
      </c>
      <c r="P92" s="32">
        <v>0</v>
      </c>
      <c r="Q92" s="32">
        <v>0</v>
      </c>
      <c r="R92" s="32">
        <v>0</v>
      </c>
      <c r="S92" s="32">
        <v>0</v>
      </c>
      <c r="T92" s="32">
        <v>0</v>
      </c>
      <c r="U92" s="32">
        <v>0</v>
      </c>
      <c r="V92" s="32">
        <v>0</v>
      </c>
      <c r="W92" s="32">
        <v>0</v>
      </c>
      <c r="X92" s="32">
        <v>0</v>
      </c>
      <c r="Y92" s="32">
        <v>0</v>
      </c>
      <c r="Z92" s="32">
        <v>0</v>
      </c>
      <c r="AA92" s="32">
        <v>0</v>
      </c>
      <c r="AB92" s="32">
        <v>0</v>
      </c>
      <c r="AC92" s="32">
        <v>0</v>
      </c>
      <c r="AD92" s="32">
        <v>0</v>
      </c>
      <c r="AE92" s="32"/>
      <c r="AF92" s="48"/>
      <c r="AG92" s="48"/>
      <c r="AH92" s="48"/>
      <c r="AI92" s="48"/>
      <c r="AJ92" s="48"/>
      <c r="AK92" s="48"/>
      <c r="AL92" s="48"/>
      <c r="AM92" s="48"/>
      <c r="AN92" s="48"/>
      <c r="AO92" s="48"/>
    </row>
    <row r="93" spans="1:41">
      <c r="A93" s="38">
        <v>70</v>
      </c>
      <c r="B93" s="24">
        <v>73292</v>
      </c>
      <c r="C93" s="79">
        <f>+B93/B98</f>
        <v>0.22571525361091435</v>
      </c>
      <c r="D93" s="24">
        <v>75261</v>
      </c>
      <c r="E93" s="24">
        <v>77228</v>
      </c>
      <c r="F93" s="24">
        <v>79193</v>
      </c>
      <c r="G93" s="24">
        <v>81159</v>
      </c>
      <c r="H93" s="24">
        <v>83114</v>
      </c>
      <c r="I93" s="24">
        <v>86592</v>
      </c>
      <c r="J93" s="24">
        <v>90066</v>
      </c>
      <c r="K93" s="24">
        <v>93540</v>
      </c>
      <c r="L93" s="24">
        <v>97004</v>
      </c>
      <c r="M93" s="24">
        <v>100472</v>
      </c>
      <c r="N93" s="24">
        <v>106796</v>
      </c>
      <c r="O93" s="24">
        <v>113108</v>
      </c>
      <c r="P93" s="24">
        <v>119409</v>
      </c>
      <c r="Q93" s="24">
        <v>125689</v>
      </c>
      <c r="R93" s="24">
        <v>131957</v>
      </c>
      <c r="S93" s="24">
        <v>139555</v>
      </c>
      <c r="T93" s="24">
        <v>147130</v>
      </c>
      <c r="U93" s="24">
        <v>154680</v>
      </c>
      <c r="V93" s="24">
        <v>162197</v>
      </c>
      <c r="W93" s="24">
        <v>169675</v>
      </c>
      <c r="X93" s="24">
        <v>176211</v>
      </c>
      <c r="Y93" s="24">
        <v>182711</v>
      </c>
      <c r="Z93" s="24">
        <v>189169</v>
      </c>
      <c r="AA93" s="24">
        <v>195586</v>
      </c>
      <c r="AB93" s="24">
        <v>201944</v>
      </c>
      <c r="AC93" s="24">
        <v>209557</v>
      </c>
      <c r="AD93" s="24">
        <v>217123</v>
      </c>
      <c r="AE93" s="24"/>
      <c r="AF93" s="48"/>
      <c r="AG93" s="48"/>
      <c r="AH93" s="48"/>
      <c r="AI93" s="48"/>
      <c r="AJ93" s="48"/>
      <c r="AK93" s="48"/>
      <c r="AL93" s="48"/>
      <c r="AM93" s="48"/>
      <c r="AN93" s="48"/>
      <c r="AO93" s="48"/>
    </row>
    <row r="94" spans="1:41">
      <c r="A94" s="38">
        <v>71</v>
      </c>
      <c r="B94" s="24">
        <v>69746</v>
      </c>
      <c r="C94" s="79">
        <f>+B94/B98</f>
        <v>0.21479473992177636</v>
      </c>
      <c r="D94" s="24">
        <v>71628</v>
      </c>
      <c r="E94" s="24">
        <v>73508</v>
      </c>
      <c r="F94" s="24">
        <v>75387</v>
      </c>
      <c r="G94" s="24">
        <v>77266</v>
      </c>
      <c r="H94" s="24">
        <v>79134</v>
      </c>
      <c r="I94" s="24">
        <v>81979</v>
      </c>
      <c r="J94" s="24">
        <v>84823</v>
      </c>
      <c r="K94" s="24">
        <v>87663</v>
      </c>
      <c r="L94" s="24">
        <v>90496</v>
      </c>
      <c r="M94" s="24">
        <v>93333</v>
      </c>
      <c r="N94" s="24">
        <v>99027</v>
      </c>
      <c r="O94" s="24">
        <v>104712</v>
      </c>
      <c r="P94" s="24">
        <v>110384</v>
      </c>
      <c r="Q94" s="24">
        <v>116040</v>
      </c>
      <c r="R94" s="24">
        <v>121681</v>
      </c>
      <c r="S94" s="24">
        <v>129258</v>
      </c>
      <c r="T94" s="24">
        <v>136814</v>
      </c>
      <c r="U94" s="24">
        <v>144345</v>
      </c>
      <c r="V94" s="24">
        <v>151846</v>
      </c>
      <c r="W94" s="24">
        <v>159310</v>
      </c>
      <c r="X94" s="24">
        <v>166156</v>
      </c>
      <c r="Y94" s="24">
        <v>172968</v>
      </c>
      <c r="Z94" s="24">
        <v>179742</v>
      </c>
      <c r="AA94" s="24">
        <v>186476</v>
      </c>
      <c r="AB94" s="24">
        <v>193152</v>
      </c>
      <c r="AC94" s="24">
        <v>199478</v>
      </c>
      <c r="AD94" s="24">
        <v>205760</v>
      </c>
      <c r="AE94" s="24"/>
      <c r="AF94" s="48"/>
      <c r="AG94" s="48"/>
      <c r="AH94" s="48"/>
      <c r="AI94" s="48"/>
      <c r="AJ94" s="48"/>
      <c r="AK94" s="48"/>
      <c r="AL94" s="48"/>
      <c r="AM94" s="48"/>
      <c r="AN94" s="48"/>
      <c r="AO94" s="48"/>
    </row>
    <row r="95" spans="1:41">
      <c r="A95" s="38">
        <v>72</v>
      </c>
      <c r="B95" s="24">
        <v>65633</v>
      </c>
      <c r="C95" s="79">
        <f>+B95/B98</f>
        <v>0.20212805272396908</v>
      </c>
      <c r="D95" s="24">
        <v>67524</v>
      </c>
      <c r="E95" s="24">
        <v>69414</v>
      </c>
      <c r="F95" s="24">
        <v>71302</v>
      </c>
      <c r="G95" s="24">
        <v>73191</v>
      </c>
      <c r="H95" s="24">
        <v>75069</v>
      </c>
      <c r="I95" s="24">
        <v>77418</v>
      </c>
      <c r="J95" s="24">
        <v>79765</v>
      </c>
      <c r="K95" s="24">
        <v>82109</v>
      </c>
      <c r="L95" s="24">
        <v>84446</v>
      </c>
      <c r="M95" s="24">
        <v>86786</v>
      </c>
      <c r="N95" s="24">
        <v>91817</v>
      </c>
      <c r="O95" s="24">
        <v>96840</v>
      </c>
      <c r="P95" s="24">
        <v>101851</v>
      </c>
      <c r="Q95" s="24">
        <v>106846</v>
      </c>
      <c r="R95" s="24">
        <v>111829</v>
      </c>
      <c r="S95" s="24">
        <v>119183</v>
      </c>
      <c r="T95" s="24">
        <v>126519</v>
      </c>
      <c r="U95" s="24">
        <v>133832</v>
      </c>
      <c r="V95" s="24">
        <v>141118</v>
      </c>
      <c r="W95" s="24">
        <v>148368</v>
      </c>
      <c r="X95" s="24">
        <v>155407</v>
      </c>
      <c r="Y95" s="24">
        <v>162415</v>
      </c>
      <c r="Z95" s="24">
        <v>169387</v>
      </c>
      <c r="AA95" s="24">
        <v>176321</v>
      </c>
      <c r="AB95" s="24">
        <v>183201</v>
      </c>
      <c r="AC95" s="24">
        <v>188640</v>
      </c>
      <c r="AD95" s="24">
        <v>194037</v>
      </c>
      <c r="AE95" s="24"/>
      <c r="AF95" s="48"/>
      <c r="AG95" s="48"/>
      <c r="AH95" s="48"/>
      <c r="AI95" s="48"/>
      <c r="AJ95" s="48"/>
      <c r="AK95" s="48"/>
      <c r="AL95" s="48"/>
      <c r="AM95" s="48"/>
      <c r="AN95" s="48"/>
      <c r="AO95" s="48"/>
    </row>
    <row r="96" spans="1:41">
      <c r="A96" s="38">
        <v>73</v>
      </c>
      <c r="B96" s="24">
        <v>60721</v>
      </c>
      <c r="C96" s="79">
        <f>+B96/B98</f>
        <v>0.18700070832435095</v>
      </c>
      <c r="D96" s="24">
        <v>62723</v>
      </c>
      <c r="E96" s="24">
        <v>64725</v>
      </c>
      <c r="F96" s="24">
        <v>66725</v>
      </c>
      <c r="G96" s="24">
        <v>68725</v>
      </c>
      <c r="H96" s="24">
        <v>70717</v>
      </c>
      <c r="I96" s="24">
        <v>72750</v>
      </c>
      <c r="J96" s="24">
        <v>74782</v>
      </c>
      <c r="K96" s="24">
        <v>76810</v>
      </c>
      <c r="L96" s="24">
        <v>78833</v>
      </c>
      <c r="M96" s="24">
        <v>80858</v>
      </c>
      <c r="N96" s="24">
        <v>85209</v>
      </c>
      <c r="O96" s="24">
        <v>89552</v>
      </c>
      <c r="P96" s="24">
        <v>93885</v>
      </c>
      <c r="Q96" s="24">
        <v>98203</v>
      </c>
      <c r="R96" s="24">
        <v>102509</v>
      </c>
      <c r="S96" s="24">
        <v>109385</v>
      </c>
      <c r="T96" s="24">
        <v>116245</v>
      </c>
      <c r="U96" s="24">
        <v>123082</v>
      </c>
      <c r="V96" s="24">
        <v>129895</v>
      </c>
      <c r="W96" s="24">
        <v>136676</v>
      </c>
      <c r="X96" s="24">
        <v>143701</v>
      </c>
      <c r="Y96" s="24">
        <v>150697</v>
      </c>
      <c r="Z96" s="24">
        <v>157660</v>
      </c>
      <c r="AA96" s="24">
        <v>164588</v>
      </c>
      <c r="AB96" s="24">
        <v>171465</v>
      </c>
      <c r="AC96" s="24">
        <v>176657</v>
      </c>
      <c r="AD96" s="24">
        <v>181809</v>
      </c>
      <c r="AE96" s="24"/>
      <c r="AF96" s="48"/>
      <c r="AG96" s="48"/>
      <c r="AH96" s="48"/>
      <c r="AI96" s="48"/>
      <c r="AJ96" s="48"/>
      <c r="AK96" s="48"/>
      <c r="AL96" s="48"/>
      <c r="AM96" s="48"/>
      <c r="AN96" s="48"/>
      <c r="AO96" s="48"/>
    </row>
    <row r="97" spans="1:153">
      <c r="A97" s="38">
        <v>74</v>
      </c>
      <c r="B97" s="24">
        <v>55318</v>
      </c>
      <c r="C97" s="79">
        <f>+B97/B98</f>
        <v>0.17036124541898925</v>
      </c>
      <c r="D97" s="24">
        <v>57498</v>
      </c>
      <c r="E97" s="24">
        <v>59678</v>
      </c>
      <c r="F97" s="24">
        <v>61856</v>
      </c>
      <c r="G97" s="24">
        <v>64035</v>
      </c>
      <c r="H97" s="24">
        <v>66206</v>
      </c>
      <c r="I97" s="24">
        <v>68073</v>
      </c>
      <c r="J97" s="24">
        <v>69939</v>
      </c>
      <c r="K97" s="24">
        <v>71802</v>
      </c>
      <c r="L97" s="24">
        <v>73660</v>
      </c>
      <c r="M97" s="24">
        <v>75519</v>
      </c>
      <c r="N97" s="24">
        <v>79204</v>
      </c>
      <c r="O97" s="24">
        <v>82882</v>
      </c>
      <c r="P97" s="24">
        <v>86549</v>
      </c>
      <c r="Q97" s="24">
        <v>90203</v>
      </c>
      <c r="R97" s="24">
        <v>93847</v>
      </c>
      <c r="S97" s="24">
        <v>100064</v>
      </c>
      <c r="T97" s="24">
        <v>106266</v>
      </c>
      <c r="U97" s="24">
        <v>112448</v>
      </c>
      <c r="V97" s="24">
        <v>118607</v>
      </c>
      <c r="W97" s="24">
        <v>124738</v>
      </c>
      <c r="X97" s="24">
        <v>131589</v>
      </c>
      <c r="Y97" s="24">
        <v>138415</v>
      </c>
      <c r="Z97" s="24">
        <v>145211</v>
      </c>
      <c r="AA97" s="24">
        <v>151973</v>
      </c>
      <c r="AB97" s="24">
        <v>158689</v>
      </c>
      <c r="AC97" s="24">
        <v>164108</v>
      </c>
      <c r="AD97" s="24">
        <v>169492</v>
      </c>
      <c r="AE97" s="24"/>
      <c r="AF97" s="48"/>
      <c r="AG97" s="48"/>
      <c r="AH97" s="48"/>
      <c r="AI97" s="48"/>
      <c r="AJ97" s="48"/>
      <c r="AK97" s="48"/>
      <c r="AL97" s="48"/>
      <c r="AM97" s="48"/>
      <c r="AN97" s="48"/>
      <c r="AO97" s="48"/>
    </row>
    <row r="98" spans="1:153">
      <c r="A98" s="40" t="s">
        <v>85</v>
      </c>
      <c r="B98" s="32">
        <f>SUM(B93:B97)</f>
        <v>324710</v>
      </c>
      <c r="D98" s="32">
        <v>0</v>
      </c>
      <c r="E98" s="32">
        <v>0</v>
      </c>
      <c r="F98" s="32">
        <v>0</v>
      </c>
      <c r="G98" s="32">
        <v>0</v>
      </c>
      <c r="H98" s="32">
        <v>0</v>
      </c>
      <c r="I98" s="32">
        <v>0</v>
      </c>
      <c r="J98" s="32">
        <v>0</v>
      </c>
      <c r="K98" s="32">
        <v>0</v>
      </c>
      <c r="L98" s="32">
        <v>0</v>
      </c>
      <c r="M98" s="32">
        <v>0</v>
      </c>
      <c r="N98" s="32">
        <v>0</v>
      </c>
      <c r="O98" s="32">
        <v>0</v>
      </c>
      <c r="P98" s="32">
        <v>0</v>
      </c>
      <c r="Q98" s="32">
        <v>0</v>
      </c>
      <c r="R98" s="32">
        <v>0</v>
      </c>
      <c r="S98" s="32">
        <v>0</v>
      </c>
      <c r="T98" s="32">
        <v>0</v>
      </c>
      <c r="U98" s="32">
        <v>0</v>
      </c>
      <c r="V98" s="32">
        <v>0</v>
      </c>
      <c r="W98" s="32">
        <v>0</v>
      </c>
      <c r="X98" s="32">
        <v>0</v>
      </c>
      <c r="Y98" s="32">
        <v>0</v>
      </c>
      <c r="Z98" s="32">
        <v>0</v>
      </c>
      <c r="AA98" s="32">
        <v>0</v>
      </c>
      <c r="AB98" s="32">
        <v>0</v>
      </c>
      <c r="AC98" s="32">
        <v>0</v>
      </c>
      <c r="AD98" s="32">
        <v>0</v>
      </c>
      <c r="AE98" s="32"/>
      <c r="AF98" s="48"/>
      <c r="AG98" s="48"/>
      <c r="AH98" s="48"/>
      <c r="AI98" s="48"/>
      <c r="AJ98" s="48"/>
      <c r="AK98" s="48"/>
      <c r="AL98" s="48"/>
      <c r="AM98" s="48"/>
      <c r="AN98" s="48"/>
      <c r="AO98" s="48"/>
    </row>
    <row r="99" spans="1:153">
      <c r="A99" s="39">
        <v>75</v>
      </c>
      <c r="B99" s="24">
        <v>49919</v>
      </c>
      <c r="C99" s="79">
        <f>+B99/B104</f>
        <v>0.33413432576071966</v>
      </c>
      <c r="D99" s="24">
        <v>52292</v>
      </c>
      <c r="E99" s="24">
        <v>54666</v>
      </c>
      <c r="F99" s="24">
        <v>57039</v>
      </c>
      <c r="G99" s="24">
        <v>59411</v>
      </c>
      <c r="H99" s="24">
        <v>61777</v>
      </c>
      <c r="I99" s="24">
        <v>63571</v>
      </c>
      <c r="J99" s="24">
        <v>65362</v>
      </c>
      <c r="K99" s="24">
        <v>67151</v>
      </c>
      <c r="L99" s="24">
        <v>68937</v>
      </c>
      <c r="M99" s="24">
        <v>70722</v>
      </c>
      <c r="N99" s="24">
        <v>73789</v>
      </c>
      <c r="O99" s="24">
        <v>76850</v>
      </c>
      <c r="P99" s="24">
        <v>79901</v>
      </c>
      <c r="Q99" s="24">
        <v>82940</v>
      </c>
      <c r="R99" s="24">
        <v>85970</v>
      </c>
      <c r="S99" s="24">
        <v>91470</v>
      </c>
      <c r="T99" s="24">
        <v>96954</v>
      </c>
      <c r="U99" s="24">
        <v>102422</v>
      </c>
      <c r="V99" s="24">
        <v>107868</v>
      </c>
      <c r="W99" s="24">
        <v>113289</v>
      </c>
      <c r="X99" s="24">
        <v>119903</v>
      </c>
      <c r="Y99" s="24">
        <v>126493</v>
      </c>
      <c r="Z99" s="24">
        <v>133056</v>
      </c>
      <c r="AA99" s="24">
        <v>139587</v>
      </c>
      <c r="AB99" s="24">
        <v>146077</v>
      </c>
      <c r="AC99" s="24">
        <v>151903</v>
      </c>
      <c r="AD99" s="24">
        <v>157696</v>
      </c>
      <c r="AE99" s="24"/>
      <c r="AF99" s="48"/>
      <c r="AG99" s="48"/>
      <c r="AH99" s="48"/>
      <c r="AI99" s="48"/>
      <c r="AJ99" s="48"/>
      <c r="AK99" s="48"/>
      <c r="AL99" s="48"/>
      <c r="AM99" s="48"/>
      <c r="AN99" s="48"/>
      <c r="AO99" s="48"/>
    </row>
    <row r="100" spans="1:153">
      <c r="A100" s="38">
        <v>76</v>
      </c>
      <c r="B100" s="24">
        <v>44948</v>
      </c>
      <c r="C100" s="79">
        <f>+B100/B104</f>
        <v>0.3008607879623556</v>
      </c>
      <c r="D100" s="24">
        <v>47487</v>
      </c>
      <c r="E100" s="24">
        <v>50025</v>
      </c>
      <c r="F100" s="24">
        <v>52562</v>
      </c>
      <c r="G100" s="24">
        <v>55100</v>
      </c>
      <c r="H100" s="24">
        <v>57632</v>
      </c>
      <c r="I100" s="24">
        <v>59395</v>
      </c>
      <c r="J100" s="24">
        <v>61157</v>
      </c>
      <c r="K100" s="24">
        <v>62916</v>
      </c>
      <c r="L100" s="24">
        <v>64670</v>
      </c>
      <c r="M100" s="24">
        <v>66425</v>
      </c>
      <c r="N100" s="24">
        <v>68958</v>
      </c>
      <c r="O100" s="24">
        <v>71483</v>
      </c>
      <c r="P100" s="24">
        <v>74000</v>
      </c>
      <c r="Q100" s="24">
        <v>76506</v>
      </c>
      <c r="R100" s="24">
        <v>79005</v>
      </c>
      <c r="S100" s="24">
        <v>83832</v>
      </c>
      <c r="T100" s="24">
        <v>88647</v>
      </c>
      <c r="U100" s="24">
        <v>93445</v>
      </c>
      <c r="V100" s="24">
        <v>98225</v>
      </c>
      <c r="W100" s="24">
        <v>102981</v>
      </c>
      <c r="X100" s="24">
        <v>109370</v>
      </c>
      <c r="Y100" s="24">
        <v>115738</v>
      </c>
      <c r="Z100" s="24">
        <v>122081</v>
      </c>
      <c r="AA100" s="24">
        <v>128397</v>
      </c>
      <c r="AB100" s="24">
        <v>134672</v>
      </c>
      <c r="AC100" s="24">
        <v>140833</v>
      </c>
      <c r="AD100" s="24">
        <v>146964</v>
      </c>
      <c r="AE100" s="24"/>
      <c r="AF100" s="48"/>
      <c r="AG100" s="48"/>
      <c r="AH100" s="48"/>
      <c r="AI100" s="48"/>
      <c r="AJ100" s="48"/>
      <c r="AK100" s="48"/>
      <c r="AL100" s="48"/>
      <c r="AM100" s="48"/>
      <c r="AN100" s="48"/>
      <c r="AO100" s="48"/>
    </row>
    <row r="101" spans="1:153">
      <c r="A101" s="39">
        <v>77</v>
      </c>
      <c r="B101" s="24">
        <v>40686</v>
      </c>
      <c r="C101" s="79">
        <f>+B101/B104</f>
        <v>0.2723329629580048</v>
      </c>
      <c r="D101" s="24">
        <v>43326</v>
      </c>
      <c r="E101" s="24">
        <v>45967</v>
      </c>
      <c r="F101" s="24">
        <v>48606</v>
      </c>
      <c r="G101" s="24">
        <v>51245</v>
      </c>
      <c r="H101" s="24">
        <v>53881</v>
      </c>
      <c r="I101" s="24">
        <v>55629</v>
      </c>
      <c r="J101" s="24">
        <v>57377</v>
      </c>
      <c r="K101" s="24">
        <v>59122</v>
      </c>
      <c r="L101" s="24">
        <v>60862</v>
      </c>
      <c r="M101" s="24">
        <v>62603</v>
      </c>
      <c r="N101" s="24">
        <v>64713</v>
      </c>
      <c r="O101" s="24">
        <v>66816</v>
      </c>
      <c r="P101" s="24">
        <v>68911</v>
      </c>
      <c r="Q101" s="24">
        <v>70995</v>
      </c>
      <c r="R101" s="24">
        <v>73074</v>
      </c>
      <c r="S101" s="24">
        <v>77345</v>
      </c>
      <c r="T101" s="24">
        <v>81604</v>
      </c>
      <c r="U101" s="24">
        <v>85847</v>
      </c>
      <c r="V101" s="24">
        <v>90074</v>
      </c>
      <c r="W101" s="24">
        <v>94280</v>
      </c>
      <c r="X101" s="24">
        <v>100497</v>
      </c>
      <c r="Y101" s="24">
        <v>106696</v>
      </c>
      <c r="Z101" s="24">
        <v>112871</v>
      </c>
      <c r="AA101" s="24">
        <v>119021</v>
      </c>
      <c r="AB101" s="24">
        <v>125133</v>
      </c>
      <c r="AC101" s="24">
        <v>131420</v>
      </c>
      <c r="AD101" s="24">
        <v>137679</v>
      </c>
      <c r="AE101" s="24"/>
      <c r="AF101" s="48"/>
      <c r="AG101" s="48"/>
      <c r="AH101" s="48"/>
      <c r="AI101" s="48"/>
      <c r="AJ101" s="48"/>
      <c r="AK101" s="48"/>
      <c r="AL101" s="48"/>
      <c r="AM101" s="48"/>
      <c r="AN101" s="48"/>
      <c r="AO101" s="48"/>
    </row>
    <row r="102" spans="1:153">
      <c r="A102" s="39">
        <v>78</v>
      </c>
      <c r="B102" s="24">
        <v>37234</v>
      </c>
      <c r="C102" s="79">
        <f>+B102/B104</f>
        <v>0.2492268972810881</v>
      </c>
      <c r="D102" s="24">
        <v>39894</v>
      </c>
      <c r="E102" s="24">
        <v>42553</v>
      </c>
      <c r="F102" s="24">
        <v>45211</v>
      </c>
      <c r="G102" s="24">
        <v>47870</v>
      </c>
      <c r="H102" s="24">
        <v>50525</v>
      </c>
      <c r="I102" s="24">
        <v>52273</v>
      </c>
      <c r="J102" s="24">
        <v>54020</v>
      </c>
      <c r="K102" s="24">
        <v>55766</v>
      </c>
      <c r="L102" s="24">
        <v>57506</v>
      </c>
      <c r="M102" s="24">
        <v>59247</v>
      </c>
      <c r="N102" s="24">
        <v>61072</v>
      </c>
      <c r="O102" s="24">
        <v>62890</v>
      </c>
      <c r="P102" s="24">
        <v>64700</v>
      </c>
      <c r="Q102" s="24">
        <v>66500</v>
      </c>
      <c r="R102" s="24">
        <v>68295</v>
      </c>
      <c r="S102" s="24">
        <v>72150</v>
      </c>
      <c r="T102" s="24">
        <v>75994</v>
      </c>
      <c r="U102" s="24">
        <v>79823</v>
      </c>
      <c r="V102" s="24">
        <v>83636</v>
      </c>
      <c r="W102" s="24">
        <v>87431</v>
      </c>
      <c r="X102" s="24">
        <v>93525</v>
      </c>
      <c r="Y102" s="24">
        <v>99602</v>
      </c>
      <c r="Z102" s="24">
        <v>105657</v>
      </c>
      <c r="AA102" s="24">
        <v>111688</v>
      </c>
      <c r="AB102" s="24">
        <v>117685</v>
      </c>
      <c r="AC102" s="24">
        <v>123877</v>
      </c>
      <c r="AD102" s="24">
        <v>130044</v>
      </c>
      <c r="AE102" s="24"/>
      <c r="AF102" s="48"/>
      <c r="AG102" s="48"/>
      <c r="AH102" s="48"/>
      <c r="AI102" s="48"/>
      <c r="AJ102" s="48"/>
      <c r="AK102" s="48"/>
      <c r="AL102" s="48"/>
      <c r="AM102" s="48"/>
      <c r="AN102" s="48"/>
      <c r="AO102" s="48"/>
    </row>
    <row r="103" spans="1:153">
      <c r="A103" s="39">
        <v>79</v>
      </c>
      <c r="B103" s="24">
        <v>34534</v>
      </c>
      <c r="C103" s="79">
        <f>+B103/B104</f>
        <v>0.23115436618964108</v>
      </c>
      <c r="D103" s="24">
        <v>37123</v>
      </c>
      <c r="E103" s="24">
        <v>39710</v>
      </c>
      <c r="F103" s="24">
        <v>42297</v>
      </c>
      <c r="G103" s="24">
        <v>44884</v>
      </c>
      <c r="H103" s="24">
        <v>47468</v>
      </c>
      <c r="I103" s="24">
        <v>49251</v>
      </c>
      <c r="J103" s="24">
        <v>51033</v>
      </c>
      <c r="K103" s="24">
        <v>52813</v>
      </c>
      <c r="L103" s="24">
        <v>54589</v>
      </c>
      <c r="M103" s="24">
        <v>56365</v>
      </c>
      <c r="N103" s="24">
        <v>58063</v>
      </c>
      <c r="O103" s="24">
        <v>59755</v>
      </c>
      <c r="P103" s="24">
        <v>61440</v>
      </c>
      <c r="Q103" s="24">
        <v>63115</v>
      </c>
      <c r="R103" s="24">
        <v>64785</v>
      </c>
      <c r="S103" s="24">
        <v>68350</v>
      </c>
      <c r="T103" s="24">
        <v>71905</v>
      </c>
      <c r="U103" s="24">
        <v>75446</v>
      </c>
      <c r="V103" s="24">
        <v>78971</v>
      </c>
      <c r="W103" s="24">
        <v>82479</v>
      </c>
      <c r="X103" s="24">
        <v>88452</v>
      </c>
      <c r="Y103" s="24">
        <v>94409</v>
      </c>
      <c r="Z103" s="24">
        <v>100346</v>
      </c>
      <c r="AA103" s="24">
        <v>106260</v>
      </c>
      <c r="AB103" s="24">
        <v>112140</v>
      </c>
      <c r="AC103" s="24">
        <v>118128</v>
      </c>
      <c r="AD103" s="24">
        <v>124092</v>
      </c>
      <c r="AE103" s="24"/>
      <c r="AF103" s="48"/>
      <c r="AG103" s="48"/>
      <c r="AH103" s="48"/>
      <c r="AI103" s="48"/>
      <c r="AJ103" s="48"/>
      <c r="AK103" s="48"/>
      <c r="AL103" s="48"/>
      <c r="AM103" s="48"/>
      <c r="AN103" s="48"/>
      <c r="AO103" s="48"/>
    </row>
    <row r="104" spans="1:153">
      <c r="A104" s="41" t="s">
        <v>86</v>
      </c>
      <c r="B104" s="24">
        <v>149398</v>
      </c>
      <c r="D104" s="24">
        <v>157941</v>
      </c>
      <c r="E104" s="24">
        <v>166482</v>
      </c>
      <c r="F104" s="24">
        <v>175019</v>
      </c>
      <c r="G104" s="24">
        <v>183557</v>
      </c>
      <c r="H104" s="24">
        <v>192066</v>
      </c>
      <c r="I104" s="24">
        <v>204916</v>
      </c>
      <c r="J104" s="24">
        <v>217761</v>
      </c>
      <c r="K104" s="24">
        <v>230600</v>
      </c>
      <c r="L104" s="24">
        <v>243419</v>
      </c>
      <c r="M104" s="24">
        <v>256232</v>
      </c>
      <c r="N104" s="24">
        <v>269768</v>
      </c>
      <c r="O104" s="24">
        <v>283277</v>
      </c>
      <c r="P104" s="24">
        <v>296753</v>
      </c>
      <c r="Q104" s="24">
        <v>310182</v>
      </c>
      <c r="R104" s="24">
        <v>323575</v>
      </c>
      <c r="S104" s="24">
        <v>339257</v>
      </c>
      <c r="T104" s="24">
        <v>354884</v>
      </c>
      <c r="U104" s="24">
        <v>370445</v>
      </c>
      <c r="V104" s="24">
        <v>385931</v>
      </c>
      <c r="W104" s="24">
        <v>401321</v>
      </c>
      <c r="X104" s="24">
        <v>424942</v>
      </c>
      <c r="Y104" s="24">
        <v>448481</v>
      </c>
      <c r="Z104" s="24">
        <v>471922</v>
      </c>
      <c r="AA104" s="24">
        <v>495256</v>
      </c>
      <c r="AB104" s="24">
        <v>518440</v>
      </c>
      <c r="AC104" s="24">
        <v>552850</v>
      </c>
      <c r="AD104" s="24">
        <v>587150</v>
      </c>
      <c r="AE104" s="24"/>
      <c r="AF104" s="48"/>
      <c r="AG104" s="48"/>
      <c r="AH104" s="48"/>
      <c r="AI104" s="48"/>
      <c r="AJ104" s="48"/>
      <c r="AK104" s="48"/>
      <c r="AL104" s="48"/>
      <c r="AM104" s="48"/>
      <c r="AN104" s="48"/>
      <c r="AO104" s="48"/>
    </row>
    <row r="105" spans="1:153">
      <c r="CN105" s="31"/>
      <c r="CO105" s="33"/>
      <c r="CP105" s="33"/>
      <c r="CQ105" s="33"/>
      <c r="CR105" s="33"/>
      <c r="CS105" s="33"/>
      <c r="CT105" s="33"/>
      <c r="CU105" s="33"/>
      <c r="CV105" s="33"/>
      <c r="CW105" s="33"/>
      <c r="CX105" s="33"/>
      <c r="CY105" s="33"/>
      <c r="CZ105" s="33"/>
      <c r="DA105" s="33"/>
      <c r="DB105" s="33"/>
      <c r="DC105" s="33"/>
      <c r="DD105" s="42"/>
      <c r="DE105" s="42"/>
      <c r="DF105" s="42"/>
      <c r="DG105" s="42"/>
      <c r="DH105" s="42"/>
      <c r="DI105" s="42"/>
      <c r="DJ105" s="42"/>
      <c r="DK105" s="42"/>
      <c r="DL105" s="42"/>
      <c r="DM105" s="42"/>
      <c r="DN105" s="42"/>
      <c r="DO105" s="42"/>
      <c r="DP105" s="42"/>
      <c r="DQ105" s="42"/>
      <c r="DR105" s="42"/>
      <c r="DS105" s="42"/>
      <c r="DT105" s="42"/>
      <c r="DU105" s="42"/>
      <c r="DV105" s="42"/>
      <c r="DW105" s="42"/>
      <c r="DX105" s="42"/>
      <c r="DY105" s="42"/>
      <c r="DZ105" s="42"/>
      <c r="EA105" s="42"/>
      <c r="EB105" s="42"/>
      <c r="EC105" s="42"/>
      <c r="ED105" s="42"/>
      <c r="EE105" s="42"/>
      <c r="EF105" s="42"/>
      <c r="EG105" s="42"/>
      <c r="EH105" s="42"/>
      <c r="EI105" s="42"/>
      <c r="EJ105" s="42"/>
      <c r="EK105" s="42"/>
      <c r="EL105" s="42"/>
      <c r="EM105" s="42"/>
      <c r="EN105" s="42"/>
      <c r="EO105" s="42"/>
      <c r="EP105" s="42"/>
      <c r="EQ105" s="42"/>
      <c r="ER105" s="42"/>
      <c r="ES105" s="42"/>
      <c r="ET105" s="42"/>
      <c r="EU105" s="42"/>
      <c r="EV105" s="42"/>
      <c r="EW105" s="42"/>
    </row>
    <row r="106" spans="1:153">
      <c r="A106" s="32" t="s">
        <v>68</v>
      </c>
      <c r="B106" s="32">
        <v>12229953</v>
      </c>
      <c r="D106" s="32">
        <v>12454204</v>
      </c>
      <c r="E106" s="32">
        <v>12678275</v>
      </c>
      <c r="F106" s="32">
        <v>12901999</v>
      </c>
      <c r="G106" s="32">
        <v>13125804</v>
      </c>
      <c r="H106" s="32">
        <v>13347732</v>
      </c>
      <c r="I106" s="32">
        <v>13570418</v>
      </c>
      <c r="J106" s="32">
        <v>13792761</v>
      </c>
      <c r="K106" s="32">
        <v>14014614</v>
      </c>
      <c r="L106" s="32">
        <v>14235351</v>
      </c>
      <c r="M106" s="32">
        <v>14456287</v>
      </c>
      <c r="N106" s="32">
        <v>14673402</v>
      </c>
      <c r="O106" s="32">
        <v>14888876</v>
      </c>
      <c r="P106" s="32">
        <v>15102533</v>
      </c>
      <c r="Q106" s="32">
        <v>15313881</v>
      </c>
      <c r="R106" s="32">
        <v>15523702</v>
      </c>
      <c r="S106" s="32">
        <v>15728959</v>
      </c>
      <c r="T106" s="32">
        <v>15931336</v>
      </c>
      <c r="U106" s="32">
        <v>16130644</v>
      </c>
      <c r="V106" s="32">
        <v>16326788</v>
      </c>
      <c r="W106" s="32">
        <v>16519307</v>
      </c>
      <c r="X106" s="32">
        <v>16707676</v>
      </c>
      <c r="Y106" s="32">
        <v>16892332</v>
      </c>
      <c r="Z106" s="32">
        <v>17073102</v>
      </c>
      <c r="AA106" s="32">
        <v>17250156</v>
      </c>
      <c r="AB106" s="32">
        <v>17422288</v>
      </c>
      <c r="AC106" s="32">
        <v>17590805</v>
      </c>
      <c r="AD106" s="32">
        <v>17755123</v>
      </c>
      <c r="AE106" s="32"/>
      <c r="CN106" s="31" t="s">
        <v>87</v>
      </c>
      <c r="CO106" s="42">
        <v>1392961</v>
      </c>
      <c r="CP106" s="42">
        <v>1394455</v>
      </c>
      <c r="CQ106" s="42">
        <v>1395969</v>
      </c>
      <c r="CR106" s="42">
        <v>1397470</v>
      </c>
      <c r="CS106" s="42">
        <v>1398933</v>
      </c>
      <c r="CT106" s="42">
        <v>1400325</v>
      </c>
      <c r="CU106" s="42">
        <v>1403209</v>
      </c>
      <c r="CV106" s="42">
        <v>1405947</v>
      </c>
      <c r="CW106" s="42">
        <v>1408523</v>
      </c>
      <c r="CX106" s="42">
        <v>1411136</v>
      </c>
      <c r="CY106" s="42">
        <v>1413088</v>
      </c>
      <c r="CZ106" s="42">
        <v>1421271</v>
      </c>
      <c r="DA106" s="42">
        <v>1429429</v>
      </c>
      <c r="DB106" s="42">
        <v>1437551</v>
      </c>
      <c r="DC106" s="42">
        <v>1445678</v>
      </c>
      <c r="DD106" s="42">
        <v>1453604</v>
      </c>
      <c r="DE106" s="42">
        <v>1460640</v>
      </c>
      <c r="DF106" s="42">
        <v>1467634</v>
      </c>
      <c r="DG106" s="42">
        <v>1474578</v>
      </c>
      <c r="DH106" s="42">
        <v>1481404</v>
      </c>
      <c r="DI106" s="42">
        <v>1488261</v>
      </c>
      <c r="DJ106" s="42">
        <v>1489651</v>
      </c>
      <c r="DK106" s="42">
        <v>1490866</v>
      </c>
      <c r="DL106" s="42">
        <v>1491898</v>
      </c>
      <c r="DM106" s="42">
        <v>1492703</v>
      </c>
      <c r="DN106" s="42">
        <v>1493371</v>
      </c>
      <c r="DO106" s="42">
        <v>1489814</v>
      </c>
      <c r="DP106" s="42">
        <v>1485971</v>
      </c>
      <c r="DQ106" s="42">
        <v>1481840</v>
      </c>
      <c r="DR106" s="42">
        <v>1477420</v>
      </c>
      <c r="DS106" s="42">
        <v>1472689</v>
      </c>
      <c r="DT106" s="42">
        <v>1467398</v>
      </c>
      <c r="DU106" s="42">
        <v>1461765</v>
      </c>
      <c r="DV106" s="42">
        <v>1455791</v>
      </c>
      <c r="DW106" s="42">
        <v>1449504</v>
      </c>
      <c r="DX106" s="42">
        <v>1442820</v>
      </c>
      <c r="DY106" s="42">
        <v>1437420</v>
      </c>
      <c r="DZ106" s="42">
        <v>1431662</v>
      </c>
      <c r="EA106" s="42">
        <v>1425549</v>
      </c>
      <c r="EB106" s="42">
        <v>1419117</v>
      </c>
      <c r="EC106" s="42">
        <v>1412265</v>
      </c>
      <c r="ED106" s="42">
        <v>1406347</v>
      </c>
      <c r="EE106" s="42">
        <v>1400073</v>
      </c>
      <c r="EF106" s="42">
        <v>1393449</v>
      </c>
      <c r="EG106" s="42">
        <v>1386501</v>
      </c>
      <c r="EH106" s="42">
        <v>1379161</v>
      </c>
      <c r="EI106" s="42">
        <v>1371920</v>
      </c>
      <c r="EJ106" s="42">
        <v>1364328</v>
      </c>
      <c r="EK106" s="42">
        <v>1356390</v>
      </c>
      <c r="EL106" s="42">
        <v>1348111</v>
      </c>
      <c r="EM106" s="42">
        <v>1339498</v>
      </c>
      <c r="EN106" s="42">
        <v>1331343</v>
      </c>
      <c r="EO106" s="42">
        <v>1322823</v>
      </c>
      <c r="EP106" s="42">
        <v>1313946</v>
      </c>
      <c r="EQ106" s="42">
        <v>1304839</v>
      </c>
      <c r="ER106" s="42">
        <v>1295149</v>
      </c>
      <c r="ES106" s="42">
        <v>1292520</v>
      </c>
      <c r="ET106" s="42">
        <v>1289650</v>
      </c>
      <c r="EU106" s="42">
        <v>1286542</v>
      </c>
      <c r="EV106" s="42">
        <v>1283196</v>
      </c>
      <c r="EW106" s="42">
        <v>1279612</v>
      </c>
    </row>
    <row r="107" spans="1:153">
      <c r="CN107" s="43" t="s">
        <v>88</v>
      </c>
      <c r="CO107" s="42">
        <v>1273747</v>
      </c>
      <c r="CP107" s="42">
        <v>1295902</v>
      </c>
      <c r="CQ107" s="42">
        <v>1318077</v>
      </c>
      <c r="CR107" s="42">
        <v>1340243</v>
      </c>
      <c r="CS107" s="42">
        <v>1362368</v>
      </c>
      <c r="CT107" s="42">
        <v>1384422</v>
      </c>
      <c r="CU107" s="42">
        <v>1385752</v>
      </c>
      <c r="CV107" s="42">
        <v>1386942</v>
      </c>
      <c r="CW107" s="42">
        <v>1387969</v>
      </c>
      <c r="CX107" s="42">
        <v>1389030</v>
      </c>
      <c r="CY107" s="42">
        <v>1389461</v>
      </c>
      <c r="CZ107" s="42">
        <v>1391853</v>
      </c>
      <c r="DA107" s="42">
        <v>1394224</v>
      </c>
      <c r="DB107" s="42">
        <v>1396554</v>
      </c>
      <c r="DC107" s="42">
        <v>1398893</v>
      </c>
      <c r="DD107" s="42">
        <v>1401035</v>
      </c>
      <c r="DE107" s="42">
        <v>1409395</v>
      </c>
      <c r="DF107" s="42">
        <v>1417719</v>
      </c>
      <c r="DG107" s="42">
        <v>1425991</v>
      </c>
      <c r="DH107" s="42">
        <v>1434150</v>
      </c>
      <c r="DI107" s="42">
        <v>1442324</v>
      </c>
      <c r="DJ107" s="42">
        <v>1449771</v>
      </c>
      <c r="DK107" s="42">
        <v>1457051</v>
      </c>
      <c r="DL107" s="42">
        <v>1464151</v>
      </c>
      <c r="DM107" s="42">
        <v>1471029</v>
      </c>
      <c r="DN107" s="42">
        <v>1477769</v>
      </c>
      <c r="DO107" s="42">
        <v>1479558</v>
      </c>
      <c r="DP107" s="42">
        <v>1481066</v>
      </c>
      <c r="DQ107" s="42">
        <v>1482285</v>
      </c>
      <c r="DR107" s="42">
        <v>1483214</v>
      </c>
      <c r="DS107" s="42">
        <v>1483828</v>
      </c>
      <c r="DT107" s="42">
        <v>1480586</v>
      </c>
      <c r="DU107" s="42">
        <v>1476996</v>
      </c>
      <c r="DV107" s="42">
        <v>1473065</v>
      </c>
      <c r="DW107" s="42">
        <v>1468816</v>
      </c>
      <c r="DX107" s="42">
        <v>1464162</v>
      </c>
      <c r="DY107" s="42">
        <v>1459103</v>
      </c>
      <c r="DZ107" s="42">
        <v>1453682</v>
      </c>
      <c r="EA107" s="42">
        <v>1447901</v>
      </c>
      <c r="EB107" s="42">
        <v>1441795</v>
      </c>
      <c r="EC107" s="42">
        <v>1435260</v>
      </c>
      <c r="ED107" s="42">
        <v>1430034</v>
      </c>
      <c r="EE107" s="42">
        <v>1424447</v>
      </c>
      <c r="EF107" s="42">
        <v>1418502</v>
      </c>
      <c r="EG107" s="42">
        <v>1412230</v>
      </c>
      <c r="EH107" s="42">
        <v>1405556</v>
      </c>
      <c r="EI107" s="42">
        <v>1399797</v>
      </c>
      <c r="EJ107" s="42">
        <v>1393682</v>
      </c>
      <c r="EK107" s="42">
        <v>1387212</v>
      </c>
      <c r="EL107" s="42">
        <v>1380395</v>
      </c>
      <c r="EM107" s="42">
        <v>1373231</v>
      </c>
      <c r="EN107" s="42">
        <v>1366173</v>
      </c>
      <c r="EO107" s="42">
        <v>1358743</v>
      </c>
      <c r="EP107" s="42">
        <v>1350946</v>
      </c>
      <c r="EQ107" s="42">
        <v>1342912</v>
      </c>
      <c r="ER107" s="42">
        <v>1334274</v>
      </c>
      <c r="ES107" s="42">
        <v>1326022</v>
      </c>
      <c r="ET107" s="42">
        <v>1317521</v>
      </c>
      <c r="EU107" s="42">
        <v>1308774</v>
      </c>
      <c r="EV107" s="42">
        <v>1299787</v>
      </c>
      <c r="EW107" s="42">
        <v>1290565</v>
      </c>
    </row>
    <row r="108" spans="1:153">
      <c r="A108" s="37" t="s">
        <v>70</v>
      </c>
      <c r="B108" s="32">
        <v>0</v>
      </c>
      <c r="D108" s="32">
        <v>0</v>
      </c>
      <c r="E108" s="32">
        <v>0</v>
      </c>
      <c r="F108" s="32">
        <v>0</v>
      </c>
      <c r="G108" s="32">
        <v>0</v>
      </c>
      <c r="H108" s="32">
        <v>0</v>
      </c>
      <c r="I108" s="32">
        <v>0</v>
      </c>
      <c r="J108" s="32">
        <v>0</v>
      </c>
      <c r="K108" s="32">
        <v>0</v>
      </c>
      <c r="L108" s="32">
        <v>0</v>
      </c>
      <c r="M108" s="32">
        <v>0</v>
      </c>
      <c r="N108" s="32">
        <v>0</v>
      </c>
      <c r="O108" s="32">
        <v>0</v>
      </c>
      <c r="P108" s="32">
        <v>0</v>
      </c>
      <c r="Q108" s="32">
        <v>0</v>
      </c>
      <c r="R108" s="32">
        <v>0</v>
      </c>
      <c r="S108" s="32">
        <v>0</v>
      </c>
      <c r="T108" s="32">
        <v>0</v>
      </c>
      <c r="U108" s="32">
        <v>0</v>
      </c>
      <c r="V108" s="32">
        <v>0</v>
      </c>
      <c r="W108" s="32">
        <v>0</v>
      </c>
      <c r="X108" s="32">
        <v>0</v>
      </c>
      <c r="Y108" s="32">
        <v>0</v>
      </c>
      <c r="Z108" s="32">
        <v>0</v>
      </c>
      <c r="AA108" s="32">
        <v>0</v>
      </c>
      <c r="AB108" s="32">
        <v>0</v>
      </c>
      <c r="AC108" s="32">
        <v>0</v>
      </c>
      <c r="AD108" s="32">
        <v>0</v>
      </c>
      <c r="AE108" s="32"/>
      <c r="CN108" s="43" t="s">
        <v>45</v>
      </c>
      <c r="CO108" s="42">
        <v>1162808</v>
      </c>
      <c r="CP108" s="42">
        <v>1184344</v>
      </c>
      <c r="CQ108" s="42">
        <v>1205899</v>
      </c>
      <c r="CR108" s="42">
        <v>1227445</v>
      </c>
      <c r="CS108" s="42">
        <v>1248954</v>
      </c>
      <c r="CT108" s="42">
        <v>1270397</v>
      </c>
      <c r="CU108" s="42">
        <v>1292881</v>
      </c>
      <c r="CV108" s="42">
        <v>1315243</v>
      </c>
      <c r="CW108" s="42">
        <v>1337453</v>
      </c>
      <c r="CX108" s="42">
        <v>1359696</v>
      </c>
      <c r="CY108" s="42">
        <v>1381308</v>
      </c>
      <c r="CZ108" s="42">
        <v>1382454</v>
      </c>
      <c r="DA108" s="42">
        <v>1383578</v>
      </c>
      <c r="DB108" s="42">
        <v>1384662</v>
      </c>
      <c r="DC108" s="42">
        <v>1385755</v>
      </c>
      <c r="DD108" s="42">
        <v>1386638</v>
      </c>
      <c r="DE108" s="42">
        <v>1389093</v>
      </c>
      <c r="DF108" s="42">
        <v>1391511</v>
      </c>
      <c r="DG108" s="42">
        <v>1393878</v>
      </c>
      <c r="DH108" s="42">
        <v>1396135</v>
      </c>
      <c r="DI108" s="42">
        <v>1398415</v>
      </c>
      <c r="DJ108" s="42">
        <v>1407049</v>
      </c>
      <c r="DK108" s="42">
        <v>1415520</v>
      </c>
      <c r="DL108" s="42">
        <v>1423817</v>
      </c>
      <c r="DM108" s="42">
        <v>1431899</v>
      </c>
      <c r="DN108" s="42">
        <v>1439829</v>
      </c>
      <c r="DO108" s="42">
        <v>1447507</v>
      </c>
      <c r="DP108" s="42">
        <v>1454913</v>
      </c>
      <c r="DQ108" s="42">
        <v>1462036</v>
      </c>
      <c r="DR108" s="42">
        <v>1468875</v>
      </c>
      <c r="DS108" s="42">
        <v>1475405</v>
      </c>
      <c r="DT108" s="42">
        <v>1477337</v>
      </c>
      <c r="DU108" s="42">
        <v>1478930</v>
      </c>
      <c r="DV108" s="42">
        <v>1480182</v>
      </c>
      <c r="DW108" s="42">
        <v>1481113</v>
      </c>
      <c r="DX108" s="42">
        <v>1481632</v>
      </c>
      <c r="DY108" s="42">
        <v>1478467</v>
      </c>
      <c r="DZ108" s="42">
        <v>1474931</v>
      </c>
      <c r="EA108" s="42">
        <v>1471034</v>
      </c>
      <c r="EB108" s="42">
        <v>1466806</v>
      </c>
      <c r="EC108" s="42">
        <v>1462142</v>
      </c>
      <c r="ED108" s="42">
        <v>1457126</v>
      </c>
      <c r="EE108" s="42">
        <v>1451743</v>
      </c>
      <c r="EF108" s="42">
        <v>1445996</v>
      </c>
      <c r="EG108" s="42">
        <v>1439914</v>
      </c>
      <c r="EH108" s="42">
        <v>1433423</v>
      </c>
      <c r="EI108" s="42">
        <v>1428236</v>
      </c>
      <c r="EJ108" s="42">
        <v>1422684</v>
      </c>
      <c r="EK108" s="42">
        <v>1416773</v>
      </c>
      <c r="EL108" s="42">
        <v>1410505</v>
      </c>
      <c r="EM108" s="42">
        <v>1403884</v>
      </c>
      <c r="EN108" s="42">
        <v>1398199</v>
      </c>
      <c r="EO108" s="42">
        <v>1392135</v>
      </c>
      <c r="EP108" s="42">
        <v>1385695</v>
      </c>
      <c r="EQ108" s="42">
        <v>1379012</v>
      </c>
      <c r="ER108" s="42">
        <v>1371707</v>
      </c>
      <c r="ES108" s="42">
        <v>1364447</v>
      </c>
      <c r="ET108" s="42">
        <v>1356932</v>
      </c>
      <c r="EU108" s="42">
        <v>1349163</v>
      </c>
      <c r="EV108" s="42">
        <v>1341147</v>
      </c>
      <c r="EW108" s="42">
        <v>1332887</v>
      </c>
    </row>
    <row r="109" spans="1:153">
      <c r="A109" s="38">
        <v>0</v>
      </c>
      <c r="B109" s="24">
        <v>282864</v>
      </c>
      <c r="D109" s="24">
        <v>286343</v>
      </c>
      <c r="E109" s="24">
        <v>289817</v>
      </c>
      <c r="F109" s="24">
        <v>293284</v>
      </c>
      <c r="G109" s="24">
        <v>296752</v>
      </c>
      <c r="H109" s="24">
        <v>300178</v>
      </c>
      <c r="I109" s="24">
        <v>300582</v>
      </c>
      <c r="J109" s="24">
        <v>300978</v>
      </c>
      <c r="K109" s="24">
        <v>301364</v>
      </c>
      <c r="L109" s="24">
        <v>301724</v>
      </c>
      <c r="M109" s="24">
        <v>302094</v>
      </c>
      <c r="N109" s="24">
        <v>301331</v>
      </c>
      <c r="O109" s="24">
        <v>300530</v>
      </c>
      <c r="P109" s="24">
        <v>299694</v>
      </c>
      <c r="Q109" s="24">
        <v>298812</v>
      </c>
      <c r="R109" s="24">
        <v>297903</v>
      </c>
      <c r="S109" s="24">
        <v>296881</v>
      </c>
      <c r="T109" s="24">
        <v>295801</v>
      </c>
      <c r="U109" s="24">
        <v>294665</v>
      </c>
      <c r="V109" s="24">
        <v>293471</v>
      </c>
      <c r="W109" s="24">
        <v>292215</v>
      </c>
      <c r="X109" s="24">
        <v>291308</v>
      </c>
      <c r="Y109" s="24">
        <v>290334</v>
      </c>
      <c r="Z109" s="24">
        <v>289291</v>
      </c>
      <c r="AA109" s="24">
        <v>288186</v>
      </c>
      <c r="AB109" s="24">
        <v>287003</v>
      </c>
      <c r="AC109" s="24">
        <v>286034</v>
      </c>
      <c r="AD109" s="24">
        <v>284993</v>
      </c>
      <c r="AE109" s="24"/>
      <c r="CN109" s="31" t="s">
        <v>46</v>
      </c>
      <c r="CO109" s="42">
        <v>1003412</v>
      </c>
      <c r="CP109" s="42">
        <v>1033972</v>
      </c>
      <c r="CQ109" s="42">
        <v>1064549</v>
      </c>
      <c r="CR109" s="42">
        <v>1095118</v>
      </c>
      <c r="CS109" s="42">
        <v>1125655</v>
      </c>
      <c r="CT109" s="42">
        <v>1156133</v>
      </c>
      <c r="CU109" s="42">
        <v>1177680</v>
      </c>
      <c r="CV109" s="42">
        <v>1199116</v>
      </c>
      <c r="CW109" s="42">
        <v>1220414</v>
      </c>
      <c r="CX109" s="42">
        <v>1241743</v>
      </c>
      <c r="CY109" s="42">
        <v>1262497</v>
      </c>
      <c r="CZ109" s="42">
        <v>1284556</v>
      </c>
      <c r="DA109" s="42">
        <v>1306597</v>
      </c>
      <c r="DB109" s="42">
        <v>1328602</v>
      </c>
      <c r="DC109" s="42">
        <v>1350615</v>
      </c>
      <c r="DD109" s="42">
        <v>1372425</v>
      </c>
      <c r="DE109" s="42">
        <v>1373741</v>
      </c>
      <c r="DF109" s="42">
        <v>1375020</v>
      </c>
      <c r="DG109" s="42">
        <v>1376248</v>
      </c>
      <c r="DH109" s="42">
        <v>1377369</v>
      </c>
      <c r="DI109" s="42">
        <v>1378512</v>
      </c>
      <c r="DJ109" s="42">
        <v>1381341</v>
      </c>
      <c r="DK109" s="42">
        <v>1384009</v>
      </c>
      <c r="DL109" s="42">
        <v>1386506</v>
      </c>
      <c r="DM109" s="42">
        <v>1388793</v>
      </c>
      <c r="DN109" s="42">
        <v>1390948</v>
      </c>
      <c r="DO109" s="42">
        <v>1399872</v>
      </c>
      <c r="DP109" s="42">
        <v>1408534</v>
      </c>
      <c r="DQ109" s="42">
        <v>1416923</v>
      </c>
      <c r="DR109" s="42">
        <v>1425036</v>
      </c>
      <c r="DS109" s="42">
        <v>1432845</v>
      </c>
      <c r="DT109" s="42">
        <v>1440726</v>
      </c>
      <c r="DU109" s="42">
        <v>1448281</v>
      </c>
      <c r="DV109" s="42">
        <v>1455501</v>
      </c>
      <c r="DW109" s="42">
        <v>1462406</v>
      </c>
      <c r="DX109" s="42">
        <v>1468898</v>
      </c>
      <c r="DY109" s="42">
        <v>1470986</v>
      </c>
      <c r="DZ109" s="42">
        <v>1472715</v>
      </c>
      <c r="EA109" s="42">
        <v>1474077</v>
      </c>
      <c r="EB109" s="42">
        <v>1475111</v>
      </c>
      <c r="EC109" s="42">
        <v>1475705</v>
      </c>
      <c r="ED109" s="42">
        <v>1472663</v>
      </c>
      <c r="EE109" s="42">
        <v>1469255</v>
      </c>
      <c r="EF109" s="42">
        <v>1465476</v>
      </c>
      <c r="EG109" s="42">
        <v>1461356</v>
      </c>
      <c r="EH109" s="42">
        <v>1456819</v>
      </c>
      <c r="EI109" s="42">
        <v>1451924</v>
      </c>
      <c r="EJ109" s="42">
        <v>1446659</v>
      </c>
      <c r="EK109" s="42">
        <v>1441027</v>
      </c>
      <c r="EL109" s="42">
        <v>1435033</v>
      </c>
      <c r="EM109" s="42">
        <v>1428678</v>
      </c>
      <c r="EN109" s="42">
        <v>1423635</v>
      </c>
      <c r="EO109" s="42">
        <v>1418206</v>
      </c>
      <c r="EP109" s="42">
        <v>1412394</v>
      </c>
      <c r="EQ109" s="42">
        <v>1406335</v>
      </c>
      <c r="ER109" s="42">
        <v>1399644</v>
      </c>
      <c r="ES109" s="42">
        <v>1393814</v>
      </c>
      <c r="ET109" s="42">
        <v>1387724</v>
      </c>
      <c r="EU109" s="42">
        <v>1381375</v>
      </c>
      <c r="EV109" s="42">
        <v>1374773</v>
      </c>
      <c r="EW109" s="42">
        <v>1367921</v>
      </c>
    </row>
    <row r="110" spans="1:153">
      <c r="A110" s="38">
        <v>1</v>
      </c>
      <c r="B110" s="24">
        <v>283766</v>
      </c>
      <c r="D110" s="24">
        <v>285845</v>
      </c>
      <c r="E110" s="24">
        <v>287918</v>
      </c>
      <c r="F110" s="24">
        <v>289985</v>
      </c>
      <c r="G110" s="24">
        <v>292052</v>
      </c>
      <c r="H110" s="24">
        <v>294079</v>
      </c>
      <c r="I110" s="24">
        <v>295198</v>
      </c>
      <c r="J110" s="24">
        <v>296309</v>
      </c>
      <c r="K110" s="24">
        <v>297409</v>
      </c>
      <c r="L110" s="24">
        <v>298486</v>
      </c>
      <c r="M110" s="24">
        <v>299570</v>
      </c>
      <c r="N110" s="24">
        <v>299482</v>
      </c>
      <c r="O110" s="24">
        <v>299359</v>
      </c>
      <c r="P110" s="24">
        <v>299199</v>
      </c>
      <c r="Q110" s="24">
        <v>298994</v>
      </c>
      <c r="R110" s="24">
        <v>298760</v>
      </c>
      <c r="S110" s="24">
        <v>297872</v>
      </c>
      <c r="T110" s="24">
        <v>296926</v>
      </c>
      <c r="U110" s="24">
        <v>295923</v>
      </c>
      <c r="V110" s="24">
        <v>294862</v>
      </c>
      <c r="W110" s="24">
        <v>293740</v>
      </c>
      <c r="X110" s="24">
        <v>292682</v>
      </c>
      <c r="Y110" s="24">
        <v>291556</v>
      </c>
      <c r="Z110" s="24">
        <v>290363</v>
      </c>
      <c r="AA110" s="24">
        <v>289106</v>
      </c>
      <c r="AB110" s="24">
        <v>287771</v>
      </c>
      <c r="AC110" s="24">
        <v>286708</v>
      </c>
      <c r="AD110" s="24">
        <v>285573</v>
      </c>
      <c r="AE110" s="24"/>
      <c r="CN110" s="31" t="s">
        <v>47</v>
      </c>
      <c r="CO110" s="42">
        <v>950588</v>
      </c>
      <c r="CP110" s="42">
        <v>958940</v>
      </c>
      <c r="CQ110" s="42">
        <v>967306</v>
      </c>
      <c r="CR110" s="42">
        <v>975665</v>
      </c>
      <c r="CS110" s="42">
        <v>983994</v>
      </c>
      <c r="CT110" s="42">
        <v>992254</v>
      </c>
      <c r="CU110" s="42">
        <v>1022239</v>
      </c>
      <c r="CV110" s="42">
        <v>1052131</v>
      </c>
      <c r="CW110" s="42">
        <v>1081904</v>
      </c>
      <c r="CX110" s="42">
        <v>1111704</v>
      </c>
      <c r="CY110" s="42">
        <v>1140977</v>
      </c>
      <c r="CZ110" s="42">
        <v>1161786</v>
      </c>
      <c r="DA110" s="42">
        <v>1182579</v>
      </c>
      <c r="DB110" s="42">
        <v>1203339</v>
      </c>
      <c r="DC110" s="42">
        <v>1224107</v>
      </c>
      <c r="DD110" s="42">
        <v>1244694</v>
      </c>
      <c r="DE110" s="42">
        <v>1266811</v>
      </c>
      <c r="DF110" s="42">
        <v>1288897</v>
      </c>
      <c r="DG110" s="42">
        <v>1310936</v>
      </c>
      <c r="DH110" s="42">
        <v>1332871</v>
      </c>
      <c r="DI110" s="42">
        <v>1354831</v>
      </c>
      <c r="DJ110" s="42">
        <v>1356690</v>
      </c>
      <c r="DK110" s="42">
        <v>1358391</v>
      </c>
      <c r="DL110" s="42">
        <v>1359923</v>
      </c>
      <c r="DM110" s="42">
        <v>1361250</v>
      </c>
      <c r="DN110" s="42">
        <v>1362452</v>
      </c>
      <c r="DO110" s="42">
        <v>1365749</v>
      </c>
      <c r="DP110" s="42">
        <v>1368787</v>
      </c>
      <c r="DQ110" s="42">
        <v>1371558</v>
      </c>
      <c r="DR110" s="42">
        <v>1374063</v>
      </c>
      <c r="DS110" s="42">
        <v>1376273</v>
      </c>
      <c r="DT110" s="42">
        <v>1385495</v>
      </c>
      <c r="DU110" s="42">
        <v>1394406</v>
      </c>
      <c r="DV110" s="42">
        <v>1402993</v>
      </c>
      <c r="DW110" s="42">
        <v>1411277</v>
      </c>
      <c r="DX110" s="42">
        <v>1419162</v>
      </c>
      <c r="DY110" s="42">
        <v>1427277</v>
      </c>
      <c r="DZ110" s="42">
        <v>1435047</v>
      </c>
      <c r="EA110" s="42">
        <v>1442463</v>
      </c>
      <c r="EB110" s="42">
        <v>1449555</v>
      </c>
      <c r="EC110" s="42">
        <v>1456207</v>
      </c>
      <c r="ED110" s="42">
        <v>1458531</v>
      </c>
      <c r="EE110" s="42">
        <v>1460493</v>
      </c>
      <c r="EF110" s="42">
        <v>1462090</v>
      </c>
      <c r="EG110" s="42">
        <v>1463350</v>
      </c>
      <c r="EH110" s="42">
        <v>1464180</v>
      </c>
      <c r="EI110" s="42">
        <v>1461386</v>
      </c>
      <c r="EJ110" s="42">
        <v>1458221</v>
      </c>
      <c r="EK110" s="42">
        <v>1454686</v>
      </c>
      <c r="EL110" s="42">
        <v>1450785</v>
      </c>
      <c r="EM110" s="42">
        <v>1446520</v>
      </c>
      <c r="EN110" s="42">
        <v>1441891</v>
      </c>
      <c r="EO110" s="42">
        <v>1436871</v>
      </c>
      <c r="EP110" s="42">
        <v>1431464</v>
      </c>
      <c r="EQ110" s="42">
        <v>1425805</v>
      </c>
      <c r="ER110" s="42">
        <v>1419506</v>
      </c>
      <c r="ES110" s="42">
        <v>1414422</v>
      </c>
      <c r="ET110" s="42">
        <v>1409073</v>
      </c>
      <c r="EU110" s="42">
        <v>1403464</v>
      </c>
      <c r="EV110" s="42">
        <v>1397595</v>
      </c>
      <c r="EW110" s="42">
        <v>1391470</v>
      </c>
    </row>
    <row r="111" spans="1:153">
      <c r="A111" s="38">
        <v>2</v>
      </c>
      <c r="B111" s="24">
        <v>283451</v>
      </c>
      <c r="D111" s="24">
        <v>284672</v>
      </c>
      <c r="E111" s="24">
        <v>285888</v>
      </c>
      <c r="F111" s="24">
        <v>287096</v>
      </c>
      <c r="G111" s="24">
        <v>288306</v>
      </c>
      <c r="H111" s="24">
        <v>289476</v>
      </c>
      <c r="I111" s="24">
        <v>291080</v>
      </c>
      <c r="J111" s="24">
        <v>292676</v>
      </c>
      <c r="K111" s="24">
        <v>294262</v>
      </c>
      <c r="L111" s="24">
        <v>295825</v>
      </c>
      <c r="M111" s="24">
        <v>297394</v>
      </c>
      <c r="N111" s="24">
        <v>297811</v>
      </c>
      <c r="O111" s="24">
        <v>298193</v>
      </c>
      <c r="P111" s="24">
        <v>298539</v>
      </c>
      <c r="Q111" s="24">
        <v>298839</v>
      </c>
      <c r="R111" s="24">
        <v>299111</v>
      </c>
      <c r="S111" s="24">
        <v>298379</v>
      </c>
      <c r="T111" s="24">
        <v>297589</v>
      </c>
      <c r="U111" s="24">
        <v>296742</v>
      </c>
      <c r="V111" s="24">
        <v>295837</v>
      </c>
      <c r="W111" s="24">
        <v>294869</v>
      </c>
      <c r="X111" s="24">
        <v>293742</v>
      </c>
      <c r="Y111" s="24">
        <v>292546</v>
      </c>
      <c r="Z111" s="24">
        <v>291281</v>
      </c>
      <c r="AA111" s="24">
        <v>289955</v>
      </c>
      <c r="AB111" s="24">
        <v>288548</v>
      </c>
      <c r="AC111" s="24">
        <v>287434</v>
      </c>
      <c r="AD111" s="24">
        <v>286247</v>
      </c>
      <c r="AE111" s="24"/>
      <c r="CN111" s="31" t="s">
        <v>48</v>
      </c>
      <c r="CO111" s="42">
        <v>873360</v>
      </c>
      <c r="CP111" s="42">
        <v>886231</v>
      </c>
      <c r="CQ111" s="42">
        <v>899115</v>
      </c>
      <c r="CR111" s="42">
        <v>911993</v>
      </c>
      <c r="CS111" s="42">
        <v>924843</v>
      </c>
      <c r="CT111" s="42">
        <v>937641</v>
      </c>
      <c r="CU111" s="42">
        <v>945605</v>
      </c>
      <c r="CV111" s="42">
        <v>953476</v>
      </c>
      <c r="CW111" s="42">
        <v>961236</v>
      </c>
      <c r="CX111" s="42">
        <v>969019</v>
      </c>
      <c r="CY111" s="42">
        <v>976357</v>
      </c>
      <c r="CZ111" s="42">
        <v>1005410</v>
      </c>
      <c r="DA111" s="42">
        <v>1034449</v>
      </c>
      <c r="DB111" s="42">
        <v>1063460</v>
      </c>
      <c r="DC111" s="42">
        <v>1092479</v>
      </c>
      <c r="DD111" s="42">
        <v>1121329</v>
      </c>
      <c r="DE111" s="42">
        <v>1142181</v>
      </c>
      <c r="DF111" s="42">
        <v>1163005</v>
      </c>
      <c r="DG111" s="42">
        <v>1183787</v>
      </c>
      <c r="DH111" s="42">
        <v>1204475</v>
      </c>
      <c r="DI111" s="42">
        <v>1225178</v>
      </c>
      <c r="DJ111" s="42">
        <v>1247545</v>
      </c>
      <c r="DK111" s="42">
        <v>1269774</v>
      </c>
      <c r="DL111" s="42">
        <v>1291849</v>
      </c>
      <c r="DM111" s="42">
        <v>1313725</v>
      </c>
      <c r="DN111" s="42">
        <v>1335470</v>
      </c>
      <c r="DO111" s="42">
        <v>1337855</v>
      </c>
      <c r="DP111" s="42">
        <v>1339986</v>
      </c>
      <c r="DQ111" s="42">
        <v>1341856</v>
      </c>
      <c r="DR111" s="42">
        <v>1343465</v>
      </c>
      <c r="DS111" s="42">
        <v>1344781</v>
      </c>
      <c r="DT111" s="42">
        <v>1348464</v>
      </c>
      <c r="DU111" s="42">
        <v>1351840</v>
      </c>
      <c r="DV111" s="42">
        <v>1354902</v>
      </c>
      <c r="DW111" s="42">
        <v>1357671</v>
      </c>
      <c r="DX111" s="42">
        <v>1360061</v>
      </c>
      <c r="DY111" s="42">
        <v>1369524</v>
      </c>
      <c r="DZ111" s="42">
        <v>1378658</v>
      </c>
      <c r="EA111" s="42">
        <v>1387453</v>
      </c>
      <c r="EB111" s="42">
        <v>1395934</v>
      </c>
      <c r="EC111" s="42">
        <v>1403991</v>
      </c>
      <c r="ED111" s="42">
        <v>1412315</v>
      </c>
      <c r="EE111" s="42">
        <v>1420293</v>
      </c>
      <c r="EF111" s="42">
        <v>1427917</v>
      </c>
      <c r="EG111" s="42">
        <v>1435209</v>
      </c>
      <c r="EH111" s="42">
        <v>1442081</v>
      </c>
      <c r="EI111" s="42">
        <v>1444650</v>
      </c>
      <c r="EJ111" s="42">
        <v>1446857</v>
      </c>
      <c r="EK111" s="42">
        <v>1448699</v>
      </c>
      <c r="EL111" s="42">
        <v>1450175</v>
      </c>
      <c r="EM111" s="42">
        <v>1451281</v>
      </c>
      <c r="EN111" s="42">
        <v>1448782</v>
      </c>
      <c r="EO111" s="42">
        <v>1445889</v>
      </c>
      <c r="EP111" s="42">
        <v>1442605</v>
      </c>
      <c r="EQ111" s="42">
        <v>1439075</v>
      </c>
      <c r="ER111" s="42">
        <v>1434890</v>
      </c>
      <c r="ES111" s="42">
        <v>1430255</v>
      </c>
      <c r="ET111" s="42">
        <v>1425353</v>
      </c>
      <c r="EU111" s="42">
        <v>1420186</v>
      </c>
      <c r="EV111" s="42">
        <v>1414758</v>
      </c>
      <c r="EW111" s="42">
        <v>1409072</v>
      </c>
    </row>
    <row r="112" spans="1:153">
      <c r="A112" s="38">
        <v>3</v>
      </c>
      <c r="B112" s="24">
        <v>282303</v>
      </c>
      <c r="D112" s="24">
        <v>283081</v>
      </c>
      <c r="E112" s="24">
        <v>283855</v>
      </c>
      <c r="F112" s="24">
        <v>284622</v>
      </c>
      <c r="G112" s="24">
        <v>285389</v>
      </c>
      <c r="H112" s="24">
        <v>286117</v>
      </c>
      <c r="I112" s="24">
        <v>288010</v>
      </c>
      <c r="J112" s="24">
        <v>289894</v>
      </c>
      <c r="K112" s="24">
        <v>291769</v>
      </c>
      <c r="L112" s="24">
        <v>293620</v>
      </c>
      <c r="M112" s="24">
        <v>295476</v>
      </c>
      <c r="N112" s="24">
        <v>296259</v>
      </c>
      <c r="O112" s="24">
        <v>297008</v>
      </c>
      <c r="P112" s="24">
        <v>297720</v>
      </c>
      <c r="Q112" s="24">
        <v>298386</v>
      </c>
      <c r="R112" s="24">
        <v>299026</v>
      </c>
      <c r="S112" s="24">
        <v>298470</v>
      </c>
      <c r="T112" s="24">
        <v>297858</v>
      </c>
      <c r="U112" s="24">
        <v>297187</v>
      </c>
      <c r="V112" s="24">
        <v>296458</v>
      </c>
      <c r="W112" s="24">
        <v>295667</v>
      </c>
      <c r="X112" s="24">
        <v>294539</v>
      </c>
      <c r="Y112" s="24">
        <v>293342</v>
      </c>
      <c r="Z112" s="24">
        <v>292077</v>
      </c>
      <c r="AA112" s="24">
        <v>290749</v>
      </c>
      <c r="AB112" s="24">
        <v>289341</v>
      </c>
      <c r="AC112" s="24">
        <v>288210</v>
      </c>
      <c r="AD112" s="24">
        <v>287007</v>
      </c>
      <c r="AE112" s="24"/>
      <c r="CN112" s="31" t="s">
        <v>49</v>
      </c>
      <c r="CO112" s="42">
        <v>719771</v>
      </c>
      <c r="CP112" s="42">
        <v>748067</v>
      </c>
      <c r="CQ112" s="42">
        <v>776375</v>
      </c>
      <c r="CR112" s="42">
        <v>804677</v>
      </c>
      <c r="CS112" s="42">
        <v>832956</v>
      </c>
      <c r="CT112" s="42">
        <v>861202</v>
      </c>
      <c r="CU112" s="42">
        <v>873771</v>
      </c>
      <c r="CV112" s="42">
        <v>886256</v>
      </c>
      <c r="CW112" s="42">
        <v>898639</v>
      </c>
      <c r="CX112" s="42">
        <v>911044</v>
      </c>
      <c r="CY112" s="42">
        <v>923023</v>
      </c>
      <c r="CZ112" s="42">
        <v>930541</v>
      </c>
      <c r="DA112" s="42">
        <v>938046</v>
      </c>
      <c r="DB112" s="42">
        <v>945524</v>
      </c>
      <c r="DC112" s="42">
        <v>953007</v>
      </c>
      <c r="DD112" s="42">
        <v>960346</v>
      </c>
      <c r="DE112" s="42">
        <v>989242</v>
      </c>
      <c r="DF112" s="42">
        <v>1018115</v>
      </c>
      <c r="DG112" s="42">
        <v>1046952</v>
      </c>
      <c r="DH112" s="42">
        <v>1075705</v>
      </c>
      <c r="DI112" s="42">
        <v>1104475</v>
      </c>
      <c r="DJ112" s="42">
        <v>1125519</v>
      </c>
      <c r="DK112" s="42">
        <v>1146438</v>
      </c>
      <c r="DL112" s="42">
        <v>1167219</v>
      </c>
      <c r="DM112" s="42">
        <v>1187820</v>
      </c>
      <c r="DN112" s="42">
        <v>1208295</v>
      </c>
      <c r="DO112" s="42">
        <v>1230844</v>
      </c>
      <c r="DP112" s="42">
        <v>1253172</v>
      </c>
      <c r="DQ112" s="42">
        <v>1275259</v>
      </c>
      <c r="DR112" s="42">
        <v>1297095</v>
      </c>
      <c r="DS112" s="42">
        <v>1318643</v>
      </c>
      <c r="DT112" s="42">
        <v>1321382</v>
      </c>
      <c r="DU112" s="42">
        <v>1323818</v>
      </c>
      <c r="DV112" s="42">
        <v>1325947</v>
      </c>
      <c r="DW112" s="42">
        <v>1327790</v>
      </c>
      <c r="DX112" s="42">
        <v>1329263</v>
      </c>
      <c r="DY112" s="42">
        <v>1333206</v>
      </c>
      <c r="DZ112" s="42">
        <v>1336825</v>
      </c>
      <c r="EA112" s="42">
        <v>1340113</v>
      </c>
      <c r="EB112" s="42">
        <v>1343100</v>
      </c>
      <c r="EC112" s="42">
        <v>1345685</v>
      </c>
      <c r="ED112" s="42">
        <v>1355305</v>
      </c>
      <c r="EE112" s="42">
        <v>1364595</v>
      </c>
      <c r="EF112" s="42">
        <v>1373546</v>
      </c>
      <c r="EG112" s="42">
        <v>1382175</v>
      </c>
      <c r="EH112" s="42">
        <v>1390400</v>
      </c>
      <c r="EI112" s="42">
        <v>1398878</v>
      </c>
      <c r="EJ112" s="42">
        <v>1407010</v>
      </c>
      <c r="EK112" s="42">
        <v>1414788</v>
      </c>
      <c r="EL112" s="42">
        <v>1422208</v>
      </c>
      <c r="EM112" s="42">
        <v>1429261</v>
      </c>
      <c r="EN112" s="42">
        <v>1432054</v>
      </c>
      <c r="EO112" s="42">
        <v>1434464</v>
      </c>
      <c r="EP112" s="42">
        <v>1436490</v>
      </c>
      <c r="EQ112" s="42">
        <v>1438262</v>
      </c>
      <c r="ER112" s="42">
        <v>1439380</v>
      </c>
      <c r="ES112" s="42">
        <v>1436836</v>
      </c>
      <c r="ET112" s="42">
        <v>1434021</v>
      </c>
      <c r="EU112" s="42">
        <v>1430946</v>
      </c>
      <c r="EV112" s="42">
        <v>1427604</v>
      </c>
      <c r="EW112" s="42">
        <v>1423999</v>
      </c>
    </row>
    <row r="113" spans="1:153">
      <c r="A113" s="38">
        <v>4</v>
      </c>
      <c r="B113" s="24">
        <v>280704</v>
      </c>
      <c r="D113" s="24">
        <v>281330</v>
      </c>
      <c r="E113" s="24">
        <v>281951</v>
      </c>
      <c r="F113" s="24">
        <v>282564</v>
      </c>
      <c r="G113" s="24">
        <v>283179</v>
      </c>
      <c r="H113" s="24">
        <v>283754</v>
      </c>
      <c r="I113" s="24">
        <v>285770</v>
      </c>
      <c r="J113" s="24">
        <v>287777</v>
      </c>
      <c r="K113" s="24">
        <v>289774</v>
      </c>
      <c r="L113" s="24">
        <v>291749</v>
      </c>
      <c r="M113" s="24">
        <v>293727</v>
      </c>
      <c r="N113" s="24">
        <v>294768</v>
      </c>
      <c r="O113" s="24">
        <v>295776</v>
      </c>
      <c r="P113" s="24">
        <v>296746</v>
      </c>
      <c r="Q113" s="24">
        <v>297672</v>
      </c>
      <c r="R113" s="24">
        <v>298571</v>
      </c>
      <c r="S113" s="24">
        <v>298212</v>
      </c>
      <c r="T113" s="24">
        <v>297797</v>
      </c>
      <c r="U113" s="24">
        <v>297323</v>
      </c>
      <c r="V113" s="24">
        <v>296792</v>
      </c>
      <c r="W113" s="24">
        <v>296198</v>
      </c>
      <c r="X113" s="24">
        <v>295127</v>
      </c>
      <c r="Y113" s="24">
        <v>293987</v>
      </c>
      <c r="Z113" s="24">
        <v>292779</v>
      </c>
      <c r="AA113" s="24">
        <v>291508</v>
      </c>
      <c r="AB113" s="24">
        <v>290157</v>
      </c>
      <c r="AC113" s="24">
        <v>289034</v>
      </c>
      <c r="AD113" s="24">
        <v>287842</v>
      </c>
      <c r="AE113" s="24"/>
      <c r="CN113" s="31" t="s">
        <v>50</v>
      </c>
      <c r="CO113" s="42">
        <v>621754</v>
      </c>
      <c r="CP113" s="42">
        <v>639267</v>
      </c>
      <c r="CQ113" s="42">
        <v>656790</v>
      </c>
      <c r="CR113" s="42">
        <v>674309</v>
      </c>
      <c r="CS113" s="42">
        <v>691807</v>
      </c>
      <c r="CT113" s="42">
        <v>709263</v>
      </c>
      <c r="CU113" s="42">
        <v>737148</v>
      </c>
      <c r="CV113" s="42">
        <v>764968</v>
      </c>
      <c r="CW113" s="42">
        <v>792703</v>
      </c>
      <c r="CX113" s="42">
        <v>820458</v>
      </c>
      <c r="CY113" s="42">
        <v>847827</v>
      </c>
      <c r="CZ113" s="42">
        <v>859969</v>
      </c>
      <c r="DA113" s="42">
        <v>872099</v>
      </c>
      <c r="DB113" s="42">
        <v>884205</v>
      </c>
      <c r="DC113" s="42">
        <v>896316</v>
      </c>
      <c r="DD113" s="42">
        <v>908310</v>
      </c>
      <c r="DE113" s="42">
        <v>915953</v>
      </c>
      <c r="DF113" s="42">
        <v>923572</v>
      </c>
      <c r="DG113" s="42">
        <v>931158</v>
      </c>
      <c r="DH113" s="42">
        <v>938670</v>
      </c>
      <c r="DI113" s="42">
        <v>946190</v>
      </c>
      <c r="DJ113" s="42">
        <v>975071</v>
      </c>
      <c r="DK113" s="42">
        <v>1003848</v>
      </c>
      <c r="DL113" s="42">
        <v>1032504</v>
      </c>
      <c r="DM113" s="42">
        <v>1061001</v>
      </c>
      <c r="DN113" s="42">
        <v>1089388</v>
      </c>
      <c r="DO113" s="42">
        <v>1110549</v>
      </c>
      <c r="DP113" s="42">
        <v>1131511</v>
      </c>
      <c r="DQ113" s="42">
        <v>1152256</v>
      </c>
      <c r="DR113" s="42">
        <v>1172774</v>
      </c>
      <c r="DS113" s="42">
        <v>1193034</v>
      </c>
      <c r="DT113" s="42">
        <v>1215633</v>
      </c>
      <c r="DU113" s="42">
        <v>1237969</v>
      </c>
      <c r="DV113" s="42">
        <v>1260022</v>
      </c>
      <c r="DW113" s="42">
        <v>1281799</v>
      </c>
      <c r="DX113" s="42">
        <v>1303202</v>
      </c>
      <c r="DY113" s="42">
        <v>1306173</v>
      </c>
      <c r="DZ113" s="42">
        <v>1308825</v>
      </c>
      <c r="EA113" s="42">
        <v>1311154</v>
      </c>
      <c r="EB113" s="42">
        <v>1313188</v>
      </c>
      <c r="EC113" s="42">
        <v>1314827</v>
      </c>
      <c r="ED113" s="42">
        <v>1318942</v>
      </c>
      <c r="EE113" s="42">
        <v>1322731</v>
      </c>
      <c r="EF113" s="42">
        <v>1326191</v>
      </c>
      <c r="EG113" s="42">
        <v>1329342</v>
      </c>
      <c r="EH113" s="42">
        <v>1332107</v>
      </c>
      <c r="EI113" s="42">
        <v>1341826</v>
      </c>
      <c r="EJ113" s="42">
        <v>1351214</v>
      </c>
      <c r="EK113" s="42">
        <v>1360264</v>
      </c>
      <c r="EL113" s="42">
        <v>1368968</v>
      </c>
      <c r="EM113" s="42">
        <v>1377317</v>
      </c>
      <c r="EN113" s="42">
        <v>1385932</v>
      </c>
      <c r="EO113" s="42">
        <v>1394181</v>
      </c>
      <c r="EP113" s="42">
        <v>1402059</v>
      </c>
      <c r="EQ113" s="42">
        <v>1409688</v>
      </c>
      <c r="ER113" s="42">
        <v>1416670</v>
      </c>
      <c r="ES113" s="42">
        <v>1419356</v>
      </c>
      <c r="ET113" s="42">
        <v>1421781</v>
      </c>
      <c r="EU113" s="42">
        <v>1423943</v>
      </c>
      <c r="EV113" s="42">
        <v>1425842</v>
      </c>
      <c r="EW113" s="42">
        <v>1427477</v>
      </c>
    </row>
    <row r="114" spans="1:153">
      <c r="A114" s="37" t="s">
        <v>71</v>
      </c>
      <c r="B114" s="32">
        <v>0</v>
      </c>
      <c r="D114" s="32">
        <v>0</v>
      </c>
      <c r="E114" s="32">
        <v>0</v>
      </c>
      <c r="F114" s="32">
        <v>0</v>
      </c>
      <c r="G114" s="32">
        <v>0</v>
      </c>
      <c r="H114" s="32">
        <v>0</v>
      </c>
      <c r="I114" s="32">
        <v>0</v>
      </c>
      <c r="J114" s="32">
        <v>0</v>
      </c>
      <c r="K114" s="32">
        <v>0</v>
      </c>
      <c r="L114" s="32">
        <v>0</v>
      </c>
      <c r="M114" s="32">
        <v>0</v>
      </c>
      <c r="N114" s="32">
        <v>0</v>
      </c>
      <c r="O114" s="32">
        <v>0</v>
      </c>
      <c r="P114" s="32">
        <v>0</v>
      </c>
      <c r="Q114" s="32">
        <v>0</v>
      </c>
      <c r="R114" s="32">
        <v>0</v>
      </c>
      <c r="S114" s="32">
        <v>0</v>
      </c>
      <c r="T114" s="32">
        <v>0</v>
      </c>
      <c r="U114" s="32">
        <v>0</v>
      </c>
      <c r="V114" s="32">
        <v>0</v>
      </c>
      <c r="W114" s="32">
        <v>0</v>
      </c>
      <c r="X114" s="32">
        <v>0</v>
      </c>
      <c r="Y114" s="32">
        <v>0</v>
      </c>
      <c r="Z114" s="32">
        <v>0</v>
      </c>
      <c r="AA114" s="32">
        <v>0</v>
      </c>
      <c r="AB114" s="32">
        <v>0</v>
      </c>
      <c r="AC114" s="32">
        <v>0</v>
      </c>
      <c r="AD114" s="32">
        <v>0</v>
      </c>
      <c r="AE114" s="32"/>
      <c r="CN114" s="31" t="s">
        <v>51</v>
      </c>
      <c r="CO114" s="42">
        <v>508785</v>
      </c>
      <c r="CP114" s="42">
        <v>529246</v>
      </c>
      <c r="CQ114" s="42">
        <v>549716</v>
      </c>
      <c r="CR114" s="42">
        <v>570183</v>
      </c>
      <c r="CS114" s="42">
        <v>590632</v>
      </c>
      <c r="CT114" s="42">
        <v>611047</v>
      </c>
      <c r="CU114" s="42">
        <v>628399</v>
      </c>
      <c r="CV114" s="42">
        <v>645695</v>
      </c>
      <c r="CW114" s="42">
        <v>662916</v>
      </c>
      <c r="CX114" s="42">
        <v>680155</v>
      </c>
      <c r="CY114" s="42">
        <v>697071</v>
      </c>
      <c r="CZ114" s="42">
        <v>724364</v>
      </c>
      <c r="DA114" s="42">
        <v>751648</v>
      </c>
      <c r="DB114" s="42">
        <v>778911</v>
      </c>
      <c r="DC114" s="42">
        <v>806181</v>
      </c>
      <c r="DD114" s="42">
        <v>833347</v>
      </c>
      <c r="DE114" s="42">
        <v>845497</v>
      </c>
      <c r="DF114" s="42">
        <v>857625</v>
      </c>
      <c r="DG114" s="42">
        <v>869723</v>
      </c>
      <c r="DH114" s="42">
        <v>881751</v>
      </c>
      <c r="DI114" s="42">
        <v>893795</v>
      </c>
      <c r="DJ114" s="42">
        <v>901661</v>
      </c>
      <c r="DK114" s="42">
        <v>909425</v>
      </c>
      <c r="DL114" s="42">
        <v>917077</v>
      </c>
      <c r="DM114" s="42">
        <v>924589</v>
      </c>
      <c r="DN114" s="42">
        <v>932007</v>
      </c>
      <c r="DO114" s="42">
        <v>960799</v>
      </c>
      <c r="DP114" s="42">
        <v>989424</v>
      </c>
      <c r="DQ114" s="42">
        <v>1017862</v>
      </c>
      <c r="DR114" s="42">
        <v>1046098</v>
      </c>
      <c r="DS114" s="42">
        <v>1074082</v>
      </c>
      <c r="DT114" s="42">
        <v>1095232</v>
      </c>
      <c r="DU114" s="42">
        <v>1116146</v>
      </c>
      <c r="DV114" s="42">
        <v>1136804</v>
      </c>
      <c r="DW114" s="42">
        <v>1157214</v>
      </c>
      <c r="DX114" s="42">
        <v>1177286</v>
      </c>
      <c r="DY114" s="42">
        <v>1199825</v>
      </c>
      <c r="DZ114" s="42">
        <v>1222086</v>
      </c>
      <c r="EA114" s="42">
        <v>1244051</v>
      </c>
      <c r="EB114" s="42">
        <v>1265731</v>
      </c>
      <c r="EC114" s="42">
        <v>1287016</v>
      </c>
      <c r="ED114" s="42">
        <v>1290141</v>
      </c>
      <c r="EE114" s="42">
        <v>1292946</v>
      </c>
      <c r="EF114" s="42">
        <v>1295429</v>
      </c>
      <c r="EG114" s="42">
        <v>1297610</v>
      </c>
      <c r="EH114" s="42">
        <v>1299417</v>
      </c>
      <c r="EI114" s="42">
        <v>1303661</v>
      </c>
      <c r="EJ114" s="42">
        <v>1307579</v>
      </c>
      <c r="EK114" s="42">
        <v>1311169</v>
      </c>
      <c r="EL114" s="42">
        <v>1314426</v>
      </c>
      <c r="EM114" s="42">
        <v>1317347</v>
      </c>
      <c r="EN114" s="42">
        <v>1327152</v>
      </c>
      <c r="EO114" s="42">
        <v>1336609</v>
      </c>
      <c r="EP114" s="42">
        <v>1345710</v>
      </c>
      <c r="EQ114" s="42">
        <v>1354571</v>
      </c>
      <c r="ER114" s="42">
        <v>1362813</v>
      </c>
      <c r="ES114" s="42">
        <v>1371247</v>
      </c>
      <c r="ET114" s="42">
        <v>1379432</v>
      </c>
      <c r="EU114" s="42">
        <v>1387364</v>
      </c>
      <c r="EV114" s="42">
        <v>1395037</v>
      </c>
      <c r="EW114" s="42">
        <v>1402446</v>
      </c>
    </row>
    <row r="115" spans="1:153">
      <c r="A115" s="38">
        <v>5</v>
      </c>
      <c r="B115" s="24">
        <v>279063</v>
      </c>
      <c r="D115" s="24">
        <v>279691</v>
      </c>
      <c r="E115" s="24">
        <v>280315</v>
      </c>
      <c r="F115" s="24">
        <v>280932</v>
      </c>
      <c r="G115" s="24">
        <v>281550</v>
      </c>
      <c r="H115" s="24">
        <v>282129</v>
      </c>
      <c r="I115" s="24">
        <v>284134</v>
      </c>
      <c r="J115" s="24">
        <v>286132</v>
      </c>
      <c r="K115" s="24">
        <v>288120</v>
      </c>
      <c r="L115" s="24">
        <v>290085</v>
      </c>
      <c r="M115" s="24">
        <v>292053</v>
      </c>
      <c r="N115" s="24">
        <v>293278</v>
      </c>
      <c r="O115" s="24">
        <v>294470</v>
      </c>
      <c r="P115" s="24">
        <v>295624</v>
      </c>
      <c r="Q115" s="24">
        <v>296734</v>
      </c>
      <c r="R115" s="24">
        <v>297817</v>
      </c>
      <c r="S115" s="24">
        <v>297675</v>
      </c>
      <c r="T115" s="24">
        <v>297476</v>
      </c>
      <c r="U115" s="24">
        <v>297219</v>
      </c>
      <c r="V115" s="24">
        <v>296904</v>
      </c>
      <c r="W115" s="24">
        <v>296527</v>
      </c>
      <c r="X115" s="24">
        <v>295560</v>
      </c>
      <c r="Y115" s="24">
        <v>294523</v>
      </c>
      <c r="Z115" s="24">
        <v>293419</v>
      </c>
      <c r="AA115" s="24">
        <v>292251</v>
      </c>
      <c r="AB115" s="24">
        <v>291003</v>
      </c>
      <c r="AC115" s="24">
        <v>289910</v>
      </c>
      <c r="AD115" s="24">
        <v>288745</v>
      </c>
      <c r="AE115" s="24"/>
      <c r="CN115" s="31" t="s">
        <v>52</v>
      </c>
      <c r="CO115" s="42">
        <v>384194</v>
      </c>
      <c r="CP115" s="42">
        <v>406710</v>
      </c>
      <c r="CQ115" s="42">
        <v>429234</v>
      </c>
      <c r="CR115" s="42">
        <v>451755</v>
      </c>
      <c r="CS115" s="42">
        <v>474262</v>
      </c>
      <c r="CT115" s="42">
        <v>496742</v>
      </c>
      <c r="CU115" s="42">
        <v>516984</v>
      </c>
      <c r="CV115" s="42">
        <v>537182</v>
      </c>
      <c r="CW115" s="42">
        <v>557319</v>
      </c>
      <c r="CX115" s="42">
        <v>577470</v>
      </c>
      <c r="CY115" s="42">
        <v>597335</v>
      </c>
      <c r="CZ115" s="42">
        <v>614298</v>
      </c>
      <c r="DA115" s="42">
        <v>631252</v>
      </c>
      <c r="DB115" s="42">
        <v>648189</v>
      </c>
      <c r="DC115" s="42">
        <v>665131</v>
      </c>
      <c r="DD115" s="42">
        <v>681979</v>
      </c>
      <c r="DE115" s="42">
        <v>708896</v>
      </c>
      <c r="DF115" s="42">
        <v>735797</v>
      </c>
      <c r="DG115" s="42">
        <v>762673</v>
      </c>
      <c r="DH115" s="42">
        <v>789486</v>
      </c>
      <c r="DI115" s="42">
        <v>816313</v>
      </c>
      <c r="DJ115" s="42">
        <v>828558</v>
      </c>
      <c r="DK115" s="42">
        <v>840711</v>
      </c>
      <c r="DL115" s="42">
        <v>852761</v>
      </c>
      <c r="DM115" s="42">
        <v>864680</v>
      </c>
      <c r="DN115" s="42">
        <v>876509</v>
      </c>
      <c r="DO115" s="42">
        <v>884542</v>
      </c>
      <c r="DP115" s="42">
        <v>892411</v>
      </c>
      <c r="DQ115" s="42">
        <v>900107</v>
      </c>
      <c r="DR115" s="42">
        <v>907628</v>
      </c>
      <c r="DS115" s="42">
        <v>914951</v>
      </c>
      <c r="DT115" s="42">
        <v>943487</v>
      </c>
      <c r="DU115" s="42">
        <v>971826</v>
      </c>
      <c r="DV115" s="42">
        <v>999945</v>
      </c>
      <c r="DW115" s="42">
        <v>1027843</v>
      </c>
      <c r="DX115" s="42">
        <v>1055436</v>
      </c>
      <c r="DY115" s="42">
        <v>1076451</v>
      </c>
      <c r="DZ115" s="42">
        <v>1097218</v>
      </c>
      <c r="EA115" s="42">
        <v>1117718</v>
      </c>
      <c r="EB115" s="42">
        <v>1137962</v>
      </c>
      <c r="EC115" s="42">
        <v>1157849</v>
      </c>
      <c r="ED115" s="42">
        <v>1180226</v>
      </c>
      <c r="EE115" s="42">
        <v>1202325</v>
      </c>
      <c r="EF115" s="42">
        <v>1224129</v>
      </c>
      <c r="EG115" s="42">
        <v>1245644</v>
      </c>
      <c r="EH115" s="42">
        <v>1266784</v>
      </c>
      <c r="EI115" s="42">
        <v>1270048</v>
      </c>
      <c r="EJ115" s="42">
        <v>1272994</v>
      </c>
      <c r="EK115" s="42">
        <v>1275620</v>
      </c>
      <c r="EL115" s="42">
        <v>1277923</v>
      </c>
      <c r="EM115" s="42">
        <v>1279900</v>
      </c>
      <c r="EN115" s="42">
        <v>1284279</v>
      </c>
      <c r="EO115" s="42">
        <v>1288317</v>
      </c>
      <c r="EP115" s="42">
        <v>1292010</v>
      </c>
      <c r="EQ115" s="42">
        <v>1295475</v>
      </c>
      <c r="ER115" s="42">
        <v>1298351</v>
      </c>
      <c r="ES115" s="42">
        <v>1307946</v>
      </c>
      <c r="ET115" s="42">
        <v>1317306</v>
      </c>
      <c r="EU115" s="42">
        <v>1326423</v>
      </c>
      <c r="EV115" s="42">
        <v>1335293</v>
      </c>
      <c r="EW115" s="42">
        <v>1343911</v>
      </c>
    </row>
    <row r="116" spans="1:153">
      <c r="A116" s="38">
        <v>6</v>
      </c>
      <c r="B116" s="24">
        <v>277761</v>
      </c>
      <c r="D116" s="24">
        <v>278423</v>
      </c>
      <c r="E116" s="24">
        <v>279080</v>
      </c>
      <c r="F116" s="24">
        <v>279729</v>
      </c>
      <c r="G116" s="24">
        <v>280379</v>
      </c>
      <c r="H116" s="24">
        <v>280991</v>
      </c>
      <c r="I116" s="24">
        <v>282887</v>
      </c>
      <c r="J116" s="24">
        <v>284775</v>
      </c>
      <c r="K116" s="24">
        <v>286652</v>
      </c>
      <c r="L116" s="24">
        <v>288507</v>
      </c>
      <c r="M116" s="24">
        <v>290365</v>
      </c>
      <c r="N116" s="24">
        <v>291730</v>
      </c>
      <c r="O116" s="24">
        <v>293061</v>
      </c>
      <c r="P116" s="24">
        <v>294357</v>
      </c>
      <c r="Q116" s="24">
        <v>295607</v>
      </c>
      <c r="R116" s="24">
        <v>296831</v>
      </c>
      <c r="S116" s="24">
        <v>296924</v>
      </c>
      <c r="T116" s="24">
        <v>296961</v>
      </c>
      <c r="U116" s="24">
        <v>296940</v>
      </c>
      <c r="V116" s="24">
        <v>296861</v>
      </c>
      <c r="W116" s="24">
        <v>296718</v>
      </c>
      <c r="X116" s="24">
        <v>295890</v>
      </c>
      <c r="Y116" s="24">
        <v>294992</v>
      </c>
      <c r="Z116" s="24">
        <v>294026</v>
      </c>
      <c r="AA116" s="24">
        <v>292997</v>
      </c>
      <c r="AB116" s="24">
        <v>291886</v>
      </c>
      <c r="AC116" s="24">
        <v>290832</v>
      </c>
      <c r="AD116" s="24">
        <v>289706</v>
      </c>
      <c r="AE116" s="24"/>
      <c r="CN116" s="31" t="s">
        <v>53</v>
      </c>
      <c r="CO116" s="42">
        <v>293056</v>
      </c>
      <c r="CP116" s="42">
        <v>308634</v>
      </c>
      <c r="CQ116" s="42">
        <v>324217</v>
      </c>
      <c r="CR116" s="42">
        <v>339798</v>
      </c>
      <c r="CS116" s="42">
        <v>355369</v>
      </c>
      <c r="CT116" s="42">
        <v>370920</v>
      </c>
      <c r="CU116" s="42">
        <v>393064</v>
      </c>
      <c r="CV116" s="42">
        <v>415177</v>
      </c>
      <c r="CW116" s="42">
        <v>437244</v>
      </c>
      <c r="CX116" s="42">
        <v>459322</v>
      </c>
      <c r="CY116" s="42">
        <v>481179</v>
      </c>
      <c r="CZ116" s="42">
        <v>500923</v>
      </c>
      <c r="DA116" s="42">
        <v>520661</v>
      </c>
      <c r="DB116" s="42">
        <v>540386</v>
      </c>
      <c r="DC116" s="42">
        <v>560114</v>
      </c>
      <c r="DD116" s="42">
        <v>579762</v>
      </c>
      <c r="DE116" s="42">
        <v>596434</v>
      </c>
      <c r="DF116" s="42">
        <v>613092</v>
      </c>
      <c r="DG116" s="42">
        <v>629728</v>
      </c>
      <c r="DH116" s="42">
        <v>646314</v>
      </c>
      <c r="DI116" s="42">
        <v>662904</v>
      </c>
      <c r="DJ116" s="42">
        <v>689404</v>
      </c>
      <c r="DK116" s="42">
        <v>715833</v>
      </c>
      <c r="DL116" s="42">
        <v>742176</v>
      </c>
      <c r="DM116" s="42">
        <v>768404</v>
      </c>
      <c r="DN116" s="42">
        <v>794559</v>
      </c>
      <c r="DO116" s="42">
        <v>806812</v>
      </c>
      <c r="DP116" s="42">
        <v>818918</v>
      </c>
      <c r="DQ116" s="42">
        <v>830866</v>
      </c>
      <c r="DR116" s="42">
        <v>842652</v>
      </c>
      <c r="DS116" s="42">
        <v>854237</v>
      </c>
      <c r="DT116" s="42">
        <v>862338</v>
      </c>
      <c r="DU116" s="42">
        <v>870247</v>
      </c>
      <c r="DV116" s="42">
        <v>877954</v>
      </c>
      <c r="DW116" s="42">
        <v>885471</v>
      </c>
      <c r="DX116" s="42">
        <v>892736</v>
      </c>
      <c r="DY116" s="42">
        <v>920823</v>
      </c>
      <c r="DZ116" s="42">
        <v>948705</v>
      </c>
      <c r="EA116" s="42">
        <v>976359</v>
      </c>
      <c r="EB116" s="42">
        <v>1003788</v>
      </c>
      <c r="EC116" s="42">
        <v>1030897</v>
      </c>
      <c r="ED116" s="42">
        <v>1051644</v>
      </c>
      <c r="EE116" s="42">
        <v>1072145</v>
      </c>
      <c r="EF116" s="42">
        <v>1092383</v>
      </c>
      <c r="EG116" s="42">
        <v>1112363</v>
      </c>
      <c r="EH116" s="42">
        <v>1132006</v>
      </c>
      <c r="EI116" s="42">
        <v>1154102</v>
      </c>
      <c r="EJ116" s="42">
        <v>1175925</v>
      </c>
      <c r="EK116" s="42">
        <v>1197456</v>
      </c>
      <c r="EL116" s="42">
        <v>1218679</v>
      </c>
      <c r="EM116" s="42">
        <v>1239574</v>
      </c>
      <c r="EN116" s="42">
        <v>1242995</v>
      </c>
      <c r="EO116" s="42">
        <v>1246085</v>
      </c>
      <c r="EP116" s="42">
        <v>1248842</v>
      </c>
      <c r="EQ116" s="42">
        <v>1251377</v>
      </c>
      <c r="ER116" s="42">
        <v>1253342</v>
      </c>
      <c r="ES116" s="42">
        <v>1257592</v>
      </c>
      <c r="ET116" s="42">
        <v>1261612</v>
      </c>
      <c r="EU116" s="42">
        <v>1265399</v>
      </c>
      <c r="EV116" s="42">
        <v>1268952</v>
      </c>
      <c r="EW116" s="42">
        <v>1272267</v>
      </c>
    </row>
    <row r="117" spans="1:153">
      <c r="A117" s="38">
        <v>7</v>
      </c>
      <c r="B117" s="24">
        <v>277113</v>
      </c>
      <c r="D117" s="24">
        <v>277728</v>
      </c>
      <c r="E117" s="24">
        <v>278340</v>
      </c>
      <c r="F117" s="24">
        <v>278943</v>
      </c>
      <c r="G117" s="24">
        <v>279548</v>
      </c>
      <c r="H117" s="24">
        <v>280114</v>
      </c>
      <c r="I117" s="24">
        <v>281829</v>
      </c>
      <c r="J117" s="24">
        <v>283537</v>
      </c>
      <c r="K117" s="24">
        <v>285235</v>
      </c>
      <c r="L117" s="24">
        <v>286910</v>
      </c>
      <c r="M117" s="24">
        <v>288588</v>
      </c>
      <c r="N117" s="24">
        <v>290077</v>
      </c>
      <c r="O117" s="24">
        <v>291533</v>
      </c>
      <c r="P117" s="24">
        <v>292953</v>
      </c>
      <c r="Q117" s="24">
        <v>294328</v>
      </c>
      <c r="R117" s="24">
        <v>295677</v>
      </c>
      <c r="S117" s="24">
        <v>296022</v>
      </c>
      <c r="T117" s="24">
        <v>296311</v>
      </c>
      <c r="U117" s="24">
        <v>296542</v>
      </c>
      <c r="V117" s="24">
        <v>296715</v>
      </c>
      <c r="W117" s="24">
        <v>296825</v>
      </c>
      <c r="X117" s="24">
        <v>296160</v>
      </c>
      <c r="Y117" s="24">
        <v>295425</v>
      </c>
      <c r="Z117" s="24">
        <v>294623</v>
      </c>
      <c r="AA117" s="24">
        <v>293756</v>
      </c>
      <c r="AB117" s="24">
        <v>292809</v>
      </c>
      <c r="AC117" s="24">
        <v>291797</v>
      </c>
      <c r="AD117" s="24">
        <v>290713</v>
      </c>
      <c r="AE117" s="24"/>
      <c r="CN117" s="31" t="s">
        <v>54</v>
      </c>
      <c r="CO117" s="42">
        <v>243802</v>
      </c>
      <c r="CP117" s="42">
        <v>250592</v>
      </c>
      <c r="CQ117" s="42">
        <v>257386</v>
      </c>
      <c r="CR117" s="42">
        <v>264178</v>
      </c>
      <c r="CS117" s="42">
        <v>270962</v>
      </c>
      <c r="CT117" s="42">
        <v>277738</v>
      </c>
      <c r="CU117" s="42">
        <v>292979</v>
      </c>
      <c r="CV117" s="42">
        <v>308195</v>
      </c>
      <c r="CW117" s="42">
        <v>323378</v>
      </c>
      <c r="CX117" s="42">
        <v>338569</v>
      </c>
      <c r="CY117" s="42">
        <v>353594</v>
      </c>
      <c r="CZ117" s="42">
        <v>374950</v>
      </c>
      <c r="DA117" s="42">
        <v>396302</v>
      </c>
      <c r="DB117" s="42">
        <v>417644</v>
      </c>
      <c r="DC117" s="42">
        <v>438989</v>
      </c>
      <c r="DD117" s="42">
        <v>460272</v>
      </c>
      <c r="DE117" s="42">
        <v>479399</v>
      </c>
      <c r="DF117" s="42">
        <v>498514</v>
      </c>
      <c r="DG117" s="42">
        <v>517613</v>
      </c>
      <c r="DH117" s="42">
        <v>536670</v>
      </c>
      <c r="DI117" s="42">
        <v>555736</v>
      </c>
      <c r="DJ117" s="42">
        <v>572058</v>
      </c>
      <c r="DK117" s="42">
        <v>588318</v>
      </c>
      <c r="DL117" s="42">
        <v>604508</v>
      </c>
      <c r="DM117" s="42">
        <v>620605</v>
      </c>
      <c r="DN117" s="42">
        <v>636640</v>
      </c>
      <c r="DO117" s="42">
        <v>662462</v>
      </c>
      <c r="DP117" s="42">
        <v>688174</v>
      </c>
      <c r="DQ117" s="42">
        <v>713756</v>
      </c>
      <c r="DR117" s="42">
        <v>739195</v>
      </c>
      <c r="DS117" s="42">
        <v>764453</v>
      </c>
      <c r="DT117" s="42">
        <v>776564</v>
      </c>
      <c r="DU117" s="42">
        <v>788505</v>
      </c>
      <c r="DV117" s="42">
        <v>800266</v>
      </c>
      <c r="DW117" s="42">
        <v>811851</v>
      </c>
      <c r="DX117" s="42">
        <v>823203</v>
      </c>
      <c r="DY117" s="42">
        <v>831288</v>
      </c>
      <c r="DZ117" s="42">
        <v>839175</v>
      </c>
      <c r="EA117" s="42">
        <v>846856</v>
      </c>
      <c r="EB117" s="42">
        <v>854345</v>
      </c>
      <c r="EC117" s="42">
        <v>861571</v>
      </c>
      <c r="ED117" s="42">
        <v>888951</v>
      </c>
      <c r="EE117" s="42">
        <v>916130</v>
      </c>
      <c r="EF117" s="42">
        <v>943087</v>
      </c>
      <c r="EG117" s="42">
        <v>969819</v>
      </c>
      <c r="EH117" s="42">
        <v>996249</v>
      </c>
      <c r="EI117" s="42">
        <v>1016567</v>
      </c>
      <c r="EJ117" s="42">
        <v>1036644</v>
      </c>
      <c r="EK117" s="42">
        <v>1056465</v>
      </c>
      <c r="EL117" s="42">
        <v>1076014</v>
      </c>
      <c r="EM117" s="42">
        <v>1095272</v>
      </c>
      <c r="EN117" s="42">
        <v>1116939</v>
      </c>
      <c r="EO117" s="42">
        <v>1138324</v>
      </c>
      <c r="EP117" s="42">
        <v>1159410</v>
      </c>
      <c r="EQ117" s="42">
        <v>1180287</v>
      </c>
      <c r="ER117" s="42">
        <v>1200614</v>
      </c>
      <c r="ES117" s="42">
        <v>1203952</v>
      </c>
      <c r="ET117" s="42">
        <v>1207069</v>
      </c>
      <c r="EU117" s="42">
        <v>1209964</v>
      </c>
      <c r="EV117" s="42">
        <v>1212635</v>
      </c>
      <c r="EW117" s="42">
        <v>1215077</v>
      </c>
    </row>
    <row r="118" spans="1:153">
      <c r="A118" s="38">
        <v>8</v>
      </c>
      <c r="B118" s="24">
        <v>277314</v>
      </c>
      <c r="D118" s="24">
        <v>277728</v>
      </c>
      <c r="E118" s="24">
        <v>278138</v>
      </c>
      <c r="F118" s="24">
        <v>278539</v>
      </c>
      <c r="G118" s="24">
        <v>278943</v>
      </c>
      <c r="H118" s="24">
        <v>279307</v>
      </c>
      <c r="I118" s="24">
        <v>280800</v>
      </c>
      <c r="J118" s="24">
        <v>282287</v>
      </c>
      <c r="K118" s="24">
        <v>283763</v>
      </c>
      <c r="L118" s="24">
        <v>285217</v>
      </c>
      <c r="M118" s="24">
        <v>286673</v>
      </c>
      <c r="N118" s="24">
        <v>288291</v>
      </c>
      <c r="O118" s="24">
        <v>289875</v>
      </c>
      <c r="P118" s="24">
        <v>291424</v>
      </c>
      <c r="Q118" s="24">
        <v>292929</v>
      </c>
      <c r="R118" s="24">
        <v>294405</v>
      </c>
      <c r="S118" s="24">
        <v>295016</v>
      </c>
      <c r="T118" s="24">
        <v>295571</v>
      </c>
      <c r="U118" s="24">
        <v>296068</v>
      </c>
      <c r="V118" s="24">
        <v>296507</v>
      </c>
      <c r="W118" s="24">
        <v>296882</v>
      </c>
      <c r="X118" s="24">
        <v>296397</v>
      </c>
      <c r="Y118" s="24">
        <v>295841</v>
      </c>
      <c r="Z118" s="24">
        <v>295217</v>
      </c>
      <c r="AA118" s="24">
        <v>294530</v>
      </c>
      <c r="AB118" s="24">
        <v>293761</v>
      </c>
      <c r="AC118" s="24">
        <v>292789</v>
      </c>
      <c r="AD118" s="24">
        <v>291746</v>
      </c>
      <c r="AE118" s="24"/>
      <c r="CN118" s="31" t="s">
        <v>55</v>
      </c>
      <c r="CO118" s="42">
        <v>200011</v>
      </c>
      <c r="CP118" s="42">
        <v>204996</v>
      </c>
      <c r="CQ118" s="42">
        <v>209985</v>
      </c>
      <c r="CR118" s="42">
        <v>214972</v>
      </c>
      <c r="CS118" s="42">
        <v>219952</v>
      </c>
      <c r="CT118" s="42">
        <v>224931</v>
      </c>
      <c r="CU118" s="42">
        <v>231724</v>
      </c>
      <c r="CV118" s="42">
        <v>238497</v>
      </c>
      <c r="CW118" s="42">
        <v>245242</v>
      </c>
      <c r="CX118" s="42">
        <v>251994</v>
      </c>
      <c r="CY118" s="42">
        <v>258635</v>
      </c>
      <c r="CZ118" s="42">
        <v>273133</v>
      </c>
      <c r="DA118" s="42">
        <v>287629</v>
      </c>
      <c r="DB118" s="42">
        <v>302117</v>
      </c>
      <c r="DC118" s="42">
        <v>316607</v>
      </c>
      <c r="DD118" s="42">
        <v>331052</v>
      </c>
      <c r="DE118" s="42">
        <v>351303</v>
      </c>
      <c r="DF118" s="42">
        <v>371547</v>
      </c>
      <c r="DG118" s="42">
        <v>391779</v>
      </c>
      <c r="DH118" s="42">
        <v>411979</v>
      </c>
      <c r="DI118" s="42">
        <v>432186</v>
      </c>
      <c r="DJ118" s="42">
        <v>450502</v>
      </c>
      <c r="DK118" s="42">
        <v>468771</v>
      </c>
      <c r="DL118" s="42">
        <v>486985</v>
      </c>
      <c r="DM118" s="42">
        <v>505123</v>
      </c>
      <c r="DN118" s="42">
        <v>523203</v>
      </c>
      <c r="DO118" s="42">
        <v>538947</v>
      </c>
      <c r="DP118" s="42">
        <v>554598</v>
      </c>
      <c r="DQ118" s="42">
        <v>570143</v>
      </c>
      <c r="DR118" s="42">
        <v>585576</v>
      </c>
      <c r="DS118" s="42">
        <v>600867</v>
      </c>
      <c r="DT118" s="42">
        <v>625607</v>
      </c>
      <c r="DU118" s="42">
        <v>650220</v>
      </c>
      <c r="DV118" s="42">
        <v>674688</v>
      </c>
      <c r="DW118" s="42">
        <v>699006</v>
      </c>
      <c r="DX118" s="42">
        <v>723111</v>
      </c>
      <c r="DY118" s="42">
        <v>734908</v>
      </c>
      <c r="DZ118" s="42">
        <v>746534</v>
      </c>
      <c r="EA118" s="42">
        <v>757978</v>
      </c>
      <c r="EB118" s="42">
        <v>769249</v>
      </c>
      <c r="EC118" s="42">
        <v>780281</v>
      </c>
      <c r="ED118" s="42">
        <v>788252</v>
      </c>
      <c r="EE118" s="42">
        <v>796032</v>
      </c>
      <c r="EF118" s="42">
        <v>803616</v>
      </c>
      <c r="EG118" s="42">
        <v>811010</v>
      </c>
      <c r="EH118" s="42">
        <v>818165</v>
      </c>
      <c r="EI118" s="42">
        <v>844484</v>
      </c>
      <c r="EJ118" s="42">
        <v>870610</v>
      </c>
      <c r="EK118" s="42">
        <v>896523</v>
      </c>
      <c r="EL118" s="42">
        <v>922204</v>
      </c>
      <c r="EM118" s="42">
        <v>947632</v>
      </c>
      <c r="EN118" s="42">
        <v>967289</v>
      </c>
      <c r="EO118" s="42">
        <v>986702</v>
      </c>
      <c r="EP118" s="42">
        <v>1005856</v>
      </c>
      <c r="EQ118" s="42">
        <v>1024829</v>
      </c>
      <c r="ER118" s="42">
        <v>1043323</v>
      </c>
      <c r="ES118" s="42">
        <v>1064083</v>
      </c>
      <c r="ET118" s="42">
        <v>1084659</v>
      </c>
      <c r="EU118" s="42">
        <v>1105037</v>
      </c>
      <c r="EV118" s="42">
        <v>1125207</v>
      </c>
      <c r="EW118" s="42">
        <v>1145157</v>
      </c>
    </row>
    <row r="119" spans="1:153">
      <c r="A119" s="38">
        <v>9</v>
      </c>
      <c r="B119" s="24">
        <v>278210</v>
      </c>
      <c r="D119" s="24">
        <v>278283</v>
      </c>
      <c r="E119" s="24">
        <v>278351</v>
      </c>
      <c r="F119" s="24">
        <v>278411</v>
      </c>
      <c r="G119" s="24">
        <v>278473</v>
      </c>
      <c r="H119" s="24">
        <v>278494</v>
      </c>
      <c r="I119" s="24">
        <v>279745</v>
      </c>
      <c r="J119" s="24">
        <v>280988</v>
      </c>
      <c r="K119" s="24">
        <v>282221</v>
      </c>
      <c r="L119" s="24">
        <v>283431</v>
      </c>
      <c r="M119" s="24">
        <v>284645</v>
      </c>
      <c r="N119" s="24">
        <v>286395</v>
      </c>
      <c r="O119" s="24">
        <v>288112</v>
      </c>
      <c r="P119" s="24">
        <v>289793</v>
      </c>
      <c r="Q119" s="24">
        <v>291431</v>
      </c>
      <c r="R119" s="24">
        <v>293039</v>
      </c>
      <c r="S119" s="24">
        <v>293921</v>
      </c>
      <c r="T119" s="24">
        <v>294747</v>
      </c>
      <c r="U119" s="24">
        <v>295516</v>
      </c>
      <c r="V119" s="24">
        <v>296227</v>
      </c>
      <c r="W119" s="24">
        <v>296876</v>
      </c>
      <c r="X119" s="24">
        <v>296579</v>
      </c>
      <c r="Y119" s="24">
        <v>296215</v>
      </c>
      <c r="Z119" s="24">
        <v>295780</v>
      </c>
      <c r="AA119" s="24">
        <v>295282</v>
      </c>
      <c r="AB119" s="24">
        <v>294703</v>
      </c>
      <c r="AC119" s="24">
        <v>293775</v>
      </c>
      <c r="AD119" s="24">
        <v>292772</v>
      </c>
      <c r="AE119" s="24"/>
      <c r="CN119" s="31" t="s">
        <v>56</v>
      </c>
      <c r="CO119" s="42">
        <v>139001</v>
      </c>
      <c r="CP119" s="42">
        <v>146638</v>
      </c>
      <c r="CQ119" s="42">
        <v>154278</v>
      </c>
      <c r="CR119" s="42">
        <v>161917</v>
      </c>
      <c r="CS119" s="42">
        <v>169551</v>
      </c>
      <c r="CT119" s="42">
        <v>177176</v>
      </c>
      <c r="CU119" s="42">
        <v>182206</v>
      </c>
      <c r="CV119" s="42">
        <v>187219</v>
      </c>
      <c r="CW119" s="42">
        <v>192211</v>
      </c>
      <c r="CX119" s="42">
        <v>197207</v>
      </c>
      <c r="CY119" s="42">
        <v>202103</v>
      </c>
      <c r="CZ119" s="42">
        <v>208552</v>
      </c>
      <c r="DA119" s="42">
        <v>214998</v>
      </c>
      <c r="DB119" s="42">
        <v>221438</v>
      </c>
      <c r="DC119" s="42">
        <v>227880</v>
      </c>
      <c r="DD119" s="42">
        <v>234292</v>
      </c>
      <c r="DE119" s="42">
        <v>247676</v>
      </c>
      <c r="DF119" s="42">
        <v>261054</v>
      </c>
      <c r="DG119" s="42">
        <v>274424</v>
      </c>
      <c r="DH119" s="42">
        <v>287772</v>
      </c>
      <c r="DI119" s="42">
        <v>301129</v>
      </c>
      <c r="DJ119" s="42">
        <v>319897</v>
      </c>
      <c r="DK119" s="42">
        <v>338635</v>
      </c>
      <c r="DL119" s="42">
        <v>357333</v>
      </c>
      <c r="DM119" s="42">
        <v>375975</v>
      </c>
      <c r="DN119" s="42">
        <v>394586</v>
      </c>
      <c r="DO119" s="42">
        <v>411702</v>
      </c>
      <c r="DP119" s="42">
        <v>428749</v>
      </c>
      <c r="DQ119" s="42">
        <v>445716</v>
      </c>
      <c r="DR119" s="42">
        <v>462593</v>
      </c>
      <c r="DS119" s="42">
        <v>479364</v>
      </c>
      <c r="DT119" s="42">
        <v>494173</v>
      </c>
      <c r="DU119" s="42">
        <v>508878</v>
      </c>
      <c r="DV119" s="42">
        <v>523469</v>
      </c>
      <c r="DW119" s="42">
        <v>537944</v>
      </c>
      <c r="DX119" s="42">
        <v>552257</v>
      </c>
      <c r="DY119" s="42">
        <v>575396</v>
      </c>
      <c r="DZ119" s="42">
        <v>598410</v>
      </c>
      <c r="EA119" s="42">
        <v>621282</v>
      </c>
      <c r="EB119" s="42">
        <v>644009</v>
      </c>
      <c r="EC119" s="42">
        <v>666528</v>
      </c>
      <c r="ED119" s="42">
        <v>677782</v>
      </c>
      <c r="EE119" s="42">
        <v>688875</v>
      </c>
      <c r="EF119" s="42">
        <v>699799</v>
      </c>
      <c r="EG119" s="42">
        <v>710557</v>
      </c>
      <c r="EH119" s="42">
        <v>721105</v>
      </c>
      <c r="EI119" s="42">
        <v>728828</v>
      </c>
      <c r="EJ119" s="42">
        <v>736373</v>
      </c>
      <c r="EK119" s="42">
        <v>743734</v>
      </c>
      <c r="EL119" s="42">
        <v>750905</v>
      </c>
      <c r="EM119" s="42">
        <v>757882</v>
      </c>
      <c r="EN119" s="42">
        <v>782644</v>
      </c>
      <c r="EO119" s="42">
        <v>807216</v>
      </c>
      <c r="EP119" s="42">
        <v>831578</v>
      </c>
      <c r="EQ119" s="42">
        <v>855788</v>
      </c>
      <c r="ER119" s="42">
        <v>879592</v>
      </c>
      <c r="ES119" s="42">
        <v>898041</v>
      </c>
      <c r="ET119" s="42">
        <v>916334</v>
      </c>
      <c r="EU119" s="42">
        <v>934461</v>
      </c>
      <c r="EV119" s="42">
        <v>952412</v>
      </c>
      <c r="EW119" s="42">
        <v>970176</v>
      </c>
    </row>
    <row r="120" spans="1:153">
      <c r="A120" s="37" t="s">
        <v>72</v>
      </c>
      <c r="B120" s="32">
        <v>0</v>
      </c>
      <c r="D120" s="32">
        <v>0</v>
      </c>
      <c r="E120" s="32">
        <v>0</v>
      </c>
      <c r="F120" s="32">
        <v>0</v>
      </c>
      <c r="G120" s="32">
        <v>0</v>
      </c>
      <c r="H120" s="32">
        <v>0</v>
      </c>
      <c r="I120" s="32">
        <v>0</v>
      </c>
      <c r="J120" s="32">
        <v>0</v>
      </c>
      <c r="K120" s="32">
        <v>0</v>
      </c>
      <c r="L120" s="32">
        <v>0</v>
      </c>
      <c r="M120" s="32">
        <v>0</v>
      </c>
      <c r="N120" s="32">
        <v>0</v>
      </c>
      <c r="O120" s="32">
        <v>0</v>
      </c>
      <c r="P120" s="32">
        <v>0</v>
      </c>
      <c r="Q120" s="32">
        <v>0</v>
      </c>
      <c r="R120" s="32">
        <v>0</v>
      </c>
      <c r="S120" s="32">
        <v>0</v>
      </c>
      <c r="T120" s="32">
        <v>0</v>
      </c>
      <c r="U120" s="32">
        <v>0</v>
      </c>
      <c r="V120" s="32">
        <v>0</v>
      </c>
      <c r="W120" s="32">
        <v>0</v>
      </c>
      <c r="X120" s="32">
        <v>0</v>
      </c>
      <c r="Y120" s="32">
        <v>0</v>
      </c>
      <c r="Z120" s="32">
        <v>0</v>
      </c>
      <c r="AA120" s="32">
        <v>0</v>
      </c>
      <c r="AB120" s="32">
        <v>0</v>
      </c>
      <c r="AC120" s="32">
        <v>0</v>
      </c>
      <c r="AD120" s="32">
        <v>0</v>
      </c>
      <c r="AE120" s="32"/>
      <c r="CN120" s="31" t="s">
        <v>57</v>
      </c>
      <c r="CO120" s="42">
        <v>93330</v>
      </c>
      <c r="CP120" s="42">
        <v>97882</v>
      </c>
      <c r="CQ120" s="42">
        <v>102435</v>
      </c>
      <c r="CR120" s="42">
        <v>106987</v>
      </c>
      <c r="CS120" s="42">
        <v>111537</v>
      </c>
      <c r="CT120" s="42">
        <v>116077</v>
      </c>
      <c r="CU120" s="42">
        <v>123089</v>
      </c>
      <c r="CV120" s="42">
        <v>130091</v>
      </c>
      <c r="CW120" s="42">
        <v>137079</v>
      </c>
      <c r="CX120" s="42">
        <v>144070</v>
      </c>
      <c r="CY120" s="42">
        <v>150991</v>
      </c>
      <c r="CZ120" s="42">
        <v>155651</v>
      </c>
      <c r="DA120" s="42">
        <v>160308</v>
      </c>
      <c r="DB120" s="42">
        <v>164962</v>
      </c>
      <c r="DC120" s="42">
        <v>169616</v>
      </c>
      <c r="DD120" s="42">
        <v>174245</v>
      </c>
      <c r="DE120" s="42">
        <v>180043</v>
      </c>
      <c r="DF120" s="42">
        <v>185837</v>
      </c>
      <c r="DG120" s="42">
        <v>191624</v>
      </c>
      <c r="DH120" s="42">
        <v>197396</v>
      </c>
      <c r="DI120" s="42">
        <v>203164</v>
      </c>
      <c r="DJ120" s="42">
        <v>215081</v>
      </c>
      <c r="DK120" s="42">
        <v>226978</v>
      </c>
      <c r="DL120" s="42">
        <v>238848</v>
      </c>
      <c r="DM120" s="42">
        <v>250680</v>
      </c>
      <c r="DN120" s="42">
        <v>262479</v>
      </c>
      <c r="DO120" s="42">
        <v>279218</v>
      </c>
      <c r="DP120" s="42">
        <v>295913</v>
      </c>
      <c r="DQ120" s="42">
        <v>312555</v>
      </c>
      <c r="DR120" s="42">
        <v>329132</v>
      </c>
      <c r="DS120" s="42">
        <v>345630</v>
      </c>
      <c r="DT120" s="42">
        <v>361020</v>
      </c>
      <c r="DU120" s="42">
        <v>376338</v>
      </c>
      <c r="DV120" s="42">
        <v>391571</v>
      </c>
      <c r="DW120" s="42">
        <v>406717</v>
      </c>
      <c r="DX120" s="42">
        <v>421740</v>
      </c>
      <c r="DY120" s="42">
        <v>435171</v>
      </c>
      <c r="DZ120" s="42">
        <v>448505</v>
      </c>
      <c r="EA120" s="42">
        <v>461732</v>
      </c>
      <c r="EB120" s="42">
        <v>474852</v>
      </c>
      <c r="EC120" s="42">
        <v>487819</v>
      </c>
      <c r="ED120" s="42">
        <v>508689</v>
      </c>
      <c r="EE120" s="42">
        <v>529448</v>
      </c>
      <c r="EF120" s="42">
        <v>550080</v>
      </c>
      <c r="EG120" s="42">
        <v>570579</v>
      </c>
      <c r="EH120" s="42">
        <v>590897</v>
      </c>
      <c r="EI120" s="42">
        <v>601292</v>
      </c>
      <c r="EJ120" s="42">
        <v>611544</v>
      </c>
      <c r="EK120" s="42">
        <v>621644</v>
      </c>
      <c r="EL120" s="42">
        <v>631585</v>
      </c>
      <c r="EM120" s="42">
        <v>641358</v>
      </c>
      <c r="EN120" s="42">
        <v>648627</v>
      </c>
      <c r="EO120" s="42">
        <v>655728</v>
      </c>
      <c r="EP120" s="42">
        <v>662655</v>
      </c>
      <c r="EQ120" s="42">
        <v>669463</v>
      </c>
      <c r="ER120" s="42">
        <v>675963</v>
      </c>
      <c r="ES120" s="42">
        <v>698328</v>
      </c>
      <c r="ET120" s="42">
        <v>720577</v>
      </c>
      <c r="EU120" s="42">
        <v>742696</v>
      </c>
      <c r="EV120" s="42">
        <v>764674</v>
      </c>
      <c r="EW120" s="42">
        <v>786496</v>
      </c>
    </row>
    <row r="121" spans="1:153">
      <c r="A121" s="38">
        <v>10</v>
      </c>
      <c r="B121" s="24">
        <v>279271</v>
      </c>
      <c r="D121" s="24">
        <v>278977</v>
      </c>
      <c r="E121" s="24">
        <v>278680</v>
      </c>
      <c r="F121" s="24">
        <v>278372</v>
      </c>
      <c r="G121" s="24">
        <v>278068</v>
      </c>
      <c r="H121" s="24">
        <v>277721</v>
      </c>
      <c r="I121" s="24">
        <v>278719</v>
      </c>
      <c r="J121" s="24">
        <v>279710</v>
      </c>
      <c r="K121" s="24">
        <v>280690</v>
      </c>
      <c r="L121" s="24">
        <v>281648</v>
      </c>
      <c r="M121" s="24">
        <v>282611</v>
      </c>
      <c r="N121" s="24">
        <v>284472</v>
      </c>
      <c r="O121" s="24">
        <v>286302</v>
      </c>
      <c r="P121" s="24">
        <v>288097</v>
      </c>
      <c r="Q121" s="24">
        <v>289847</v>
      </c>
      <c r="R121" s="24">
        <v>291569</v>
      </c>
      <c r="S121" s="24">
        <v>292716</v>
      </c>
      <c r="T121" s="24">
        <v>293806</v>
      </c>
      <c r="U121" s="24">
        <v>294841</v>
      </c>
      <c r="V121" s="24">
        <v>295817</v>
      </c>
      <c r="W121" s="24">
        <v>296731</v>
      </c>
      <c r="X121" s="24">
        <v>296636</v>
      </c>
      <c r="Y121" s="24">
        <v>296474</v>
      </c>
      <c r="Z121" s="24">
        <v>296242</v>
      </c>
      <c r="AA121" s="24">
        <v>295946</v>
      </c>
      <c r="AB121" s="24">
        <v>295569</v>
      </c>
      <c r="AC121" s="24">
        <v>294691</v>
      </c>
      <c r="AD121" s="24">
        <v>293739</v>
      </c>
      <c r="AE121" s="24"/>
      <c r="CN121" s="31" t="s">
        <v>58</v>
      </c>
      <c r="CO121" s="42">
        <v>58082</v>
      </c>
      <c r="CP121" s="42">
        <v>60845</v>
      </c>
      <c r="CQ121" s="42">
        <v>63609</v>
      </c>
      <c r="CR121" s="42">
        <v>66372</v>
      </c>
      <c r="CS121" s="42">
        <v>69134</v>
      </c>
      <c r="CT121" s="42">
        <v>71889</v>
      </c>
      <c r="CU121" s="42">
        <v>76013</v>
      </c>
      <c r="CV121" s="42">
        <v>80130</v>
      </c>
      <c r="CW121" s="42">
        <v>84239</v>
      </c>
      <c r="CX121" s="42">
        <v>88350</v>
      </c>
      <c r="CY121" s="42">
        <v>92422</v>
      </c>
      <c r="CZ121" s="42">
        <v>98436</v>
      </c>
      <c r="DA121" s="42">
        <v>104448</v>
      </c>
      <c r="DB121" s="42">
        <v>110458</v>
      </c>
      <c r="DC121" s="42">
        <v>116469</v>
      </c>
      <c r="DD121" s="42">
        <v>122475</v>
      </c>
      <c r="DE121" s="42">
        <v>126443</v>
      </c>
      <c r="DF121" s="42">
        <v>130408</v>
      </c>
      <c r="DG121" s="42">
        <v>134369</v>
      </c>
      <c r="DH121" s="42">
        <v>138319</v>
      </c>
      <c r="DI121" s="42">
        <v>142266</v>
      </c>
      <c r="DJ121" s="42">
        <v>147221</v>
      </c>
      <c r="DK121" s="42">
        <v>152162</v>
      </c>
      <c r="DL121" s="42">
        <v>157083</v>
      </c>
      <c r="DM121" s="42">
        <v>161981</v>
      </c>
      <c r="DN121" s="42">
        <v>166861</v>
      </c>
      <c r="DO121" s="42">
        <v>176913</v>
      </c>
      <c r="DP121" s="42">
        <v>186937</v>
      </c>
      <c r="DQ121" s="42">
        <v>196927</v>
      </c>
      <c r="DR121" s="42">
        <v>206877</v>
      </c>
      <c r="DS121" s="42">
        <v>216776</v>
      </c>
      <c r="DT121" s="42">
        <v>230902</v>
      </c>
      <c r="DU121" s="42">
        <v>244986</v>
      </c>
      <c r="DV121" s="42">
        <v>259015</v>
      </c>
      <c r="DW121" s="42">
        <v>272986</v>
      </c>
      <c r="DX121" s="42">
        <v>286873</v>
      </c>
      <c r="DY121" s="42">
        <v>299973</v>
      </c>
      <c r="DZ121" s="42">
        <v>313010</v>
      </c>
      <c r="EA121" s="42">
        <v>325972</v>
      </c>
      <c r="EB121" s="42">
        <v>338858</v>
      </c>
      <c r="EC121" s="42">
        <v>351634</v>
      </c>
      <c r="ED121" s="42">
        <v>363170</v>
      </c>
      <c r="EE121" s="42">
        <v>374625</v>
      </c>
      <c r="EF121" s="42">
        <v>385989</v>
      </c>
      <c r="EG121" s="42">
        <v>397260</v>
      </c>
      <c r="EH121" s="42">
        <v>408407</v>
      </c>
      <c r="EI121" s="42">
        <v>426244</v>
      </c>
      <c r="EJ121" s="42">
        <v>443987</v>
      </c>
      <c r="EK121" s="42">
        <v>461623</v>
      </c>
      <c r="EL121" s="42">
        <v>479137</v>
      </c>
      <c r="EM121" s="42">
        <v>496519</v>
      </c>
      <c r="EN121" s="42">
        <v>505614</v>
      </c>
      <c r="EO121" s="42">
        <v>514581</v>
      </c>
      <c r="EP121" s="42">
        <v>523412</v>
      </c>
      <c r="EQ121" s="42">
        <v>532150</v>
      </c>
      <c r="ER121" s="42">
        <v>540639</v>
      </c>
      <c r="ES121" s="42">
        <v>546998</v>
      </c>
      <c r="ET121" s="42">
        <v>553260</v>
      </c>
      <c r="EU121" s="42">
        <v>559420</v>
      </c>
      <c r="EV121" s="42">
        <v>565476</v>
      </c>
      <c r="EW121" s="42">
        <v>571425</v>
      </c>
    </row>
    <row r="122" spans="1:153">
      <c r="A122" s="38">
        <v>11</v>
      </c>
      <c r="B122" s="24">
        <v>279639</v>
      </c>
      <c r="D122" s="24">
        <v>279155</v>
      </c>
      <c r="E122" s="24">
        <v>278667</v>
      </c>
      <c r="F122" s="24">
        <v>278171</v>
      </c>
      <c r="G122" s="24">
        <v>277677</v>
      </c>
      <c r="H122" s="24">
        <v>277141</v>
      </c>
      <c r="I122" s="24">
        <v>277881</v>
      </c>
      <c r="J122" s="24">
        <v>278613</v>
      </c>
      <c r="K122" s="24">
        <v>279336</v>
      </c>
      <c r="L122" s="24">
        <v>280036</v>
      </c>
      <c r="M122" s="24">
        <v>280740</v>
      </c>
      <c r="N122" s="24">
        <v>282654</v>
      </c>
      <c r="O122" s="24">
        <v>284535</v>
      </c>
      <c r="P122" s="24">
        <v>286382</v>
      </c>
      <c r="Q122" s="24">
        <v>288185</v>
      </c>
      <c r="R122" s="24">
        <v>289957</v>
      </c>
      <c r="S122" s="24">
        <v>291344</v>
      </c>
      <c r="T122" s="24">
        <v>292677</v>
      </c>
      <c r="U122" s="24">
        <v>293953</v>
      </c>
      <c r="V122" s="24">
        <v>295172</v>
      </c>
      <c r="W122" s="24">
        <v>296329</v>
      </c>
      <c r="X122" s="24">
        <v>296453</v>
      </c>
      <c r="Y122" s="24">
        <v>296508</v>
      </c>
      <c r="Z122" s="24">
        <v>296496</v>
      </c>
      <c r="AA122" s="24">
        <v>296418</v>
      </c>
      <c r="AB122" s="24">
        <v>296259</v>
      </c>
      <c r="AC122" s="24">
        <v>295458</v>
      </c>
      <c r="AD122" s="24">
        <v>294582</v>
      </c>
      <c r="AE122" s="24"/>
      <c r="CN122" s="31" t="s">
        <v>86</v>
      </c>
      <c r="CO122" s="42">
        <v>38004</v>
      </c>
      <c r="CP122" s="42">
        <v>40012</v>
      </c>
      <c r="CQ122" s="42">
        <v>42020</v>
      </c>
      <c r="CR122" s="42">
        <v>44028</v>
      </c>
      <c r="CS122" s="42">
        <v>46035</v>
      </c>
      <c r="CT122" s="42">
        <v>48040</v>
      </c>
      <c r="CU122" s="42">
        <v>50864</v>
      </c>
      <c r="CV122" s="42">
        <v>53684</v>
      </c>
      <c r="CW122" s="42">
        <v>56498</v>
      </c>
      <c r="CX122" s="42">
        <v>59313</v>
      </c>
      <c r="CY122" s="42">
        <v>62085</v>
      </c>
      <c r="CZ122" s="42">
        <v>66057</v>
      </c>
      <c r="DA122" s="42">
        <v>70028</v>
      </c>
      <c r="DB122" s="42">
        <v>73997</v>
      </c>
      <c r="DC122" s="42">
        <v>77967</v>
      </c>
      <c r="DD122" s="42">
        <v>81927</v>
      </c>
      <c r="DE122" s="42">
        <v>87671</v>
      </c>
      <c r="DF122" s="42">
        <v>93414</v>
      </c>
      <c r="DG122" s="42">
        <v>99153</v>
      </c>
      <c r="DH122" s="42">
        <v>104885</v>
      </c>
      <c r="DI122" s="42">
        <v>110608</v>
      </c>
      <c r="DJ122" s="42">
        <v>116383</v>
      </c>
      <c r="DK122" s="42">
        <v>122146</v>
      </c>
      <c r="DL122" s="42">
        <v>127895</v>
      </c>
      <c r="DM122" s="42">
        <v>133624</v>
      </c>
      <c r="DN122" s="42">
        <v>139336</v>
      </c>
      <c r="DO122" s="42">
        <v>145816</v>
      </c>
      <c r="DP122" s="42">
        <v>152272</v>
      </c>
      <c r="DQ122" s="42">
        <v>158699</v>
      </c>
      <c r="DR122" s="42">
        <v>165095</v>
      </c>
      <c r="DS122" s="42">
        <v>171449</v>
      </c>
      <c r="DT122" s="42">
        <v>181332</v>
      </c>
      <c r="DU122" s="42">
        <v>191181</v>
      </c>
      <c r="DV122" s="42">
        <v>200987</v>
      </c>
      <c r="DW122" s="42">
        <v>210748</v>
      </c>
      <c r="DX122" s="42">
        <v>220446</v>
      </c>
      <c r="DY122" s="42">
        <v>234814</v>
      </c>
      <c r="DZ122" s="42">
        <v>249135</v>
      </c>
      <c r="EA122" s="42">
        <v>263398</v>
      </c>
      <c r="EB122" s="42">
        <v>277599</v>
      </c>
      <c r="EC122" s="42">
        <v>291708</v>
      </c>
      <c r="ED122" s="42">
        <v>308327</v>
      </c>
      <c r="EE122" s="42">
        <v>324882</v>
      </c>
      <c r="EF122" s="42">
        <v>341359</v>
      </c>
      <c r="EG122" s="42">
        <v>357754</v>
      </c>
      <c r="EH122" s="42">
        <v>374033</v>
      </c>
      <c r="EI122" s="42">
        <v>391304</v>
      </c>
      <c r="EJ122" s="42">
        <v>408490</v>
      </c>
      <c r="EK122" s="42">
        <v>425578</v>
      </c>
      <c r="EL122" s="42">
        <v>442553</v>
      </c>
      <c r="EM122" s="42">
        <v>459402</v>
      </c>
      <c r="EN122" s="42">
        <v>480997</v>
      </c>
      <c r="EO122" s="42">
        <v>502481</v>
      </c>
      <c r="EP122" s="42">
        <v>523835</v>
      </c>
      <c r="EQ122" s="42">
        <v>545093</v>
      </c>
      <c r="ER122" s="42">
        <v>566087</v>
      </c>
      <c r="ES122" s="42">
        <v>585180</v>
      </c>
      <c r="ET122" s="42">
        <v>604176</v>
      </c>
      <c r="EU122" s="42">
        <v>623064</v>
      </c>
      <c r="EV122" s="42">
        <v>641833</v>
      </c>
      <c r="EW122" s="42">
        <v>660472</v>
      </c>
    </row>
    <row r="123" spans="1:153">
      <c r="A123" s="38">
        <v>12</v>
      </c>
      <c r="B123" s="24">
        <v>278317</v>
      </c>
      <c r="D123" s="24">
        <v>278060</v>
      </c>
      <c r="E123" s="24">
        <v>277797</v>
      </c>
      <c r="F123" s="24">
        <v>277527</v>
      </c>
      <c r="G123" s="24">
        <v>277258</v>
      </c>
      <c r="H123" s="24">
        <v>276948</v>
      </c>
      <c r="I123" s="24">
        <v>277426</v>
      </c>
      <c r="J123" s="24">
        <v>277898</v>
      </c>
      <c r="K123" s="24">
        <v>278359</v>
      </c>
      <c r="L123" s="24">
        <v>278798</v>
      </c>
      <c r="M123" s="24">
        <v>279242</v>
      </c>
      <c r="N123" s="24">
        <v>281095</v>
      </c>
      <c r="O123" s="24">
        <v>282915</v>
      </c>
      <c r="P123" s="24">
        <v>284700</v>
      </c>
      <c r="Q123" s="24">
        <v>286442</v>
      </c>
      <c r="R123" s="24">
        <v>288153</v>
      </c>
      <c r="S123" s="24">
        <v>289740</v>
      </c>
      <c r="T123" s="24">
        <v>291274</v>
      </c>
      <c r="U123" s="24">
        <v>292750</v>
      </c>
      <c r="V123" s="24">
        <v>294170</v>
      </c>
      <c r="W123" s="24">
        <v>295528</v>
      </c>
      <c r="X123" s="24">
        <v>295893</v>
      </c>
      <c r="Y123" s="24">
        <v>296190</v>
      </c>
      <c r="Z123" s="24">
        <v>296419</v>
      </c>
      <c r="AA123" s="24">
        <v>296584</v>
      </c>
      <c r="AB123" s="24">
        <v>296666</v>
      </c>
      <c r="AC123" s="24">
        <v>295984</v>
      </c>
      <c r="AD123" s="24">
        <v>295227</v>
      </c>
      <c r="AE123" s="24"/>
      <c r="CN123" s="31"/>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44"/>
      <c r="DT123" s="44"/>
      <c r="DU123" s="44"/>
      <c r="DV123" s="44"/>
      <c r="DW123" s="44"/>
      <c r="DX123" s="33"/>
      <c r="DY123" s="33"/>
      <c r="DZ123" s="33"/>
      <c r="EA123" s="33"/>
      <c r="EB123" s="33"/>
      <c r="EC123" s="45"/>
      <c r="ED123" s="45"/>
      <c r="EE123" s="45"/>
      <c r="EF123" s="45"/>
      <c r="EG123" s="45"/>
      <c r="EH123" s="33"/>
      <c r="EI123" s="33"/>
      <c r="EJ123" s="33"/>
      <c r="EK123" s="33"/>
      <c r="EL123" s="33"/>
      <c r="EM123" s="33"/>
      <c r="EN123" s="33"/>
      <c r="EO123" s="33"/>
      <c r="EP123" s="33"/>
      <c r="EQ123" s="33"/>
      <c r="ER123" s="46"/>
      <c r="ES123" s="46"/>
      <c r="ET123" s="46"/>
      <c r="EU123" s="46"/>
      <c r="EV123" s="46"/>
      <c r="EW123" s="44"/>
    </row>
    <row r="124" spans="1:153">
      <c r="A124" s="38">
        <v>13</v>
      </c>
      <c r="B124" s="24">
        <v>274706</v>
      </c>
      <c r="D124" s="24">
        <v>275223</v>
      </c>
      <c r="E124" s="24">
        <v>275735</v>
      </c>
      <c r="F124" s="24">
        <v>276240</v>
      </c>
      <c r="G124" s="24">
        <v>276746</v>
      </c>
      <c r="H124" s="24">
        <v>277210</v>
      </c>
      <c r="I124" s="24">
        <v>277435</v>
      </c>
      <c r="J124" s="24">
        <v>277652</v>
      </c>
      <c r="K124" s="24">
        <v>277859</v>
      </c>
      <c r="L124" s="24">
        <v>278044</v>
      </c>
      <c r="M124" s="24">
        <v>278234</v>
      </c>
      <c r="N124" s="24">
        <v>279886</v>
      </c>
      <c r="O124" s="24">
        <v>281505</v>
      </c>
      <c r="P124" s="24">
        <v>283089</v>
      </c>
      <c r="Q124" s="24">
        <v>284631</v>
      </c>
      <c r="R124" s="24">
        <v>286142</v>
      </c>
      <c r="S124" s="24">
        <v>287875</v>
      </c>
      <c r="T124" s="24">
        <v>289553</v>
      </c>
      <c r="U124" s="24">
        <v>291175</v>
      </c>
      <c r="V124" s="24">
        <v>292741</v>
      </c>
      <c r="W124" s="24">
        <v>294245</v>
      </c>
      <c r="X124" s="24">
        <v>294876</v>
      </c>
      <c r="Y124" s="24">
        <v>295439</v>
      </c>
      <c r="Z124" s="24">
        <v>295934</v>
      </c>
      <c r="AA124" s="24">
        <v>296365</v>
      </c>
      <c r="AB124" s="24">
        <v>296713</v>
      </c>
      <c r="AC124" s="24">
        <v>296204</v>
      </c>
      <c r="AD124" s="24">
        <v>295621</v>
      </c>
      <c r="AE124" s="24"/>
      <c r="CN124" s="31" t="s">
        <v>66</v>
      </c>
      <c r="CO124" s="31">
        <v>1990</v>
      </c>
      <c r="CP124" s="31">
        <v>1991</v>
      </c>
      <c r="CQ124" s="31">
        <v>1992</v>
      </c>
      <c r="CR124" s="31">
        <v>1993</v>
      </c>
      <c r="CS124" s="31">
        <v>1994</v>
      </c>
      <c r="CT124" s="31">
        <v>1995</v>
      </c>
      <c r="CU124" s="31">
        <v>1996</v>
      </c>
      <c r="CV124" s="31">
        <v>1997</v>
      </c>
      <c r="CW124" s="31">
        <v>1998</v>
      </c>
      <c r="CX124" s="31">
        <v>1999</v>
      </c>
      <c r="CY124" s="31">
        <v>2000</v>
      </c>
      <c r="CZ124" s="31">
        <v>2001</v>
      </c>
      <c r="DA124" s="31">
        <v>2002</v>
      </c>
      <c r="DB124" s="31">
        <v>2003</v>
      </c>
      <c r="DC124" s="31">
        <v>2004</v>
      </c>
      <c r="DD124" s="31">
        <v>2005</v>
      </c>
      <c r="DE124" s="31">
        <v>2006</v>
      </c>
      <c r="DF124" s="31">
        <v>2007</v>
      </c>
      <c r="DG124" s="31">
        <v>2008</v>
      </c>
      <c r="DH124" s="31">
        <v>2009</v>
      </c>
      <c r="DI124" s="31">
        <v>2010</v>
      </c>
      <c r="DJ124" s="31">
        <v>2011</v>
      </c>
      <c r="DK124" s="31">
        <v>2012</v>
      </c>
      <c r="DL124" s="31">
        <v>2013</v>
      </c>
      <c r="DM124" s="31">
        <v>2014</v>
      </c>
      <c r="DN124" s="31">
        <v>2015</v>
      </c>
      <c r="DO124" s="31">
        <v>2016</v>
      </c>
      <c r="DP124" s="31">
        <v>2017</v>
      </c>
      <c r="DQ124" s="31">
        <v>2018</v>
      </c>
      <c r="DR124" s="31">
        <v>2019</v>
      </c>
      <c r="DS124" s="31">
        <v>2020</v>
      </c>
      <c r="DT124" s="31">
        <v>2021</v>
      </c>
      <c r="DU124" s="31">
        <v>2022</v>
      </c>
      <c r="DV124" s="31">
        <v>2023</v>
      </c>
      <c r="DW124" s="31">
        <v>2024</v>
      </c>
      <c r="DX124" s="31">
        <v>2025</v>
      </c>
      <c r="DY124" s="31">
        <v>2026</v>
      </c>
      <c r="DZ124" s="31">
        <v>2027</v>
      </c>
      <c r="EA124" s="31">
        <v>2028</v>
      </c>
      <c r="EB124" s="31">
        <v>2029</v>
      </c>
      <c r="EC124" s="31">
        <v>2030</v>
      </c>
      <c r="ED124" s="31">
        <v>2031</v>
      </c>
      <c r="EE124" s="31">
        <v>2032</v>
      </c>
      <c r="EF124" s="31">
        <v>2033</v>
      </c>
      <c r="EG124" s="31">
        <v>2034</v>
      </c>
      <c r="EH124" s="31">
        <v>2035</v>
      </c>
      <c r="EI124" s="31">
        <v>2036</v>
      </c>
      <c r="EJ124" s="31">
        <v>2037</v>
      </c>
      <c r="EK124" s="31">
        <v>2038</v>
      </c>
      <c r="EL124" s="31">
        <v>2039</v>
      </c>
      <c r="EM124" s="31">
        <v>2040</v>
      </c>
      <c r="EN124" s="31">
        <v>2041</v>
      </c>
      <c r="EO124" s="31">
        <v>2042</v>
      </c>
      <c r="EP124" s="31">
        <v>2043</v>
      </c>
      <c r="EQ124" s="31">
        <v>2044</v>
      </c>
      <c r="ER124" s="31">
        <v>2045</v>
      </c>
      <c r="ES124" s="31">
        <v>2046</v>
      </c>
      <c r="ET124" s="31">
        <v>2047</v>
      </c>
      <c r="EU124" s="31">
        <v>2048</v>
      </c>
      <c r="EV124" s="31">
        <v>2049</v>
      </c>
      <c r="EW124" s="31">
        <v>2050</v>
      </c>
    </row>
    <row r="125" spans="1:153">
      <c r="A125" s="38">
        <v>14</v>
      </c>
      <c r="B125" s="24">
        <v>269375</v>
      </c>
      <c r="D125" s="24">
        <v>271039</v>
      </c>
      <c r="E125" s="24">
        <v>272699</v>
      </c>
      <c r="F125" s="24">
        <v>274352</v>
      </c>
      <c r="G125" s="24">
        <v>276006</v>
      </c>
      <c r="H125" s="24">
        <v>277618</v>
      </c>
      <c r="I125" s="24">
        <v>277632</v>
      </c>
      <c r="J125" s="24">
        <v>277638</v>
      </c>
      <c r="K125" s="24">
        <v>277634</v>
      </c>
      <c r="L125" s="24">
        <v>277609</v>
      </c>
      <c r="M125" s="24">
        <v>277588</v>
      </c>
      <c r="N125" s="24">
        <v>278942</v>
      </c>
      <c r="O125" s="24">
        <v>280263</v>
      </c>
      <c r="P125" s="24">
        <v>281549</v>
      </c>
      <c r="Q125" s="24">
        <v>282794</v>
      </c>
      <c r="R125" s="24">
        <v>284008</v>
      </c>
      <c r="S125" s="24">
        <v>285832</v>
      </c>
      <c r="T125" s="24">
        <v>287603</v>
      </c>
      <c r="U125" s="24">
        <v>289317</v>
      </c>
      <c r="V125" s="24">
        <v>290975</v>
      </c>
      <c r="W125" s="24">
        <v>292572</v>
      </c>
      <c r="X125" s="24">
        <v>293479</v>
      </c>
      <c r="Y125" s="24">
        <v>294319</v>
      </c>
      <c r="Z125" s="24">
        <v>295091</v>
      </c>
      <c r="AA125" s="24">
        <v>295800</v>
      </c>
      <c r="AB125" s="24">
        <v>296425</v>
      </c>
      <c r="AC125" s="24">
        <v>296130</v>
      </c>
      <c r="AD125" s="24">
        <v>295762</v>
      </c>
      <c r="AE125" s="24"/>
      <c r="CN125" s="31"/>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row>
    <row r="126" spans="1:153">
      <c r="A126" s="37" t="s">
        <v>73</v>
      </c>
      <c r="B126" s="32">
        <v>0</v>
      </c>
      <c r="D126" s="32">
        <v>0</v>
      </c>
      <c r="E126" s="32">
        <v>0</v>
      </c>
      <c r="F126" s="32">
        <v>0</v>
      </c>
      <c r="G126" s="32">
        <v>0</v>
      </c>
      <c r="H126" s="32">
        <v>0</v>
      </c>
      <c r="I126" s="32">
        <v>0</v>
      </c>
      <c r="J126" s="32">
        <v>0</v>
      </c>
      <c r="K126" s="32">
        <v>0</v>
      </c>
      <c r="L126" s="32">
        <v>0</v>
      </c>
      <c r="M126" s="32">
        <v>0</v>
      </c>
      <c r="N126" s="32">
        <v>0</v>
      </c>
      <c r="O126" s="32">
        <v>0</v>
      </c>
      <c r="P126" s="32">
        <v>0</v>
      </c>
      <c r="Q126" s="32">
        <v>0</v>
      </c>
      <c r="R126" s="32">
        <v>0</v>
      </c>
      <c r="S126" s="32">
        <v>0</v>
      </c>
      <c r="T126" s="32">
        <v>0</v>
      </c>
      <c r="U126" s="32">
        <v>0</v>
      </c>
      <c r="V126" s="32">
        <v>0</v>
      </c>
      <c r="W126" s="32">
        <v>0</v>
      </c>
      <c r="X126" s="32">
        <v>0</v>
      </c>
      <c r="Y126" s="32">
        <v>0</v>
      </c>
      <c r="Z126" s="32">
        <v>0</v>
      </c>
      <c r="AA126" s="32">
        <v>0</v>
      </c>
      <c r="AB126" s="32">
        <v>0</v>
      </c>
      <c r="AC126" s="32">
        <v>0</v>
      </c>
      <c r="AD126" s="32">
        <v>0</v>
      </c>
      <c r="AE126" s="32"/>
      <c r="CN126" s="31" t="s">
        <v>89</v>
      </c>
      <c r="CO126" s="42">
        <v>9778057</v>
      </c>
      <c r="CP126" s="42">
        <v>10009994</v>
      </c>
      <c r="CQ126" s="42">
        <v>10242087</v>
      </c>
      <c r="CR126" s="42">
        <v>10474106</v>
      </c>
      <c r="CS126" s="42">
        <v>10705812</v>
      </c>
      <c r="CT126" s="42">
        <v>10936982</v>
      </c>
      <c r="CU126" s="42">
        <v>11168381</v>
      </c>
      <c r="CV126" s="42">
        <v>11398731</v>
      </c>
      <c r="CW126" s="42">
        <v>11627775</v>
      </c>
      <c r="CX126" s="42">
        <v>11857113</v>
      </c>
      <c r="CY126" s="42">
        <v>12080943</v>
      </c>
      <c r="CZ126" s="42">
        <v>12311377</v>
      </c>
      <c r="DA126" s="42">
        <v>12541635</v>
      </c>
      <c r="DB126" s="42">
        <v>12771551</v>
      </c>
      <c r="DC126" s="42">
        <v>13001547</v>
      </c>
      <c r="DD126" s="42">
        <v>13229691</v>
      </c>
      <c r="DE126" s="42">
        <v>13460238</v>
      </c>
      <c r="DF126" s="42">
        <v>13690447</v>
      </c>
      <c r="DG126" s="42">
        <v>13920169</v>
      </c>
      <c r="DH126" s="42">
        <v>14148781</v>
      </c>
      <c r="DI126" s="42">
        <v>14377558</v>
      </c>
      <c r="DJ126" s="42">
        <v>14604334</v>
      </c>
      <c r="DK126" s="42">
        <v>14829481</v>
      </c>
      <c r="DL126" s="42">
        <v>15052819</v>
      </c>
      <c r="DM126" s="42">
        <v>15273855</v>
      </c>
      <c r="DN126" s="42">
        <v>15493362</v>
      </c>
      <c r="DO126" s="42">
        <v>15710146</v>
      </c>
      <c r="DP126" s="42">
        <v>15924060</v>
      </c>
      <c r="DQ126" s="42">
        <v>16134909</v>
      </c>
      <c r="DR126" s="42">
        <v>16342591</v>
      </c>
      <c r="DS126" s="42">
        <v>16546658</v>
      </c>
      <c r="DT126" s="42">
        <v>16748346</v>
      </c>
      <c r="DU126" s="42">
        <v>16946323</v>
      </c>
      <c r="DV126" s="42">
        <v>17140404</v>
      </c>
      <c r="DW126" s="42">
        <v>17330750</v>
      </c>
      <c r="DX126" s="42">
        <v>17516146</v>
      </c>
      <c r="DY126" s="42">
        <v>17699140</v>
      </c>
      <c r="DZ126" s="42">
        <v>17877920</v>
      </c>
      <c r="EA126" s="42">
        <v>18052322</v>
      </c>
      <c r="EB126" s="42">
        <v>18222632</v>
      </c>
      <c r="EC126" s="42">
        <v>18387362</v>
      </c>
      <c r="ED126" s="42">
        <v>18549362</v>
      </c>
      <c r="EE126" s="42">
        <v>18706859</v>
      </c>
      <c r="EF126" s="42">
        <v>18859721</v>
      </c>
      <c r="EG126" s="42">
        <v>19008164</v>
      </c>
      <c r="EH126" s="42">
        <v>19150998</v>
      </c>
      <c r="EI126" s="42">
        <v>19290445</v>
      </c>
      <c r="EJ126" s="42">
        <v>19425135</v>
      </c>
      <c r="EK126" s="42">
        <v>19554959</v>
      </c>
      <c r="EL126" s="42">
        <v>19679810</v>
      </c>
      <c r="EM126" s="42">
        <v>19799567</v>
      </c>
      <c r="EN126" s="42">
        <v>19914085</v>
      </c>
      <c r="EO126" s="42">
        <v>20023349</v>
      </c>
      <c r="EP126" s="42">
        <v>20127266</v>
      </c>
      <c r="EQ126" s="42">
        <v>20227619</v>
      </c>
      <c r="ER126" s="42">
        <v>20318715</v>
      </c>
      <c r="ES126" s="42">
        <v>20411520</v>
      </c>
      <c r="ET126" s="42">
        <v>20500602</v>
      </c>
      <c r="EU126" s="42">
        <v>20585912</v>
      </c>
      <c r="EV126" s="42">
        <v>20667399</v>
      </c>
      <c r="EW126" s="42">
        <v>20745019</v>
      </c>
    </row>
    <row r="127" spans="1:153">
      <c r="A127" s="38">
        <v>15</v>
      </c>
      <c r="B127" s="24">
        <v>263245</v>
      </c>
      <c r="D127" s="24">
        <v>266260</v>
      </c>
      <c r="E127" s="24">
        <v>269270</v>
      </c>
      <c r="F127" s="24">
        <v>272274</v>
      </c>
      <c r="G127" s="24">
        <v>275280</v>
      </c>
      <c r="H127" s="24">
        <v>278243</v>
      </c>
      <c r="I127" s="24">
        <v>277977</v>
      </c>
      <c r="J127" s="24">
        <v>277704</v>
      </c>
      <c r="K127" s="24">
        <v>277420</v>
      </c>
      <c r="L127" s="24">
        <v>277115</v>
      </c>
      <c r="M127" s="24">
        <v>276814</v>
      </c>
      <c r="N127" s="24">
        <v>277873</v>
      </c>
      <c r="O127" s="24">
        <v>278900</v>
      </c>
      <c r="P127" s="24">
        <v>279892</v>
      </c>
      <c r="Q127" s="24">
        <v>280842</v>
      </c>
      <c r="R127" s="24">
        <v>281763</v>
      </c>
      <c r="S127" s="24">
        <v>283674</v>
      </c>
      <c r="T127" s="24">
        <v>285531</v>
      </c>
      <c r="U127" s="24">
        <v>287332</v>
      </c>
      <c r="V127" s="24">
        <v>289079</v>
      </c>
      <c r="W127" s="24">
        <v>290764</v>
      </c>
      <c r="X127" s="24">
        <v>291941</v>
      </c>
      <c r="Y127" s="24">
        <v>293054</v>
      </c>
      <c r="Z127" s="24">
        <v>294099</v>
      </c>
      <c r="AA127" s="24">
        <v>295080</v>
      </c>
      <c r="AB127" s="24">
        <v>295977</v>
      </c>
      <c r="AC127" s="24">
        <v>295905</v>
      </c>
      <c r="AD127" s="24">
        <v>295759</v>
      </c>
      <c r="AE127" s="24"/>
      <c r="CN127" s="31"/>
      <c r="CO127" s="33"/>
      <c r="CP127" s="33"/>
      <c r="CQ127" s="33"/>
      <c r="CR127" s="33"/>
      <c r="CS127" s="33"/>
      <c r="CT127" s="33"/>
      <c r="CU127" s="33"/>
      <c r="CV127" s="33"/>
      <c r="CW127" s="33"/>
      <c r="CX127" s="33"/>
      <c r="CY127" s="33"/>
      <c r="CZ127" s="33"/>
      <c r="DA127" s="33"/>
      <c r="DB127" s="33"/>
      <c r="DC127" s="33"/>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row>
    <row r="128" spans="1:153">
      <c r="A128" s="38">
        <v>16</v>
      </c>
      <c r="B128" s="24">
        <v>257290</v>
      </c>
      <c r="D128" s="24">
        <v>261499</v>
      </c>
      <c r="E128" s="24">
        <v>265704</v>
      </c>
      <c r="F128" s="24">
        <v>269901</v>
      </c>
      <c r="G128" s="24">
        <v>274100</v>
      </c>
      <c r="H128" s="24">
        <v>278257</v>
      </c>
      <c r="I128" s="24">
        <v>277810</v>
      </c>
      <c r="J128" s="24">
        <v>277355</v>
      </c>
      <c r="K128" s="24">
        <v>276890</v>
      </c>
      <c r="L128" s="24">
        <v>276403</v>
      </c>
      <c r="M128" s="24">
        <v>275920</v>
      </c>
      <c r="N128" s="24">
        <v>276726</v>
      </c>
      <c r="O128" s="24">
        <v>277499</v>
      </c>
      <c r="P128" s="24">
        <v>278238</v>
      </c>
      <c r="Q128" s="24">
        <v>278935</v>
      </c>
      <c r="R128" s="24">
        <v>279605</v>
      </c>
      <c r="S128" s="24">
        <v>281570</v>
      </c>
      <c r="T128" s="24">
        <v>283482</v>
      </c>
      <c r="U128" s="24">
        <v>285340</v>
      </c>
      <c r="V128" s="24">
        <v>287142</v>
      </c>
      <c r="W128" s="24">
        <v>288882</v>
      </c>
      <c r="X128" s="24">
        <v>290307</v>
      </c>
      <c r="Y128" s="24">
        <v>291666</v>
      </c>
      <c r="Z128" s="24">
        <v>292957</v>
      </c>
      <c r="AA128" s="24">
        <v>294184</v>
      </c>
      <c r="AB128" s="24">
        <v>295329</v>
      </c>
      <c r="AC128" s="24">
        <v>295480</v>
      </c>
      <c r="AD128" s="24">
        <v>295559</v>
      </c>
      <c r="AE128" s="24"/>
      <c r="CN128" s="31" t="s">
        <v>87</v>
      </c>
      <c r="CO128" s="42">
        <v>1336372</v>
      </c>
      <c r="CP128" s="42">
        <v>1337409</v>
      </c>
      <c r="CQ128" s="42">
        <v>1338465</v>
      </c>
      <c r="CR128" s="42">
        <v>1339515</v>
      </c>
      <c r="CS128" s="42">
        <v>1340519</v>
      </c>
      <c r="CT128" s="42">
        <v>1341466</v>
      </c>
      <c r="CU128" s="42">
        <v>1343979</v>
      </c>
      <c r="CV128" s="42">
        <v>1346363</v>
      </c>
      <c r="CW128" s="42">
        <v>1348585</v>
      </c>
      <c r="CX128" s="42">
        <v>1350836</v>
      </c>
      <c r="CY128" s="42">
        <v>1352469</v>
      </c>
      <c r="CZ128" s="42">
        <v>1359947</v>
      </c>
      <c r="DA128" s="42">
        <v>1367411</v>
      </c>
      <c r="DB128" s="42">
        <v>1374830</v>
      </c>
      <c r="DC128" s="42">
        <v>1382258</v>
      </c>
      <c r="DD128" s="42">
        <v>1389494</v>
      </c>
      <c r="DE128" s="42">
        <v>1396067</v>
      </c>
      <c r="DF128" s="42">
        <v>1402606</v>
      </c>
      <c r="DG128" s="42">
        <v>1409094</v>
      </c>
      <c r="DH128" s="42">
        <v>1415469</v>
      </c>
      <c r="DI128" s="42">
        <v>1421870</v>
      </c>
      <c r="DJ128" s="42">
        <v>1422996</v>
      </c>
      <c r="DK128" s="42">
        <v>1423959</v>
      </c>
      <c r="DL128" s="42">
        <v>1424743</v>
      </c>
      <c r="DM128" s="42">
        <v>1425312</v>
      </c>
      <c r="DN128" s="42">
        <v>1425739</v>
      </c>
      <c r="DO128" s="42">
        <v>1422249</v>
      </c>
      <c r="DP128" s="42">
        <v>1418482</v>
      </c>
      <c r="DQ128" s="42">
        <v>1414437</v>
      </c>
      <c r="DR128" s="42">
        <v>1410121</v>
      </c>
      <c r="DS128" s="42">
        <v>1405502</v>
      </c>
      <c r="DT128" s="42">
        <v>1400409</v>
      </c>
      <c r="DU128" s="42">
        <v>1394991</v>
      </c>
      <c r="DV128" s="42">
        <v>1389246</v>
      </c>
      <c r="DW128" s="42">
        <v>1383204</v>
      </c>
      <c r="DX128" s="42">
        <v>1376781</v>
      </c>
      <c r="DY128" s="42">
        <v>1371561</v>
      </c>
      <c r="DZ128" s="42">
        <v>1366000</v>
      </c>
      <c r="EA128" s="42">
        <v>1360100</v>
      </c>
      <c r="EB128" s="42">
        <v>1353896</v>
      </c>
      <c r="EC128" s="42">
        <v>1347293</v>
      </c>
      <c r="ED128" s="42">
        <v>1341628</v>
      </c>
      <c r="EE128" s="42">
        <v>1335626</v>
      </c>
      <c r="EF128" s="42">
        <v>1329286</v>
      </c>
      <c r="EG128" s="42">
        <v>1322641</v>
      </c>
      <c r="EH128" s="42">
        <v>1315616</v>
      </c>
      <c r="EI128" s="42">
        <v>1308650</v>
      </c>
      <c r="EJ128" s="42">
        <v>1301348</v>
      </c>
      <c r="EK128" s="42">
        <v>1293716</v>
      </c>
      <c r="EL128" s="42">
        <v>1285759</v>
      </c>
      <c r="EM128" s="42">
        <v>1277481</v>
      </c>
      <c r="EN128" s="42">
        <v>1269692</v>
      </c>
      <c r="EO128" s="42">
        <v>1261557</v>
      </c>
      <c r="EP128" s="42">
        <v>1253080</v>
      </c>
      <c r="EQ128" s="42">
        <v>1244384</v>
      </c>
      <c r="ER128" s="42">
        <v>1235133</v>
      </c>
      <c r="ES128" s="42">
        <v>1232609</v>
      </c>
      <c r="ET128" s="42">
        <v>1229857</v>
      </c>
      <c r="EU128" s="42">
        <v>1226876</v>
      </c>
      <c r="EV128" s="42">
        <v>1223670</v>
      </c>
      <c r="EW128" s="42">
        <v>1220240</v>
      </c>
    </row>
    <row r="129" spans="1:153">
      <c r="A129" s="38">
        <v>17</v>
      </c>
      <c r="B129" s="24">
        <v>251779</v>
      </c>
      <c r="D129" s="24">
        <v>256748</v>
      </c>
      <c r="E129" s="24">
        <v>261714</v>
      </c>
      <c r="F129" s="24">
        <v>266672</v>
      </c>
      <c r="G129" s="24">
        <v>271632</v>
      </c>
      <c r="H129" s="24">
        <v>276551</v>
      </c>
      <c r="I129" s="24">
        <v>276333</v>
      </c>
      <c r="J129" s="24">
        <v>276107</v>
      </c>
      <c r="K129" s="24">
        <v>275871</v>
      </c>
      <c r="L129" s="24">
        <v>275614</v>
      </c>
      <c r="M129" s="24">
        <v>275361</v>
      </c>
      <c r="N129" s="24">
        <v>275912</v>
      </c>
      <c r="O129" s="24">
        <v>276431</v>
      </c>
      <c r="P129" s="24">
        <v>276916</v>
      </c>
      <c r="Q129" s="24">
        <v>277359</v>
      </c>
      <c r="R129" s="24">
        <v>277776</v>
      </c>
      <c r="S129" s="24">
        <v>279684</v>
      </c>
      <c r="T129" s="24">
        <v>281541</v>
      </c>
      <c r="U129" s="24">
        <v>283343</v>
      </c>
      <c r="V129" s="24">
        <v>285090</v>
      </c>
      <c r="W129" s="24">
        <v>286776</v>
      </c>
      <c r="X129" s="24">
        <v>288405</v>
      </c>
      <c r="Y129" s="24">
        <v>289968</v>
      </c>
      <c r="Z129" s="24">
        <v>291464</v>
      </c>
      <c r="AA129" s="24">
        <v>292897</v>
      </c>
      <c r="AB129" s="24">
        <v>294248</v>
      </c>
      <c r="AC129" s="24">
        <v>294645</v>
      </c>
      <c r="AD129" s="24">
        <v>294970</v>
      </c>
      <c r="AE129" s="24"/>
      <c r="CN129" s="43" t="s">
        <v>88</v>
      </c>
      <c r="CO129" s="42">
        <v>1224831</v>
      </c>
      <c r="CP129" s="42">
        <v>1245789</v>
      </c>
      <c r="CQ129" s="42">
        <v>1266766</v>
      </c>
      <c r="CR129" s="42">
        <v>1287732</v>
      </c>
      <c r="CS129" s="42">
        <v>1308661</v>
      </c>
      <c r="CT129" s="42">
        <v>1329516</v>
      </c>
      <c r="CU129" s="42">
        <v>1330476</v>
      </c>
      <c r="CV129" s="42">
        <v>1331302</v>
      </c>
      <c r="CW129" s="42">
        <v>1331971</v>
      </c>
      <c r="CX129" s="42">
        <v>1332672</v>
      </c>
      <c r="CY129" s="42">
        <v>1332761</v>
      </c>
      <c r="CZ129" s="42">
        <v>1334844</v>
      </c>
      <c r="DA129" s="42">
        <v>1336904</v>
      </c>
      <c r="DB129" s="42">
        <v>1338928</v>
      </c>
      <c r="DC129" s="42">
        <v>1340959</v>
      </c>
      <c r="DD129" s="42">
        <v>1342797</v>
      </c>
      <c r="DE129" s="42">
        <v>1350440</v>
      </c>
      <c r="DF129" s="42">
        <v>1358045</v>
      </c>
      <c r="DG129" s="42">
        <v>1365603</v>
      </c>
      <c r="DH129" s="42">
        <v>1373052</v>
      </c>
      <c r="DI129" s="42">
        <v>1380531</v>
      </c>
      <c r="DJ129" s="42">
        <v>1387490</v>
      </c>
      <c r="DK129" s="42">
        <v>1394288</v>
      </c>
      <c r="DL129" s="42">
        <v>1400914</v>
      </c>
      <c r="DM129" s="42">
        <v>1407329</v>
      </c>
      <c r="DN129" s="42">
        <v>1413609</v>
      </c>
      <c r="DO129" s="42">
        <v>1415093</v>
      </c>
      <c r="DP129" s="42">
        <v>1416308</v>
      </c>
      <c r="DQ129" s="42">
        <v>1417246</v>
      </c>
      <c r="DR129" s="42">
        <v>1417915</v>
      </c>
      <c r="DS129" s="42">
        <v>1418268</v>
      </c>
      <c r="DT129" s="42">
        <v>1415039</v>
      </c>
      <c r="DU129" s="42">
        <v>1411491</v>
      </c>
      <c r="DV129" s="42">
        <v>1407608</v>
      </c>
      <c r="DW129" s="42">
        <v>1403425</v>
      </c>
      <c r="DX129" s="42">
        <v>1398854</v>
      </c>
      <c r="DY129" s="42">
        <v>1393956</v>
      </c>
      <c r="DZ129" s="42">
        <v>1388711</v>
      </c>
      <c r="EA129" s="42">
        <v>1383120</v>
      </c>
      <c r="EB129" s="42">
        <v>1377221</v>
      </c>
      <c r="EC129" s="42">
        <v>1370916</v>
      </c>
      <c r="ED129" s="42">
        <v>1365836</v>
      </c>
      <c r="EE129" s="42">
        <v>1360412</v>
      </c>
      <c r="EF129" s="42">
        <v>1354648</v>
      </c>
      <c r="EG129" s="42">
        <v>1348569</v>
      </c>
      <c r="EH129" s="42">
        <v>1342106</v>
      </c>
      <c r="EI129" s="42">
        <v>1336570</v>
      </c>
      <c r="EJ129" s="42">
        <v>1330691</v>
      </c>
      <c r="EK129" s="42">
        <v>1324477</v>
      </c>
      <c r="EL129" s="42">
        <v>1317929</v>
      </c>
      <c r="EM129" s="42">
        <v>1311051</v>
      </c>
      <c r="EN129" s="42">
        <v>1304232</v>
      </c>
      <c r="EO129" s="42">
        <v>1297057</v>
      </c>
      <c r="EP129" s="42">
        <v>1289532</v>
      </c>
      <c r="EQ129" s="42">
        <v>1281782</v>
      </c>
      <c r="ER129" s="42">
        <v>1273457</v>
      </c>
      <c r="ES129" s="42">
        <v>1265554</v>
      </c>
      <c r="ET129" s="42">
        <v>1257412</v>
      </c>
      <c r="EU129" s="42">
        <v>1249037</v>
      </c>
      <c r="EV129" s="42">
        <v>1240432</v>
      </c>
      <c r="EW129" s="42">
        <v>1231601</v>
      </c>
    </row>
    <row r="130" spans="1:153">
      <c r="A130" s="38">
        <v>18</v>
      </c>
      <c r="B130" s="24">
        <v>247137</v>
      </c>
      <c r="D130" s="24">
        <v>252233</v>
      </c>
      <c r="E130" s="24">
        <v>257326</v>
      </c>
      <c r="F130" s="24">
        <v>262412</v>
      </c>
      <c r="G130" s="24">
        <v>267499</v>
      </c>
      <c r="H130" s="24">
        <v>272547</v>
      </c>
      <c r="I130" s="24">
        <v>273100</v>
      </c>
      <c r="J130" s="24">
        <v>273647</v>
      </c>
      <c r="K130" s="24">
        <v>274183</v>
      </c>
      <c r="L130" s="24">
        <v>274698</v>
      </c>
      <c r="M130" s="24">
        <v>275217</v>
      </c>
      <c r="N130" s="24">
        <v>275524</v>
      </c>
      <c r="O130" s="24">
        <v>275798</v>
      </c>
      <c r="P130" s="24">
        <v>276039</v>
      </c>
      <c r="Q130" s="24">
        <v>276237</v>
      </c>
      <c r="R130" s="24">
        <v>276410</v>
      </c>
      <c r="S130" s="24">
        <v>278125</v>
      </c>
      <c r="T130" s="24">
        <v>279788</v>
      </c>
      <c r="U130" s="24">
        <v>281397</v>
      </c>
      <c r="V130" s="24">
        <v>282950</v>
      </c>
      <c r="W130" s="24">
        <v>284443</v>
      </c>
      <c r="X130" s="24">
        <v>286221</v>
      </c>
      <c r="Y130" s="24">
        <v>287933</v>
      </c>
      <c r="Z130" s="24">
        <v>289579</v>
      </c>
      <c r="AA130" s="24">
        <v>291163</v>
      </c>
      <c r="AB130" s="24">
        <v>292664</v>
      </c>
      <c r="AC130" s="24">
        <v>293330</v>
      </c>
      <c r="AD130" s="24">
        <v>293926</v>
      </c>
      <c r="AE130" s="24"/>
      <c r="CN130" s="43" t="s">
        <v>45</v>
      </c>
      <c r="CO130" s="42">
        <v>1118956</v>
      </c>
      <c r="CP130" s="42">
        <v>1139704</v>
      </c>
      <c r="CQ130" s="42">
        <v>1160470</v>
      </c>
      <c r="CR130" s="42">
        <v>1181226</v>
      </c>
      <c r="CS130" s="42">
        <v>1201947</v>
      </c>
      <c r="CT130" s="42">
        <v>1222601</v>
      </c>
      <c r="CU130" s="42">
        <v>1243836</v>
      </c>
      <c r="CV130" s="42">
        <v>1264952</v>
      </c>
      <c r="CW130" s="42">
        <v>1285923</v>
      </c>
      <c r="CX130" s="42">
        <v>1306927</v>
      </c>
      <c r="CY130" s="42">
        <v>1327322</v>
      </c>
      <c r="CZ130" s="42">
        <v>1328076</v>
      </c>
      <c r="DA130" s="42">
        <v>1328808</v>
      </c>
      <c r="DB130" s="42">
        <v>1329503</v>
      </c>
      <c r="DC130" s="42">
        <v>1330206</v>
      </c>
      <c r="DD130" s="42">
        <v>1330721</v>
      </c>
      <c r="DE130" s="42">
        <v>1332860</v>
      </c>
      <c r="DF130" s="42">
        <v>1334963</v>
      </c>
      <c r="DG130" s="42">
        <v>1337017</v>
      </c>
      <c r="DH130" s="42">
        <v>1338966</v>
      </c>
      <c r="DI130" s="42">
        <v>1340931</v>
      </c>
      <c r="DJ130" s="42">
        <v>1348839</v>
      </c>
      <c r="DK130" s="42">
        <v>1356592</v>
      </c>
      <c r="DL130" s="42">
        <v>1364178</v>
      </c>
      <c r="DM130" s="42">
        <v>1371556</v>
      </c>
      <c r="DN130" s="42">
        <v>1378792</v>
      </c>
      <c r="DO130" s="42">
        <v>1385970</v>
      </c>
      <c r="DP130" s="42">
        <v>1392889</v>
      </c>
      <c r="DQ130" s="42">
        <v>1399537</v>
      </c>
      <c r="DR130" s="42">
        <v>1405912</v>
      </c>
      <c r="DS130" s="42">
        <v>1411983</v>
      </c>
      <c r="DT130" s="42">
        <v>1413600</v>
      </c>
      <c r="DU130" s="42">
        <v>1414894</v>
      </c>
      <c r="DV130" s="42">
        <v>1415855</v>
      </c>
      <c r="DW130" s="42">
        <v>1416511</v>
      </c>
      <c r="DX130" s="42">
        <v>1416779</v>
      </c>
      <c r="DY130" s="42">
        <v>1413624</v>
      </c>
      <c r="DZ130" s="42">
        <v>1410120</v>
      </c>
      <c r="EA130" s="42">
        <v>1406264</v>
      </c>
      <c r="EB130" s="42">
        <v>1402095</v>
      </c>
      <c r="EC130" s="42">
        <v>1397511</v>
      </c>
      <c r="ED130" s="42">
        <v>1392649</v>
      </c>
      <c r="EE130" s="42">
        <v>1387436</v>
      </c>
      <c r="EF130" s="42">
        <v>1381875</v>
      </c>
      <c r="EG130" s="42">
        <v>1375994</v>
      </c>
      <c r="EH130" s="42">
        <v>1369723</v>
      </c>
      <c r="EI130" s="42">
        <v>1364673</v>
      </c>
      <c r="EJ130" s="42">
        <v>1359277</v>
      </c>
      <c r="EK130" s="42">
        <v>1353535</v>
      </c>
      <c r="EL130" s="42">
        <v>1347453</v>
      </c>
      <c r="EM130" s="42">
        <v>1341032</v>
      </c>
      <c r="EN130" s="42">
        <v>1335559</v>
      </c>
      <c r="EO130" s="42">
        <v>1329722</v>
      </c>
      <c r="EP130" s="42">
        <v>1323527</v>
      </c>
      <c r="EQ130" s="42">
        <v>1317100</v>
      </c>
      <c r="ER130" s="42">
        <v>1310081</v>
      </c>
      <c r="ES130" s="42">
        <v>1303062</v>
      </c>
      <c r="ET130" s="42">
        <v>1295797</v>
      </c>
      <c r="EU130" s="42">
        <v>1288293</v>
      </c>
      <c r="EV130" s="42">
        <v>1280551</v>
      </c>
      <c r="EW130" s="42">
        <v>1272578</v>
      </c>
    </row>
    <row r="131" spans="1:153">
      <c r="A131" s="38">
        <v>19</v>
      </c>
      <c r="B131" s="24">
        <v>243046</v>
      </c>
      <c r="D131" s="24">
        <v>247816</v>
      </c>
      <c r="E131" s="24">
        <v>252583</v>
      </c>
      <c r="F131" s="24">
        <v>257343</v>
      </c>
      <c r="G131" s="24">
        <v>262104</v>
      </c>
      <c r="H131" s="24">
        <v>266827</v>
      </c>
      <c r="I131" s="24">
        <v>268521</v>
      </c>
      <c r="J131" s="24">
        <v>270207</v>
      </c>
      <c r="K131" s="24">
        <v>271884</v>
      </c>
      <c r="L131" s="24">
        <v>273539</v>
      </c>
      <c r="M131" s="24">
        <v>275200</v>
      </c>
      <c r="N131" s="24">
        <v>275306</v>
      </c>
      <c r="O131" s="24">
        <v>275381</v>
      </c>
      <c r="P131" s="24">
        <v>275421</v>
      </c>
      <c r="Q131" s="24">
        <v>275420</v>
      </c>
      <c r="R131" s="24">
        <v>275394</v>
      </c>
      <c r="S131" s="24">
        <v>276819</v>
      </c>
      <c r="T131" s="24">
        <v>278192</v>
      </c>
      <c r="U131" s="24">
        <v>279511</v>
      </c>
      <c r="V131" s="24">
        <v>280775</v>
      </c>
      <c r="W131" s="24">
        <v>281980</v>
      </c>
      <c r="X131" s="24">
        <v>283852</v>
      </c>
      <c r="Y131" s="24">
        <v>285660</v>
      </c>
      <c r="Z131" s="24">
        <v>287402</v>
      </c>
      <c r="AA131" s="24">
        <v>289082</v>
      </c>
      <c r="AB131" s="24">
        <v>290680</v>
      </c>
      <c r="AC131" s="24">
        <v>291626</v>
      </c>
      <c r="AD131" s="24">
        <v>292501</v>
      </c>
      <c r="AE131" s="24"/>
      <c r="CN131" s="31" t="s">
        <v>46</v>
      </c>
      <c r="CO131" s="42">
        <v>969060</v>
      </c>
      <c r="CP131" s="42">
        <v>998517</v>
      </c>
      <c r="CQ131" s="42">
        <v>1027989</v>
      </c>
      <c r="CR131" s="42">
        <v>1057455</v>
      </c>
      <c r="CS131" s="42">
        <v>1086888</v>
      </c>
      <c r="CT131" s="42">
        <v>1116270</v>
      </c>
      <c r="CU131" s="42">
        <v>1137245</v>
      </c>
      <c r="CV131" s="42">
        <v>1158112</v>
      </c>
      <c r="CW131" s="42">
        <v>1178846</v>
      </c>
      <c r="CX131" s="42">
        <v>1199609</v>
      </c>
      <c r="CY131" s="42">
        <v>1219826</v>
      </c>
      <c r="CZ131" s="42">
        <v>1240819</v>
      </c>
      <c r="DA131" s="42">
        <v>1261794</v>
      </c>
      <c r="DB131" s="42">
        <v>1282734</v>
      </c>
      <c r="DC131" s="42">
        <v>1303683</v>
      </c>
      <c r="DD131" s="42">
        <v>1324442</v>
      </c>
      <c r="DE131" s="42">
        <v>1325270</v>
      </c>
      <c r="DF131" s="42">
        <v>1326063</v>
      </c>
      <c r="DG131" s="42">
        <v>1326808</v>
      </c>
      <c r="DH131" s="42">
        <v>1327447</v>
      </c>
      <c r="DI131" s="42">
        <v>1328100</v>
      </c>
      <c r="DJ131" s="42">
        <v>1330517</v>
      </c>
      <c r="DK131" s="42">
        <v>1332778</v>
      </c>
      <c r="DL131" s="42">
        <v>1334874</v>
      </c>
      <c r="DM131" s="42">
        <v>1336769</v>
      </c>
      <c r="DN131" s="42">
        <v>1338544</v>
      </c>
      <c r="DO131" s="42">
        <v>1346672</v>
      </c>
      <c r="DP131" s="42">
        <v>1354549</v>
      </c>
      <c r="DQ131" s="42">
        <v>1362162</v>
      </c>
      <c r="DR131" s="42">
        <v>1369509</v>
      </c>
      <c r="DS131" s="42">
        <v>1376558</v>
      </c>
      <c r="DT131" s="42">
        <v>1383872</v>
      </c>
      <c r="DU131" s="42">
        <v>1390872</v>
      </c>
      <c r="DV131" s="42">
        <v>1397551</v>
      </c>
      <c r="DW131" s="42">
        <v>1403927</v>
      </c>
      <c r="DX131" s="42">
        <v>1409907</v>
      </c>
      <c r="DY131" s="42">
        <v>1411600</v>
      </c>
      <c r="DZ131" s="42">
        <v>1412946</v>
      </c>
      <c r="EA131" s="42">
        <v>1413945</v>
      </c>
      <c r="EB131" s="42">
        <v>1414627</v>
      </c>
      <c r="EC131" s="42">
        <v>1414881</v>
      </c>
      <c r="ED131" s="42">
        <v>1411772</v>
      </c>
      <c r="EE131" s="42">
        <v>1408306</v>
      </c>
      <c r="EF131" s="42">
        <v>1404490</v>
      </c>
      <c r="EG131" s="42">
        <v>1400349</v>
      </c>
      <c r="EH131" s="42">
        <v>1395806</v>
      </c>
      <c r="EI131" s="42">
        <v>1390987</v>
      </c>
      <c r="EJ131" s="42">
        <v>1385813</v>
      </c>
      <c r="EK131" s="42">
        <v>1380289</v>
      </c>
      <c r="EL131" s="42">
        <v>1374418</v>
      </c>
      <c r="EM131" s="42">
        <v>1368203</v>
      </c>
      <c r="EN131" s="42">
        <v>1363227</v>
      </c>
      <c r="EO131" s="42">
        <v>1357880</v>
      </c>
      <c r="EP131" s="42">
        <v>1352168</v>
      </c>
      <c r="EQ131" s="42">
        <v>1346218</v>
      </c>
      <c r="ER131" s="42">
        <v>1339664</v>
      </c>
      <c r="ES131" s="42">
        <v>1333991</v>
      </c>
      <c r="ET131" s="42">
        <v>1328068</v>
      </c>
      <c r="EU131" s="42">
        <v>1321900</v>
      </c>
      <c r="EV131" s="42">
        <v>1315487</v>
      </c>
      <c r="EW131" s="42">
        <v>1308836</v>
      </c>
    </row>
    <row r="132" spans="1:153">
      <c r="A132" s="37" t="s">
        <v>74</v>
      </c>
      <c r="B132" s="32">
        <v>0</v>
      </c>
      <c r="D132" s="32">
        <v>0</v>
      </c>
      <c r="E132" s="32">
        <v>0</v>
      </c>
      <c r="F132" s="32">
        <v>0</v>
      </c>
      <c r="G132" s="32">
        <v>0</v>
      </c>
      <c r="H132" s="32">
        <v>0</v>
      </c>
      <c r="I132" s="32">
        <v>0</v>
      </c>
      <c r="J132" s="32">
        <v>0</v>
      </c>
      <c r="K132" s="32">
        <v>0</v>
      </c>
      <c r="L132" s="32">
        <v>0</v>
      </c>
      <c r="M132" s="32">
        <v>0</v>
      </c>
      <c r="N132" s="32">
        <v>0</v>
      </c>
      <c r="O132" s="32">
        <v>0</v>
      </c>
      <c r="P132" s="32">
        <v>0</v>
      </c>
      <c r="Q132" s="32">
        <v>0</v>
      </c>
      <c r="R132" s="32">
        <v>0</v>
      </c>
      <c r="S132" s="32">
        <v>0</v>
      </c>
      <c r="T132" s="32">
        <v>0</v>
      </c>
      <c r="U132" s="32">
        <v>0</v>
      </c>
      <c r="V132" s="32">
        <v>0</v>
      </c>
      <c r="W132" s="32">
        <v>0</v>
      </c>
      <c r="X132" s="32">
        <v>0</v>
      </c>
      <c r="Y132" s="32">
        <v>0</v>
      </c>
      <c r="Z132" s="32">
        <v>0</v>
      </c>
      <c r="AA132" s="32">
        <v>0</v>
      </c>
      <c r="AB132" s="32">
        <v>0</v>
      </c>
      <c r="AC132" s="32">
        <v>0</v>
      </c>
      <c r="AD132" s="32">
        <v>0</v>
      </c>
      <c r="AE132" s="32"/>
      <c r="CN132" s="31" t="s">
        <v>47</v>
      </c>
      <c r="CO132" s="42">
        <v>924954</v>
      </c>
      <c r="CP132" s="42">
        <v>933152</v>
      </c>
      <c r="CQ132" s="42">
        <v>941364</v>
      </c>
      <c r="CR132" s="42">
        <v>949567</v>
      </c>
      <c r="CS132" s="42">
        <v>957743</v>
      </c>
      <c r="CT132" s="42">
        <v>965872</v>
      </c>
      <c r="CU132" s="42">
        <v>995486</v>
      </c>
      <c r="CV132" s="42">
        <v>1025009</v>
      </c>
      <c r="CW132" s="42">
        <v>1054416</v>
      </c>
      <c r="CX132" s="42">
        <v>1083851</v>
      </c>
      <c r="CY132" s="42">
        <v>1112764</v>
      </c>
      <c r="CZ132" s="42">
        <v>1133501</v>
      </c>
      <c r="DA132" s="42">
        <v>1154222</v>
      </c>
      <c r="DB132" s="42">
        <v>1174911</v>
      </c>
      <c r="DC132" s="42">
        <v>1195607</v>
      </c>
      <c r="DD132" s="42">
        <v>1216142</v>
      </c>
      <c r="DE132" s="42">
        <v>1237167</v>
      </c>
      <c r="DF132" s="42">
        <v>1258161</v>
      </c>
      <c r="DG132" s="42">
        <v>1279110</v>
      </c>
      <c r="DH132" s="42">
        <v>1299958</v>
      </c>
      <c r="DI132" s="42">
        <v>1320813</v>
      </c>
      <c r="DJ132" s="42">
        <v>1321939</v>
      </c>
      <c r="DK132" s="42">
        <v>1322909</v>
      </c>
      <c r="DL132" s="42">
        <v>1323716</v>
      </c>
      <c r="DM132" s="42">
        <v>1324322</v>
      </c>
      <c r="DN132" s="42">
        <v>1324793</v>
      </c>
      <c r="DO132" s="42">
        <v>1327453</v>
      </c>
      <c r="DP132" s="42">
        <v>1329863</v>
      </c>
      <c r="DQ132" s="42">
        <v>1332013</v>
      </c>
      <c r="DR132" s="42">
        <v>1333904</v>
      </c>
      <c r="DS132" s="42">
        <v>1335519</v>
      </c>
      <c r="DT132" s="42">
        <v>1343786</v>
      </c>
      <c r="DU132" s="42">
        <v>1351747</v>
      </c>
      <c r="DV132" s="42">
        <v>1359398</v>
      </c>
      <c r="DW132" s="42">
        <v>1366754</v>
      </c>
      <c r="DX132" s="42">
        <v>1373722</v>
      </c>
      <c r="DY132" s="42">
        <v>1381112</v>
      </c>
      <c r="DZ132" s="42">
        <v>1388167</v>
      </c>
      <c r="EA132" s="42">
        <v>1394883</v>
      </c>
      <c r="EB132" s="42">
        <v>1401281</v>
      </c>
      <c r="EC132" s="42">
        <v>1407257</v>
      </c>
      <c r="ED132" s="42">
        <v>1408999</v>
      </c>
      <c r="EE132" s="42">
        <v>1410391</v>
      </c>
      <c r="EF132" s="42">
        <v>1411431</v>
      </c>
      <c r="EG132" s="42">
        <v>1412140</v>
      </c>
      <c r="EH132" s="42">
        <v>1412447</v>
      </c>
      <c r="EI132" s="42">
        <v>1409391</v>
      </c>
      <c r="EJ132" s="42">
        <v>1405978</v>
      </c>
      <c r="EK132" s="42">
        <v>1402212</v>
      </c>
      <c r="EL132" s="42">
        <v>1398092</v>
      </c>
      <c r="EM132" s="42">
        <v>1393615</v>
      </c>
      <c r="EN132" s="42">
        <v>1388881</v>
      </c>
      <c r="EO132" s="42">
        <v>1383771</v>
      </c>
      <c r="EP132" s="42">
        <v>1378287</v>
      </c>
      <c r="EQ132" s="42">
        <v>1372563</v>
      </c>
      <c r="ER132" s="42">
        <v>1366219</v>
      </c>
      <c r="ES132" s="42">
        <v>1361049</v>
      </c>
      <c r="ET132" s="42">
        <v>1355625</v>
      </c>
      <c r="EU132" s="42">
        <v>1349948</v>
      </c>
      <c r="EV132" s="42">
        <v>1344025</v>
      </c>
      <c r="EW132" s="42">
        <v>1337856</v>
      </c>
    </row>
    <row r="133" spans="1:153">
      <c r="A133" s="38">
        <v>20</v>
      </c>
      <c r="B133" s="24">
        <v>239240</v>
      </c>
      <c r="D133" s="24">
        <v>243463</v>
      </c>
      <c r="E133" s="24">
        <v>247682</v>
      </c>
      <c r="F133" s="24">
        <v>251893</v>
      </c>
      <c r="G133" s="24">
        <v>256107</v>
      </c>
      <c r="H133" s="24">
        <v>260283</v>
      </c>
      <c r="I133" s="24">
        <v>263319</v>
      </c>
      <c r="J133" s="24">
        <v>266348</v>
      </c>
      <c r="K133" s="24">
        <v>269367</v>
      </c>
      <c r="L133" s="24">
        <v>272364</v>
      </c>
      <c r="M133" s="24">
        <v>275366</v>
      </c>
      <c r="N133" s="24">
        <v>275207</v>
      </c>
      <c r="O133" s="24">
        <v>275014</v>
      </c>
      <c r="P133" s="24">
        <v>274787</v>
      </c>
      <c r="Q133" s="24">
        <v>274518</v>
      </c>
      <c r="R133" s="24">
        <v>274227</v>
      </c>
      <c r="S133" s="24">
        <v>275364</v>
      </c>
      <c r="T133" s="24">
        <v>276452</v>
      </c>
      <c r="U133" s="24">
        <v>277484</v>
      </c>
      <c r="V133" s="24">
        <v>278463</v>
      </c>
      <c r="W133" s="24">
        <v>279382</v>
      </c>
      <c r="X133" s="24">
        <v>281343</v>
      </c>
      <c r="Y133" s="24">
        <v>283243</v>
      </c>
      <c r="Z133" s="24">
        <v>285074</v>
      </c>
      <c r="AA133" s="24">
        <v>286845</v>
      </c>
      <c r="AB133" s="24">
        <v>288536</v>
      </c>
      <c r="AC133" s="24">
        <v>289757</v>
      </c>
      <c r="AD133" s="24">
        <v>290907</v>
      </c>
      <c r="AE133" s="24"/>
      <c r="CN133" s="31" t="s">
        <v>48</v>
      </c>
      <c r="CO133" s="42">
        <v>855641</v>
      </c>
      <c r="CP133" s="42">
        <v>868784</v>
      </c>
      <c r="CQ133" s="42">
        <v>881942</v>
      </c>
      <c r="CR133" s="42">
        <v>895091</v>
      </c>
      <c r="CS133" s="42">
        <v>908215</v>
      </c>
      <c r="CT133" s="42">
        <v>921300</v>
      </c>
      <c r="CU133" s="42">
        <v>929698</v>
      </c>
      <c r="CV133" s="42">
        <v>938005</v>
      </c>
      <c r="CW133" s="42">
        <v>946203</v>
      </c>
      <c r="CX133" s="42">
        <v>954424</v>
      </c>
      <c r="CY133" s="42">
        <v>962200</v>
      </c>
      <c r="CZ133" s="42">
        <v>991552</v>
      </c>
      <c r="DA133" s="42">
        <v>1020892</v>
      </c>
      <c r="DB133" s="42">
        <v>1050205</v>
      </c>
      <c r="DC133" s="42">
        <v>1079524</v>
      </c>
      <c r="DD133" s="42">
        <v>1108670</v>
      </c>
      <c r="DE133" s="42">
        <v>1129435</v>
      </c>
      <c r="DF133" s="42">
        <v>1150170</v>
      </c>
      <c r="DG133" s="42">
        <v>1170866</v>
      </c>
      <c r="DH133" s="42">
        <v>1191468</v>
      </c>
      <c r="DI133" s="42">
        <v>1212068</v>
      </c>
      <c r="DJ133" s="42">
        <v>1233317</v>
      </c>
      <c r="DK133" s="42">
        <v>1254428</v>
      </c>
      <c r="DL133" s="42">
        <v>1275387</v>
      </c>
      <c r="DM133" s="42">
        <v>1296151</v>
      </c>
      <c r="DN133" s="42">
        <v>1316785</v>
      </c>
      <c r="DO133" s="42">
        <v>1318161</v>
      </c>
      <c r="DP133" s="42">
        <v>1319286</v>
      </c>
      <c r="DQ133" s="42">
        <v>1320154</v>
      </c>
      <c r="DR133" s="42">
        <v>1320767</v>
      </c>
      <c r="DS133" s="42">
        <v>1321097</v>
      </c>
      <c r="DT133" s="42">
        <v>1323914</v>
      </c>
      <c r="DU133" s="42">
        <v>1326428</v>
      </c>
      <c r="DV133" s="42">
        <v>1328634</v>
      </c>
      <c r="DW133" s="42">
        <v>1330554</v>
      </c>
      <c r="DX133" s="42">
        <v>1332100</v>
      </c>
      <c r="DY133" s="42">
        <v>1340442</v>
      </c>
      <c r="DZ133" s="42">
        <v>1348460</v>
      </c>
      <c r="EA133" s="42">
        <v>1356147</v>
      </c>
      <c r="EB133" s="42">
        <v>1363528</v>
      </c>
      <c r="EC133" s="42">
        <v>1370494</v>
      </c>
      <c r="ED133" s="42">
        <v>1377927</v>
      </c>
      <c r="EE133" s="42">
        <v>1385023</v>
      </c>
      <c r="EF133" s="42">
        <v>1391775</v>
      </c>
      <c r="EG133" s="42">
        <v>1398200</v>
      </c>
      <c r="EH133" s="42">
        <v>1404217</v>
      </c>
      <c r="EI133" s="42">
        <v>1406010</v>
      </c>
      <c r="EJ133" s="42">
        <v>1407451</v>
      </c>
      <c r="EK133" s="42">
        <v>1408538</v>
      </c>
      <c r="EL133" s="42">
        <v>1409266</v>
      </c>
      <c r="EM133" s="42">
        <v>1409636</v>
      </c>
      <c r="EN133" s="42">
        <v>1406670</v>
      </c>
      <c r="EO133" s="42">
        <v>1403326</v>
      </c>
      <c r="EP133" s="42">
        <v>1399606</v>
      </c>
      <c r="EQ133" s="42">
        <v>1395634</v>
      </c>
      <c r="ER133" s="42">
        <v>1391036</v>
      </c>
      <c r="ES133" s="42">
        <v>1386115</v>
      </c>
      <c r="ET133" s="42">
        <v>1380935</v>
      </c>
      <c r="EU133" s="42">
        <v>1375500</v>
      </c>
      <c r="EV133" s="42">
        <v>1369810</v>
      </c>
      <c r="EW133" s="42">
        <v>1363869</v>
      </c>
    </row>
    <row r="134" spans="1:153">
      <c r="A134" s="38">
        <v>21</v>
      </c>
      <c r="B134" s="24">
        <v>234936</v>
      </c>
      <c r="D134" s="24">
        <v>238748</v>
      </c>
      <c r="E134" s="24">
        <v>242556</v>
      </c>
      <c r="F134" s="24">
        <v>246358</v>
      </c>
      <c r="G134" s="24">
        <v>250161</v>
      </c>
      <c r="H134" s="24">
        <v>253927</v>
      </c>
      <c r="I134" s="24">
        <v>258148</v>
      </c>
      <c r="J134" s="24">
        <v>262363</v>
      </c>
      <c r="K134" s="24">
        <v>266568</v>
      </c>
      <c r="L134" s="24">
        <v>270752</v>
      </c>
      <c r="M134" s="24">
        <v>274942</v>
      </c>
      <c r="N134" s="24">
        <v>274610</v>
      </c>
      <c r="O134" s="24">
        <v>274247</v>
      </c>
      <c r="P134" s="24">
        <v>273849</v>
      </c>
      <c r="Q134" s="24">
        <v>273410</v>
      </c>
      <c r="R134" s="24">
        <v>272946</v>
      </c>
      <c r="S134" s="24">
        <v>273839</v>
      </c>
      <c r="T134" s="24">
        <v>274679</v>
      </c>
      <c r="U134" s="24">
        <v>275467</v>
      </c>
      <c r="V134" s="24">
        <v>276201</v>
      </c>
      <c r="W134" s="24">
        <v>276875</v>
      </c>
      <c r="X134" s="24">
        <v>278896</v>
      </c>
      <c r="Y134" s="24">
        <v>280853</v>
      </c>
      <c r="Z134" s="24">
        <v>282746</v>
      </c>
      <c r="AA134" s="24">
        <v>284577</v>
      </c>
      <c r="AB134" s="24">
        <v>286328</v>
      </c>
      <c r="AC134" s="24">
        <v>287798</v>
      </c>
      <c r="AD134" s="24">
        <v>289199</v>
      </c>
      <c r="AE134" s="24"/>
      <c r="CN134" s="31" t="s">
        <v>49</v>
      </c>
      <c r="CO134" s="42">
        <v>708900</v>
      </c>
      <c r="CP134" s="42">
        <v>737381</v>
      </c>
      <c r="CQ134" s="42">
        <v>765875</v>
      </c>
      <c r="CR134" s="42">
        <v>794364</v>
      </c>
      <c r="CS134" s="42">
        <v>822829</v>
      </c>
      <c r="CT134" s="42">
        <v>851260</v>
      </c>
      <c r="CU134" s="42">
        <v>864564</v>
      </c>
      <c r="CV134" s="42">
        <v>877785</v>
      </c>
      <c r="CW134" s="42">
        <v>890904</v>
      </c>
      <c r="CX134" s="42">
        <v>904046</v>
      </c>
      <c r="CY134" s="42">
        <v>916758</v>
      </c>
      <c r="CZ134" s="42">
        <v>924979</v>
      </c>
      <c r="DA134" s="42">
        <v>933184</v>
      </c>
      <c r="DB134" s="42">
        <v>941364</v>
      </c>
      <c r="DC134" s="42">
        <v>949550</v>
      </c>
      <c r="DD134" s="42">
        <v>957602</v>
      </c>
      <c r="DE134" s="42">
        <v>986919</v>
      </c>
      <c r="DF134" s="42">
        <v>1016213</v>
      </c>
      <c r="DG134" s="42">
        <v>1045471</v>
      </c>
      <c r="DH134" s="42">
        <v>1074645</v>
      </c>
      <c r="DI134" s="42">
        <v>1103825</v>
      </c>
      <c r="DJ134" s="42">
        <v>1124781</v>
      </c>
      <c r="DK134" s="42">
        <v>1145615</v>
      </c>
      <c r="DL134" s="42">
        <v>1166307</v>
      </c>
      <c r="DM134" s="42">
        <v>1186822</v>
      </c>
      <c r="DN134" s="42">
        <v>1207220</v>
      </c>
      <c r="DO134" s="42">
        <v>1228649</v>
      </c>
      <c r="DP134" s="42">
        <v>1249856</v>
      </c>
      <c r="DQ134" s="42">
        <v>1270825</v>
      </c>
      <c r="DR134" s="42">
        <v>1291542</v>
      </c>
      <c r="DS134" s="42">
        <v>1311952</v>
      </c>
      <c r="DT134" s="42">
        <v>1313499</v>
      </c>
      <c r="DU134" s="42">
        <v>1314745</v>
      </c>
      <c r="DV134" s="42">
        <v>1315685</v>
      </c>
      <c r="DW134" s="42">
        <v>1316342</v>
      </c>
      <c r="DX134" s="42">
        <v>1316631</v>
      </c>
      <c r="DY134" s="42">
        <v>1319547</v>
      </c>
      <c r="DZ134" s="42">
        <v>1322139</v>
      </c>
      <c r="EA134" s="42">
        <v>1324407</v>
      </c>
      <c r="EB134" s="42">
        <v>1326376</v>
      </c>
      <c r="EC134" s="42">
        <v>1327944</v>
      </c>
      <c r="ED134" s="42">
        <v>1336333</v>
      </c>
      <c r="EE134" s="42">
        <v>1344395</v>
      </c>
      <c r="EF134" s="42">
        <v>1352122</v>
      </c>
      <c r="EG134" s="42">
        <v>1359535</v>
      </c>
      <c r="EH134" s="42">
        <v>1366547</v>
      </c>
      <c r="EI134" s="42">
        <v>1374024</v>
      </c>
      <c r="EJ134" s="42">
        <v>1381161</v>
      </c>
      <c r="EK134" s="42">
        <v>1387951</v>
      </c>
      <c r="EL134" s="42">
        <v>1394388</v>
      </c>
      <c r="EM134" s="42">
        <v>1400468</v>
      </c>
      <c r="EN134" s="42">
        <v>1402352</v>
      </c>
      <c r="EO134" s="42">
        <v>1403862</v>
      </c>
      <c r="EP134" s="42">
        <v>1404995</v>
      </c>
      <c r="EQ134" s="42">
        <v>1405880</v>
      </c>
      <c r="ER134" s="42">
        <v>1406126</v>
      </c>
      <c r="ES134" s="42">
        <v>1402979</v>
      </c>
      <c r="ET134" s="42">
        <v>1399574</v>
      </c>
      <c r="EU134" s="42">
        <v>1395902</v>
      </c>
      <c r="EV134" s="42">
        <v>1391977</v>
      </c>
      <c r="EW134" s="42">
        <v>1387795</v>
      </c>
    </row>
    <row r="135" spans="1:153">
      <c r="A135" s="38">
        <v>22</v>
      </c>
      <c r="B135" s="24">
        <v>229514</v>
      </c>
      <c r="D135" s="24">
        <v>233245</v>
      </c>
      <c r="E135" s="24">
        <v>236973</v>
      </c>
      <c r="F135" s="24">
        <v>240695</v>
      </c>
      <c r="G135" s="24">
        <v>244418</v>
      </c>
      <c r="H135" s="24">
        <v>248105</v>
      </c>
      <c r="I135" s="24">
        <v>253081</v>
      </c>
      <c r="J135" s="24">
        <v>258052</v>
      </c>
      <c r="K135" s="24">
        <v>263013</v>
      </c>
      <c r="L135" s="24">
        <v>267954</v>
      </c>
      <c r="M135" s="24">
        <v>272900</v>
      </c>
      <c r="N135" s="24">
        <v>272800</v>
      </c>
      <c r="O135" s="24">
        <v>272668</v>
      </c>
      <c r="P135" s="24">
        <v>272502</v>
      </c>
      <c r="Q135" s="24">
        <v>272296</v>
      </c>
      <c r="R135" s="24">
        <v>272064</v>
      </c>
      <c r="S135" s="24">
        <v>272710</v>
      </c>
      <c r="T135" s="24">
        <v>273303</v>
      </c>
      <c r="U135" s="24">
        <v>273844</v>
      </c>
      <c r="V135" s="24">
        <v>274331</v>
      </c>
      <c r="W135" s="24">
        <v>274760</v>
      </c>
      <c r="X135" s="24">
        <v>276728</v>
      </c>
      <c r="Y135" s="24">
        <v>278634</v>
      </c>
      <c r="Z135" s="24">
        <v>280476</v>
      </c>
      <c r="AA135" s="24">
        <v>282257</v>
      </c>
      <c r="AB135" s="24">
        <v>283957</v>
      </c>
      <c r="AC135" s="24">
        <v>285634</v>
      </c>
      <c r="AD135" s="24">
        <v>287242</v>
      </c>
      <c r="AE135" s="24"/>
      <c r="CN135" s="31" t="s">
        <v>50</v>
      </c>
      <c r="CO135" s="42">
        <v>612028</v>
      </c>
      <c r="CP135" s="42">
        <v>630462</v>
      </c>
      <c r="CQ135" s="42">
        <v>648906</v>
      </c>
      <c r="CR135" s="42">
        <v>667345</v>
      </c>
      <c r="CS135" s="42">
        <v>685765</v>
      </c>
      <c r="CT135" s="42">
        <v>704158</v>
      </c>
      <c r="CU135" s="42">
        <v>732670</v>
      </c>
      <c r="CV135" s="42">
        <v>761118</v>
      </c>
      <c r="CW135" s="42">
        <v>789481</v>
      </c>
      <c r="CX135" s="42">
        <v>817864</v>
      </c>
      <c r="CY135" s="42">
        <v>845863</v>
      </c>
      <c r="CZ135" s="42">
        <v>858974</v>
      </c>
      <c r="DA135" s="42">
        <v>872071</v>
      </c>
      <c r="DB135" s="42">
        <v>885145</v>
      </c>
      <c r="DC135" s="42">
        <v>898224</v>
      </c>
      <c r="DD135" s="42">
        <v>911175</v>
      </c>
      <c r="DE135" s="42">
        <v>919453</v>
      </c>
      <c r="DF135" s="42">
        <v>927707</v>
      </c>
      <c r="DG135" s="42">
        <v>935928</v>
      </c>
      <c r="DH135" s="42">
        <v>944075</v>
      </c>
      <c r="DI135" s="42">
        <v>952240</v>
      </c>
      <c r="DJ135" s="42">
        <v>981664</v>
      </c>
      <c r="DK135" s="42">
        <v>1010984</v>
      </c>
      <c r="DL135" s="42">
        <v>1040183</v>
      </c>
      <c r="DM135" s="42">
        <v>1069220</v>
      </c>
      <c r="DN135" s="42">
        <v>1098141</v>
      </c>
      <c r="DO135" s="42">
        <v>1119246</v>
      </c>
      <c r="DP135" s="42">
        <v>1140149</v>
      </c>
      <c r="DQ135" s="42">
        <v>1160834</v>
      </c>
      <c r="DR135" s="42">
        <v>1181290</v>
      </c>
      <c r="DS135" s="42">
        <v>1201486</v>
      </c>
      <c r="DT135" s="42">
        <v>1222994</v>
      </c>
      <c r="DU135" s="42">
        <v>1244235</v>
      </c>
      <c r="DV135" s="42">
        <v>1265193</v>
      </c>
      <c r="DW135" s="42">
        <v>1285872</v>
      </c>
      <c r="DX135" s="42">
        <v>1306180</v>
      </c>
      <c r="DY135" s="42">
        <v>1307842</v>
      </c>
      <c r="DZ135" s="42">
        <v>1309185</v>
      </c>
      <c r="EA135" s="42">
        <v>1310204</v>
      </c>
      <c r="EB135" s="42">
        <v>1310928</v>
      </c>
      <c r="EC135" s="42">
        <v>1311259</v>
      </c>
      <c r="ED135" s="42">
        <v>1314244</v>
      </c>
      <c r="EE135" s="42">
        <v>1316903</v>
      </c>
      <c r="EF135" s="42">
        <v>1319234</v>
      </c>
      <c r="EG135" s="42">
        <v>1321257</v>
      </c>
      <c r="EH135" s="42">
        <v>1322898</v>
      </c>
      <c r="EI135" s="42">
        <v>1331332</v>
      </c>
      <c r="EJ135" s="42">
        <v>1339437</v>
      </c>
      <c r="EK135" s="42">
        <v>1347205</v>
      </c>
      <c r="EL135" s="42">
        <v>1354631</v>
      </c>
      <c r="EM135" s="42">
        <v>1361710</v>
      </c>
      <c r="EN135" s="42">
        <v>1369267</v>
      </c>
      <c r="EO135" s="42">
        <v>1376463</v>
      </c>
      <c r="EP135" s="42">
        <v>1383290</v>
      </c>
      <c r="EQ135" s="42">
        <v>1389873</v>
      </c>
      <c r="ER135" s="42">
        <v>1395818</v>
      </c>
      <c r="ES135" s="42">
        <v>1397515</v>
      </c>
      <c r="ET135" s="42">
        <v>1398955</v>
      </c>
      <c r="EU135" s="42">
        <v>1400138</v>
      </c>
      <c r="EV135" s="42">
        <v>1401059</v>
      </c>
      <c r="EW135" s="42">
        <v>1401725</v>
      </c>
    </row>
    <row r="136" spans="1:153">
      <c r="A136" s="38">
        <v>23</v>
      </c>
      <c r="B136" s="24">
        <v>222579</v>
      </c>
      <c r="D136" s="24">
        <v>226731</v>
      </c>
      <c r="E136" s="24">
        <v>230880</v>
      </c>
      <c r="F136" s="24">
        <v>235023</v>
      </c>
      <c r="G136" s="24">
        <v>239167</v>
      </c>
      <c r="H136" s="24">
        <v>243276</v>
      </c>
      <c r="I136" s="24">
        <v>248380</v>
      </c>
      <c r="J136" s="24">
        <v>253477</v>
      </c>
      <c r="K136" s="24">
        <v>258566</v>
      </c>
      <c r="L136" s="24">
        <v>263634</v>
      </c>
      <c r="M136" s="24">
        <v>268707</v>
      </c>
      <c r="N136" s="24">
        <v>269370</v>
      </c>
      <c r="O136" s="24">
        <v>270002</v>
      </c>
      <c r="P136" s="24">
        <v>270601</v>
      </c>
      <c r="Q136" s="24">
        <v>271159</v>
      </c>
      <c r="R136" s="24">
        <v>271691</v>
      </c>
      <c r="S136" s="24">
        <v>272099</v>
      </c>
      <c r="T136" s="24">
        <v>272455</v>
      </c>
      <c r="U136" s="24">
        <v>272757</v>
      </c>
      <c r="V136" s="24">
        <v>273007</v>
      </c>
      <c r="W136" s="24">
        <v>273198</v>
      </c>
      <c r="X136" s="24">
        <v>274977</v>
      </c>
      <c r="Y136" s="24">
        <v>276693</v>
      </c>
      <c r="Z136" s="24">
        <v>278346</v>
      </c>
      <c r="AA136" s="24">
        <v>279939</v>
      </c>
      <c r="AB136" s="24">
        <v>281452</v>
      </c>
      <c r="AC136" s="24">
        <v>283278</v>
      </c>
      <c r="AD136" s="24">
        <v>285036</v>
      </c>
      <c r="AE136" s="24"/>
      <c r="CN136" s="31" t="s">
        <v>51</v>
      </c>
      <c r="CO136" s="42">
        <v>497557</v>
      </c>
      <c r="CP136" s="42">
        <v>519317</v>
      </c>
      <c r="CQ136" s="42">
        <v>541086</v>
      </c>
      <c r="CR136" s="42">
        <v>562851</v>
      </c>
      <c r="CS136" s="42">
        <v>584600</v>
      </c>
      <c r="CT136" s="42">
        <v>606330</v>
      </c>
      <c r="CU136" s="42">
        <v>624831</v>
      </c>
      <c r="CV136" s="42">
        <v>643274</v>
      </c>
      <c r="CW136" s="42">
        <v>661646</v>
      </c>
      <c r="CX136" s="42">
        <v>680034</v>
      </c>
      <c r="CY136" s="42">
        <v>698101</v>
      </c>
      <c r="CZ136" s="42">
        <v>726321</v>
      </c>
      <c r="DA136" s="42">
        <v>754531</v>
      </c>
      <c r="DB136" s="42">
        <v>782723</v>
      </c>
      <c r="DC136" s="42">
        <v>810919</v>
      </c>
      <c r="DD136" s="42">
        <v>839003</v>
      </c>
      <c r="DE136" s="42">
        <v>852136</v>
      </c>
      <c r="DF136" s="42">
        <v>865248</v>
      </c>
      <c r="DG136" s="42">
        <v>878329</v>
      </c>
      <c r="DH136" s="42">
        <v>891341</v>
      </c>
      <c r="DI136" s="42">
        <v>904351</v>
      </c>
      <c r="DJ136" s="42">
        <v>912835</v>
      </c>
      <c r="DK136" s="42">
        <v>921213</v>
      </c>
      <c r="DL136" s="42">
        <v>929479</v>
      </c>
      <c r="DM136" s="42">
        <v>937604</v>
      </c>
      <c r="DN136" s="42">
        <v>945641</v>
      </c>
      <c r="DO136" s="42">
        <v>975110</v>
      </c>
      <c r="DP136" s="42">
        <v>1004411</v>
      </c>
      <c r="DQ136" s="42">
        <v>1033522</v>
      </c>
      <c r="DR136" s="42">
        <v>1062426</v>
      </c>
      <c r="DS136" s="42">
        <v>1091080</v>
      </c>
      <c r="DT136" s="42">
        <v>1112242</v>
      </c>
      <c r="DU136" s="42">
        <v>1133161</v>
      </c>
      <c r="DV136" s="42">
        <v>1153824</v>
      </c>
      <c r="DW136" s="42">
        <v>1174232</v>
      </c>
      <c r="DX136" s="42">
        <v>1194301</v>
      </c>
      <c r="DY136" s="42">
        <v>1215820</v>
      </c>
      <c r="DZ136" s="42">
        <v>1237057</v>
      </c>
      <c r="EA136" s="42">
        <v>1257992</v>
      </c>
      <c r="EB136" s="42">
        <v>1278640</v>
      </c>
      <c r="EC136" s="42">
        <v>1298891</v>
      </c>
      <c r="ED136" s="42">
        <v>1300646</v>
      </c>
      <c r="EE136" s="42">
        <v>1302078</v>
      </c>
      <c r="EF136" s="42">
        <v>1303185</v>
      </c>
      <c r="EG136" s="42">
        <v>1303989</v>
      </c>
      <c r="EH136" s="42">
        <v>1304415</v>
      </c>
      <c r="EI136" s="42">
        <v>1307478</v>
      </c>
      <c r="EJ136" s="42">
        <v>1310214</v>
      </c>
      <c r="EK136" s="42">
        <v>1312619</v>
      </c>
      <c r="EL136" s="42">
        <v>1314693</v>
      </c>
      <c r="EM136" s="42">
        <v>1316429</v>
      </c>
      <c r="EN136" s="42">
        <v>1324938</v>
      </c>
      <c r="EO136" s="42">
        <v>1333098</v>
      </c>
      <c r="EP136" s="42">
        <v>1340902</v>
      </c>
      <c r="EQ136" s="42">
        <v>1348470</v>
      </c>
      <c r="ER136" s="42">
        <v>1355419</v>
      </c>
      <c r="ES136" s="42">
        <v>1362777</v>
      </c>
      <c r="ET136" s="42">
        <v>1369887</v>
      </c>
      <c r="EU136" s="42">
        <v>1376744</v>
      </c>
      <c r="EV136" s="42">
        <v>1383347</v>
      </c>
      <c r="EW136" s="42">
        <v>1389691</v>
      </c>
    </row>
    <row r="137" spans="1:153">
      <c r="A137" s="38">
        <v>24</v>
      </c>
      <c r="B137" s="24">
        <v>214708</v>
      </c>
      <c r="D137" s="24">
        <v>219599</v>
      </c>
      <c r="E137" s="24">
        <v>224488</v>
      </c>
      <c r="F137" s="24">
        <v>229370</v>
      </c>
      <c r="G137" s="24">
        <v>234254</v>
      </c>
      <c r="H137" s="24">
        <v>239103</v>
      </c>
      <c r="I137" s="24">
        <v>243883</v>
      </c>
      <c r="J137" s="24">
        <v>248657</v>
      </c>
      <c r="K137" s="24">
        <v>253422</v>
      </c>
      <c r="L137" s="24">
        <v>258167</v>
      </c>
      <c r="M137" s="24">
        <v>262916</v>
      </c>
      <c r="N137" s="24">
        <v>264703</v>
      </c>
      <c r="O137" s="24">
        <v>266460</v>
      </c>
      <c r="P137" s="24">
        <v>268184</v>
      </c>
      <c r="Q137" s="24">
        <v>269867</v>
      </c>
      <c r="R137" s="24">
        <v>271524</v>
      </c>
      <c r="S137" s="24">
        <v>271737</v>
      </c>
      <c r="T137" s="24">
        <v>271898</v>
      </c>
      <c r="U137" s="24">
        <v>272006</v>
      </c>
      <c r="V137" s="24">
        <v>272061</v>
      </c>
      <c r="W137" s="24">
        <v>272058</v>
      </c>
      <c r="X137" s="24">
        <v>273551</v>
      </c>
      <c r="Y137" s="24">
        <v>274983</v>
      </c>
      <c r="Z137" s="24">
        <v>276351</v>
      </c>
      <c r="AA137" s="24">
        <v>277659</v>
      </c>
      <c r="AB137" s="24">
        <v>278889</v>
      </c>
      <c r="AC137" s="24">
        <v>280810</v>
      </c>
      <c r="AD137" s="24">
        <v>282663</v>
      </c>
      <c r="AE137" s="24"/>
      <c r="CN137" s="31" t="s">
        <v>52</v>
      </c>
      <c r="CO137" s="42">
        <v>380100</v>
      </c>
      <c r="CP137" s="42">
        <v>402222</v>
      </c>
      <c r="CQ137" s="42">
        <v>424349</v>
      </c>
      <c r="CR137" s="42">
        <v>446475</v>
      </c>
      <c r="CS137" s="42">
        <v>468588</v>
      </c>
      <c r="CT137" s="42">
        <v>490661</v>
      </c>
      <c r="CU137" s="42">
        <v>512379</v>
      </c>
      <c r="CV137" s="42">
        <v>534051</v>
      </c>
      <c r="CW137" s="42">
        <v>555665</v>
      </c>
      <c r="CX137" s="42">
        <v>577294</v>
      </c>
      <c r="CY137" s="42">
        <v>598643</v>
      </c>
      <c r="CZ137" s="42">
        <v>616909</v>
      </c>
      <c r="DA137" s="42">
        <v>635168</v>
      </c>
      <c r="DB137" s="42">
        <v>653410</v>
      </c>
      <c r="DC137" s="42">
        <v>671656</v>
      </c>
      <c r="DD137" s="42">
        <v>689802</v>
      </c>
      <c r="DE137" s="42">
        <v>717848</v>
      </c>
      <c r="DF137" s="42">
        <v>745877</v>
      </c>
      <c r="DG137" s="42">
        <v>773880</v>
      </c>
      <c r="DH137" s="42">
        <v>801823</v>
      </c>
      <c r="DI137" s="42">
        <v>829766</v>
      </c>
      <c r="DJ137" s="42">
        <v>843046</v>
      </c>
      <c r="DK137" s="42">
        <v>856232</v>
      </c>
      <c r="DL137" s="42">
        <v>869313</v>
      </c>
      <c r="DM137" s="42">
        <v>882262</v>
      </c>
      <c r="DN137" s="42">
        <v>895126</v>
      </c>
      <c r="DO137" s="42">
        <v>903789</v>
      </c>
      <c r="DP137" s="42">
        <v>912284</v>
      </c>
      <c r="DQ137" s="42">
        <v>920603</v>
      </c>
      <c r="DR137" s="42">
        <v>928741</v>
      </c>
      <c r="DS137" s="42">
        <v>936676</v>
      </c>
      <c r="DT137" s="42">
        <v>966075</v>
      </c>
      <c r="DU137" s="42">
        <v>995273</v>
      </c>
      <c r="DV137" s="42">
        <v>1024246</v>
      </c>
      <c r="DW137" s="42">
        <v>1052993</v>
      </c>
      <c r="DX137" s="42">
        <v>1081424</v>
      </c>
      <c r="DY137" s="42">
        <v>1102569</v>
      </c>
      <c r="DZ137" s="42">
        <v>1123459</v>
      </c>
      <c r="EA137" s="42">
        <v>1144076</v>
      </c>
      <c r="EB137" s="42">
        <v>1164432</v>
      </c>
      <c r="EC137" s="42">
        <v>1184424</v>
      </c>
      <c r="ED137" s="42">
        <v>1205904</v>
      </c>
      <c r="EE137" s="42">
        <v>1227101</v>
      </c>
      <c r="EF137" s="42">
        <v>1247996</v>
      </c>
      <c r="EG137" s="42">
        <v>1268596</v>
      </c>
      <c r="EH137" s="42">
        <v>1288812</v>
      </c>
      <c r="EI137" s="42">
        <v>1290679</v>
      </c>
      <c r="EJ137" s="42">
        <v>1292223</v>
      </c>
      <c r="EK137" s="42">
        <v>1293440</v>
      </c>
      <c r="EL137" s="42">
        <v>1294331</v>
      </c>
      <c r="EM137" s="42">
        <v>1294892</v>
      </c>
      <c r="EN137" s="42">
        <v>1298077</v>
      </c>
      <c r="EO137" s="42">
        <v>1300915</v>
      </c>
      <c r="EP137" s="42">
        <v>1303406</v>
      </c>
      <c r="EQ137" s="42">
        <v>1305666</v>
      </c>
      <c r="ER137" s="42">
        <v>1307332</v>
      </c>
      <c r="ES137" s="42">
        <v>1315655</v>
      </c>
      <c r="ET137" s="42">
        <v>1323738</v>
      </c>
      <c r="EU137" s="42">
        <v>1331579</v>
      </c>
      <c r="EV137" s="42">
        <v>1339172</v>
      </c>
      <c r="EW137" s="42">
        <v>1346513</v>
      </c>
    </row>
    <row r="138" spans="1:153">
      <c r="A138" s="39" t="s">
        <v>75</v>
      </c>
      <c r="B138" s="32">
        <v>0</v>
      </c>
      <c r="D138" s="32">
        <v>0</v>
      </c>
      <c r="E138" s="32">
        <v>0</v>
      </c>
      <c r="F138" s="32">
        <v>0</v>
      </c>
      <c r="G138" s="32">
        <v>0</v>
      </c>
      <c r="H138" s="32">
        <v>0</v>
      </c>
      <c r="I138" s="32">
        <v>0</v>
      </c>
      <c r="J138" s="32">
        <v>0</v>
      </c>
      <c r="K138" s="32">
        <v>0</v>
      </c>
      <c r="L138" s="32">
        <v>0</v>
      </c>
      <c r="M138" s="32">
        <v>0</v>
      </c>
      <c r="N138" s="32">
        <v>0</v>
      </c>
      <c r="O138" s="32">
        <v>0</v>
      </c>
      <c r="P138" s="32">
        <v>0</v>
      </c>
      <c r="Q138" s="32">
        <v>0</v>
      </c>
      <c r="R138" s="32">
        <v>0</v>
      </c>
      <c r="S138" s="32">
        <v>0</v>
      </c>
      <c r="T138" s="32">
        <v>0</v>
      </c>
      <c r="U138" s="32">
        <v>0</v>
      </c>
      <c r="V138" s="32">
        <v>0</v>
      </c>
      <c r="W138" s="32">
        <v>0</v>
      </c>
      <c r="X138" s="32">
        <v>0</v>
      </c>
      <c r="Y138" s="32">
        <v>0</v>
      </c>
      <c r="Z138" s="32">
        <v>0</v>
      </c>
      <c r="AA138" s="32">
        <v>0</v>
      </c>
      <c r="AB138" s="32">
        <v>0</v>
      </c>
      <c r="AC138" s="32">
        <v>0</v>
      </c>
      <c r="AD138" s="32">
        <v>0</v>
      </c>
      <c r="AE138" s="32"/>
      <c r="CN138" s="31" t="s">
        <v>53</v>
      </c>
      <c r="CO138" s="42">
        <v>296117</v>
      </c>
      <c r="CP138" s="42">
        <v>311340</v>
      </c>
      <c r="CQ138" s="42">
        <v>326568</v>
      </c>
      <c r="CR138" s="42">
        <v>341794</v>
      </c>
      <c r="CS138" s="42">
        <v>357010</v>
      </c>
      <c r="CT138" s="42">
        <v>372217</v>
      </c>
      <c r="CU138" s="42">
        <v>394161</v>
      </c>
      <c r="CV138" s="42">
        <v>416072</v>
      </c>
      <c r="CW138" s="42">
        <v>437938</v>
      </c>
      <c r="CX138" s="42">
        <v>459816</v>
      </c>
      <c r="CY138" s="42">
        <v>481483</v>
      </c>
      <c r="CZ138" s="42">
        <v>502860</v>
      </c>
      <c r="DA138" s="42">
        <v>524230</v>
      </c>
      <c r="DB138" s="42">
        <v>545586</v>
      </c>
      <c r="DC138" s="42">
        <v>566946</v>
      </c>
      <c r="DD138" s="42">
        <v>588238</v>
      </c>
      <c r="DE138" s="42">
        <v>606369</v>
      </c>
      <c r="DF138" s="42">
        <v>624485</v>
      </c>
      <c r="DG138" s="42">
        <v>642579</v>
      </c>
      <c r="DH138" s="42">
        <v>660622</v>
      </c>
      <c r="DI138" s="42">
        <v>678675</v>
      </c>
      <c r="DJ138" s="42">
        <v>706581</v>
      </c>
      <c r="DK138" s="42">
        <v>734414</v>
      </c>
      <c r="DL138" s="42">
        <v>762161</v>
      </c>
      <c r="DM138" s="42">
        <v>789789</v>
      </c>
      <c r="DN138" s="42">
        <v>817336</v>
      </c>
      <c r="DO138" s="42">
        <v>830715</v>
      </c>
      <c r="DP138" s="42">
        <v>843943</v>
      </c>
      <c r="DQ138" s="42">
        <v>857010</v>
      </c>
      <c r="DR138" s="42">
        <v>869907</v>
      </c>
      <c r="DS138" s="42">
        <v>882621</v>
      </c>
      <c r="DT138" s="42">
        <v>891398</v>
      </c>
      <c r="DU138" s="42">
        <v>899975</v>
      </c>
      <c r="DV138" s="42">
        <v>908346</v>
      </c>
      <c r="DW138" s="42">
        <v>916519</v>
      </c>
      <c r="DX138" s="42">
        <v>924433</v>
      </c>
      <c r="DY138" s="42">
        <v>953654</v>
      </c>
      <c r="DZ138" s="42">
        <v>982662</v>
      </c>
      <c r="EA138" s="42">
        <v>1011434</v>
      </c>
      <c r="EB138" s="42">
        <v>1039972</v>
      </c>
      <c r="EC138" s="42">
        <v>1068176</v>
      </c>
      <c r="ED138" s="42">
        <v>1089242</v>
      </c>
      <c r="EE138" s="42">
        <v>1110051</v>
      </c>
      <c r="EF138" s="42">
        <v>1130589</v>
      </c>
      <c r="EG138" s="42">
        <v>1150858</v>
      </c>
      <c r="EH138" s="42">
        <v>1170779</v>
      </c>
      <c r="EI138" s="42">
        <v>1192188</v>
      </c>
      <c r="EJ138" s="42">
        <v>1213311</v>
      </c>
      <c r="EK138" s="42">
        <v>1234135</v>
      </c>
      <c r="EL138" s="42">
        <v>1254642</v>
      </c>
      <c r="EM138" s="42">
        <v>1274815</v>
      </c>
      <c r="EN138" s="42">
        <v>1276845</v>
      </c>
      <c r="EO138" s="42">
        <v>1278534</v>
      </c>
      <c r="EP138" s="42">
        <v>1279880</v>
      </c>
      <c r="EQ138" s="42">
        <v>1281001</v>
      </c>
      <c r="ER138" s="42">
        <v>1281542</v>
      </c>
      <c r="ES138" s="42">
        <v>1284605</v>
      </c>
      <c r="ET138" s="42">
        <v>1287432</v>
      </c>
      <c r="EU138" s="42">
        <v>1290022</v>
      </c>
      <c r="EV138" s="42">
        <v>1292372</v>
      </c>
      <c r="EW138" s="42">
        <v>1294481</v>
      </c>
    </row>
    <row r="139" spans="1:153">
      <c r="A139" s="39">
        <v>25</v>
      </c>
      <c r="B139" s="24">
        <v>206327</v>
      </c>
      <c r="D139" s="24">
        <v>212122</v>
      </c>
      <c r="E139" s="24">
        <v>217915</v>
      </c>
      <c r="F139" s="24">
        <v>223701</v>
      </c>
      <c r="G139" s="24">
        <v>229491</v>
      </c>
      <c r="H139" s="24">
        <v>235244</v>
      </c>
      <c r="I139" s="24">
        <v>239480</v>
      </c>
      <c r="J139" s="24">
        <v>243711</v>
      </c>
      <c r="K139" s="24">
        <v>247933</v>
      </c>
      <c r="L139" s="24">
        <v>252134</v>
      </c>
      <c r="M139" s="24">
        <v>256340</v>
      </c>
      <c r="N139" s="24">
        <v>259448</v>
      </c>
      <c r="O139" s="24">
        <v>262528</v>
      </c>
      <c r="P139" s="24">
        <v>265575</v>
      </c>
      <c r="Q139" s="24">
        <v>268582</v>
      </c>
      <c r="R139" s="24">
        <v>271562</v>
      </c>
      <c r="S139" s="24">
        <v>271513</v>
      </c>
      <c r="T139" s="24">
        <v>271413</v>
      </c>
      <c r="U139" s="24">
        <v>271260</v>
      </c>
      <c r="V139" s="24">
        <v>271055</v>
      </c>
      <c r="W139" s="24">
        <v>270790</v>
      </c>
      <c r="X139" s="24">
        <v>272002</v>
      </c>
      <c r="Y139" s="24">
        <v>273150</v>
      </c>
      <c r="Z139" s="24">
        <v>274236</v>
      </c>
      <c r="AA139" s="24">
        <v>275263</v>
      </c>
      <c r="AB139" s="24">
        <v>276211</v>
      </c>
      <c r="AC139" s="24">
        <v>278221</v>
      </c>
      <c r="AD139" s="24">
        <v>280164</v>
      </c>
      <c r="AE139" s="24"/>
      <c r="CN139" s="31" t="s">
        <v>54</v>
      </c>
      <c r="CO139" s="42">
        <v>249561</v>
      </c>
      <c r="CP139" s="42">
        <v>256980</v>
      </c>
      <c r="CQ139" s="42">
        <v>264403</v>
      </c>
      <c r="CR139" s="42">
        <v>271824</v>
      </c>
      <c r="CS139" s="42">
        <v>279238</v>
      </c>
      <c r="CT139" s="42">
        <v>286627</v>
      </c>
      <c r="CU139" s="42">
        <v>301700</v>
      </c>
      <c r="CV139" s="42">
        <v>316748</v>
      </c>
      <c r="CW139" s="42">
        <v>331760</v>
      </c>
      <c r="CX139" s="42">
        <v>346782</v>
      </c>
      <c r="CY139" s="42">
        <v>361646</v>
      </c>
      <c r="CZ139" s="42">
        <v>383126</v>
      </c>
      <c r="DA139" s="42">
        <v>404601</v>
      </c>
      <c r="DB139" s="42">
        <v>426066</v>
      </c>
      <c r="DC139" s="42">
        <v>447535</v>
      </c>
      <c r="DD139" s="42">
        <v>468938</v>
      </c>
      <c r="DE139" s="42">
        <v>489983</v>
      </c>
      <c r="DF139" s="42">
        <v>511018</v>
      </c>
      <c r="DG139" s="42">
        <v>532034</v>
      </c>
      <c r="DH139" s="42">
        <v>553008</v>
      </c>
      <c r="DI139" s="42">
        <v>573990</v>
      </c>
      <c r="DJ139" s="42">
        <v>592013</v>
      </c>
      <c r="DK139" s="42">
        <v>609975</v>
      </c>
      <c r="DL139" s="42">
        <v>627863</v>
      </c>
      <c r="DM139" s="42">
        <v>645653</v>
      </c>
      <c r="DN139" s="42">
        <v>663385</v>
      </c>
      <c r="DO139" s="42">
        <v>691003</v>
      </c>
      <c r="DP139" s="42">
        <v>718504</v>
      </c>
      <c r="DQ139" s="42">
        <v>745872</v>
      </c>
      <c r="DR139" s="42">
        <v>773089</v>
      </c>
      <c r="DS139" s="42">
        <v>800131</v>
      </c>
      <c r="DT139" s="42">
        <v>813527</v>
      </c>
      <c r="DU139" s="42">
        <v>826744</v>
      </c>
      <c r="DV139" s="42">
        <v>839772</v>
      </c>
      <c r="DW139" s="42">
        <v>852617</v>
      </c>
      <c r="DX139" s="42">
        <v>865216</v>
      </c>
      <c r="DY139" s="42">
        <v>874067</v>
      </c>
      <c r="DZ139" s="42">
        <v>882710</v>
      </c>
      <c r="EA139" s="42">
        <v>891137</v>
      </c>
      <c r="EB139" s="42">
        <v>899362</v>
      </c>
      <c r="EC139" s="42">
        <v>907313</v>
      </c>
      <c r="ED139" s="42">
        <v>936224</v>
      </c>
      <c r="EE139" s="42">
        <v>964923</v>
      </c>
      <c r="EF139" s="42">
        <v>993388</v>
      </c>
      <c r="EG139" s="42">
        <v>1021616</v>
      </c>
      <c r="EH139" s="42">
        <v>1049526</v>
      </c>
      <c r="EI139" s="42">
        <v>1070453</v>
      </c>
      <c r="EJ139" s="42">
        <v>1091126</v>
      </c>
      <c r="EK139" s="42">
        <v>1111529</v>
      </c>
      <c r="EL139" s="42">
        <v>1131646</v>
      </c>
      <c r="EM139" s="42">
        <v>1151461</v>
      </c>
      <c r="EN139" s="42">
        <v>1172764</v>
      </c>
      <c r="EO139" s="42">
        <v>1193768</v>
      </c>
      <c r="EP139" s="42">
        <v>1214457</v>
      </c>
      <c r="EQ139" s="42">
        <v>1234930</v>
      </c>
      <c r="ER139" s="42">
        <v>1254826</v>
      </c>
      <c r="ES139" s="42">
        <v>1256795</v>
      </c>
      <c r="ET139" s="42">
        <v>1258532</v>
      </c>
      <c r="EU139" s="42">
        <v>1260037</v>
      </c>
      <c r="EV139" s="42">
        <v>1261309</v>
      </c>
      <c r="EW139" s="42">
        <v>1262345</v>
      </c>
    </row>
    <row r="140" spans="1:153">
      <c r="A140" s="39">
        <v>26</v>
      </c>
      <c r="B140" s="24">
        <v>198695</v>
      </c>
      <c r="D140" s="24">
        <v>205148</v>
      </c>
      <c r="E140" s="24">
        <v>211598</v>
      </c>
      <c r="F140" s="24">
        <v>218042</v>
      </c>
      <c r="G140" s="24">
        <v>224487</v>
      </c>
      <c r="H140" s="24">
        <v>230899</v>
      </c>
      <c r="I140" s="24">
        <v>234727</v>
      </c>
      <c r="J140" s="24">
        <v>238550</v>
      </c>
      <c r="K140" s="24">
        <v>242364</v>
      </c>
      <c r="L140" s="24">
        <v>246160</v>
      </c>
      <c r="M140" s="24">
        <v>249958</v>
      </c>
      <c r="N140" s="24">
        <v>254234</v>
      </c>
      <c r="O140" s="24">
        <v>258482</v>
      </c>
      <c r="P140" s="24">
        <v>262699</v>
      </c>
      <c r="Q140" s="24">
        <v>266875</v>
      </c>
      <c r="R140" s="24">
        <v>271025</v>
      </c>
      <c r="S140" s="24">
        <v>270810</v>
      </c>
      <c r="T140" s="24">
        <v>270543</v>
      </c>
      <c r="U140" s="24">
        <v>270223</v>
      </c>
      <c r="V140" s="24">
        <v>269850</v>
      </c>
      <c r="W140" s="24">
        <v>269419</v>
      </c>
      <c r="X140" s="24">
        <v>270387</v>
      </c>
      <c r="Y140" s="24">
        <v>271294</v>
      </c>
      <c r="Z140" s="24">
        <v>272138</v>
      </c>
      <c r="AA140" s="24">
        <v>272922</v>
      </c>
      <c r="AB140" s="24">
        <v>273631</v>
      </c>
      <c r="AC140" s="24">
        <v>275699</v>
      </c>
      <c r="AD140" s="24">
        <v>277700</v>
      </c>
      <c r="AE140" s="24"/>
      <c r="CN140" s="31" t="s">
        <v>55</v>
      </c>
      <c r="CO140" s="42">
        <v>209447</v>
      </c>
      <c r="CP140" s="42">
        <v>215012</v>
      </c>
      <c r="CQ140" s="42">
        <v>220579</v>
      </c>
      <c r="CR140" s="42">
        <v>226145</v>
      </c>
      <c r="CS140" s="42">
        <v>231705</v>
      </c>
      <c r="CT140" s="42">
        <v>237263</v>
      </c>
      <c r="CU140" s="42">
        <v>244674</v>
      </c>
      <c r="CV140" s="42">
        <v>252061</v>
      </c>
      <c r="CW140" s="42">
        <v>259422</v>
      </c>
      <c r="CX140" s="42">
        <v>266788</v>
      </c>
      <c r="CY140" s="42">
        <v>274035</v>
      </c>
      <c r="CZ140" s="42">
        <v>288645</v>
      </c>
      <c r="DA140" s="42">
        <v>303250</v>
      </c>
      <c r="DB140" s="42">
        <v>317848</v>
      </c>
      <c r="DC140" s="42">
        <v>332449</v>
      </c>
      <c r="DD140" s="42">
        <v>347003</v>
      </c>
      <c r="DE140" s="42">
        <v>367885</v>
      </c>
      <c r="DF140" s="42">
        <v>388759</v>
      </c>
      <c r="DG140" s="42">
        <v>409619</v>
      </c>
      <c r="DH140" s="42">
        <v>430446</v>
      </c>
      <c r="DI140" s="42">
        <v>451278</v>
      </c>
      <c r="DJ140" s="42">
        <v>471913</v>
      </c>
      <c r="DK140" s="42">
        <v>492500</v>
      </c>
      <c r="DL140" s="42">
        <v>513029</v>
      </c>
      <c r="DM140" s="42">
        <v>533478</v>
      </c>
      <c r="DN140" s="42">
        <v>553861</v>
      </c>
      <c r="DO140" s="42">
        <v>571638</v>
      </c>
      <c r="DP140" s="42">
        <v>589316</v>
      </c>
      <c r="DQ140" s="42">
        <v>606884</v>
      </c>
      <c r="DR140" s="42">
        <v>624329</v>
      </c>
      <c r="DS140" s="42">
        <v>641639</v>
      </c>
      <c r="DT140" s="42">
        <v>668729</v>
      </c>
      <c r="DU140" s="42">
        <v>695685</v>
      </c>
      <c r="DV140" s="42">
        <v>722484</v>
      </c>
      <c r="DW140" s="42">
        <v>749122</v>
      </c>
      <c r="DX140" s="42">
        <v>775535</v>
      </c>
      <c r="DY140" s="42">
        <v>788862</v>
      </c>
      <c r="DZ140" s="42">
        <v>802005</v>
      </c>
      <c r="EA140" s="42">
        <v>814953</v>
      </c>
      <c r="EB140" s="42">
        <v>827715</v>
      </c>
      <c r="EC140" s="42">
        <v>840220</v>
      </c>
      <c r="ED140" s="42">
        <v>849118</v>
      </c>
      <c r="EE140" s="42">
        <v>857812</v>
      </c>
      <c r="EF140" s="42">
        <v>866292</v>
      </c>
      <c r="EG140" s="42">
        <v>874571</v>
      </c>
      <c r="EH140" s="42">
        <v>882589</v>
      </c>
      <c r="EI140" s="42">
        <v>911029</v>
      </c>
      <c r="EJ140" s="42">
        <v>939261</v>
      </c>
      <c r="EK140" s="42">
        <v>967263</v>
      </c>
      <c r="EL140" s="42">
        <v>995012</v>
      </c>
      <c r="EM140" s="42">
        <v>1022490</v>
      </c>
      <c r="EN140" s="42">
        <v>1043200</v>
      </c>
      <c r="EO140" s="42">
        <v>1063647</v>
      </c>
      <c r="EP140" s="42">
        <v>1083813</v>
      </c>
      <c r="EQ140" s="42">
        <v>1103784</v>
      </c>
      <c r="ER140" s="42">
        <v>1123239</v>
      </c>
      <c r="ES140" s="42">
        <v>1144099</v>
      </c>
      <c r="ET140" s="42">
        <v>1164758</v>
      </c>
      <c r="EU140" s="42">
        <v>1185208</v>
      </c>
      <c r="EV140" s="42">
        <v>1205433</v>
      </c>
      <c r="EW140" s="42">
        <v>1225426</v>
      </c>
    </row>
    <row r="141" spans="1:153">
      <c r="A141" s="39">
        <v>27</v>
      </c>
      <c r="B141" s="24">
        <v>192943</v>
      </c>
      <c r="D141" s="24">
        <v>199468</v>
      </c>
      <c r="E141" s="24">
        <v>205990</v>
      </c>
      <c r="F141" s="24">
        <v>212507</v>
      </c>
      <c r="G141" s="24">
        <v>219025</v>
      </c>
      <c r="H141" s="24">
        <v>225509</v>
      </c>
      <c r="I141" s="24">
        <v>229256</v>
      </c>
      <c r="J141" s="24">
        <v>232996</v>
      </c>
      <c r="K141" s="24">
        <v>236728</v>
      </c>
      <c r="L141" s="24">
        <v>240441</v>
      </c>
      <c r="M141" s="24">
        <v>244157</v>
      </c>
      <c r="N141" s="24">
        <v>249176</v>
      </c>
      <c r="O141" s="24">
        <v>254168</v>
      </c>
      <c r="P141" s="24">
        <v>259130</v>
      </c>
      <c r="Q141" s="24">
        <v>264051</v>
      </c>
      <c r="R141" s="24">
        <v>268946</v>
      </c>
      <c r="S141" s="24">
        <v>268960</v>
      </c>
      <c r="T141" s="24">
        <v>268922</v>
      </c>
      <c r="U141" s="24">
        <v>268832</v>
      </c>
      <c r="V141" s="24">
        <v>268689</v>
      </c>
      <c r="W141" s="24">
        <v>268488</v>
      </c>
      <c r="X141" s="24">
        <v>269211</v>
      </c>
      <c r="Y141" s="24">
        <v>269874</v>
      </c>
      <c r="Z141" s="24">
        <v>270473</v>
      </c>
      <c r="AA141" s="24">
        <v>271014</v>
      </c>
      <c r="AB141" s="24">
        <v>271480</v>
      </c>
      <c r="AC141" s="24">
        <v>273495</v>
      </c>
      <c r="AD141" s="24">
        <v>275445</v>
      </c>
      <c r="AE141" s="24"/>
      <c r="CN141" s="31" t="s">
        <v>56</v>
      </c>
      <c r="CO141" s="42">
        <v>153653</v>
      </c>
      <c r="CP141" s="42">
        <v>161663</v>
      </c>
      <c r="CQ141" s="42">
        <v>169675</v>
      </c>
      <c r="CR141" s="42">
        <v>177686</v>
      </c>
      <c r="CS141" s="42">
        <v>185692</v>
      </c>
      <c r="CT141" s="42">
        <v>193677</v>
      </c>
      <c r="CU141" s="42">
        <v>199214</v>
      </c>
      <c r="CV141" s="42">
        <v>204732</v>
      </c>
      <c r="CW141" s="42">
        <v>210227</v>
      </c>
      <c r="CX141" s="42">
        <v>215729</v>
      </c>
      <c r="CY141" s="42">
        <v>221141</v>
      </c>
      <c r="CZ141" s="42">
        <v>228271</v>
      </c>
      <c r="DA141" s="42">
        <v>235397</v>
      </c>
      <c r="DB141" s="42">
        <v>242518</v>
      </c>
      <c r="DC141" s="42">
        <v>249640</v>
      </c>
      <c r="DD141" s="42">
        <v>256722</v>
      </c>
      <c r="DE141" s="42">
        <v>270716</v>
      </c>
      <c r="DF141" s="42">
        <v>284706</v>
      </c>
      <c r="DG141" s="42">
        <v>298685</v>
      </c>
      <c r="DH141" s="42">
        <v>312639</v>
      </c>
      <c r="DI141" s="42">
        <v>326596</v>
      </c>
      <c r="DJ141" s="42">
        <v>346672</v>
      </c>
      <c r="DK141" s="42">
        <v>366715</v>
      </c>
      <c r="DL141" s="42">
        <v>386715</v>
      </c>
      <c r="DM141" s="42">
        <v>406654</v>
      </c>
      <c r="DN141" s="42">
        <v>426539</v>
      </c>
      <c r="DO141" s="42">
        <v>446496</v>
      </c>
      <c r="DP141" s="42">
        <v>466380</v>
      </c>
      <c r="DQ141" s="42">
        <v>486176</v>
      </c>
      <c r="DR141" s="42">
        <v>505875</v>
      </c>
      <c r="DS141" s="42">
        <v>525453</v>
      </c>
      <c r="DT141" s="42">
        <v>542763</v>
      </c>
      <c r="DU141" s="42">
        <v>559962</v>
      </c>
      <c r="DV141" s="42">
        <v>577033</v>
      </c>
      <c r="DW141" s="42">
        <v>593976</v>
      </c>
      <c r="DX141" s="42">
        <v>610744</v>
      </c>
      <c r="DY141" s="42">
        <v>636991</v>
      </c>
      <c r="DZ141" s="42">
        <v>663103</v>
      </c>
      <c r="EA141" s="42">
        <v>689056</v>
      </c>
      <c r="EB141" s="42">
        <v>714849</v>
      </c>
      <c r="EC141" s="42">
        <v>740411</v>
      </c>
      <c r="ED141" s="42">
        <v>753562</v>
      </c>
      <c r="EE141" s="42">
        <v>766536</v>
      </c>
      <c r="EF141" s="42">
        <v>779321</v>
      </c>
      <c r="EG141" s="42">
        <v>791923</v>
      </c>
      <c r="EH141" s="42">
        <v>804284</v>
      </c>
      <c r="EI141" s="42">
        <v>813211</v>
      </c>
      <c r="EJ141" s="42">
        <v>821940</v>
      </c>
      <c r="EK141" s="42">
        <v>830464</v>
      </c>
      <c r="EL141" s="42">
        <v>838777</v>
      </c>
      <c r="EM141" s="42">
        <v>846870</v>
      </c>
      <c r="EN141" s="42">
        <v>874582</v>
      </c>
      <c r="EO141" s="42">
        <v>902082</v>
      </c>
      <c r="EP141" s="42">
        <v>929347</v>
      </c>
      <c r="EQ141" s="42">
        <v>956444</v>
      </c>
      <c r="ER141" s="42">
        <v>983083</v>
      </c>
      <c r="ES141" s="42">
        <v>1003202</v>
      </c>
      <c r="ET141" s="42">
        <v>1023147</v>
      </c>
      <c r="EU141" s="42">
        <v>1042906</v>
      </c>
      <c r="EV141" s="42">
        <v>1062469</v>
      </c>
      <c r="EW141" s="42">
        <v>1081825</v>
      </c>
    </row>
    <row r="142" spans="1:153">
      <c r="A142" s="39">
        <v>28</v>
      </c>
      <c r="B142" s="24">
        <v>189807</v>
      </c>
      <c r="D142" s="24">
        <v>195595</v>
      </c>
      <c r="E142" s="24">
        <v>201380</v>
      </c>
      <c r="F142" s="24">
        <v>207159</v>
      </c>
      <c r="G142" s="24">
        <v>212940</v>
      </c>
      <c r="H142" s="24">
        <v>218688</v>
      </c>
      <c r="I142" s="24">
        <v>222846</v>
      </c>
      <c r="J142" s="24">
        <v>226998</v>
      </c>
      <c r="K142" s="24">
        <v>231142</v>
      </c>
      <c r="L142" s="24">
        <v>235268</v>
      </c>
      <c r="M142" s="24">
        <v>239396</v>
      </c>
      <c r="N142" s="24">
        <v>244539</v>
      </c>
      <c r="O142" s="24">
        <v>249654</v>
      </c>
      <c r="P142" s="24">
        <v>254739</v>
      </c>
      <c r="Q142" s="24">
        <v>259785</v>
      </c>
      <c r="R142" s="24">
        <v>264805</v>
      </c>
      <c r="S142" s="24">
        <v>265570</v>
      </c>
      <c r="T142" s="24">
        <v>266284</v>
      </c>
      <c r="U142" s="24">
        <v>266947</v>
      </c>
      <c r="V142" s="24">
        <v>267558</v>
      </c>
      <c r="W142" s="24">
        <v>268110</v>
      </c>
      <c r="X142" s="24">
        <v>268597</v>
      </c>
      <c r="Y142" s="24">
        <v>269023</v>
      </c>
      <c r="Z142" s="24">
        <v>269387</v>
      </c>
      <c r="AA142" s="24">
        <v>269692</v>
      </c>
      <c r="AB142" s="24">
        <v>269922</v>
      </c>
      <c r="AC142" s="24">
        <v>271749</v>
      </c>
      <c r="AD142" s="24">
        <v>273511</v>
      </c>
      <c r="AE142" s="24"/>
      <c r="CN142" s="31" t="s">
        <v>57</v>
      </c>
      <c r="CO142" s="42">
        <v>111336</v>
      </c>
      <c r="CP142" s="42">
        <v>116281</v>
      </c>
      <c r="CQ142" s="42">
        <v>121229</v>
      </c>
      <c r="CR142" s="42">
        <v>126177</v>
      </c>
      <c r="CS142" s="42">
        <v>131119</v>
      </c>
      <c r="CT142" s="42">
        <v>136054</v>
      </c>
      <c r="CU142" s="42">
        <v>143621</v>
      </c>
      <c r="CV142" s="42">
        <v>151175</v>
      </c>
      <c r="CW142" s="42">
        <v>158713</v>
      </c>
      <c r="CX142" s="42">
        <v>166256</v>
      </c>
      <c r="CY142" s="42">
        <v>173719</v>
      </c>
      <c r="CZ142" s="42">
        <v>178983</v>
      </c>
      <c r="DA142" s="42">
        <v>184245</v>
      </c>
      <c r="DB142" s="42">
        <v>189501</v>
      </c>
      <c r="DC142" s="42">
        <v>194760</v>
      </c>
      <c r="DD142" s="42">
        <v>199995</v>
      </c>
      <c r="DE142" s="42">
        <v>206769</v>
      </c>
      <c r="DF142" s="42">
        <v>213538</v>
      </c>
      <c r="DG142" s="42">
        <v>220300</v>
      </c>
      <c r="DH142" s="42">
        <v>227043</v>
      </c>
      <c r="DI142" s="42">
        <v>233804</v>
      </c>
      <c r="DJ142" s="42">
        <v>246972</v>
      </c>
      <c r="DK142" s="42">
        <v>260116</v>
      </c>
      <c r="DL142" s="42">
        <v>273230</v>
      </c>
      <c r="DM142" s="42">
        <v>286301</v>
      </c>
      <c r="DN142" s="42">
        <v>299344</v>
      </c>
      <c r="DO142" s="42">
        <v>318227</v>
      </c>
      <c r="DP142" s="42">
        <v>337061</v>
      </c>
      <c r="DQ142" s="42">
        <v>355832</v>
      </c>
      <c r="DR142" s="42">
        <v>374531</v>
      </c>
      <c r="DS142" s="42">
        <v>393137</v>
      </c>
      <c r="DT142" s="42">
        <v>412044</v>
      </c>
      <c r="DU142" s="42">
        <v>430868</v>
      </c>
      <c r="DV142" s="42">
        <v>449598</v>
      </c>
      <c r="DW142" s="42">
        <v>468227</v>
      </c>
      <c r="DX142" s="42">
        <v>486711</v>
      </c>
      <c r="DY142" s="42">
        <v>503269</v>
      </c>
      <c r="DZ142" s="42">
        <v>519716</v>
      </c>
      <c r="EA142" s="42">
        <v>536037</v>
      </c>
      <c r="EB142" s="42">
        <v>552235</v>
      </c>
      <c r="EC142" s="42">
        <v>568254</v>
      </c>
      <c r="ED142" s="42">
        <v>593227</v>
      </c>
      <c r="EE142" s="42">
        <v>618070</v>
      </c>
      <c r="EF142" s="42">
        <v>642765</v>
      </c>
      <c r="EG142" s="42">
        <v>667305</v>
      </c>
      <c r="EH142" s="42">
        <v>691633</v>
      </c>
      <c r="EI142" s="42">
        <v>704459</v>
      </c>
      <c r="EJ142" s="42">
        <v>717116</v>
      </c>
      <c r="EK142" s="42">
        <v>729596</v>
      </c>
      <c r="EL142" s="42">
        <v>741888</v>
      </c>
      <c r="EM142" s="42">
        <v>753984</v>
      </c>
      <c r="EN142" s="42">
        <v>762855</v>
      </c>
      <c r="EO142" s="42">
        <v>771527</v>
      </c>
      <c r="EP142" s="42">
        <v>779995</v>
      </c>
      <c r="EQ142" s="42">
        <v>788324</v>
      </c>
      <c r="ER142" s="42">
        <v>796287</v>
      </c>
      <c r="ES142" s="42">
        <v>822688</v>
      </c>
      <c r="ET142" s="42">
        <v>848951</v>
      </c>
      <c r="EU142" s="42">
        <v>875063</v>
      </c>
      <c r="EV142" s="42">
        <v>901008</v>
      </c>
      <c r="EW142" s="42">
        <v>926772</v>
      </c>
    </row>
    <row r="143" spans="1:153">
      <c r="A143" s="39">
        <v>29</v>
      </c>
      <c r="B143" s="24">
        <v>188585</v>
      </c>
      <c r="D143" s="24">
        <v>193077</v>
      </c>
      <c r="E143" s="24">
        <v>197566</v>
      </c>
      <c r="F143" s="24">
        <v>202051</v>
      </c>
      <c r="G143" s="24">
        <v>206536</v>
      </c>
      <c r="H143" s="24">
        <v>210989</v>
      </c>
      <c r="I143" s="24">
        <v>215872</v>
      </c>
      <c r="J143" s="24">
        <v>220750</v>
      </c>
      <c r="K143" s="24">
        <v>225620</v>
      </c>
      <c r="L143" s="24">
        <v>230472</v>
      </c>
      <c r="M143" s="24">
        <v>235327</v>
      </c>
      <c r="N143" s="24">
        <v>240148</v>
      </c>
      <c r="O143" s="24">
        <v>244942</v>
      </c>
      <c r="P143" s="24">
        <v>249706</v>
      </c>
      <c r="Q143" s="24">
        <v>254432</v>
      </c>
      <c r="R143" s="24">
        <v>259132</v>
      </c>
      <c r="S143" s="24">
        <v>261002</v>
      </c>
      <c r="T143" s="24">
        <v>262824</v>
      </c>
      <c r="U143" s="24">
        <v>264594</v>
      </c>
      <c r="V143" s="24">
        <v>266313</v>
      </c>
      <c r="W143" s="24">
        <v>267974</v>
      </c>
      <c r="X143" s="24">
        <v>268267</v>
      </c>
      <c r="Y143" s="24">
        <v>268499</v>
      </c>
      <c r="Z143" s="24">
        <v>268668</v>
      </c>
      <c r="AA143" s="24">
        <v>268780</v>
      </c>
      <c r="AB143" s="24">
        <v>268817</v>
      </c>
      <c r="AC143" s="24">
        <v>270360</v>
      </c>
      <c r="AD143" s="24">
        <v>271838</v>
      </c>
      <c r="AE143" s="24"/>
      <c r="CN143" s="31" t="s">
        <v>58</v>
      </c>
      <c r="CO143" s="42">
        <v>73782</v>
      </c>
      <c r="CP143" s="42">
        <v>77410</v>
      </c>
      <c r="CQ143" s="42">
        <v>81040</v>
      </c>
      <c r="CR143" s="42">
        <v>84669</v>
      </c>
      <c r="CS143" s="42">
        <v>88295</v>
      </c>
      <c r="CT143" s="42">
        <v>91913</v>
      </c>
      <c r="CU143" s="42">
        <v>96533</v>
      </c>
      <c r="CV143" s="42">
        <v>101147</v>
      </c>
      <c r="CW143" s="42">
        <v>105748</v>
      </c>
      <c r="CX143" s="42">
        <v>110352</v>
      </c>
      <c r="CY143" s="42">
        <v>114899</v>
      </c>
      <c r="CZ143" s="42">
        <v>121686</v>
      </c>
      <c r="DA143" s="42">
        <v>128473</v>
      </c>
      <c r="DB143" s="42">
        <v>135257</v>
      </c>
      <c r="DC143" s="42">
        <v>142041</v>
      </c>
      <c r="DD143" s="42">
        <v>148808</v>
      </c>
      <c r="DE143" s="42">
        <v>153676</v>
      </c>
      <c r="DF143" s="42">
        <v>158541</v>
      </c>
      <c r="DG143" s="42">
        <v>163399</v>
      </c>
      <c r="DH143" s="42">
        <v>168245</v>
      </c>
      <c r="DI143" s="42">
        <v>173096</v>
      </c>
      <c r="DJ143" s="42">
        <v>179374</v>
      </c>
      <c r="DK143" s="42">
        <v>185632</v>
      </c>
      <c r="DL143" s="42">
        <v>191869</v>
      </c>
      <c r="DM143" s="42">
        <v>198075</v>
      </c>
      <c r="DN143" s="42">
        <v>204268</v>
      </c>
      <c r="DO143" s="42">
        <v>216234</v>
      </c>
      <c r="DP143" s="42">
        <v>228167</v>
      </c>
      <c r="DQ143" s="42">
        <v>240056</v>
      </c>
      <c r="DR143" s="42">
        <v>251897</v>
      </c>
      <c r="DS143" s="42">
        <v>263684</v>
      </c>
      <c r="DT143" s="42">
        <v>280845</v>
      </c>
      <c r="DU143" s="42">
        <v>297952</v>
      </c>
      <c r="DV143" s="42">
        <v>314996</v>
      </c>
      <c r="DW143" s="42">
        <v>331967</v>
      </c>
      <c r="DX143" s="42">
        <v>348834</v>
      </c>
      <c r="DY143" s="42">
        <v>366188</v>
      </c>
      <c r="DZ143" s="42">
        <v>383465</v>
      </c>
      <c r="EA143" s="42">
        <v>400651</v>
      </c>
      <c r="EB143" s="42">
        <v>417744</v>
      </c>
      <c r="EC143" s="42">
        <v>434701</v>
      </c>
      <c r="ED143" s="42">
        <v>450081</v>
      </c>
      <c r="EE143" s="42">
        <v>465360</v>
      </c>
      <c r="EF143" s="42">
        <v>480527</v>
      </c>
      <c r="EG143" s="42">
        <v>495579</v>
      </c>
      <c r="EH143" s="42">
        <v>510474</v>
      </c>
      <c r="EI143" s="42">
        <v>533560</v>
      </c>
      <c r="EJ143" s="42">
        <v>556530</v>
      </c>
      <c r="EK143" s="42">
        <v>579364</v>
      </c>
      <c r="EL143" s="42">
        <v>602047</v>
      </c>
      <c r="EM143" s="42">
        <v>624558</v>
      </c>
      <c r="EN143" s="42">
        <v>636757</v>
      </c>
      <c r="EO143" s="42">
        <v>648795</v>
      </c>
      <c r="EP143" s="42">
        <v>660661</v>
      </c>
      <c r="EQ143" s="42">
        <v>672409</v>
      </c>
      <c r="ER143" s="42">
        <v>683841</v>
      </c>
      <c r="ES143" s="42">
        <v>692317</v>
      </c>
      <c r="ET143" s="42">
        <v>700669</v>
      </c>
      <c r="EU143" s="42">
        <v>708895</v>
      </c>
      <c r="EV143" s="42">
        <v>716987</v>
      </c>
      <c r="EW143" s="42">
        <v>724939</v>
      </c>
    </row>
    <row r="144" spans="1:153">
      <c r="A144" s="39" t="s">
        <v>76</v>
      </c>
      <c r="B144" s="32">
        <v>0</v>
      </c>
      <c r="D144" s="32">
        <v>0</v>
      </c>
      <c r="E144" s="32">
        <v>0</v>
      </c>
      <c r="F144" s="32">
        <v>0</v>
      </c>
      <c r="G144" s="32">
        <v>0</v>
      </c>
      <c r="H144" s="32">
        <v>0</v>
      </c>
      <c r="I144" s="32">
        <v>0</v>
      </c>
      <c r="J144" s="32">
        <v>0</v>
      </c>
      <c r="K144" s="32">
        <v>0</v>
      </c>
      <c r="L144" s="32">
        <v>0</v>
      </c>
      <c r="M144" s="32">
        <v>0</v>
      </c>
      <c r="N144" s="32">
        <v>0</v>
      </c>
      <c r="O144" s="32">
        <v>0</v>
      </c>
      <c r="P144" s="32">
        <v>0</v>
      </c>
      <c r="Q144" s="32">
        <v>0</v>
      </c>
      <c r="R144" s="32">
        <v>0</v>
      </c>
      <c r="S144" s="32">
        <v>0</v>
      </c>
      <c r="T144" s="32">
        <v>0</v>
      </c>
      <c r="U144" s="32">
        <v>0</v>
      </c>
      <c r="V144" s="32">
        <v>0</v>
      </c>
      <c r="W144" s="32">
        <v>0</v>
      </c>
      <c r="X144" s="32">
        <v>0</v>
      </c>
      <c r="Y144" s="32">
        <v>0</v>
      </c>
      <c r="Z144" s="32">
        <v>0</v>
      </c>
      <c r="AA144" s="32">
        <v>0</v>
      </c>
      <c r="AB144" s="32">
        <v>0</v>
      </c>
      <c r="AC144" s="32">
        <v>0</v>
      </c>
      <c r="AD144" s="32">
        <v>0</v>
      </c>
      <c r="AE144" s="32"/>
      <c r="CN144" s="31" t="s">
        <v>86</v>
      </c>
      <c r="CO144" s="42">
        <v>55762</v>
      </c>
      <c r="CP144" s="42">
        <v>58571</v>
      </c>
      <c r="CQ144" s="42">
        <v>61381</v>
      </c>
      <c r="CR144" s="42">
        <v>64190</v>
      </c>
      <c r="CS144" s="42">
        <v>66998</v>
      </c>
      <c r="CT144" s="42">
        <v>69797</v>
      </c>
      <c r="CU144" s="42">
        <v>73314</v>
      </c>
      <c r="CV144" s="42">
        <v>76825</v>
      </c>
      <c r="CW144" s="42">
        <v>80327</v>
      </c>
      <c r="CX144" s="42">
        <v>83833</v>
      </c>
      <c r="CY144" s="42">
        <v>87313</v>
      </c>
      <c r="CZ144" s="42">
        <v>91884</v>
      </c>
      <c r="DA144" s="42">
        <v>96454</v>
      </c>
      <c r="DB144" s="42">
        <v>101022</v>
      </c>
      <c r="DC144" s="42">
        <v>105590</v>
      </c>
      <c r="DD144" s="42">
        <v>110139</v>
      </c>
      <c r="DE144" s="42">
        <v>117245</v>
      </c>
      <c r="DF144" s="42">
        <v>124347</v>
      </c>
      <c r="DG144" s="42">
        <v>131447</v>
      </c>
      <c r="DH144" s="42">
        <v>138534</v>
      </c>
      <c r="DI144" s="42">
        <v>145624</v>
      </c>
      <c r="DJ144" s="42">
        <v>153385</v>
      </c>
      <c r="DK144" s="42">
        <v>161131</v>
      </c>
      <c r="DL144" s="42">
        <v>168858</v>
      </c>
      <c r="DM144" s="42">
        <v>176558</v>
      </c>
      <c r="DN144" s="42">
        <v>184239</v>
      </c>
      <c r="DO144" s="42">
        <v>193441</v>
      </c>
      <c r="DP144" s="42">
        <v>202612</v>
      </c>
      <c r="DQ144" s="42">
        <v>211746</v>
      </c>
      <c r="DR144" s="42">
        <v>220836</v>
      </c>
      <c r="DS144" s="42">
        <v>229872</v>
      </c>
      <c r="DT144" s="42">
        <v>243610</v>
      </c>
      <c r="DU144" s="42">
        <v>257300</v>
      </c>
      <c r="DV144" s="42">
        <v>270935</v>
      </c>
      <c r="DW144" s="42">
        <v>284508</v>
      </c>
      <c r="DX144" s="42">
        <v>297994</v>
      </c>
      <c r="DY144" s="42">
        <v>318036</v>
      </c>
      <c r="DZ144" s="42">
        <v>338015</v>
      </c>
      <c r="EA144" s="42">
        <v>357916</v>
      </c>
      <c r="EB144" s="42">
        <v>377731</v>
      </c>
      <c r="EC144" s="42">
        <v>397417</v>
      </c>
      <c r="ED144" s="42">
        <v>421970</v>
      </c>
      <c r="EE144" s="42">
        <v>446436</v>
      </c>
      <c r="EF144" s="42">
        <v>470797</v>
      </c>
      <c r="EG144" s="42">
        <v>495042</v>
      </c>
      <c r="EH144" s="42">
        <v>519126</v>
      </c>
      <c r="EI144" s="42">
        <v>545751</v>
      </c>
      <c r="EJ144" s="42">
        <v>572258</v>
      </c>
      <c r="EK144" s="42">
        <v>598626</v>
      </c>
      <c r="EL144" s="42">
        <v>624838</v>
      </c>
      <c r="EM144" s="42">
        <v>650872</v>
      </c>
      <c r="EN144" s="42">
        <v>684187</v>
      </c>
      <c r="EO144" s="42">
        <v>717345</v>
      </c>
      <c r="EP144" s="42">
        <v>750320</v>
      </c>
      <c r="EQ144" s="42">
        <v>783157</v>
      </c>
      <c r="ER144" s="42">
        <v>815612</v>
      </c>
      <c r="ES144" s="42">
        <v>846508</v>
      </c>
      <c r="ET144" s="42">
        <v>877265</v>
      </c>
      <c r="EU144" s="42">
        <v>907864</v>
      </c>
      <c r="EV144" s="42">
        <v>938291</v>
      </c>
      <c r="EW144" s="42">
        <v>968527</v>
      </c>
    </row>
    <row r="145" spans="1:153">
      <c r="A145" s="39">
        <v>30</v>
      </c>
      <c r="B145" s="24">
        <v>187868</v>
      </c>
      <c r="D145" s="24">
        <v>190870</v>
      </c>
      <c r="E145" s="24">
        <v>193869</v>
      </c>
      <c r="F145" s="24">
        <v>196862</v>
      </c>
      <c r="G145" s="24">
        <v>199857</v>
      </c>
      <c r="H145" s="24">
        <v>202821</v>
      </c>
      <c r="I145" s="24">
        <v>208591</v>
      </c>
      <c r="J145" s="24">
        <v>214356</v>
      </c>
      <c r="K145" s="24">
        <v>220113</v>
      </c>
      <c r="L145" s="24">
        <v>225853</v>
      </c>
      <c r="M145" s="24">
        <v>231596</v>
      </c>
      <c r="N145" s="24">
        <v>235878</v>
      </c>
      <c r="O145" s="24">
        <v>240134</v>
      </c>
      <c r="P145" s="24">
        <v>244360</v>
      </c>
      <c r="Q145" s="24">
        <v>248548</v>
      </c>
      <c r="R145" s="24">
        <v>252711</v>
      </c>
      <c r="S145" s="24">
        <v>255881</v>
      </c>
      <c r="T145" s="24">
        <v>259006</v>
      </c>
      <c r="U145" s="24">
        <v>262078</v>
      </c>
      <c r="V145" s="24">
        <v>265100</v>
      </c>
      <c r="W145" s="24">
        <v>268063</v>
      </c>
      <c r="X145" s="24">
        <v>268096</v>
      </c>
      <c r="Y145" s="24">
        <v>268068</v>
      </c>
      <c r="Z145" s="24">
        <v>267977</v>
      </c>
      <c r="AA145" s="24">
        <v>267829</v>
      </c>
      <c r="AB145" s="24">
        <v>267607</v>
      </c>
      <c r="AC145" s="24">
        <v>268868</v>
      </c>
      <c r="AD145" s="24">
        <v>270066</v>
      </c>
      <c r="AE145" s="24"/>
      <c r="CN145" s="31"/>
      <c r="CO145" s="33"/>
      <c r="CP145" s="33"/>
      <c r="CQ145" s="33"/>
      <c r="CR145" s="33"/>
      <c r="CS145" s="33"/>
      <c r="CT145" s="33"/>
      <c r="CU145" s="33"/>
      <c r="CV145" s="33"/>
      <c r="CW145" s="33"/>
      <c r="CX145" s="33"/>
      <c r="CY145" s="33"/>
      <c r="CZ145" s="33"/>
      <c r="DA145" s="33"/>
      <c r="DB145" s="33"/>
      <c r="DC145" s="33"/>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row>
    <row r="146" spans="1:153">
      <c r="A146" s="39">
        <v>31</v>
      </c>
      <c r="B146" s="24">
        <v>186674</v>
      </c>
      <c r="D146" s="24">
        <v>188429</v>
      </c>
      <c r="E146" s="24">
        <v>190182</v>
      </c>
      <c r="F146" s="24">
        <v>191929</v>
      </c>
      <c r="G146" s="24">
        <v>193677</v>
      </c>
      <c r="H146" s="24">
        <v>195396</v>
      </c>
      <c r="I146" s="24">
        <v>201809</v>
      </c>
      <c r="J146" s="24">
        <v>208218</v>
      </c>
      <c r="K146" s="24">
        <v>214620</v>
      </c>
      <c r="L146" s="24">
        <v>221005</v>
      </c>
      <c r="M146" s="24">
        <v>227393</v>
      </c>
      <c r="N146" s="24">
        <v>231269</v>
      </c>
      <c r="O146" s="24">
        <v>235119</v>
      </c>
      <c r="P146" s="24">
        <v>238940</v>
      </c>
      <c r="Q146" s="24">
        <v>242725</v>
      </c>
      <c r="R146" s="24">
        <v>246484</v>
      </c>
      <c r="S146" s="24">
        <v>250803</v>
      </c>
      <c r="T146" s="24">
        <v>255076</v>
      </c>
      <c r="U146" s="24">
        <v>259300</v>
      </c>
      <c r="V146" s="24">
        <v>263474</v>
      </c>
      <c r="W146" s="24">
        <v>267589</v>
      </c>
      <c r="X146" s="24">
        <v>267455</v>
      </c>
      <c r="Y146" s="24">
        <v>267259</v>
      </c>
      <c r="Z146" s="24">
        <v>267001</v>
      </c>
      <c r="AA146" s="24">
        <v>266685</v>
      </c>
      <c r="AB146" s="24">
        <v>266296</v>
      </c>
      <c r="AC146" s="24">
        <v>267315</v>
      </c>
      <c r="AD146" s="24">
        <v>268269</v>
      </c>
      <c r="AE146" s="24"/>
      <c r="CN146" s="31" t="s">
        <v>66</v>
      </c>
      <c r="CO146" s="31">
        <v>1990</v>
      </c>
      <c r="CP146" s="31">
        <v>1991</v>
      </c>
      <c r="CQ146" s="31">
        <v>1992</v>
      </c>
      <c r="CR146" s="31">
        <v>1993</v>
      </c>
      <c r="CS146" s="31">
        <v>1994</v>
      </c>
      <c r="CT146" s="31">
        <v>1995</v>
      </c>
      <c r="CU146" s="31">
        <v>1996</v>
      </c>
      <c r="CV146" s="31">
        <v>1997</v>
      </c>
      <c r="CW146" s="31">
        <v>1998</v>
      </c>
      <c r="CX146" s="31">
        <v>1999</v>
      </c>
      <c r="CY146" s="31">
        <v>2000</v>
      </c>
      <c r="CZ146" s="31">
        <v>2001</v>
      </c>
      <c r="DA146" s="31">
        <v>2002</v>
      </c>
      <c r="DB146" s="31">
        <v>2003</v>
      </c>
      <c r="DC146" s="31">
        <v>2004</v>
      </c>
      <c r="DD146" s="31">
        <v>2005</v>
      </c>
      <c r="DE146" s="31">
        <v>2006</v>
      </c>
      <c r="DF146" s="31">
        <v>2007</v>
      </c>
      <c r="DG146" s="31">
        <v>2008</v>
      </c>
      <c r="DH146" s="31">
        <v>2009</v>
      </c>
      <c r="DI146" s="31">
        <v>2010</v>
      </c>
      <c r="DJ146" s="31">
        <v>2011</v>
      </c>
      <c r="DK146" s="31">
        <v>2012</v>
      </c>
      <c r="DL146" s="31">
        <v>2013</v>
      </c>
      <c r="DM146" s="31">
        <v>2014</v>
      </c>
      <c r="DN146" s="31">
        <v>2015</v>
      </c>
      <c r="DO146" s="31">
        <v>2016</v>
      </c>
      <c r="DP146" s="31">
        <v>2017</v>
      </c>
      <c r="DQ146" s="31">
        <v>2018</v>
      </c>
      <c r="DR146" s="31">
        <v>2019</v>
      </c>
      <c r="DS146" s="31">
        <v>2020</v>
      </c>
      <c r="DT146" s="31">
        <v>2021</v>
      </c>
      <c r="DU146" s="31">
        <v>2022</v>
      </c>
      <c r="DV146" s="31">
        <v>2023</v>
      </c>
      <c r="DW146" s="31">
        <v>2024</v>
      </c>
      <c r="DX146" s="31">
        <v>2025</v>
      </c>
      <c r="DY146" s="31">
        <v>2026</v>
      </c>
      <c r="DZ146" s="31">
        <v>2027</v>
      </c>
      <c r="EA146" s="31">
        <v>2028</v>
      </c>
      <c r="EB146" s="31">
        <v>2029</v>
      </c>
      <c r="EC146" s="31">
        <v>2030</v>
      </c>
      <c r="ED146" s="31">
        <v>2031</v>
      </c>
      <c r="EE146" s="31">
        <v>2032</v>
      </c>
      <c r="EF146" s="31">
        <v>2033</v>
      </c>
      <c r="EG146" s="31">
        <v>2034</v>
      </c>
      <c r="EH146" s="31">
        <v>2035</v>
      </c>
      <c r="EI146" s="31">
        <v>2036</v>
      </c>
      <c r="EJ146" s="31">
        <v>2037</v>
      </c>
      <c r="EK146" s="31">
        <v>2038</v>
      </c>
      <c r="EL146" s="31">
        <v>2039</v>
      </c>
      <c r="EM146" s="31">
        <v>2040</v>
      </c>
      <c r="EN146" s="31">
        <v>2041</v>
      </c>
      <c r="EO146" s="31">
        <v>2042</v>
      </c>
      <c r="EP146" s="31">
        <v>2043</v>
      </c>
      <c r="EQ146" s="31">
        <v>2044</v>
      </c>
      <c r="ER146" s="31">
        <v>2045</v>
      </c>
      <c r="ES146" s="31">
        <v>2046</v>
      </c>
      <c r="ET146" s="31">
        <v>2047</v>
      </c>
      <c r="EU146" s="31">
        <v>2048</v>
      </c>
      <c r="EV146" s="31">
        <v>2049</v>
      </c>
      <c r="EW146" s="31">
        <v>2050</v>
      </c>
    </row>
    <row r="147" spans="1:153">
      <c r="A147" s="39">
        <v>32</v>
      </c>
      <c r="B147" s="24">
        <v>185177</v>
      </c>
      <c r="D147" s="24">
        <v>186113</v>
      </c>
      <c r="E147" s="24">
        <v>187047</v>
      </c>
      <c r="F147" s="24">
        <v>187976</v>
      </c>
      <c r="G147" s="24">
        <v>188905</v>
      </c>
      <c r="H147" s="24">
        <v>189805</v>
      </c>
      <c r="I147" s="24">
        <v>196287</v>
      </c>
      <c r="J147" s="24">
        <v>202765</v>
      </c>
      <c r="K147" s="24">
        <v>209235</v>
      </c>
      <c r="L147" s="24">
        <v>215688</v>
      </c>
      <c r="M147" s="24">
        <v>222146</v>
      </c>
      <c r="N147" s="24">
        <v>225936</v>
      </c>
      <c r="O147" s="24">
        <v>229701</v>
      </c>
      <c r="P147" s="24">
        <v>233439</v>
      </c>
      <c r="Q147" s="24">
        <v>237141</v>
      </c>
      <c r="R147" s="24">
        <v>240817</v>
      </c>
      <c r="S147" s="24">
        <v>245865</v>
      </c>
      <c r="T147" s="24">
        <v>250869</v>
      </c>
      <c r="U147" s="24">
        <v>255826</v>
      </c>
      <c r="V147" s="24">
        <v>260731</v>
      </c>
      <c r="W147" s="24">
        <v>265579</v>
      </c>
      <c r="X147" s="24">
        <v>265669</v>
      </c>
      <c r="Y147" s="24">
        <v>265697</v>
      </c>
      <c r="Z147" s="24">
        <v>265664</v>
      </c>
      <c r="AA147" s="24">
        <v>265574</v>
      </c>
      <c r="AB147" s="24">
        <v>265410</v>
      </c>
      <c r="AC147" s="24">
        <v>266185</v>
      </c>
      <c r="AD147" s="24">
        <v>266895</v>
      </c>
      <c r="AE147" s="24"/>
      <c r="CN147" s="31"/>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row>
    <row r="148" spans="1:153">
      <c r="A148" s="39">
        <v>33</v>
      </c>
      <c r="B148" s="24">
        <v>183028</v>
      </c>
      <c r="D148" s="24">
        <v>183784</v>
      </c>
      <c r="E148" s="24">
        <v>184538</v>
      </c>
      <c r="F148" s="24">
        <v>185286</v>
      </c>
      <c r="G148" s="24">
        <v>186036</v>
      </c>
      <c r="H148" s="24">
        <v>186757</v>
      </c>
      <c r="I148" s="24">
        <v>192511</v>
      </c>
      <c r="J148" s="24">
        <v>198260</v>
      </c>
      <c r="K148" s="24">
        <v>204003</v>
      </c>
      <c r="L148" s="24">
        <v>209729</v>
      </c>
      <c r="M148" s="24">
        <v>215458</v>
      </c>
      <c r="N148" s="24">
        <v>219650</v>
      </c>
      <c r="O148" s="24">
        <v>223818</v>
      </c>
      <c r="P148" s="24">
        <v>227960</v>
      </c>
      <c r="Q148" s="24">
        <v>232066</v>
      </c>
      <c r="R148" s="24">
        <v>236147</v>
      </c>
      <c r="S148" s="24">
        <v>241313</v>
      </c>
      <c r="T148" s="24">
        <v>246436</v>
      </c>
      <c r="U148" s="24">
        <v>251512</v>
      </c>
      <c r="V148" s="24">
        <v>256539</v>
      </c>
      <c r="W148" s="24">
        <v>261508</v>
      </c>
      <c r="X148" s="24">
        <v>262338</v>
      </c>
      <c r="Y148" s="24">
        <v>263108</v>
      </c>
      <c r="Z148" s="24">
        <v>263817</v>
      </c>
      <c r="AA148" s="24">
        <v>264469</v>
      </c>
      <c r="AB148" s="24">
        <v>265047</v>
      </c>
      <c r="AC148" s="24">
        <v>265587</v>
      </c>
      <c r="AD148" s="24">
        <v>266062</v>
      </c>
      <c r="AE148" s="24"/>
      <c r="CN148" s="31" t="s">
        <v>69</v>
      </c>
      <c r="CO148" s="42">
        <v>19734723</v>
      </c>
      <c r="CP148" s="42">
        <v>20196727</v>
      </c>
      <c r="CQ148" s="42">
        <v>20659047</v>
      </c>
      <c r="CR148" s="42">
        <v>21121216</v>
      </c>
      <c r="CS148" s="42">
        <v>21582756</v>
      </c>
      <c r="CT148" s="42">
        <v>22043179</v>
      </c>
      <c r="CU148" s="42">
        <v>22501988</v>
      </c>
      <c r="CV148" s="42">
        <v>22958680</v>
      </c>
      <c r="CW148" s="42">
        <v>23412742</v>
      </c>
      <c r="CX148" s="42">
        <v>23867393</v>
      </c>
      <c r="CY148" s="42">
        <v>24310896</v>
      </c>
      <c r="CZ148" s="42">
        <v>24765581</v>
      </c>
      <c r="DA148" s="42">
        <v>25219910</v>
      </c>
      <c r="DB148" s="42">
        <v>25673550</v>
      </c>
      <c r="DC148" s="42">
        <v>26127351</v>
      </c>
      <c r="DD148" s="42">
        <v>26577423</v>
      </c>
      <c r="DE148" s="42">
        <v>27030656</v>
      </c>
      <c r="DF148" s="42">
        <v>27483208</v>
      </c>
      <c r="DG148" s="42">
        <v>27934783</v>
      </c>
      <c r="DH148" s="42">
        <v>28384132</v>
      </c>
      <c r="DI148" s="42">
        <v>28833845</v>
      </c>
      <c r="DJ148" s="42">
        <v>29277736</v>
      </c>
      <c r="DK148" s="42">
        <v>29718357</v>
      </c>
      <c r="DL148" s="42">
        <v>30155352</v>
      </c>
      <c r="DM148" s="42">
        <v>30587736</v>
      </c>
      <c r="DN148" s="42">
        <v>31017064</v>
      </c>
      <c r="DO148" s="42">
        <v>31439105</v>
      </c>
      <c r="DP148" s="42">
        <v>31855396</v>
      </c>
      <c r="DQ148" s="42">
        <v>32265553</v>
      </c>
      <c r="DR148" s="42">
        <v>32669379</v>
      </c>
      <c r="DS148" s="42">
        <v>33065965</v>
      </c>
      <c r="DT148" s="42">
        <v>33456022</v>
      </c>
      <c r="DU148" s="42">
        <v>33838655</v>
      </c>
      <c r="DV148" s="42">
        <v>34213506</v>
      </c>
      <c r="DW148" s="42">
        <v>34580906</v>
      </c>
      <c r="DX148" s="42">
        <v>34938434</v>
      </c>
      <c r="DY148" s="42">
        <v>35289945</v>
      </c>
      <c r="DZ148" s="42">
        <v>35633043</v>
      </c>
      <c r="EA148" s="42">
        <v>35967412</v>
      </c>
      <c r="EB148" s="42">
        <v>36293631</v>
      </c>
      <c r="EC148" s="42">
        <v>36608747</v>
      </c>
      <c r="ED148" s="42">
        <v>36917807</v>
      </c>
      <c r="EE148" s="42">
        <v>37217897</v>
      </c>
      <c r="EF148" s="42">
        <v>37508759</v>
      </c>
      <c r="EG148" s="42">
        <v>37790837</v>
      </c>
      <c r="EH148" s="42">
        <v>38061788</v>
      </c>
      <c r="EI148" s="42">
        <v>38325592</v>
      </c>
      <c r="EJ148" s="42">
        <v>38579936</v>
      </c>
      <c r="EK148" s="42">
        <v>38824610</v>
      </c>
      <c r="EL148" s="42">
        <v>39059416</v>
      </c>
      <c r="EM148" s="42">
        <v>39284123</v>
      </c>
      <c r="EN148" s="42">
        <v>39498630</v>
      </c>
      <c r="EO148" s="42">
        <v>39702704</v>
      </c>
      <c r="EP148" s="42">
        <v>39896173</v>
      </c>
      <c r="EQ148" s="42">
        <v>40082580</v>
      </c>
      <c r="ER148" s="42">
        <v>40250659</v>
      </c>
      <c r="ES148" s="42">
        <v>40422559</v>
      </c>
      <c r="ET148" s="42">
        <v>40587082</v>
      </c>
      <c r="EU148" s="42">
        <v>40744133</v>
      </c>
      <c r="EV148" s="42">
        <v>40893620</v>
      </c>
      <c r="EW148" s="42">
        <v>41035449</v>
      </c>
    </row>
    <row r="149" spans="1:153">
      <c r="A149" s="39">
        <v>34</v>
      </c>
      <c r="B149" s="24">
        <v>180276</v>
      </c>
      <c r="D149" s="24">
        <v>181345</v>
      </c>
      <c r="E149" s="24">
        <v>182410</v>
      </c>
      <c r="F149" s="24">
        <v>183471</v>
      </c>
      <c r="G149" s="24">
        <v>184532</v>
      </c>
      <c r="H149" s="24">
        <v>185567</v>
      </c>
      <c r="I149" s="24">
        <v>190044</v>
      </c>
      <c r="J149" s="24">
        <v>194516</v>
      </c>
      <c r="K149" s="24">
        <v>198981</v>
      </c>
      <c r="L149" s="24">
        <v>203430</v>
      </c>
      <c r="M149" s="24">
        <v>207882</v>
      </c>
      <c r="N149" s="24">
        <v>212786</v>
      </c>
      <c r="O149" s="24">
        <v>217666</v>
      </c>
      <c r="P149" s="24">
        <v>222520</v>
      </c>
      <c r="Q149" s="24">
        <v>227340</v>
      </c>
      <c r="R149" s="24">
        <v>232136</v>
      </c>
      <c r="S149" s="24">
        <v>236982</v>
      </c>
      <c r="T149" s="24">
        <v>241785</v>
      </c>
      <c r="U149" s="24">
        <v>246543</v>
      </c>
      <c r="V149" s="24">
        <v>251251</v>
      </c>
      <c r="W149" s="24">
        <v>255904</v>
      </c>
      <c r="X149" s="24">
        <v>257824</v>
      </c>
      <c r="Y149" s="24">
        <v>259686</v>
      </c>
      <c r="Z149" s="24">
        <v>261488</v>
      </c>
      <c r="AA149" s="24">
        <v>263233</v>
      </c>
      <c r="AB149" s="24">
        <v>264903</v>
      </c>
      <c r="AC149" s="24">
        <v>265251</v>
      </c>
      <c r="AD149" s="24">
        <v>265533</v>
      </c>
      <c r="AE149" s="24"/>
      <c r="CN149" s="31"/>
      <c r="CO149" s="33"/>
      <c r="CP149" s="33"/>
      <c r="CQ149" s="33"/>
      <c r="CR149" s="33"/>
      <c r="CS149" s="33"/>
      <c r="CT149" s="33"/>
      <c r="CU149" s="33"/>
      <c r="CV149" s="33"/>
      <c r="CW149" s="33"/>
      <c r="CX149" s="33"/>
      <c r="CY149" s="33"/>
      <c r="CZ149" s="33"/>
      <c r="DA149" s="33"/>
      <c r="DB149" s="33"/>
      <c r="DC149" s="33"/>
      <c r="DD149" s="42"/>
      <c r="DE149" s="42"/>
      <c r="DF149" s="42"/>
      <c r="DG149" s="42"/>
      <c r="DH149" s="42"/>
      <c r="DI149" s="42"/>
      <c r="DJ149" s="42"/>
      <c r="DK149" s="42"/>
      <c r="DL149" s="42"/>
      <c r="DM149" s="42"/>
      <c r="DN149" s="42"/>
      <c r="DO149" s="42"/>
      <c r="DP149" s="42"/>
      <c r="DQ149" s="42"/>
      <c r="DR149" s="42"/>
      <c r="DS149" s="42"/>
      <c r="DT149" s="42"/>
      <c r="DU149" s="42"/>
      <c r="DV149" s="42"/>
      <c r="DW149" s="42"/>
      <c r="DX149" s="42"/>
      <c r="DY149" s="42"/>
      <c r="DZ149" s="42"/>
      <c r="EA149" s="42"/>
      <c r="EB149" s="42"/>
      <c r="EC149" s="42"/>
      <c r="ED149" s="42"/>
      <c r="EE149" s="42"/>
      <c r="EF149" s="42"/>
      <c r="EG149" s="42"/>
      <c r="EH149" s="42"/>
      <c r="EI149" s="42"/>
      <c r="EJ149" s="42"/>
      <c r="EK149" s="42"/>
      <c r="EL149" s="42"/>
      <c r="EM149" s="42"/>
      <c r="EN149" s="42"/>
      <c r="EO149" s="42"/>
      <c r="EP149" s="42"/>
      <c r="EQ149" s="42"/>
      <c r="ER149" s="42"/>
      <c r="ES149" s="42"/>
      <c r="ET149" s="42"/>
      <c r="EU149" s="42"/>
      <c r="EV149" s="42"/>
      <c r="EW149" s="42"/>
    </row>
    <row r="150" spans="1:153">
      <c r="A150" s="39" t="s">
        <v>77</v>
      </c>
      <c r="B150" s="32">
        <v>0</v>
      </c>
      <c r="D150" s="32">
        <v>0</v>
      </c>
      <c r="E150" s="32">
        <v>0</v>
      </c>
      <c r="F150" s="32">
        <v>0</v>
      </c>
      <c r="G150" s="32">
        <v>0</v>
      </c>
      <c r="H150" s="32">
        <v>0</v>
      </c>
      <c r="I150" s="32">
        <v>0</v>
      </c>
      <c r="J150" s="32">
        <v>0</v>
      </c>
      <c r="K150" s="32">
        <v>0</v>
      </c>
      <c r="L150" s="32">
        <v>0</v>
      </c>
      <c r="M150" s="32">
        <v>0</v>
      </c>
      <c r="N150" s="32">
        <v>0</v>
      </c>
      <c r="O150" s="32">
        <v>0</v>
      </c>
      <c r="P150" s="32">
        <v>0</v>
      </c>
      <c r="Q150" s="32">
        <v>0</v>
      </c>
      <c r="R150" s="32">
        <v>0</v>
      </c>
      <c r="S150" s="32">
        <v>0</v>
      </c>
      <c r="T150" s="32">
        <v>0</v>
      </c>
      <c r="U150" s="32">
        <v>0</v>
      </c>
      <c r="V150" s="32">
        <v>0</v>
      </c>
      <c r="W150" s="32">
        <v>0</v>
      </c>
      <c r="X150" s="32">
        <v>0</v>
      </c>
      <c r="Y150" s="32">
        <v>0</v>
      </c>
      <c r="Z150" s="32">
        <v>0</v>
      </c>
      <c r="AA150" s="32">
        <v>0</v>
      </c>
      <c r="AB150" s="32">
        <v>0</v>
      </c>
      <c r="AC150" s="32">
        <v>0</v>
      </c>
      <c r="AD150" s="32">
        <v>0</v>
      </c>
      <c r="AE150" s="32"/>
      <c r="CN150" s="31" t="s">
        <v>87</v>
      </c>
      <c r="CO150" s="42">
        <v>2729333</v>
      </c>
      <c r="CP150" s="42">
        <v>2731864</v>
      </c>
      <c r="CQ150" s="42">
        <v>2734434</v>
      </c>
      <c r="CR150" s="42">
        <v>2736985</v>
      </c>
      <c r="CS150" s="42">
        <v>2739452</v>
      </c>
      <c r="CT150" s="42">
        <v>2741791</v>
      </c>
      <c r="CU150" s="42">
        <v>2747188</v>
      </c>
      <c r="CV150" s="42">
        <v>2752310</v>
      </c>
      <c r="CW150" s="42">
        <v>2757108</v>
      </c>
      <c r="CX150" s="42">
        <v>2761972</v>
      </c>
      <c r="CY150" s="42">
        <v>2765557</v>
      </c>
      <c r="CZ150" s="42">
        <v>2781218</v>
      </c>
      <c r="DA150" s="42">
        <v>2796840</v>
      </c>
      <c r="DB150" s="42">
        <v>2812381</v>
      </c>
      <c r="DC150" s="42">
        <v>2827936</v>
      </c>
      <c r="DD150" s="42">
        <v>2843098</v>
      </c>
      <c r="DE150" s="42">
        <v>2856707</v>
      </c>
      <c r="DF150" s="42">
        <v>2870240</v>
      </c>
      <c r="DG150" s="42">
        <v>2883672</v>
      </c>
      <c r="DH150" s="42">
        <v>2896873</v>
      </c>
      <c r="DI150" s="42">
        <v>2910131</v>
      </c>
      <c r="DJ150" s="42">
        <v>2912647</v>
      </c>
      <c r="DK150" s="42">
        <v>2914825</v>
      </c>
      <c r="DL150" s="42">
        <v>2916641</v>
      </c>
      <c r="DM150" s="42">
        <v>2918015</v>
      </c>
      <c r="DN150" s="42">
        <v>2919110</v>
      </c>
      <c r="DO150" s="42">
        <v>2912063</v>
      </c>
      <c r="DP150" s="42">
        <v>2904453</v>
      </c>
      <c r="DQ150" s="42">
        <v>2896277</v>
      </c>
      <c r="DR150" s="42">
        <v>2887541</v>
      </c>
      <c r="DS150" s="42">
        <v>2878191</v>
      </c>
      <c r="DT150" s="42">
        <v>2867807</v>
      </c>
      <c r="DU150" s="42">
        <v>2856756</v>
      </c>
      <c r="DV150" s="42">
        <v>2845037</v>
      </c>
      <c r="DW150" s="42">
        <v>2832708</v>
      </c>
      <c r="DX150" s="42">
        <v>2819601</v>
      </c>
      <c r="DY150" s="42">
        <v>2808981</v>
      </c>
      <c r="DZ150" s="42">
        <v>2797662</v>
      </c>
      <c r="EA150" s="42">
        <v>2785649</v>
      </c>
      <c r="EB150" s="42">
        <v>2773013</v>
      </c>
      <c r="EC150" s="42">
        <v>2759558</v>
      </c>
      <c r="ED150" s="42">
        <v>2747975</v>
      </c>
      <c r="EE150" s="42">
        <v>2735699</v>
      </c>
      <c r="EF150" s="42">
        <v>2722735</v>
      </c>
      <c r="EG150" s="42">
        <v>2709142</v>
      </c>
      <c r="EH150" s="42">
        <v>2694777</v>
      </c>
      <c r="EI150" s="42">
        <v>2680570</v>
      </c>
      <c r="EJ150" s="42">
        <v>2665676</v>
      </c>
      <c r="EK150" s="42">
        <v>2650106</v>
      </c>
      <c r="EL150" s="42">
        <v>2633870</v>
      </c>
      <c r="EM150" s="42">
        <v>2616979</v>
      </c>
      <c r="EN150" s="42">
        <v>2601035</v>
      </c>
      <c r="EO150" s="42">
        <v>2584380</v>
      </c>
      <c r="EP150" s="42">
        <v>2567026</v>
      </c>
      <c r="EQ150" s="42">
        <v>2549223</v>
      </c>
      <c r="ER150" s="42">
        <v>2530282</v>
      </c>
      <c r="ES150" s="42">
        <v>2525129</v>
      </c>
      <c r="ET150" s="42">
        <v>2519507</v>
      </c>
      <c r="EU150" s="42">
        <v>2513418</v>
      </c>
      <c r="EV150" s="42">
        <v>2506866</v>
      </c>
      <c r="EW150" s="42">
        <v>2499852</v>
      </c>
    </row>
    <row r="151" spans="1:153">
      <c r="A151" s="39">
        <v>35</v>
      </c>
      <c r="B151" s="24">
        <v>177712</v>
      </c>
      <c r="D151" s="24">
        <v>179154</v>
      </c>
      <c r="E151" s="24">
        <v>180594</v>
      </c>
      <c r="F151" s="24">
        <v>182028</v>
      </c>
      <c r="G151" s="24">
        <v>183461</v>
      </c>
      <c r="H151" s="24">
        <v>184872</v>
      </c>
      <c r="I151" s="24">
        <v>187878</v>
      </c>
      <c r="J151" s="24">
        <v>190880</v>
      </c>
      <c r="K151" s="24">
        <v>193875</v>
      </c>
      <c r="L151" s="24">
        <v>196855</v>
      </c>
      <c r="M151" s="24">
        <v>199837</v>
      </c>
      <c r="N151" s="24">
        <v>205611</v>
      </c>
      <c r="O151" s="24">
        <v>211364</v>
      </c>
      <c r="P151" s="24">
        <v>217090</v>
      </c>
      <c r="Q151" s="24">
        <v>222784</v>
      </c>
      <c r="R151" s="24">
        <v>228454</v>
      </c>
      <c r="S151" s="24">
        <v>232764</v>
      </c>
      <c r="T151" s="24">
        <v>237034</v>
      </c>
      <c r="U151" s="24">
        <v>241258</v>
      </c>
      <c r="V151" s="24">
        <v>245435</v>
      </c>
      <c r="W151" s="24">
        <v>249557</v>
      </c>
      <c r="X151" s="24">
        <v>252759</v>
      </c>
      <c r="Y151" s="24">
        <v>255905</v>
      </c>
      <c r="Z151" s="24">
        <v>258992</v>
      </c>
      <c r="AA151" s="24">
        <v>262022</v>
      </c>
      <c r="AB151" s="24">
        <v>264977</v>
      </c>
      <c r="AC151" s="24">
        <v>265067</v>
      </c>
      <c r="AD151" s="24">
        <v>265092</v>
      </c>
      <c r="AE151" s="24"/>
      <c r="CN151" s="43" t="s">
        <v>88</v>
      </c>
      <c r="CO151" s="42">
        <v>2498578</v>
      </c>
      <c r="CP151" s="42">
        <v>2541691</v>
      </c>
      <c r="CQ151" s="42">
        <v>2584843</v>
      </c>
      <c r="CR151" s="42">
        <v>2627975</v>
      </c>
      <c r="CS151" s="42">
        <v>2671029</v>
      </c>
      <c r="CT151" s="42">
        <v>2713938</v>
      </c>
      <c r="CU151" s="42">
        <v>2716228</v>
      </c>
      <c r="CV151" s="42">
        <v>2718244</v>
      </c>
      <c r="CW151" s="42">
        <v>2719940</v>
      </c>
      <c r="CX151" s="42">
        <v>2721702</v>
      </c>
      <c r="CY151" s="42">
        <v>2722222</v>
      </c>
      <c r="CZ151" s="42">
        <v>2726697</v>
      </c>
      <c r="DA151" s="42">
        <v>2731128</v>
      </c>
      <c r="DB151" s="42">
        <v>2735482</v>
      </c>
      <c r="DC151" s="42">
        <v>2739852</v>
      </c>
      <c r="DD151" s="42">
        <v>2743832</v>
      </c>
      <c r="DE151" s="42">
        <v>2759835</v>
      </c>
      <c r="DF151" s="42">
        <v>2775764</v>
      </c>
      <c r="DG151" s="42">
        <v>2791594</v>
      </c>
      <c r="DH151" s="42">
        <v>2807202</v>
      </c>
      <c r="DI151" s="42">
        <v>2822855</v>
      </c>
      <c r="DJ151" s="42">
        <v>2837261</v>
      </c>
      <c r="DK151" s="42">
        <v>2851339</v>
      </c>
      <c r="DL151" s="42">
        <v>2865065</v>
      </c>
      <c r="DM151" s="42">
        <v>2878358</v>
      </c>
      <c r="DN151" s="42">
        <v>2891378</v>
      </c>
      <c r="DO151" s="42">
        <v>2894651</v>
      </c>
      <c r="DP151" s="42">
        <v>2897374</v>
      </c>
      <c r="DQ151" s="42">
        <v>2899531</v>
      </c>
      <c r="DR151" s="42">
        <v>2901129</v>
      </c>
      <c r="DS151" s="42">
        <v>2902096</v>
      </c>
      <c r="DT151" s="42">
        <v>2895625</v>
      </c>
      <c r="DU151" s="42">
        <v>2888487</v>
      </c>
      <c r="DV151" s="42">
        <v>2880673</v>
      </c>
      <c r="DW151" s="42">
        <v>2872241</v>
      </c>
      <c r="DX151" s="42">
        <v>2863016</v>
      </c>
      <c r="DY151" s="42">
        <v>2853059</v>
      </c>
      <c r="DZ151" s="42">
        <v>2842393</v>
      </c>
      <c r="EA151" s="42">
        <v>2831021</v>
      </c>
      <c r="EB151" s="42">
        <v>2819016</v>
      </c>
      <c r="EC151" s="42">
        <v>2806176</v>
      </c>
      <c r="ED151" s="42">
        <v>2795870</v>
      </c>
      <c r="EE151" s="42">
        <v>2784859</v>
      </c>
      <c r="EF151" s="42">
        <v>2773150</v>
      </c>
      <c r="EG151" s="42">
        <v>2760799</v>
      </c>
      <c r="EH151" s="42">
        <v>2747662</v>
      </c>
      <c r="EI151" s="42">
        <v>2736367</v>
      </c>
      <c r="EJ151" s="42">
        <v>2724373</v>
      </c>
      <c r="EK151" s="42">
        <v>2711689</v>
      </c>
      <c r="EL151" s="42">
        <v>2698324</v>
      </c>
      <c r="EM151" s="42">
        <v>2684282</v>
      </c>
      <c r="EN151" s="42">
        <v>2670405</v>
      </c>
      <c r="EO151" s="42">
        <v>2655800</v>
      </c>
      <c r="EP151" s="42">
        <v>2640478</v>
      </c>
      <c r="EQ151" s="42">
        <v>2624694</v>
      </c>
      <c r="ER151" s="42">
        <v>2607731</v>
      </c>
      <c r="ES151" s="42">
        <v>2591576</v>
      </c>
      <c r="ET151" s="42">
        <v>2574933</v>
      </c>
      <c r="EU151" s="42">
        <v>2557811</v>
      </c>
      <c r="EV151" s="42">
        <v>2540219</v>
      </c>
      <c r="EW151" s="42">
        <v>2522166</v>
      </c>
    </row>
    <row r="152" spans="1:153">
      <c r="A152" s="39">
        <v>36</v>
      </c>
      <c r="B152" s="24">
        <v>175039</v>
      </c>
      <c r="D152" s="24">
        <v>176782</v>
      </c>
      <c r="E152" s="24">
        <v>178523</v>
      </c>
      <c r="F152" s="24">
        <v>180259</v>
      </c>
      <c r="G152" s="24">
        <v>181996</v>
      </c>
      <c r="H152" s="24">
        <v>183709</v>
      </c>
      <c r="I152" s="24">
        <v>185487</v>
      </c>
      <c r="J152" s="24">
        <v>187259</v>
      </c>
      <c r="K152" s="24">
        <v>189026</v>
      </c>
      <c r="L152" s="24">
        <v>190777</v>
      </c>
      <c r="M152" s="24">
        <v>192529</v>
      </c>
      <c r="N152" s="24">
        <v>198934</v>
      </c>
      <c r="O152" s="24">
        <v>205317</v>
      </c>
      <c r="P152" s="24">
        <v>211676</v>
      </c>
      <c r="Q152" s="24">
        <v>218002</v>
      </c>
      <c r="R152" s="24">
        <v>224306</v>
      </c>
      <c r="S152" s="24">
        <v>228214</v>
      </c>
      <c r="T152" s="24">
        <v>232081</v>
      </c>
      <c r="U152" s="24">
        <v>235903</v>
      </c>
      <c r="V152" s="24">
        <v>239679</v>
      </c>
      <c r="W152" s="24">
        <v>243403</v>
      </c>
      <c r="X152" s="24">
        <v>247736</v>
      </c>
      <c r="Y152" s="24">
        <v>252016</v>
      </c>
      <c r="Z152" s="24">
        <v>256238</v>
      </c>
      <c r="AA152" s="24">
        <v>260404</v>
      </c>
      <c r="AB152" s="24">
        <v>264494</v>
      </c>
      <c r="AC152" s="24">
        <v>264416</v>
      </c>
      <c r="AD152" s="24">
        <v>264273</v>
      </c>
      <c r="AE152" s="24"/>
      <c r="CN152" s="43" t="s">
        <v>45</v>
      </c>
      <c r="CO152" s="42">
        <v>2281764</v>
      </c>
      <c r="CP152" s="42">
        <v>2324048</v>
      </c>
      <c r="CQ152" s="42">
        <v>2366369</v>
      </c>
      <c r="CR152" s="42">
        <v>2408671</v>
      </c>
      <c r="CS152" s="42">
        <v>2450901</v>
      </c>
      <c r="CT152" s="42">
        <v>2492998</v>
      </c>
      <c r="CU152" s="42">
        <v>2536717</v>
      </c>
      <c r="CV152" s="42">
        <v>2580195</v>
      </c>
      <c r="CW152" s="42">
        <v>2623376</v>
      </c>
      <c r="CX152" s="42">
        <v>2666623</v>
      </c>
      <c r="CY152" s="42">
        <v>2708630</v>
      </c>
      <c r="CZ152" s="42">
        <v>2710530</v>
      </c>
      <c r="DA152" s="42">
        <v>2712386</v>
      </c>
      <c r="DB152" s="42">
        <v>2714165</v>
      </c>
      <c r="DC152" s="42">
        <v>2715961</v>
      </c>
      <c r="DD152" s="42">
        <v>2717359</v>
      </c>
      <c r="DE152" s="42">
        <v>2721953</v>
      </c>
      <c r="DF152" s="42">
        <v>2726474</v>
      </c>
      <c r="DG152" s="42">
        <v>2730895</v>
      </c>
      <c r="DH152" s="42">
        <v>2735101</v>
      </c>
      <c r="DI152" s="42">
        <v>2739346</v>
      </c>
      <c r="DJ152" s="42">
        <v>2755888</v>
      </c>
      <c r="DK152" s="42">
        <v>2772112</v>
      </c>
      <c r="DL152" s="42">
        <v>2787995</v>
      </c>
      <c r="DM152" s="42">
        <v>2803455</v>
      </c>
      <c r="DN152" s="42">
        <v>2818621</v>
      </c>
      <c r="DO152" s="42">
        <v>2833477</v>
      </c>
      <c r="DP152" s="42">
        <v>2847802</v>
      </c>
      <c r="DQ152" s="42">
        <v>2861573</v>
      </c>
      <c r="DR152" s="42">
        <v>2874787</v>
      </c>
      <c r="DS152" s="42">
        <v>2887388</v>
      </c>
      <c r="DT152" s="42">
        <v>2890937</v>
      </c>
      <c r="DU152" s="42">
        <v>2893824</v>
      </c>
      <c r="DV152" s="42">
        <v>2896037</v>
      </c>
      <c r="DW152" s="42">
        <v>2897624</v>
      </c>
      <c r="DX152" s="42">
        <v>2898411</v>
      </c>
      <c r="DY152" s="42">
        <v>2892091</v>
      </c>
      <c r="DZ152" s="42">
        <v>2885051</v>
      </c>
      <c r="EA152" s="42">
        <v>2877298</v>
      </c>
      <c r="EB152" s="42">
        <v>2868901</v>
      </c>
      <c r="EC152" s="42">
        <v>2859653</v>
      </c>
      <c r="ED152" s="42">
        <v>2849775</v>
      </c>
      <c r="EE152" s="42">
        <v>2839179</v>
      </c>
      <c r="EF152" s="42">
        <v>2827871</v>
      </c>
      <c r="EG152" s="42">
        <v>2815908</v>
      </c>
      <c r="EH152" s="42">
        <v>2803146</v>
      </c>
      <c r="EI152" s="42">
        <v>2792909</v>
      </c>
      <c r="EJ152" s="42">
        <v>2781961</v>
      </c>
      <c r="EK152" s="42">
        <v>2770308</v>
      </c>
      <c r="EL152" s="42">
        <v>2757958</v>
      </c>
      <c r="EM152" s="42">
        <v>2744916</v>
      </c>
      <c r="EN152" s="42">
        <v>2733758</v>
      </c>
      <c r="EO152" s="42">
        <v>2721857</v>
      </c>
      <c r="EP152" s="42">
        <v>2709222</v>
      </c>
      <c r="EQ152" s="42">
        <v>2696112</v>
      </c>
      <c r="ER152" s="42">
        <v>2681788</v>
      </c>
      <c r="ES152" s="42">
        <v>2667509</v>
      </c>
      <c r="ET152" s="42">
        <v>2652729</v>
      </c>
      <c r="EU152" s="42">
        <v>2637456</v>
      </c>
      <c r="EV152" s="42">
        <v>2621698</v>
      </c>
      <c r="EW152" s="42">
        <v>2605465</v>
      </c>
    </row>
    <row r="153" spans="1:153">
      <c r="A153" s="39">
        <v>37</v>
      </c>
      <c r="B153" s="24">
        <v>171071</v>
      </c>
      <c r="D153" s="24">
        <v>173314</v>
      </c>
      <c r="E153" s="24">
        <v>175553</v>
      </c>
      <c r="F153" s="24">
        <v>177788</v>
      </c>
      <c r="G153" s="24">
        <v>180025</v>
      </c>
      <c r="H153" s="24">
        <v>182237</v>
      </c>
      <c r="I153" s="24">
        <v>183207</v>
      </c>
      <c r="J153" s="24">
        <v>184172</v>
      </c>
      <c r="K153" s="24">
        <v>185130</v>
      </c>
      <c r="L153" s="24">
        <v>186074</v>
      </c>
      <c r="M153" s="24">
        <v>187019</v>
      </c>
      <c r="N153" s="24">
        <v>193487</v>
      </c>
      <c r="O153" s="24">
        <v>199935</v>
      </c>
      <c r="P153" s="24">
        <v>206359</v>
      </c>
      <c r="Q153" s="24">
        <v>212751</v>
      </c>
      <c r="R153" s="24">
        <v>219121</v>
      </c>
      <c r="S153" s="24">
        <v>222941</v>
      </c>
      <c r="T153" s="24">
        <v>226721</v>
      </c>
      <c r="U153" s="24">
        <v>230457</v>
      </c>
      <c r="V153" s="24">
        <v>234148</v>
      </c>
      <c r="W153" s="24">
        <v>237789</v>
      </c>
      <c r="X153" s="24">
        <v>242840</v>
      </c>
      <c r="Y153" s="24">
        <v>247840</v>
      </c>
      <c r="Z153" s="24">
        <v>252783</v>
      </c>
      <c r="AA153" s="24">
        <v>257670</v>
      </c>
      <c r="AB153" s="24">
        <v>262482</v>
      </c>
      <c r="AC153" s="24">
        <v>262624</v>
      </c>
      <c r="AD153" s="24">
        <v>262701</v>
      </c>
      <c r="AE153" s="24"/>
      <c r="CN153" s="31" t="s">
        <v>46</v>
      </c>
      <c r="CO153" s="42">
        <v>1972472</v>
      </c>
      <c r="CP153" s="42">
        <v>2032489</v>
      </c>
      <c r="CQ153" s="42">
        <v>2092538</v>
      </c>
      <c r="CR153" s="42">
        <v>2152573</v>
      </c>
      <c r="CS153" s="42">
        <v>2212543</v>
      </c>
      <c r="CT153" s="42">
        <v>2272403</v>
      </c>
      <c r="CU153" s="42">
        <v>2314925</v>
      </c>
      <c r="CV153" s="42">
        <v>2357228</v>
      </c>
      <c r="CW153" s="42">
        <v>2399260</v>
      </c>
      <c r="CX153" s="42">
        <v>2441352</v>
      </c>
      <c r="CY153" s="42">
        <v>2482323</v>
      </c>
      <c r="CZ153" s="42">
        <v>2525375</v>
      </c>
      <c r="DA153" s="42">
        <v>2568391</v>
      </c>
      <c r="DB153" s="42">
        <v>2611336</v>
      </c>
      <c r="DC153" s="42">
        <v>2654298</v>
      </c>
      <c r="DD153" s="42">
        <v>2696867</v>
      </c>
      <c r="DE153" s="42">
        <v>2699011</v>
      </c>
      <c r="DF153" s="42">
        <v>2701083</v>
      </c>
      <c r="DG153" s="42">
        <v>2703056</v>
      </c>
      <c r="DH153" s="42">
        <v>2704816</v>
      </c>
      <c r="DI153" s="42">
        <v>2706612</v>
      </c>
      <c r="DJ153" s="42">
        <v>2711858</v>
      </c>
      <c r="DK153" s="42">
        <v>2716787</v>
      </c>
      <c r="DL153" s="42">
        <v>2721380</v>
      </c>
      <c r="DM153" s="42">
        <v>2725562</v>
      </c>
      <c r="DN153" s="42">
        <v>2729492</v>
      </c>
      <c r="DO153" s="42">
        <v>2746544</v>
      </c>
      <c r="DP153" s="42">
        <v>2763083</v>
      </c>
      <c r="DQ153" s="42">
        <v>2779085</v>
      </c>
      <c r="DR153" s="42">
        <v>2794545</v>
      </c>
      <c r="DS153" s="42">
        <v>2809403</v>
      </c>
      <c r="DT153" s="42">
        <v>2824598</v>
      </c>
      <c r="DU153" s="42">
        <v>2839153</v>
      </c>
      <c r="DV153" s="42">
        <v>2853052</v>
      </c>
      <c r="DW153" s="42">
        <v>2866333</v>
      </c>
      <c r="DX153" s="42">
        <v>2878805</v>
      </c>
      <c r="DY153" s="42">
        <v>2882586</v>
      </c>
      <c r="DZ153" s="42">
        <v>2885661</v>
      </c>
      <c r="EA153" s="42">
        <v>2888022</v>
      </c>
      <c r="EB153" s="42">
        <v>2889738</v>
      </c>
      <c r="EC153" s="42">
        <v>2890586</v>
      </c>
      <c r="ED153" s="42">
        <v>2884435</v>
      </c>
      <c r="EE153" s="42">
        <v>2877561</v>
      </c>
      <c r="EF153" s="42">
        <v>2869966</v>
      </c>
      <c r="EG153" s="42">
        <v>2861705</v>
      </c>
      <c r="EH153" s="42">
        <v>2852625</v>
      </c>
      <c r="EI153" s="42">
        <v>2842911</v>
      </c>
      <c r="EJ153" s="42">
        <v>2832472</v>
      </c>
      <c r="EK153" s="42">
        <v>2821316</v>
      </c>
      <c r="EL153" s="42">
        <v>2809451</v>
      </c>
      <c r="EM153" s="42">
        <v>2796881</v>
      </c>
      <c r="EN153" s="42">
        <v>2786862</v>
      </c>
      <c r="EO153" s="42">
        <v>2776086</v>
      </c>
      <c r="EP153" s="42">
        <v>2764562</v>
      </c>
      <c r="EQ153" s="42">
        <v>2752553</v>
      </c>
      <c r="ER153" s="42">
        <v>2739308</v>
      </c>
      <c r="ES153" s="42">
        <v>2727805</v>
      </c>
      <c r="ET153" s="42">
        <v>2715792</v>
      </c>
      <c r="EU153" s="42">
        <v>2703275</v>
      </c>
      <c r="EV153" s="42">
        <v>2690260</v>
      </c>
      <c r="EW153" s="42">
        <v>2676757</v>
      </c>
    </row>
    <row r="154" spans="1:153">
      <c r="A154" s="39">
        <v>38</v>
      </c>
      <c r="B154" s="24">
        <v>165418</v>
      </c>
      <c r="D154" s="24">
        <v>168365</v>
      </c>
      <c r="E154" s="24">
        <v>171310</v>
      </c>
      <c r="F154" s="24">
        <v>174251</v>
      </c>
      <c r="G154" s="24">
        <v>177193</v>
      </c>
      <c r="H154" s="24">
        <v>180112</v>
      </c>
      <c r="I154" s="24">
        <v>180903</v>
      </c>
      <c r="J154" s="24">
        <v>181690</v>
      </c>
      <c r="K154" s="24">
        <v>182470</v>
      </c>
      <c r="L154" s="24">
        <v>183235</v>
      </c>
      <c r="M154" s="24">
        <v>184002</v>
      </c>
      <c r="N154" s="24">
        <v>189750</v>
      </c>
      <c r="O154" s="24">
        <v>195477</v>
      </c>
      <c r="P154" s="24">
        <v>201181</v>
      </c>
      <c r="Q154" s="24">
        <v>206854</v>
      </c>
      <c r="R154" s="24">
        <v>212505</v>
      </c>
      <c r="S154" s="24">
        <v>216718</v>
      </c>
      <c r="T154" s="24">
        <v>220891</v>
      </c>
      <c r="U154" s="24">
        <v>225023</v>
      </c>
      <c r="V154" s="24">
        <v>229110</v>
      </c>
      <c r="W154" s="24">
        <v>233146</v>
      </c>
      <c r="X154" s="24">
        <v>238312</v>
      </c>
      <c r="Y154" s="24">
        <v>243426</v>
      </c>
      <c r="Z154" s="24">
        <v>248485</v>
      </c>
      <c r="AA154" s="24">
        <v>253490</v>
      </c>
      <c r="AB154" s="24">
        <v>258420</v>
      </c>
      <c r="AC154" s="24">
        <v>259291</v>
      </c>
      <c r="AD154" s="24">
        <v>260099</v>
      </c>
      <c r="AE154" s="24"/>
      <c r="CN154" s="31" t="s">
        <v>47</v>
      </c>
      <c r="CO154" s="42">
        <v>1875542</v>
      </c>
      <c r="CP154" s="42">
        <v>1892092</v>
      </c>
      <c r="CQ154" s="42">
        <v>1908670</v>
      </c>
      <c r="CR154" s="42">
        <v>1925232</v>
      </c>
      <c r="CS154" s="42">
        <v>1941737</v>
      </c>
      <c r="CT154" s="42">
        <v>1958126</v>
      </c>
      <c r="CU154" s="42">
        <v>2017725</v>
      </c>
      <c r="CV154" s="42">
        <v>2077140</v>
      </c>
      <c r="CW154" s="42">
        <v>2136320</v>
      </c>
      <c r="CX154" s="42">
        <v>2195555</v>
      </c>
      <c r="CY154" s="42">
        <v>2253741</v>
      </c>
      <c r="CZ154" s="42">
        <v>2295287</v>
      </c>
      <c r="DA154" s="42">
        <v>2336801</v>
      </c>
      <c r="DB154" s="42">
        <v>2378250</v>
      </c>
      <c r="DC154" s="42">
        <v>2419714</v>
      </c>
      <c r="DD154" s="42">
        <v>2460836</v>
      </c>
      <c r="DE154" s="42">
        <v>2503978</v>
      </c>
      <c r="DF154" s="42">
        <v>2547058</v>
      </c>
      <c r="DG154" s="42">
        <v>2590046</v>
      </c>
      <c r="DH154" s="42">
        <v>2632829</v>
      </c>
      <c r="DI154" s="42">
        <v>2675644</v>
      </c>
      <c r="DJ154" s="42">
        <v>2678629</v>
      </c>
      <c r="DK154" s="42">
        <v>2681300</v>
      </c>
      <c r="DL154" s="42">
        <v>2683639</v>
      </c>
      <c r="DM154" s="42">
        <v>2685572</v>
      </c>
      <c r="DN154" s="42">
        <v>2687245</v>
      </c>
      <c r="DO154" s="42">
        <v>2693202</v>
      </c>
      <c r="DP154" s="42">
        <v>2698650</v>
      </c>
      <c r="DQ154" s="42">
        <v>2703571</v>
      </c>
      <c r="DR154" s="42">
        <v>2707967</v>
      </c>
      <c r="DS154" s="42">
        <v>2711792</v>
      </c>
      <c r="DT154" s="42">
        <v>2729281</v>
      </c>
      <c r="DU154" s="42">
        <v>2746153</v>
      </c>
      <c r="DV154" s="42">
        <v>2762391</v>
      </c>
      <c r="DW154" s="42">
        <v>2778031</v>
      </c>
      <c r="DX154" s="42">
        <v>2792884</v>
      </c>
      <c r="DY154" s="42">
        <v>2808389</v>
      </c>
      <c r="DZ154" s="42">
        <v>2823214</v>
      </c>
      <c r="EA154" s="42">
        <v>2837346</v>
      </c>
      <c r="EB154" s="42">
        <v>2850836</v>
      </c>
      <c r="EC154" s="42">
        <v>2863464</v>
      </c>
      <c r="ED154" s="42">
        <v>2867530</v>
      </c>
      <c r="EE154" s="42">
        <v>2870884</v>
      </c>
      <c r="EF154" s="42">
        <v>2873521</v>
      </c>
      <c r="EG154" s="42">
        <v>2875490</v>
      </c>
      <c r="EH154" s="42">
        <v>2876627</v>
      </c>
      <c r="EI154" s="42">
        <v>2870777</v>
      </c>
      <c r="EJ154" s="42">
        <v>2864199</v>
      </c>
      <c r="EK154" s="42">
        <v>2856898</v>
      </c>
      <c r="EL154" s="42">
        <v>2848877</v>
      </c>
      <c r="EM154" s="42">
        <v>2840135</v>
      </c>
      <c r="EN154" s="42">
        <v>2830772</v>
      </c>
      <c r="EO154" s="42">
        <v>2820642</v>
      </c>
      <c r="EP154" s="42">
        <v>2809751</v>
      </c>
      <c r="EQ154" s="42">
        <v>2798368</v>
      </c>
      <c r="ER154" s="42">
        <v>2785725</v>
      </c>
      <c r="ES154" s="42">
        <v>2775471</v>
      </c>
      <c r="ET154" s="42">
        <v>2764698</v>
      </c>
      <c r="EU154" s="42">
        <v>2753412</v>
      </c>
      <c r="EV154" s="42">
        <v>2741620</v>
      </c>
      <c r="EW154" s="42">
        <v>2729326</v>
      </c>
    </row>
    <row r="155" spans="1:153">
      <c r="A155" s="39">
        <v>39</v>
      </c>
      <c r="B155" s="24">
        <v>158587</v>
      </c>
      <c r="D155" s="24">
        <v>162354</v>
      </c>
      <c r="E155" s="24">
        <v>166119</v>
      </c>
      <c r="F155" s="24">
        <v>169879</v>
      </c>
      <c r="G155" s="24">
        <v>173641</v>
      </c>
      <c r="H155" s="24">
        <v>177380</v>
      </c>
      <c r="I155" s="24">
        <v>178478</v>
      </c>
      <c r="J155" s="24">
        <v>179571</v>
      </c>
      <c r="K155" s="24">
        <v>180657</v>
      </c>
      <c r="L155" s="24">
        <v>181729</v>
      </c>
      <c r="M155" s="24">
        <v>182803</v>
      </c>
      <c r="N155" s="24">
        <v>187289</v>
      </c>
      <c r="O155" s="24">
        <v>191755</v>
      </c>
      <c r="P155" s="24">
        <v>196198</v>
      </c>
      <c r="Q155" s="24">
        <v>200610</v>
      </c>
      <c r="R155" s="24">
        <v>205002</v>
      </c>
      <c r="S155" s="24">
        <v>209912</v>
      </c>
      <c r="T155" s="24">
        <v>214784</v>
      </c>
      <c r="U155" s="24">
        <v>219615</v>
      </c>
      <c r="V155" s="24">
        <v>224402</v>
      </c>
      <c r="W155" s="24">
        <v>229139</v>
      </c>
      <c r="X155" s="24">
        <v>233986</v>
      </c>
      <c r="Y155" s="24">
        <v>238782</v>
      </c>
      <c r="Z155" s="24">
        <v>243524</v>
      </c>
      <c r="AA155" s="24">
        <v>248213</v>
      </c>
      <c r="AB155" s="24">
        <v>252829</v>
      </c>
      <c r="AC155" s="24">
        <v>254775</v>
      </c>
      <c r="AD155" s="24">
        <v>256660</v>
      </c>
      <c r="AE155" s="24"/>
      <c r="CN155" s="31" t="s">
        <v>48</v>
      </c>
      <c r="CO155" s="42">
        <v>1729001</v>
      </c>
      <c r="CP155" s="42">
        <v>1755015</v>
      </c>
      <c r="CQ155" s="42">
        <v>1781057</v>
      </c>
      <c r="CR155" s="42">
        <v>1807084</v>
      </c>
      <c r="CS155" s="42">
        <v>1833058</v>
      </c>
      <c r="CT155" s="42">
        <v>1858941</v>
      </c>
      <c r="CU155" s="42">
        <v>1875303</v>
      </c>
      <c r="CV155" s="42">
        <v>1891481</v>
      </c>
      <c r="CW155" s="42">
        <v>1907439</v>
      </c>
      <c r="CX155" s="42">
        <v>1923443</v>
      </c>
      <c r="CY155" s="42">
        <v>1938557</v>
      </c>
      <c r="CZ155" s="42">
        <v>1996962</v>
      </c>
      <c r="DA155" s="42">
        <v>2055341</v>
      </c>
      <c r="DB155" s="42">
        <v>2113665</v>
      </c>
      <c r="DC155" s="42">
        <v>2172003</v>
      </c>
      <c r="DD155" s="42">
        <v>2229999</v>
      </c>
      <c r="DE155" s="42">
        <v>2271616</v>
      </c>
      <c r="DF155" s="42">
        <v>2313175</v>
      </c>
      <c r="DG155" s="42">
        <v>2354653</v>
      </c>
      <c r="DH155" s="42">
        <v>2395943</v>
      </c>
      <c r="DI155" s="42">
        <v>2437246</v>
      </c>
      <c r="DJ155" s="42">
        <v>2480862</v>
      </c>
      <c r="DK155" s="42">
        <v>2524202</v>
      </c>
      <c r="DL155" s="42">
        <v>2567236</v>
      </c>
      <c r="DM155" s="42">
        <v>2609876</v>
      </c>
      <c r="DN155" s="42">
        <v>2652255</v>
      </c>
      <c r="DO155" s="42">
        <v>2656016</v>
      </c>
      <c r="DP155" s="42">
        <v>2659272</v>
      </c>
      <c r="DQ155" s="42">
        <v>2662010</v>
      </c>
      <c r="DR155" s="42">
        <v>2664232</v>
      </c>
      <c r="DS155" s="42">
        <v>2665878</v>
      </c>
      <c r="DT155" s="42">
        <v>2672378</v>
      </c>
      <c r="DU155" s="42">
        <v>2678268</v>
      </c>
      <c r="DV155" s="42">
        <v>2683536</v>
      </c>
      <c r="DW155" s="42">
        <v>2688225</v>
      </c>
      <c r="DX155" s="42">
        <v>2692161</v>
      </c>
      <c r="DY155" s="42">
        <v>2709966</v>
      </c>
      <c r="DZ155" s="42">
        <v>2727118</v>
      </c>
      <c r="EA155" s="42">
        <v>2743600</v>
      </c>
      <c r="EB155" s="42">
        <v>2759462</v>
      </c>
      <c r="EC155" s="42">
        <v>2774485</v>
      </c>
      <c r="ED155" s="42">
        <v>2790242</v>
      </c>
      <c r="EE155" s="42">
        <v>2805316</v>
      </c>
      <c r="EF155" s="42">
        <v>2819692</v>
      </c>
      <c r="EG155" s="42">
        <v>2833409</v>
      </c>
      <c r="EH155" s="42">
        <v>2846298</v>
      </c>
      <c r="EI155" s="42">
        <v>2850660</v>
      </c>
      <c r="EJ155" s="42">
        <v>2854308</v>
      </c>
      <c r="EK155" s="42">
        <v>2857237</v>
      </c>
      <c r="EL155" s="42">
        <v>2859441</v>
      </c>
      <c r="EM155" s="42">
        <v>2860917</v>
      </c>
      <c r="EN155" s="42">
        <v>2855452</v>
      </c>
      <c r="EO155" s="42">
        <v>2849215</v>
      </c>
      <c r="EP155" s="42">
        <v>2842211</v>
      </c>
      <c r="EQ155" s="42">
        <v>2834709</v>
      </c>
      <c r="ER155" s="42">
        <v>2825926</v>
      </c>
      <c r="ES155" s="42">
        <v>2816370</v>
      </c>
      <c r="ET155" s="42">
        <v>2806288</v>
      </c>
      <c r="EU155" s="42">
        <v>2795686</v>
      </c>
      <c r="EV155" s="42">
        <v>2784568</v>
      </c>
      <c r="EW155" s="42">
        <v>2772941</v>
      </c>
    </row>
    <row r="156" spans="1:153">
      <c r="A156" s="39" t="s">
        <v>78</v>
      </c>
      <c r="B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c r="CN156" s="31" t="s">
        <v>49</v>
      </c>
      <c r="CO156" s="42">
        <v>1428671</v>
      </c>
      <c r="CP156" s="42">
        <v>1485448</v>
      </c>
      <c r="CQ156" s="42">
        <v>1542250</v>
      </c>
      <c r="CR156" s="42">
        <v>1599041</v>
      </c>
      <c r="CS156" s="42">
        <v>1655785</v>
      </c>
      <c r="CT156" s="42">
        <v>1712462</v>
      </c>
      <c r="CU156" s="42">
        <v>1738335</v>
      </c>
      <c r="CV156" s="42">
        <v>1764041</v>
      </c>
      <c r="CW156" s="42">
        <v>1789543</v>
      </c>
      <c r="CX156" s="42">
        <v>1815090</v>
      </c>
      <c r="CY156" s="42">
        <v>1839781</v>
      </c>
      <c r="CZ156" s="42">
        <v>1855520</v>
      </c>
      <c r="DA156" s="42">
        <v>1871230</v>
      </c>
      <c r="DB156" s="42">
        <v>1886888</v>
      </c>
      <c r="DC156" s="42">
        <v>1902557</v>
      </c>
      <c r="DD156" s="42">
        <v>1917948</v>
      </c>
      <c r="DE156" s="42">
        <v>1976161</v>
      </c>
      <c r="DF156" s="42">
        <v>2034328</v>
      </c>
      <c r="DG156" s="42">
        <v>2092423</v>
      </c>
      <c r="DH156" s="42">
        <v>2150350</v>
      </c>
      <c r="DI156" s="42">
        <v>2208300</v>
      </c>
      <c r="DJ156" s="42">
        <v>2250300</v>
      </c>
      <c r="DK156" s="42">
        <v>2292053</v>
      </c>
      <c r="DL156" s="42">
        <v>2333526</v>
      </c>
      <c r="DM156" s="42">
        <v>2374642</v>
      </c>
      <c r="DN156" s="42">
        <v>2415515</v>
      </c>
      <c r="DO156" s="42">
        <v>2459493</v>
      </c>
      <c r="DP156" s="42">
        <v>2503028</v>
      </c>
      <c r="DQ156" s="42">
        <v>2546084</v>
      </c>
      <c r="DR156" s="42">
        <v>2588637</v>
      </c>
      <c r="DS156" s="42">
        <v>2630595</v>
      </c>
      <c r="DT156" s="42">
        <v>2634881</v>
      </c>
      <c r="DU156" s="42">
        <v>2638563</v>
      </c>
      <c r="DV156" s="42">
        <v>2641632</v>
      </c>
      <c r="DW156" s="42">
        <v>2644132</v>
      </c>
      <c r="DX156" s="42">
        <v>2645894</v>
      </c>
      <c r="DY156" s="42">
        <v>2652753</v>
      </c>
      <c r="DZ156" s="42">
        <v>2658964</v>
      </c>
      <c r="EA156" s="42">
        <v>2664520</v>
      </c>
      <c r="EB156" s="42">
        <v>2669476</v>
      </c>
      <c r="EC156" s="42">
        <v>2673629</v>
      </c>
      <c r="ED156" s="42">
        <v>2691638</v>
      </c>
      <c r="EE156" s="42">
        <v>2708990</v>
      </c>
      <c r="EF156" s="42">
        <v>2725668</v>
      </c>
      <c r="EG156" s="42">
        <v>2741710</v>
      </c>
      <c r="EH156" s="42">
        <v>2756947</v>
      </c>
      <c r="EI156" s="42">
        <v>2772902</v>
      </c>
      <c r="EJ156" s="42">
        <v>2788171</v>
      </c>
      <c r="EK156" s="42">
        <v>2802739</v>
      </c>
      <c r="EL156" s="42">
        <v>2816596</v>
      </c>
      <c r="EM156" s="42">
        <v>2829729</v>
      </c>
      <c r="EN156" s="42">
        <v>2834406</v>
      </c>
      <c r="EO156" s="42">
        <v>2838326</v>
      </c>
      <c r="EP156" s="42">
        <v>2841485</v>
      </c>
      <c r="EQ156" s="42">
        <v>2844142</v>
      </c>
      <c r="ER156" s="42">
        <v>2845506</v>
      </c>
      <c r="ES156" s="42">
        <v>2839815</v>
      </c>
      <c r="ET156" s="42">
        <v>2833595</v>
      </c>
      <c r="EU156" s="42">
        <v>2826848</v>
      </c>
      <c r="EV156" s="42">
        <v>2819581</v>
      </c>
      <c r="EW156" s="42">
        <v>2811794</v>
      </c>
    </row>
    <row r="157" spans="1:153">
      <c r="A157" s="39">
        <v>40</v>
      </c>
      <c r="B157" s="24">
        <v>151141</v>
      </c>
      <c r="D157" s="24">
        <v>155887</v>
      </c>
      <c r="E157" s="24">
        <v>160628</v>
      </c>
      <c r="F157" s="24">
        <v>165367</v>
      </c>
      <c r="G157" s="24">
        <v>170107</v>
      </c>
      <c r="H157" s="24">
        <v>174825</v>
      </c>
      <c r="I157" s="24">
        <v>176289</v>
      </c>
      <c r="J157" s="24">
        <v>177750</v>
      </c>
      <c r="K157" s="24">
        <v>179203</v>
      </c>
      <c r="L157" s="24">
        <v>180642</v>
      </c>
      <c r="M157" s="24">
        <v>182084</v>
      </c>
      <c r="N157" s="24">
        <v>185117</v>
      </c>
      <c r="O157" s="24">
        <v>188132</v>
      </c>
      <c r="P157" s="24">
        <v>191124</v>
      </c>
      <c r="Q157" s="24">
        <v>194085</v>
      </c>
      <c r="R157" s="24">
        <v>197027</v>
      </c>
      <c r="S157" s="24">
        <v>202790</v>
      </c>
      <c r="T157" s="24">
        <v>208517</v>
      </c>
      <c r="U157" s="24">
        <v>214205</v>
      </c>
      <c r="V157" s="24">
        <v>219850</v>
      </c>
      <c r="W157" s="24">
        <v>225444</v>
      </c>
      <c r="X157" s="24">
        <v>229762</v>
      </c>
      <c r="Y157" s="24">
        <v>234029</v>
      </c>
      <c r="Z157" s="24">
        <v>238243</v>
      </c>
      <c r="AA157" s="24">
        <v>242405</v>
      </c>
      <c r="AB157" s="24">
        <v>246495</v>
      </c>
      <c r="AC157" s="24">
        <v>249705</v>
      </c>
      <c r="AD157" s="24">
        <v>252856</v>
      </c>
      <c r="AE157" s="24"/>
      <c r="CN157" s="31" t="s">
        <v>50</v>
      </c>
      <c r="CO157" s="42">
        <v>1233782</v>
      </c>
      <c r="CP157" s="42">
        <v>1269729</v>
      </c>
      <c r="CQ157" s="42">
        <v>1305696</v>
      </c>
      <c r="CR157" s="42">
        <v>1341654</v>
      </c>
      <c r="CS157" s="42">
        <v>1377572</v>
      </c>
      <c r="CT157" s="42">
        <v>1413421</v>
      </c>
      <c r="CU157" s="42">
        <v>1469818</v>
      </c>
      <c r="CV157" s="42">
        <v>1526086</v>
      </c>
      <c r="CW157" s="42">
        <v>1582184</v>
      </c>
      <c r="CX157" s="42">
        <v>1638322</v>
      </c>
      <c r="CY157" s="42">
        <v>1693690</v>
      </c>
      <c r="CZ157" s="42">
        <v>1718943</v>
      </c>
      <c r="DA157" s="42">
        <v>1744170</v>
      </c>
      <c r="DB157" s="42">
        <v>1769350</v>
      </c>
      <c r="DC157" s="42">
        <v>1794540</v>
      </c>
      <c r="DD157" s="42">
        <v>1819485</v>
      </c>
      <c r="DE157" s="42">
        <v>1835406</v>
      </c>
      <c r="DF157" s="42">
        <v>1851279</v>
      </c>
      <c r="DG157" s="42">
        <v>1867086</v>
      </c>
      <c r="DH157" s="42">
        <v>1882745</v>
      </c>
      <c r="DI157" s="42">
        <v>1898430</v>
      </c>
      <c r="DJ157" s="42">
        <v>1956735</v>
      </c>
      <c r="DK157" s="42">
        <v>2014832</v>
      </c>
      <c r="DL157" s="42">
        <v>2072687</v>
      </c>
      <c r="DM157" s="42">
        <v>2130221</v>
      </c>
      <c r="DN157" s="42">
        <v>2187529</v>
      </c>
      <c r="DO157" s="42">
        <v>2229795</v>
      </c>
      <c r="DP157" s="42">
        <v>2271660</v>
      </c>
      <c r="DQ157" s="42">
        <v>2313090</v>
      </c>
      <c r="DR157" s="42">
        <v>2354064</v>
      </c>
      <c r="DS157" s="42">
        <v>2394520</v>
      </c>
      <c r="DT157" s="42">
        <v>2438627</v>
      </c>
      <c r="DU157" s="42">
        <v>2482204</v>
      </c>
      <c r="DV157" s="42">
        <v>2525215</v>
      </c>
      <c r="DW157" s="42">
        <v>2567671</v>
      </c>
      <c r="DX157" s="42">
        <v>2609382</v>
      </c>
      <c r="DY157" s="42">
        <v>2614015</v>
      </c>
      <c r="DZ157" s="42">
        <v>2618010</v>
      </c>
      <c r="EA157" s="42">
        <v>2621358</v>
      </c>
      <c r="EB157" s="42">
        <v>2624116</v>
      </c>
      <c r="EC157" s="42">
        <v>2626086</v>
      </c>
      <c r="ED157" s="42">
        <v>2633186</v>
      </c>
      <c r="EE157" s="42">
        <v>2639634</v>
      </c>
      <c r="EF157" s="42">
        <v>2645425</v>
      </c>
      <c r="EG157" s="42">
        <v>2650599</v>
      </c>
      <c r="EH157" s="42">
        <v>2655005</v>
      </c>
      <c r="EI157" s="42">
        <v>2673158</v>
      </c>
      <c r="EJ157" s="42">
        <v>2690651</v>
      </c>
      <c r="EK157" s="42">
        <v>2707469</v>
      </c>
      <c r="EL157" s="42">
        <v>2723599</v>
      </c>
      <c r="EM157" s="42">
        <v>2739027</v>
      </c>
      <c r="EN157" s="42">
        <v>2755199</v>
      </c>
      <c r="EO157" s="42">
        <v>2770644</v>
      </c>
      <c r="EP157" s="42">
        <v>2785349</v>
      </c>
      <c r="EQ157" s="42">
        <v>2799561</v>
      </c>
      <c r="ER157" s="42">
        <v>2812488</v>
      </c>
      <c r="ES157" s="42">
        <v>2816871</v>
      </c>
      <c r="ET157" s="42">
        <v>2820736</v>
      </c>
      <c r="EU157" s="42">
        <v>2824081</v>
      </c>
      <c r="EV157" s="42">
        <v>2826901</v>
      </c>
      <c r="EW157" s="42">
        <v>2829202</v>
      </c>
    </row>
    <row r="158" spans="1:153">
      <c r="A158" s="39">
        <v>41</v>
      </c>
      <c r="B158" s="24">
        <v>144068</v>
      </c>
      <c r="D158" s="24">
        <v>149692</v>
      </c>
      <c r="E158" s="24">
        <v>155314</v>
      </c>
      <c r="F158" s="24">
        <v>160931</v>
      </c>
      <c r="G158" s="24">
        <v>166550</v>
      </c>
      <c r="H158" s="24">
        <v>172148</v>
      </c>
      <c r="I158" s="24">
        <v>173909</v>
      </c>
      <c r="J158" s="24">
        <v>175665</v>
      </c>
      <c r="K158" s="24">
        <v>177415</v>
      </c>
      <c r="L158" s="24">
        <v>179151</v>
      </c>
      <c r="M158" s="24">
        <v>180890</v>
      </c>
      <c r="N158" s="24">
        <v>182710</v>
      </c>
      <c r="O158" s="24">
        <v>184509</v>
      </c>
      <c r="P158" s="24">
        <v>186285</v>
      </c>
      <c r="Q158" s="24">
        <v>188033</v>
      </c>
      <c r="R158" s="24">
        <v>189762</v>
      </c>
      <c r="S158" s="24">
        <v>196142</v>
      </c>
      <c r="T158" s="24">
        <v>202488</v>
      </c>
      <c r="U158" s="24">
        <v>208796</v>
      </c>
      <c r="V158" s="24">
        <v>215063</v>
      </c>
      <c r="W158" s="24">
        <v>221277</v>
      </c>
      <c r="X158" s="24">
        <v>225193</v>
      </c>
      <c r="Y158" s="24">
        <v>229060</v>
      </c>
      <c r="Z158" s="24">
        <v>232875</v>
      </c>
      <c r="AA158" s="24">
        <v>236639</v>
      </c>
      <c r="AB158" s="24">
        <v>240335</v>
      </c>
      <c r="AC158" s="24">
        <v>244661</v>
      </c>
      <c r="AD158" s="24">
        <v>248930</v>
      </c>
      <c r="AE158" s="24"/>
      <c r="CN158" s="31" t="s">
        <v>51</v>
      </c>
      <c r="CO158" s="42">
        <v>1006342</v>
      </c>
      <c r="CP158" s="42">
        <v>1048563</v>
      </c>
      <c r="CQ158" s="42">
        <v>1090802</v>
      </c>
      <c r="CR158" s="42">
        <v>1133034</v>
      </c>
      <c r="CS158" s="42">
        <v>1175232</v>
      </c>
      <c r="CT158" s="42">
        <v>1217377</v>
      </c>
      <c r="CU158" s="42">
        <v>1253230</v>
      </c>
      <c r="CV158" s="42">
        <v>1288969</v>
      </c>
      <c r="CW158" s="42">
        <v>1324562</v>
      </c>
      <c r="CX158" s="42">
        <v>1360189</v>
      </c>
      <c r="CY158" s="42">
        <v>1395172</v>
      </c>
      <c r="CZ158" s="42">
        <v>1450685</v>
      </c>
      <c r="DA158" s="42">
        <v>1506179</v>
      </c>
      <c r="DB158" s="42">
        <v>1561634</v>
      </c>
      <c r="DC158" s="42">
        <v>1617100</v>
      </c>
      <c r="DD158" s="42">
        <v>1672350</v>
      </c>
      <c r="DE158" s="42">
        <v>1697633</v>
      </c>
      <c r="DF158" s="42">
        <v>1722873</v>
      </c>
      <c r="DG158" s="42">
        <v>1748052</v>
      </c>
      <c r="DH158" s="42">
        <v>1773092</v>
      </c>
      <c r="DI158" s="42">
        <v>1798146</v>
      </c>
      <c r="DJ158" s="42">
        <v>1814496</v>
      </c>
      <c r="DK158" s="42">
        <v>1830638</v>
      </c>
      <c r="DL158" s="42">
        <v>1846556</v>
      </c>
      <c r="DM158" s="42">
        <v>1862193</v>
      </c>
      <c r="DN158" s="42">
        <v>1877648</v>
      </c>
      <c r="DO158" s="42">
        <v>1935909</v>
      </c>
      <c r="DP158" s="42">
        <v>1993835</v>
      </c>
      <c r="DQ158" s="42">
        <v>2051384</v>
      </c>
      <c r="DR158" s="42">
        <v>2108524</v>
      </c>
      <c r="DS158" s="42">
        <v>2165162</v>
      </c>
      <c r="DT158" s="42">
        <v>2207474</v>
      </c>
      <c r="DU158" s="42">
        <v>2249307</v>
      </c>
      <c r="DV158" s="42">
        <v>2290628</v>
      </c>
      <c r="DW158" s="42">
        <v>2331446</v>
      </c>
      <c r="DX158" s="42">
        <v>2371587</v>
      </c>
      <c r="DY158" s="42">
        <v>2415645</v>
      </c>
      <c r="DZ158" s="42">
        <v>2459143</v>
      </c>
      <c r="EA158" s="42">
        <v>2502043</v>
      </c>
      <c r="EB158" s="42">
        <v>2544371</v>
      </c>
      <c r="EC158" s="42">
        <v>2585907</v>
      </c>
      <c r="ED158" s="42">
        <v>2590787</v>
      </c>
      <c r="EE158" s="42">
        <v>2595024</v>
      </c>
      <c r="EF158" s="42">
        <v>2598614</v>
      </c>
      <c r="EG158" s="42">
        <v>2601599</v>
      </c>
      <c r="EH158" s="42">
        <v>2603832</v>
      </c>
      <c r="EI158" s="42">
        <v>2611139</v>
      </c>
      <c r="EJ158" s="42">
        <v>2617793</v>
      </c>
      <c r="EK158" s="42">
        <v>2623788</v>
      </c>
      <c r="EL158" s="42">
        <v>2629119</v>
      </c>
      <c r="EM158" s="42">
        <v>2633776</v>
      </c>
      <c r="EN158" s="42">
        <v>2652090</v>
      </c>
      <c r="EO158" s="42">
        <v>2669707</v>
      </c>
      <c r="EP158" s="42">
        <v>2686612</v>
      </c>
      <c r="EQ158" s="42">
        <v>2703041</v>
      </c>
      <c r="ER158" s="42">
        <v>2718232</v>
      </c>
      <c r="ES158" s="42">
        <v>2734024</v>
      </c>
      <c r="ET158" s="42">
        <v>2749319</v>
      </c>
      <c r="EU158" s="42">
        <v>2764108</v>
      </c>
      <c r="EV158" s="42">
        <v>2778384</v>
      </c>
      <c r="EW158" s="42">
        <v>2792137</v>
      </c>
    </row>
    <row r="159" spans="1:153">
      <c r="A159" s="39">
        <v>42</v>
      </c>
      <c r="B159" s="24">
        <v>138036</v>
      </c>
      <c r="D159" s="24">
        <v>144071</v>
      </c>
      <c r="E159" s="24">
        <v>150105</v>
      </c>
      <c r="F159" s="24">
        <v>156135</v>
      </c>
      <c r="G159" s="24">
        <v>162166</v>
      </c>
      <c r="H159" s="24">
        <v>168176</v>
      </c>
      <c r="I159" s="24">
        <v>170425</v>
      </c>
      <c r="J159" s="24">
        <v>172669</v>
      </c>
      <c r="K159" s="24">
        <v>174908</v>
      </c>
      <c r="L159" s="24">
        <v>177132</v>
      </c>
      <c r="M159" s="24">
        <v>179360</v>
      </c>
      <c r="N159" s="24">
        <v>180382</v>
      </c>
      <c r="O159" s="24">
        <v>181382</v>
      </c>
      <c r="P159" s="24">
        <v>182360</v>
      </c>
      <c r="Q159" s="24">
        <v>183311</v>
      </c>
      <c r="R159" s="24">
        <v>184243</v>
      </c>
      <c r="S159" s="24">
        <v>190682</v>
      </c>
      <c r="T159" s="24">
        <v>197089</v>
      </c>
      <c r="U159" s="24">
        <v>203459</v>
      </c>
      <c r="V159" s="24">
        <v>209788</v>
      </c>
      <c r="W159" s="24">
        <v>216065</v>
      </c>
      <c r="X159" s="24">
        <v>219890</v>
      </c>
      <c r="Y159" s="24">
        <v>223668</v>
      </c>
      <c r="Z159" s="24">
        <v>227394</v>
      </c>
      <c r="AA159" s="24">
        <v>231071</v>
      </c>
      <c r="AB159" s="24">
        <v>234680</v>
      </c>
      <c r="AC159" s="24">
        <v>239714</v>
      </c>
      <c r="AD159" s="24">
        <v>244692</v>
      </c>
      <c r="AE159" s="24"/>
      <c r="CN159" s="31" t="s">
        <v>52</v>
      </c>
      <c r="CO159" s="42">
        <v>764294</v>
      </c>
      <c r="CP159" s="42">
        <v>808932</v>
      </c>
      <c r="CQ159" s="42">
        <v>853583</v>
      </c>
      <c r="CR159" s="42">
        <v>898230</v>
      </c>
      <c r="CS159" s="42">
        <v>942850</v>
      </c>
      <c r="CT159" s="42">
        <v>987403</v>
      </c>
      <c r="CU159" s="42">
        <v>1029363</v>
      </c>
      <c r="CV159" s="42">
        <v>1071233</v>
      </c>
      <c r="CW159" s="42">
        <v>1112984</v>
      </c>
      <c r="CX159" s="42">
        <v>1154764</v>
      </c>
      <c r="CY159" s="42">
        <v>1195978</v>
      </c>
      <c r="CZ159" s="42">
        <v>1231207</v>
      </c>
      <c r="DA159" s="42">
        <v>1266420</v>
      </c>
      <c r="DB159" s="42">
        <v>1301599</v>
      </c>
      <c r="DC159" s="42">
        <v>1336787</v>
      </c>
      <c r="DD159" s="42">
        <v>1371781</v>
      </c>
      <c r="DE159" s="42">
        <v>1426744</v>
      </c>
      <c r="DF159" s="42">
        <v>1481674</v>
      </c>
      <c r="DG159" s="42">
        <v>1536553</v>
      </c>
      <c r="DH159" s="42">
        <v>1591309</v>
      </c>
      <c r="DI159" s="42">
        <v>1646079</v>
      </c>
      <c r="DJ159" s="42">
        <v>1671604</v>
      </c>
      <c r="DK159" s="42">
        <v>1696943</v>
      </c>
      <c r="DL159" s="42">
        <v>1722074</v>
      </c>
      <c r="DM159" s="42">
        <v>1746942</v>
      </c>
      <c r="DN159" s="42">
        <v>1771635</v>
      </c>
      <c r="DO159" s="42">
        <v>1788331</v>
      </c>
      <c r="DP159" s="42">
        <v>1804695</v>
      </c>
      <c r="DQ159" s="42">
        <v>1820710</v>
      </c>
      <c r="DR159" s="42">
        <v>1836369</v>
      </c>
      <c r="DS159" s="42">
        <v>1851627</v>
      </c>
      <c r="DT159" s="42">
        <v>1909562</v>
      </c>
      <c r="DU159" s="42">
        <v>1967099</v>
      </c>
      <c r="DV159" s="42">
        <v>2024191</v>
      </c>
      <c r="DW159" s="42">
        <v>2080836</v>
      </c>
      <c r="DX159" s="42">
        <v>2136860</v>
      </c>
      <c r="DY159" s="42">
        <v>2179020</v>
      </c>
      <c r="DZ159" s="42">
        <v>2220677</v>
      </c>
      <c r="EA159" s="42">
        <v>2261794</v>
      </c>
      <c r="EB159" s="42">
        <v>2302394</v>
      </c>
      <c r="EC159" s="42">
        <v>2342273</v>
      </c>
      <c r="ED159" s="42">
        <v>2386130</v>
      </c>
      <c r="EE159" s="42">
        <v>2429426</v>
      </c>
      <c r="EF159" s="42">
        <v>2472125</v>
      </c>
      <c r="EG159" s="42">
        <v>2514240</v>
      </c>
      <c r="EH159" s="42">
        <v>2555596</v>
      </c>
      <c r="EI159" s="42">
        <v>2560727</v>
      </c>
      <c r="EJ159" s="42">
        <v>2565217</v>
      </c>
      <c r="EK159" s="42">
        <v>2569060</v>
      </c>
      <c r="EL159" s="42">
        <v>2572254</v>
      </c>
      <c r="EM159" s="42">
        <v>2574792</v>
      </c>
      <c r="EN159" s="42">
        <v>2582356</v>
      </c>
      <c r="EO159" s="42">
        <v>2589232</v>
      </c>
      <c r="EP159" s="42">
        <v>2595416</v>
      </c>
      <c r="EQ159" s="42">
        <v>2601141</v>
      </c>
      <c r="ER159" s="42">
        <v>2605683</v>
      </c>
      <c r="ES159" s="42">
        <v>2623601</v>
      </c>
      <c r="ET159" s="42">
        <v>2641044</v>
      </c>
      <c r="EU159" s="42">
        <v>2658002</v>
      </c>
      <c r="EV159" s="42">
        <v>2674465</v>
      </c>
      <c r="EW159" s="42">
        <v>2690424</v>
      </c>
    </row>
    <row r="160" spans="1:153">
      <c r="A160" s="39">
        <v>43</v>
      </c>
      <c r="B160" s="24">
        <v>133576</v>
      </c>
      <c r="D160" s="24">
        <v>139371</v>
      </c>
      <c r="E160" s="24">
        <v>145166</v>
      </c>
      <c r="F160" s="24">
        <v>150956</v>
      </c>
      <c r="G160" s="24">
        <v>156747</v>
      </c>
      <c r="H160" s="24">
        <v>162518</v>
      </c>
      <c r="I160" s="24">
        <v>165456</v>
      </c>
      <c r="J160" s="24">
        <v>168390</v>
      </c>
      <c r="K160" s="24">
        <v>171318</v>
      </c>
      <c r="L160" s="24">
        <v>174232</v>
      </c>
      <c r="M160" s="24">
        <v>177149</v>
      </c>
      <c r="N160" s="24">
        <v>177994</v>
      </c>
      <c r="O160" s="24">
        <v>178818</v>
      </c>
      <c r="P160" s="24">
        <v>179620</v>
      </c>
      <c r="Q160" s="24">
        <v>180395</v>
      </c>
      <c r="R160" s="24">
        <v>181151</v>
      </c>
      <c r="S160" s="24">
        <v>186878</v>
      </c>
      <c r="T160" s="24">
        <v>192573</v>
      </c>
      <c r="U160" s="24">
        <v>198231</v>
      </c>
      <c r="V160" s="24">
        <v>203850</v>
      </c>
      <c r="W160" s="24">
        <v>209419</v>
      </c>
      <c r="X160" s="24">
        <v>213625</v>
      </c>
      <c r="Y160" s="24">
        <v>217785</v>
      </c>
      <c r="Z160" s="24">
        <v>221895</v>
      </c>
      <c r="AA160" s="24">
        <v>225956</v>
      </c>
      <c r="AB160" s="24">
        <v>229952</v>
      </c>
      <c r="AC160" s="24">
        <v>235095</v>
      </c>
      <c r="AD160" s="24">
        <v>240185</v>
      </c>
      <c r="AE160" s="24"/>
      <c r="CN160" s="31" t="s">
        <v>53</v>
      </c>
      <c r="CO160" s="42">
        <v>589173</v>
      </c>
      <c r="CP160" s="42">
        <v>619974</v>
      </c>
      <c r="CQ160" s="42">
        <v>650785</v>
      </c>
      <c r="CR160" s="42">
        <v>681592</v>
      </c>
      <c r="CS160" s="42">
        <v>712379</v>
      </c>
      <c r="CT160" s="42">
        <v>743137</v>
      </c>
      <c r="CU160" s="42">
        <v>787225</v>
      </c>
      <c r="CV160" s="42">
        <v>831249</v>
      </c>
      <c r="CW160" s="42">
        <v>875182</v>
      </c>
      <c r="CX160" s="42">
        <v>919138</v>
      </c>
      <c r="CY160" s="42">
        <v>962662</v>
      </c>
      <c r="CZ160" s="42">
        <v>1003783</v>
      </c>
      <c r="DA160" s="42">
        <v>1044891</v>
      </c>
      <c r="DB160" s="42">
        <v>1085972</v>
      </c>
      <c r="DC160" s="42">
        <v>1127060</v>
      </c>
      <c r="DD160" s="42">
        <v>1168000</v>
      </c>
      <c r="DE160" s="42">
        <v>1202803</v>
      </c>
      <c r="DF160" s="42">
        <v>1237577</v>
      </c>
      <c r="DG160" s="42">
        <v>1272307</v>
      </c>
      <c r="DH160" s="42">
        <v>1306936</v>
      </c>
      <c r="DI160" s="42">
        <v>1341579</v>
      </c>
      <c r="DJ160" s="42">
        <v>1395985</v>
      </c>
      <c r="DK160" s="42">
        <v>1450247</v>
      </c>
      <c r="DL160" s="42">
        <v>1504337</v>
      </c>
      <c r="DM160" s="42">
        <v>1558193</v>
      </c>
      <c r="DN160" s="42">
        <v>1611895</v>
      </c>
      <c r="DO160" s="42">
        <v>1637527</v>
      </c>
      <c r="DP160" s="42">
        <v>1662861</v>
      </c>
      <c r="DQ160" s="42">
        <v>1687876</v>
      </c>
      <c r="DR160" s="42">
        <v>1712559</v>
      </c>
      <c r="DS160" s="42">
        <v>1736858</v>
      </c>
      <c r="DT160" s="42">
        <v>1753736</v>
      </c>
      <c r="DU160" s="42">
        <v>1770222</v>
      </c>
      <c r="DV160" s="42">
        <v>1786300</v>
      </c>
      <c r="DW160" s="42">
        <v>1801990</v>
      </c>
      <c r="DX160" s="42">
        <v>1817169</v>
      </c>
      <c r="DY160" s="42">
        <v>1874477</v>
      </c>
      <c r="DZ160" s="42">
        <v>1931367</v>
      </c>
      <c r="EA160" s="42">
        <v>1987793</v>
      </c>
      <c r="EB160" s="42">
        <v>2043760</v>
      </c>
      <c r="EC160" s="42">
        <v>2099073</v>
      </c>
      <c r="ED160" s="42">
        <v>2140886</v>
      </c>
      <c r="EE160" s="42">
        <v>2182196</v>
      </c>
      <c r="EF160" s="42">
        <v>2222972</v>
      </c>
      <c r="EG160" s="42">
        <v>2263221</v>
      </c>
      <c r="EH160" s="42">
        <v>2302785</v>
      </c>
      <c r="EI160" s="42">
        <v>2346290</v>
      </c>
      <c r="EJ160" s="42">
        <v>2389236</v>
      </c>
      <c r="EK160" s="42">
        <v>2431591</v>
      </c>
      <c r="EL160" s="42">
        <v>2473321</v>
      </c>
      <c r="EM160" s="42">
        <v>2514389</v>
      </c>
      <c r="EN160" s="42">
        <v>2519840</v>
      </c>
      <c r="EO160" s="42">
        <v>2524619</v>
      </c>
      <c r="EP160" s="42">
        <v>2528722</v>
      </c>
      <c r="EQ160" s="42">
        <v>2532378</v>
      </c>
      <c r="ER160" s="42">
        <v>2534884</v>
      </c>
      <c r="ES160" s="42">
        <v>2542197</v>
      </c>
      <c r="ET160" s="42">
        <v>2549044</v>
      </c>
      <c r="EU160" s="42">
        <v>2555421</v>
      </c>
      <c r="EV160" s="42">
        <v>2561324</v>
      </c>
      <c r="EW160" s="42">
        <v>2566748</v>
      </c>
    </row>
    <row r="161" spans="1:153">
      <c r="A161" s="39">
        <v>44</v>
      </c>
      <c r="B161" s="24">
        <v>130250</v>
      </c>
      <c r="D161" s="24">
        <v>135343</v>
      </c>
      <c r="E161" s="24">
        <v>140435</v>
      </c>
      <c r="F161" s="24">
        <v>145522</v>
      </c>
      <c r="G161" s="24">
        <v>150611</v>
      </c>
      <c r="H161" s="24">
        <v>155680</v>
      </c>
      <c r="I161" s="24">
        <v>159418</v>
      </c>
      <c r="J161" s="24">
        <v>163151</v>
      </c>
      <c r="K161" s="24">
        <v>166879</v>
      </c>
      <c r="L161" s="24">
        <v>170594</v>
      </c>
      <c r="M161" s="24">
        <v>174312</v>
      </c>
      <c r="N161" s="24">
        <v>175458</v>
      </c>
      <c r="O161" s="24">
        <v>176584</v>
      </c>
      <c r="P161" s="24">
        <v>177688</v>
      </c>
      <c r="Q161" s="24">
        <v>178765</v>
      </c>
      <c r="R161" s="24">
        <v>179824</v>
      </c>
      <c r="S161" s="24">
        <v>184307</v>
      </c>
      <c r="T161" s="24">
        <v>188757</v>
      </c>
      <c r="U161" s="24">
        <v>193171</v>
      </c>
      <c r="V161" s="24">
        <v>197547</v>
      </c>
      <c r="W161" s="24">
        <v>201877</v>
      </c>
      <c r="X161" s="24">
        <v>206762</v>
      </c>
      <c r="Y161" s="24">
        <v>211604</v>
      </c>
      <c r="Z161" s="24">
        <v>216397</v>
      </c>
      <c r="AA161" s="24">
        <v>221143</v>
      </c>
      <c r="AB161" s="24">
        <v>225824</v>
      </c>
      <c r="AC161" s="24">
        <v>230650</v>
      </c>
      <c r="AD161" s="24">
        <v>235423</v>
      </c>
      <c r="AE161" s="24"/>
      <c r="CN161" s="31" t="s">
        <v>54</v>
      </c>
      <c r="CO161" s="42">
        <v>493363</v>
      </c>
      <c r="CP161" s="42">
        <v>507572</v>
      </c>
      <c r="CQ161" s="42">
        <v>521789</v>
      </c>
      <c r="CR161" s="42">
        <v>536002</v>
      </c>
      <c r="CS161" s="42">
        <v>550200</v>
      </c>
      <c r="CT161" s="42">
        <v>564365</v>
      </c>
      <c r="CU161" s="42">
        <v>594679</v>
      </c>
      <c r="CV161" s="42">
        <v>624943</v>
      </c>
      <c r="CW161" s="42">
        <v>655138</v>
      </c>
      <c r="CX161" s="42">
        <v>685351</v>
      </c>
      <c r="CY161" s="42">
        <v>715240</v>
      </c>
      <c r="CZ161" s="42">
        <v>758076</v>
      </c>
      <c r="DA161" s="42">
        <v>800903</v>
      </c>
      <c r="DB161" s="42">
        <v>843710</v>
      </c>
      <c r="DC161" s="42">
        <v>886524</v>
      </c>
      <c r="DD161" s="42">
        <v>929210</v>
      </c>
      <c r="DE161" s="42">
        <v>969382</v>
      </c>
      <c r="DF161" s="42">
        <v>1009532</v>
      </c>
      <c r="DG161" s="42">
        <v>1049647</v>
      </c>
      <c r="DH161" s="42">
        <v>1089678</v>
      </c>
      <c r="DI161" s="42">
        <v>1129726</v>
      </c>
      <c r="DJ161" s="42">
        <v>1164071</v>
      </c>
      <c r="DK161" s="42">
        <v>1198293</v>
      </c>
      <c r="DL161" s="42">
        <v>1232371</v>
      </c>
      <c r="DM161" s="42">
        <v>1266258</v>
      </c>
      <c r="DN161" s="42">
        <v>1300025</v>
      </c>
      <c r="DO161" s="42">
        <v>1353465</v>
      </c>
      <c r="DP161" s="42">
        <v>1406678</v>
      </c>
      <c r="DQ161" s="42">
        <v>1459628</v>
      </c>
      <c r="DR161" s="42">
        <v>1512284</v>
      </c>
      <c r="DS161" s="42">
        <v>1564584</v>
      </c>
      <c r="DT161" s="42">
        <v>1590091</v>
      </c>
      <c r="DU161" s="42">
        <v>1615249</v>
      </c>
      <c r="DV161" s="42">
        <v>1640038</v>
      </c>
      <c r="DW161" s="42">
        <v>1664468</v>
      </c>
      <c r="DX161" s="42">
        <v>1688419</v>
      </c>
      <c r="DY161" s="42">
        <v>1705355</v>
      </c>
      <c r="DZ161" s="42">
        <v>1721885</v>
      </c>
      <c r="EA161" s="42">
        <v>1737993</v>
      </c>
      <c r="EB161" s="42">
        <v>1753707</v>
      </c>
      <c r="EC161" s="42">
        <v>1768884</v>
      </c>
      <c r="ED161" s="42">
        <v>1825175</v>
      </c>
      <c r="EE161" s="42">
        <v>1881053</v>
      </c>
      <c r="EF161" s="42">
        <v>1936475</v>
      </c>
      <c r="EG161" s="42">
        <v>1991435</v>
      </c>
      <c r="EH161" s="42">
        <v>2045775</v>
      </c>
      <c r="EI161" s="42">
        <v>2087020</v>
      </c>
      <c r="EJ161" s="42">
        <v>2127770</v>
      </c>
      <c r="EK161" s="42">
        <v>2167994</v>
      </c>
      <c r="EL161" s="42">
        <v>2207660</v>
      </c>
      <c r="EM161" s="42">
        <v>2246733</v>
      </c>
      <c r="EN161" s="42">
        <v>2289703</v>
      </c>
      <c r="EO161" s="42">
        <v>2332092</v>
      </c>
      <c r="EP161" s="42">
        <v>2373867</v>
      </c>
      <c r="EQ161" s="42">
        <v>2415217</v>
      </c>
      <c r="ER161" s="42">
        <v>2455440</v>
      </c>
      <c r="ES161" s="42">
        <v>2460747</v>
      </c>
      <c r="ET161" s="42">
        <v>2465601</v>
      </c>
      <c r="EU161" s="42">
        <v>2470001</v>
      </c>
      <c r="EV161" s="42">
        <v>2473944</v>
      </c>
      <c r="EW161" s="42">
        <v>2477422</v>
      </c>
    </row>
    <row r="162" spans="1:153">
      <c r="A162" s="39" t="s">
        <v>79</v>
      </c>
      <c r="B162" s="32">
        <v>0</v>
      </c>
      <c r="D162" s="32">
        <v>0</v>
      </c>
      <c r="E162" s="32">
        <v>0</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c r="CN162" s="31" t="s">
        <v>55</v>
      </c>
      <c r="CO162" s="42">
        <v>409458</v>
      </c>
      <c r="CP162" s="42">
        <v>420008</v>
      </c>
      <c r="CQ162" s="42">
        <v>430564</v>
      </c>
      <c r="CR162" s="42">
        <v>441117</v>
      </c>
      <c r="CS162" s="42">
        <v>451657</v>
      </c>
      <c r="CT162" s="42">
        <v>462194</v>
      </c>
      <c r="CU162" s="42">
        <v>476398</v>
      </c>
      <c r="CV162" s="42">
        <v>490558</v>
      </c>
      <c r="CW162" s="42">
        <v>504664</v>
      </c>
      <c r="CX162" s="42">
        <v>518782</v>
      </c>
      <c r="CY162" s="42">
        <v>532670</v>
      </c>
      <c r="CZ162" s="42">
        <v>561778</v>
      </c>
      <c r="DA162" s="42">
        <v>590879</v>
      </c>
      <c r="DB162" s="42">
        <v>619965</v>
      </c>
      <c r="DC162" s="42">
        <v>649056</v>
      </c>
      <c r="DD162" s="42">
        <v>678055</v>
      </c>
      <c r="DE162" s="42">
        <v>719188</v>
      </c>
      <c r="DF162" s="42">
        <v>760306</v>
      </c>
      <c r="DG162" s="42">
        <v>801398</v>
      </c>
      <c r="DH162" s="42">
        <v>842425</v>
      </c>
      <c r="DI162" s="42">
        <v>883464</v>
      </c>
      <c r="DJ162" s="42">
        <v>922415</v>
      </c>
      <c r="DK162" s="42">
        <v>961271</v>
      </c>
      <c r="DL162" s="42">
        <v>1000014</v>
      </c>
      <c r="DM162" s="42">
        <v>1038601</v>
      </c>
      <c r="DN162" s="42">
        <v>1077064</v>
      </c>
      <c r="DO162" s="42">
        <v>1110585</v>
      </c>
      <c r="DP162" s="42">
        <v>1143914</v>
      </c>
      <c r="DQ162" s="42">
        <v>1177027</v>
      </c>
      <c r="DR162" s="42">
        <v>1209905</v>
      </c>
      <c r="DS162" s="42">
        <v>1242506</v>
      </c>
      <c r="DT162" s="42">
        <v>1294336</v>
      </c>
      <c r="DU162" s="42">
        <v>1345905</v>
      </c>
      <c r="DV162" s="42">
        <v>1397172</v>
      </c>
      <c r="DW162" s="42">
        <v>1448128</v>
      </c>
      <c r="DX162" s="42">
        <v>1498646</v>
      </c>
      <c r="DY162" s="42">
        <v>1523770</v>
      </c>
      <c r="DZ162" s="42">
        <v>1548539</v>
      </c>
      <c r="EA162" s="42">
        <v>1572931</v>
      </c>
      <c r="EB162" s="42">
        <v>1596964</v>
      </c>
      <c r="EC162" s="42">
        <v>1620501</v>
      </c>
      <c r="ED162" s="42">
        <v>1637370</v>
      </c>
      <c r="EE162" s="42">
        <v>1653844</v>
      </c>
      <c r="EF162" s="42">
        <v>1669908</v>
      </c>
      <c r="EG162" s="42">
        <v>1685581</v>
      </c>
      <c r="EH162" s="42">
        <v>1700754</v>
      </c>
      <c r="EI162" s="42">
        <v>1755513</v>
      </c>
      <c r="EJ162" s="42">
        <v>1809871</v>
      </c>
      <c r="EK162" s="42">
        <v>1863786</v>
      </c>
      <c r="EL162" s="42">
        <v>1917216</v>
      </c>
      <c r="EM162" s="42">
        <v>1970122</v>
      </c>
      <c r="EN162" s="42">
        <v>2010489</v>
      </c>
      <c r="EO162" s="42">
        <v>2050349</v>
      </c>
      <c r="EP162" s="42">
        <v>2089669</v>
      </c>
      <c r="EQ162" s="42">
        <v>2128613</v>
      </c>
      <c r="ER162" s="42">
        <v>2166562</v>
      </c>
      <c r="ES162" s="42">
        <v>2208182</v>
      </c>
      <c r="ET162" s="42">
        <v>2249417</v>
      </c>
      <c r="EU162" s="42">
        <v>2290245</v>
      </c>
      <c r="EV162" s="42">
        <v>2330640</v>
      </c>
      <c r="EW162" s="42">
        <v>2370583</v>
      </c>
    </row>
    <row r="163" spans="1:153">
      <c r="A163" s="39">
        <v>45</v>
      </c>
      <c r="B163" s="24">
        <v>127195</v>
      </c>
      <c r="D163" s="24">
        <v>131408</v>
      </c>
      <c r="E163" s="24">
        <v>135619</v>
      </c>
      <c r="F163" s="24">
        <v>139826</v>
      </c>
      <c r="G163" s="24">
        <v>144035</v>
      </c>
      <c r="H163" s="24">
        <v>148222</v>
      </c>
      <c r="I163" s="24">
        <v>152914</v>
      </c>
      <c r="J163" s="24">
        <v>157602</v>
      </c>
      <c r="K163" s="24">
        <v>162283</v>
      </c>
      <c r="L163" s="24">
        <v>166953</v>
      </c>
      <c r="M163" s="24">
        <v>171627</v>
      </c>
      <c r="N163" s="24">
        <v>173135</v>
      </c>
      <c r="O163" s="24">
        <v>174623</v>
      </c>
      <c r="P163" s="24">
        <v>176091</v>
      </c>
      <c r="Q163" s="24">
        <v>177531</v>
      </c>
      <c r="R163" s="24">
        <v>178952</v>
      </c>
      <c r="S163" s="24">
        <v>182003</v>
      </c>
      <c r="T163" s="24">
        <v>185020</v>
      </c>
      <c r="U163" s="24">
        <v>188002</v>
      </c>
      <c r="V163" s="24">
        <v>190947</v>
      </c>
      <c r="W163" s="24">
        <v>193849</v>
      </c>
      <c r="X163" s="24">
        <v>199568</v>
      </c>
      <c r="Y163" s="24">
        <v>205244</v>
      </c>
      <c r="Z163" s="24">
        <v>210874</v>
      </c>
      <c r="AA163" s="24">
        <v>216458</v>
      </c>
      <c r="AB163" s="24">
        <v>221978</v>
      </c>
      <c r="AC163" s="24">
        <v>226279</v>
      </c>
      <c r="AD163" s="24">
        <v>230529</v>
      </c>
      <c r="AE163" s="24"/>
      <c r="CN163" s="31" t="s">
        <v>56</v>
      </c>
      <c r="CO163" s="42">
        <v>292654</v>
      </c>
      <c r="CP163" s="42">
        <v>308301</v>
      </c>
      <c r="CQ163" s="42">
        <v>323953</v>
      </c>
      <c r="CR163" s="42">
        <v>339603</v>
      </c>
      <c r="CS163" s="42">
        <v>355243</v>
      </c>
      <c r="CT163" s="42">
        <v>370853</v>
      </c>
      <c r="CU163" s="42">
        <v>381420</v>
      </c>
      <c r="CV163" s="42">
        <v>391951</v>
      </c>
      <c r="CW163" s="42">
        <v>402438</v>
      </c>
      <c r="CX163" s="42">
        <v>412936</v>
      </c>
      <c r="CY163" s="42">
        <v>423244</v>
      </c>
      <c r="CZ163" s="42">
        <v>436823</v>
      </c>
      <c r="DA163" s="42">
        <v>450395</v>
      </c>
      <c r="DB163" s="42">
        <v>463956</v>
      </c>
      <c r="DC163" s="42">
        <v>477520</v>
      </c>
      <c r="DD163" s="42">
        <v>491014</v>
      </c>
      <c r="DE163" s="42">
        <v>518392</v>
      </c>
      <c r="DF163" s="42">
        <v>545760</v>
      </c>
      <c r="DG163" s="42">
        <v>573109</v>
      </c>
      <c r="DH163" s="42">
        <v>600411</v>
      </c>
      <c r="DI163" s="42">
        <v>627725</v>
      </c>
      <c r="DJ163" s="42">
        <v>666569</v>
      </c>
      <c r="DK163" s="42">
        <v>705350</v>
      </c>
      <c r="DL163" s="42">
        <v>744048</v>
      </c>
      <c r="DM163" s="42">
        <v>782629</v>
      </c>
      <c r="DN163" s="42">
        <v>821125</v>
      </c>
      <c r="DO163" s="42">
        <v>858198</v>
      </c>
      <c r="DP163" s="42">
        <v>895129</v>
      </c>
      <c r="DQ163" s="42">
        <v>931892</v>
      </c>
      <c r="DR163" s="42">
        <v>968468</v>
      </c>
      <c r="DS163" s="42">
        <v>1004817</v>
      </c>
      <c r="DT163" s="42">
        <v>1036936</v>
      </c>
      <c r="DU163" s="42">
        <v>1068840</v>
      </c>
      <c r="DV163" s="42">
        <v>1100502</v>
      </c>
      <c r="DW163" s="42">
        <v>1131920</v>
      </c>
      <c r="DX163" s="42">
        <v>1163001</v>
      </c>
      <c r="DY163" s="42">
        <v>1212387</v>
      </c>
      <c r="DZ163" s="42">
        <v>1261513</v>
      </c>
      <c r="EA163" s="42">
        <v>1310338</v>
      </c>
      <c r="EB163" s="42">
        <v>1358858</v>
      </c>
      <c r="EC163" s="42">
        <v>1406939</v>
      </c>
      <c r="ED163" s="42">
        <v>1431344</v>
      </c>
      <c r="EE163" s="42">
        <v>1455411</v>
      </c>
      <c r="EF163" s="42">
        <v>1479120</v>
      </c>
      <c r="EG163" s="42">
        <v>1502480</v>
      </c>
      <c r="EH163" s="42">
        <v>1525389</v>
      </c>
      <c r="EI163" s="42">
        <v>1542039</v>
      </c>
      <c r="EJ163" s="42">
        <v>1558313</v>
      </c>
      <c r="EK163" s="42">
        <v>1574198</v>
      </c>
      <c r="EL163" s="42">
        <v>1589682</v>
      </c>
      <c r="EM163" s="42">
        <v>1604752</v>
      </c>
      <c r="EN163" s="42">
        <v>1657226</v>
      </c>
      <c r="EO163" s="42">
        <v>1709298</v>
      </c>
      <c r="EP163" s="42">
        <v>1760925</v>
      </c>
      <c r="EQ163" s="42">
        <v>1812232</v>
      </c>
      <c r="ER163" s="42">
        <v>1862675</v>
      </c>
      <c r="ES163" s="42">
        <v>1901243</v>
      </c>
      <c r="ET163" s="42">
        <v>1939481</v>
      </c>
      <c r="EU163" s="42">
        <v>1977367</v>
      </c>
      <c r="EV163" s="42">
        <v>2014881</v>
      </c>
      <c r="EW163" s="42">
        <v>2052001</v>
      </c>
    </row>
    <row r="164" spans="1:153">
      <c r="A164" s="39">
        <v>46</v>
      </c>
      <c r="B164" s="24">
        <v>123746</v>
      </c>
      <c r="D164" s="24">
        <v>127228</v>
      </c>
      <c r="E164" s="24">
        <v>130709</v>
      </c>
      <c r="F164" s="24">
        <v>134186</v>
      </c>
      <c r="G164" s="24">
        <v>137664</v>
      </c>
      <c r="H164" s="24">
        <v>141123</v>
      </c>
      <c r="I164" s="24">
        <v>146672</v>
      </c>
      <c r="J164" s="24">
        <v>152218</v>
      </c>
      <c r="K164" s="24">
        <v>157758</v>
      </c>
      <c r="L164" s="24">
        <v>163285</v>
      </c>
      <c r="M164" s="24">
        <v>168815</v>
      </c>
      <c r="N164" s="24">
        <v>170615</v>
      </c>
      <c r="O164" s="24">
        <v>172396</v>
      </c>
      <c r="P164" s="24">
        <v>174156</v>
      </c>
      <c r="Q164" s="24">
        <v>175888</v>
      </c>
      <c r="R164" s="24">
        <v>177603</v>
      </c>
      <c r="S164" s="24">
        <v>179453</v>
      </c>
      <c r="T164" s="24">
        <v>181271</v>
      </c>
      <c r="U164" s="24">
        <v>183053</v>
      </c>
      <c r="V164" s="24">
        <v>184799</v>
      </c>
      <c r="W164" s="24">
        <v>186506</v>
      </c>
      <c r="X164" s="24">
        <v>192825</v>
      </c>
      <c r="Y164" s="24">
        <v>199105</v>
      </c>
      <c r="Z164" s="24">
        <v>205340</v>
      </c>
      <c r="AA164" s="24">
        <v>211530</v>
      </c>
      <c r="AB164" s="24">
        <v>217656</v>
      </c>
      <c r="AC164" s="24">
        <v>221559</v>
      </c>
      <c r="AD164" s="24">
        <v>225411</v>
      </c>
      <c r="AE164" s="24"/>
      <c r="CN164" s="31" t="s">
        <v>57</v>
      </c>
      <c r="CO164" s="42">
        <v>204666</v>
      </c>
      <c r="CP164" s="42">
        <v>214163</v>
      </c>
      <c r="CQ164" s="42">
        <v>223664</v>
      </c>
      <c r="CR164" s="42">
        <v>233164</v>
      </c>
      <c r="CS164" s="42">
        <v>242656</v>
      </c>
      <c r="CT164" s="42">
        <v>252131</v>
      </c>
      <c r="CU164" s="42">
        <v>266710</v>
      </c>
      <c r="CV164" s="42">
        <v>281266</v>
      </c>
      <c r="CW164" s="42">
        <v>295792</v>
      </c>
      <c r="CX164" s="42">
        <v>310326</v>
      </c>
      <c r="CY164" s="42">
        <v>324710</v>
      </c>
      <c r="CZ164" s="42">
        <v>334634</v>
      </c>
      <c r="DA164" s="42">
        <v>344553</v>
      </c>
      <c r="DB164" s="42">
        <v>354463</v>
      </c>
      <c r="DC164" s="42">
        <v>364376</v>
      </c>
      <c r="DD164" s="42">
        <v>374240</v>
      </c>
      <c r="DE164" s="42">
        <v>386812</v>
      </c>
      <c r="DF164" s="42">
        <v>399375</v>
      </c>
      <c r="DG164" s="42">
        <v>411924</v>
      </c>
      <c r="DH164" s="42">
        <v>424439</v>
      </c>
      <c r="DI164" s="42">
        <v>436968</v>
      </c>
      <c r="DJ164" s="42">
        <v>462053</v>
      </c>
      <c r="DK164" s="42">
        <v>487094</v>
      </c>
      <c r="DL164" s="42">
        <v>512078</v>
      </c>
      <c r="DM164" s="42">
        <v>536981</v>
      </c>
      <c r="DN164" s="42">
        <v>561823</v>
      </c>
      <c r="DO164" s="42">
        <v>597445</v>
      </c>
      <c r="DP164" s="42">
        <v>632974</v>
      </c>
      <c r="DQ164" s="42">
        <v>668387</v>
      </c>
      <c r="DR164" s="42">
        <v>703663</v>
      </c>
      <c r="DS164" s="42">
        <v>738767</v>
      </c>
      <c r="DT164" s="42">
        <v>773064</v>
      </c>
      <c r="DU164" s="42">
        <v>807206</v>
      </c>
      <c r="DV164" s="42">
        <v>841169</v>
      </c>
      <c r="DW164" s="42">
        <v>874944</v>
      </c>
      <c r="DX164" s="42">
        <v>908451</v>
      </c>
      <c r="DY164" s="42">
        <v>938440</v>
      </c>
      <c r="DZ164" s="42">
        <v>968221</v>
      </c>
      <c r="EA164" s="42">
        <v>997769</v>
      </c>
      <c r="EB164" s="42">
        <v>1027087</v>
      </c>
      <c r="EC164" s="42">
        <v>1056073</v>
      </c>
      <c r="ED164" s="42">
        <v>1101916</v>
      </c>
      <c r="EE164" s="42">
        <v>1147518</v>
      </c>
      <c r="EF164" s="42">
        <v>1192845</v>
      </c>
      <c r="EG164" s="42">
        <v>1237884</v>
      </c>
      <c r="EH164" s="42">
        <v>1282530</v>
      </c>
      <c r="EI164" s="42">
        <v>1305751</v>
      </c>
      <c r="EJ164" s="42">
        <v>1328660</v>
      </c>
      <c r="EK164" s="42">
        <v>1351240</v>
      </c>
      <c r="EL164" s="42">
        <v>1373473</v>
      </c>
      <c r="EM164" s="42">
        <v>1395342</v>
      </c>
      <c r="EN164" s="42">
        <v>1411482</v>
      </c>
      <c r="EO164" s="42">
        <v>1427255</v>
      </c>
      <c r="EP164" s="42">
        <v>1442650</v>
      </c>
      <c r="EQ164" s="42">
        <v>1457787</v>
      </c>
      <c r="ER164" s="42">
        <v>1472250</v>
      </c>
      <c r="ES164" s="42">
        <v>1521016</v>
      </c>
      <c r="ET164" s="42">
        <v>1569528</v>
      </c>
      <c r="EU164" s="42">
        <v>1617759</v>
      </c>
      <c r="EV164" s="42">
        <v>1665682</v>
      </c>
      <c r="EW164" s="42">
        <v>1713268</v>
      </c>
    </row>
    <row r="165" spans="1:153">
      <c r="A165" s="39">
        <v>47</v>
      </c>
      <c r="B165" s="24">
        <v>119961</v>
      </c>
      <c r="D165" s="24">
        <v>122984</v>
      </c>
      <c r="E165" s="24">
        <v>126005</v>
      </c>
      <c r="F165" s="24">
        <v>129023</v>
      </c>
      <c r="G165" s="24">
        <v>132042</v>
      </c>
      <c r="H165" s="24">
        <v>135043</v>
      </c>
      <c r="I165" s="24">
        <v>140991</v>
      </c>
      <c r="J165" s="24">
        <v>146936</v>
      </c>
      <c r="K165" s="24">
        <v>152877</v>
      </c>
      <c r="L165" s="24">
        <v>158804</v>
      </c>
      <c r="M165" s="24">
        <v>164735</v>
      </c>
      <c r="N165" s="24">
        <v>167011</v>
      </c>
      <c r="O165" s="24">
        <v>169269</v>
      </c>
      <c r="P165" s="24">
        <v>171505</v>
      </c>
      <c r="Q165" s="24">
        <v>173716</v>
      </c>
      <c r="R165" s="24">
        <v>175908</v>
      </c>
      <c r="S165" s="24">
        <v>176969</v>
      </c>
      <c r="T165" s="24">
        <v>177998</v>
      </c>
      <c r="U165" s="24">
        <v>178992</v>
      </c>
      <c r="V165" s="24">
        <v>179951</v>
      </c>
      <c r="W165" s="24">
        <v>180872</v>
      </c>
      <c r="X165" s="24">
        <v>187247</v>
      </c>
      <c r="Y165" s="24">
        <v>193583</v>
      </c>
      <c r="Z165" s="24">
        <v>199875</v>
      </c>
      <c r="AA165" s="24">
        <v>206122</v>
      </c>
      <c r="AB165" s="24">
        <v>212309</v>
      </c>
      <c r="AC165" s="24">
        <v>216116</v>
      </c>
      <c r="AD165" s="24">
        <v>219873</v>
      </c>
      <c r="AE165" s="24"/>
      <c r="CN165" s="31" t="s">
        <v>58</v>
      </c>
      <c r="CO165" s="42">
        <v>131864</v>
      </c>
      <c r="CP165" s="42">
        <v>138255</v>
      </c>
      <c r="CQ165" s="42">
        <v>144649</v>
      </c>
      <c r="CR165" s="42">
        <v>151041</v>
      </c>
      <c r="CS165" s="42">
        <v>157429</v>
      </c>
      <c r="CT165" s="42">
        <v>163802</v>
      </c>
      <c r="CU165" s="42">
        <v>172546</v>
      </c>
      <c r="CV165" s="42">
        <v>181277</v>
      </c>
      <c r="CW165" s="42">
        <v>189987</v>
      </c>
      <c r="CX165" s="42">
        <v>198702</v>
      </c>
      <c r="CY165" s="42">
        <v>207321</v>
      </c>
      <c r="CZ165" s="42">
        <v>220122</v>
      </c>
      <c r="DA165" s="42">
        <v>232921</v>
      </c>
      <c r="DB165" s="42">
        <v>245715</v>
      </c>
      <c r="DC165" s="42">
        <v>258510</v>
      </c>
      <c r="DD165" s="42">
        <v>271283</v>
      </c>
      <c r="DE165" s="42">
        <v>280119</v>
      </c>
      <c r="DF165" s="42">
        <v>288949</v>
      </c>
      <c r="DG165" s="42">
        <v>297768</v>
      </c>
      <c r="DH165" s="42">
        <v>306564</v>
      </c>
      <c r="DI165" s="42">
        <v>315362</v>
      </c>
      <c r="DJ165" s="42">
        <v>326595</v>
      </c>
      <c r="DK165" s="42">
        <v>337794</v>
      </c>
      <c r="DL165" s="42">
        <v>348952</v>
      </c>
      <c r="DM165" s="42">
        <v>360056</v>
      </c>
      <c r="DN165" s="42">
        <v>371129</v>
      </c>
      <c r="DO165" s="42">
        <v>393147</v>
      </c>
      <c r="DP165" s="42">
        <v>415104</v>
      </c>
      <c r="DQ165" s="42">
        <v>436983</v>
      </c>
      <c r="DR165" s="42">
        <v>458774</v>
      </c>
      <c r="DS165" s="42">
        <v>480460</v>
      </c>
      <c r="DT165" s="42">
        <v>511747</v>
      </c>
      <c r="DU165" s="42">
        <v>542938</v>
      </c>
      <c r="DV165" s="42">
        <v>574011</v>
      </c>
      <c r="DW165" s="42">
        <v>604953</v>
      </c>
      <c r="DX165" s="42">
        <v>635707</v>
      </c>
      <c r="DY165" s="42">
        <v>666161</v>
      </c>
      <c r="DZ165" s="42">
        <v>696475</v>
      </c>
      <c r="EA165" s="42">
        <v>726623</v>
      </c>
      <c r="EB165" s="42">
        <v>756602</v>
      </c>
      <c r="EC165" s="42">
        <v>786335</v>
      </c>
      <c r="ED165" s="42">
        <v>813251</v>
      </c>
      <c r="EE165" s="42">
        <v>839985</v>
      </c>
      <c r="EF165" s="42">
        <v>866516</v>
      </c>
      <c r="EG165" s="42">
        <v>892839</v>
      </c>
      <c r="EH165" s="42">
        <v>918881</v>
      </c>
      <c r="EI165" s="42">
        <v>959804</v>
      </c>
      <c r="EJ165" s="42">
        <v>1000517</v>
      </c>
      <c r="EK165" s="42">
        <v>1040987</v>
      </c>
      <c r="EL165" s="42">
        <v>1081184</v>
      </c>
      <c r="EM165" s="42">
        <v>1121077</v>
      </c>
      <c r="EN165" s="42">
        <v>1142371</v>
      </c>
      <c r="EO165" s="42">
        <v>1163376</v>
      </c>
      <c r="EP165" s="42">
        <v>1184073</v>
      </c>
      <c r="EQ165" s="42">
        <v>1204559</v>
      </c>
      <c r="ER165" s="42">
        <v>1224480</v>
      </c>
      <c r="ES165" s="42">
        <v>1239315</v>
      </c>
      <c r="ET165" s="42">
        <v>1253929</v>
      </c>
      <c r="EU165" s="42">
        <v>1268315</v>
      </c>
      <c r="EV165" s="42">
        <v>1282463</v>
      </c>
      <c r="EW165" s="42">
        <v>1296364</v>
      </c>
    </row>
    <row r="166" spans="1:153">
      <c r="A166" s="39">
        <v>48</v>
      </c>
      <c r="B166" s="24">
        <v>115609</v>
      </c>
      <c r="D166" s="24">
        <v>118596</v>
      </c>
      <c r="E166" s="24">
        <v>121580</v>
      </c>
      <c r="F166" s="24">
        <v>124561</v>
      </c>
      <c r="G166" s="24">
        <v>127543</v>
      </c>
      <c r="H166" s="24">
        <v>130507</v>
      </c>
      <c r="I166" s="24">
        <v>136217</v>
      </c>
      <c r="J166" s="24">
        <v>141924</v>
      </c>
      <c r="K166" s="24">
        <v>147627</v>
      </c>
      <c r="L166" s="24">
        <v>153317</v>
      </c>
      <c r="M166" s="24">
        <v>159009</v>
      </c>
      <c r="N166" s="24">
        <v>161953</v>
      </c>
      <c r="O166" s="24">
        <v>164879</v>
      </c>
      <c r="P166" s="24">
        <v>167785</v>
      </c>
      <c r="Q166" s="24">
        <v>170665</v>
      </c>
      <c r="R166" s="24">
        <v>173528</v>
      </c>
      <c r="S166" s="24">
        <v>174415</v>
      </c>
      <c r="T166" s="24">
        <v>175269</v>
      </c>
      <c r="U166" s="24">
        <v>176089</v>
      </c>
      <c r="V166" s="24">
        <v>176875</v>
      </c>
      <c r="W166" s="24">
        <v>177623</v>
      </c>
      <c r="X166" s="24">
        <v>183296</v>
      </c>
      <c r="Y166" s="24">
        <v>188931</v>
      </c>
      <c r="Z166" s="24">
        <v>194523</v>
      </c>
      <c r="AA166" s="24">
        <v>200072</v>
      </c>
      <c r="AB166" s="24">
        <v>205561</v>
      </c>
      <c r="AC166" s="24">
        <v>209734</v>
      </c>
      <c r="AD166" s="24">
        <v>213858</v>
      </c>
      <c r="AE166" s="24"/>
      <c r="CN166" s="31" t="s">
        <v>86</v>
      </c>
      <c r="CO166" s="42">
        <v>93766</v>
      </c>
      <c r="CP166" s="42">
        <v>98583</v>
      </c>
      <c r="CQ166" s="42">
        <v>103401</v>
      </c>
      <c r="CR166" s="42">
        <v>108218</v>
      </c>
      <c r="CS166" s="42">
        <v>113033</v>
      </c>
      <c r="CT166" s="42">
        <v>117837</v>
      </c>
      <c r="CU166" s="42">
        <v>124178</v>
      </c>
      <c r="CV166" s="42">
        <v>130509</v>
      </c>
      <c r="CW166" s="42">
        <v>136825</v>
      </c>
      <c r="CX166" s="42">
        <v>143146</v>
      </c>
      <c r="CY166" s="42">
        <v>149398</v>
      </c>
      <c r="CZ166" s="42">
        <v>157941</v>
      </c>
      <c r="DA166" s="42">
        <v>166482</v>
      </c>
      <c r="DB166" s="42">
        <v>175019</v>
      </c>
      <c r="DC166" s="42">
        <v>183557</v>
      </c>
      <c r="DD166" s="42">
        <v>192066</v>
      </c>
      <c r="DE166" s="42">
        <v>204916</v>
      </c>
      <c r="DF166" s="42">
        <v>217761</v>
      </c>
      <c r="DG166" s="42">
        <v>230600</v>
      </c>
      <c r="DH166" s="42">
        <v>243419</v>
      </c>
      <c r="DI166" s="42">
        <v>256232</v>
      </c>
      <c r="DJ166" s="42">
        <v>269768</v>
      </c>
      <c r="DK166" s="42">
        <v>283277</v>
      </c>
      <c r="DL166" s="42">
        <v>296753</v>
      </c>
      <c r="DM166" s="42">
        <v>310182</v>
      </c>
      <c r="DN166" s="42">
        <v>323575</v>
      </c>
      <c r="DO166" s="42">
        <v>339257</v>
      </c>
      <c r="DP166" s="42">
        <v>354884</v>
      </c>
      <c r="DQ166" s="42">
        <v>370445</v>
      </c>
      <c r="DR166" s="42">
        <v>385931</v>
      </c>
      <c r="DS166" s="42">
        <v>401321</v>
      </c>
      <c r="DT166" s="42">
        <v>424942</v>
      </c>
      <c r="DU166" s="42">
        <v>448481</v>
      </c>
      <c r="DV166" s="42">
        <v>471922</v>
      </c>
      <c r="DW166" s="42">
        <v>495256</v>
      </c>
      <c r="DX166" s="42">
        <v>518440</v>
      </c>
      <c r="DY166" s="42">
        <v>552850</v>
      </c>
      <c r="DZ166" s="42">
        <v>587150</v>
      </c>
      <c r="EA166" s="42">
        <v>621314</v>
      </c>
      <c r="EB166" s="42">
        <v>655330</v>
      </c>
      <c r="EC166" s="42">
        <v>689125</v>
      </c>
      <c r="ED166" s="42">
        <v>730297</v>
      </c>
      <c r="EE166" s="42">
        <v>771318</v>
      </c>
      <c r="EF166" s="42">
        <v>812156</v>
      </c>
      <c r="EG166" s="42">
        <v>852796</v>
      </c>
      <c r="EH166" s="42">
        <v>893159</v>
      </c>
      <c r="EI166" s="42">
        <v>937055</v>
      </c>
      <c r="EJ166" s="42">
        <v>980748</v>
      </c>
      <c r="EK166" s="42">
        <v>1024204</v>
      </c>
      <c r="EL166" s="42">
        <v>1067391</v>
      </c>
      <c r="EM166" s="42">
        <v>1110274</v>
      </c>
      <c r="EN166" s="42">
        <v>1165184</v>
      </c>
      <c r="EO166" s="42">
        <v>1219826</v>
      </c>
      <c r="EP166" s="42">
        <v>1274155</v>
      </c>
      <c r="EQ166" s="42">
        <v>1328250</v>
      </c>
      <c r="ER166" s="42">
        <v>1381699</v>
      </c>
      <c r="ES166" s="42">
        <v>1431688</v>
      </c>
      <c r="ET166" s="42">
        <v>1481441</v>
      </c>
      <c r="EU166" s="42">
        <v>1530928</v>
      </c>
      <c r="EV166" s="42">
        <v>1580124</v>
      </c>
      <c r="EW166" s="42">
        <v>1628999</v>
      </c>
    </row>
    <row r="167" spans="1:153">
      <c r="A167" s="39">
        <v>49</v>
      </c>
      <c r="B167" s="24">
        <v>110824</v>
      </c>
      <c r="D167" s="24">
        <v>114082</v>
      </c>
      <c r="E167" s="24">
        <v>117339</v>
      </c>
      <c r="F167" s="24">
        <v>120593</v>
      </c>
      <c r="G167" s="24">
        <v>123847</v>
      </c>
      <c r="H167" s="24">
        <v>127084</v>
      </c>
      <c r="I167" s="24">
        <v>132102</v>
      </c>
      <c r="J167" s="24">
        <v>137117</v>
      </c>
      <c r="K167" s="24">
        <v>142128</v>
      </c>
      <c r="L167" s="24">
        <v>147127</v>
      </c>
      <c r="M167" s="24">
        <v>152127</v>
      </c>
      <c r="N167" s="24">
        <v>155844</v>
      </c>
      <c r="O167" s="24">
        <v>159544</v>
      </c>
      <c r="P167" s="24">
        <v>163224</v>
      </c>
      <c r="Q167" s="24">
        <v>166880</v>
      </c>
      <c r="R167" s="24">
        <v>170518</v>
      </c>
      <c r="S167" s="24">
        <v>171702</v>
      </c>
      <c r="T167" s="24">
        <v>172853</v>
      </c>
      <c r="U167" s="24">
        <v>173971</v>
      </c>
      <c r="V167" s="24">
        <v>175056</v>
      </c>
      <c r="W167" s="24">
        <v>176101</v>
      </c>
      <c r="X167" s="24">
        <v>180551</v>
      </c>
      <c r="Y167" s="24">
        <v>184963</v>
      </c>
      <c r="Z167" s="24">
        <v>189333</v>
      </c>
      <c r="AA167" s="24">
        <v>193661</v>
      </c>
      <c r="AB167" s="24">
        <v>197932</v>
      </c>
      <c r="AC167" s="24">
        <v>202763</v>
      </c>
      <c r="AD167" s="24">
        <v>207547</v>
      </c>
      <c r="AE167" s="24"/>
    </row>
    <row r="168" spans="1:153">
      <c r="A168" s="37" t="s">
        <v>80</v>
      </c>
      <c r="B168" s="32">
        <v>0</v>
      </c>
      <c r="D168" s="32">
        <v>0</v>
      </c>
      <c r="E168" s="32">
        <v>0</v>
      </c>
      <c r="F168" s="32">
        <v>0</v>
      </c>
      <c r="G168" s="32">
        <v>0</v>
      </c>
      <c r="H168" s="32">
        <v>0</v>
      </c>
      <c r="I168" s="32">
        <v>0</v>
      </c>
      <c r="J168" s="32">
        <v>0</v>
      </c>
      <c r="K168" s="32">
        <v>0</v>
      </c>
      <c r="L168" s="32">
        <v>0</v>
      </c>
      <c r="M168" s="32">
        <v>0</v>
      </c>
      <c r="N168" s="32">
        <v>0</v>
      </c>
      <c r="O168" s="32">
        <v>0</v>
      </c>
      <c r="P168" s="32">
        <v>0</v>
      </c>
      <c r="Q168" s="32">
        <v>0</v>
      </c>
      <c r="R168" s="32">
        <v>0</v>
      </c>
      <c r="S168" s="32">
        <v>0</v>
      </c>
      <c r="T168" s="32">
        <v>0</v>
      </c>
      <c r="U168" s="32">
        <v>0</v>
      </c>
      <c r="V168" s="32">
        <v>0</v>
      </c>
      <c r="W168" s="32">
        <v>0</v>
      </c>
      <c r="X168" s="32">
        <v>0</v>
      </c>
      <c r="Y168" s="32">
        <v>0</v>
      </c>
      <c r="Z168" s="32">
        <v>0</v>
      </c>
      <c r="AA168" s="32">
        <v>0</v>
      </c>
      <c r="AB168" s="32">
        <v>0</v>
      </c>
      <c r="AC168" s="32">
        <v>0</v>
      </c>
      <c r="AD168" s="32">
        <v>0</v>
      </c>
      <c r="AE168" s="32"/>
    </row>
    <row r="169" spans="1:153">
      <c r="A169" s="38">
        <v>50</v>
      </c>
      <c r="B169" s="24">
        <v>106070</v>
      </c>
      <c r="D169" s="24">
        <v>109648</v>
      </c>
      <c r="E169" s="24">
        <v>113224</v>
      </c>
      <c r="F169" s="24">
        <v>116796</v>
      </c>
      <c r="G169" s="24">
        <v>120369</v>
      </c>
      <c r="H169" s="24">
        <v>123926</v>
      </c>
      <c r="I169" s="24">
        <v>128076</v>
      </c>
      <c r="J169" s="24">
        <v>132225</v>
      </c>
      <c r="K169" s="24">
        <v>136367</v>
      </c>
      <c r="L169" s="24">
        <v>140500</v>
      </c>
      <c r="M169" s="24">
        <v>144634</v>
      </c>
      <c r="N169" s="24">
        <v>149274</v>
      </c>
      <c r="O169" s="24">
        <v>153896</v>
      </c>
      <c r="P169" s="24">
        <v>158501</v>
      </c>
      <c r="Q169" s="24">
        <v>163080</v>
      </c>
      <c r="R169" s="24">
        <v>167645</v>
      </c>
      <c r="S169" s="24">
        <v>169187</v>
      </c>
      <c r="T169" s="24">
        <v>170697</v>
      </c>
      <c r="U169" s="24">
        <v>172175</v>
      </c>
      <c r="V169" s="24">
        <v>173618</v>
      </c>
      <c r="W169" s="24">
        <v>175023</v>
      </c>
      <c r="X169" s="24">
        <v>178064</v>
      </c>
      <c r="Y169" s="24">
        <v>181067</v>
      </c>
      <c r="Z169" s="24">
        <v>184028</v>
      </c>
      <c r="AA169" s="24">
        <v>186948</v>
      </c>
      <c r="AB169" s="24">
        <v>189816</v>
      </c>
      <c r="AC169" s="24">
        <v>195453</v>
      </c>
      <c r="AD169" s="24">
        <v>201046</v>
      </c>
      <c r="AE169" s="24"/>
    </row>
    <row r="170" spans="1:153">
      <c r="A170" s="38">
        <v>51</v>
      </c>
      <c r="B170" s="24">
        <v>101431</v>
      </c>
      <c r="D170" s="24">
        <v>105224</v>
      </c>
      <c r="E170" s="24">
        <v>109016</v>
      </c>
      <c r="F170" s="24">
        <v>112805</v>
      </c>
      <c r="G170" s="24">
        <v>116595</v>
      </c>
      <c r="H170" s="24">
        <v>120368</v>
      </c>
      <c r="I170" s="24">
        <v>123799</v>
      </c>
      <c r="J170" s="24">
        <v>127226</v>
      </c>
      <c r="K170" s="24">
        <v>130650</v>
      </c>
      <c r="L170" s="24">
        <v>134062</v>
      </c>
      <c r="M170" s="24">
        <v>137476</v>
      </c>
      <c r="N170" s="24">
        <v>142943</v>
      </c>
      <c r="O170" s="24">
        <v>148396</v>
      </c>
      <c r="P170" s="24">
        <v>153830</v>
      </c>
      <c r="Q170" s="24">
        <v>159241</v>
      </c>
      <c r="R170" s="24">
        <v>164637</v>
      </c>
      <c r="S170" s="24">
        <v>166465</v>
      </c>
      <c r="T170" s="24">
        <v>168262</v>
      </c>
      <c r="U170" s="24">
        <v>170027</v>
      </c>
      <c r="V170" s="24">
        <v>171759</v>
      </c>
      <c r="W170" s="24">
        <v>173450</v>
      </c>
      <c r="X170" s="24">
        <v>175311</v>
      </c>
      <c r="Y170" s="24">
        <v>177132</v>
      </c>
      <c r="Z170" s="24">
        <v>178913</v>
      </c>
      <c r="AA170" s="24">
        <v>180655</v>
      </c>
      <c r="AB170" s="24">
        <v>182345</v>
      </c>
      <c r="AC170" s="24">
        <v>188563</v>
      </c>
      <c r="AD170" s="24">
        <v>194739</v>
      </c>
      <c r="AE170" s="24"/>
    </row>
    <row r="171" spans="1:153">
      <c r="A171" s="38">
        <v>52</v>
      </c>
      <c r="B171" s="24">
        <v>96523</v>
      </c>
      <c r="D171" s="24">
        <v>100516</v>
      </c>
      <c r="E171" s="24">
        <v>104507</v>
      </c>
      <c r="F171" s="24">
        <v>108497</v>
      </c>
      <c r="G171" s="24">
        <v>112487</v>
      </c>
      <c r="H171" s="24">
        <v>116460</v>
      </c>
      <c r="I171" s="24">
        <v>119435</v>
      </c>
      <c r="J171" s="24">
        <v>122406</v>
      </c>
      <c r="K171" s="24">
        <v>125373</v>
      </c>
      <c r="L171" s="24">
        <v>128330</v>
      </c>
      <c r="M171" s="24">
        <v>131287</v>
      </c>
      <c r="N171" s="24">
        <v>137137</v>
      </c>
      <c r="O171" s="24">
        <v>142973</v>
      </c>
      <c r="P171" s="24">
        <v>148792</v>
      </c>
      <c r="Q171" s="24">
        <v>154588</v>
      </c>
      <c r="R171" s="24">
        <v>160369</v>
      </c>
      <c r="S171" s="24">
        <v>162658</v>
      </c>
      <c r="T171" s="24">
        <v>164918</v>
      </c>
      <c r="U171" s="24">
        <v>167145</v>
      </c>
      <c r="V171" s="24">
        <v>169340</v>
      </c>
      <c r="W171" s="24">
        <v>171494</v>
      </c>
      <c r="X171" s="24">
        <v>172578</v>
      </c>
      <c r="Y171" s="24">
        <v>173623</v>
      </c>
      <c r="Z171" s="24">
        <v>174628</v>
      </c>
      <c r="AA171" s="24">
        <v>175596</v>
      </c>
      <c r="AB171" s="24">
        <v>176513</v>
      </c>
      <c r="AC171" s="24">
        <v>182779</v>
      </c>
      <c r="AD171" s="24">
        <v>189006</v>
      </c>
      <c r="AE171" s="24"/>
    </row>
    <row r="172" spans="1:153">
      <c r="A172" s="38">
        <v>53</v>
      </c>
      <c r="B172" s="24">
        <v>91289</v>
      </c>
      <c r="D172" s="24">
        <v>95430</v>
      </c>
      <c r="E172" s="24">
        <v>99571</v>
      </c>
      <c r="F172" s="24">
        <v>103709</v>
      </c>
      <c r="G172" s="24">
        <v>107848</v>
      </c>
      <c r="H172" s="24">
        <v>111971</v>
      </c>
      <c r="I172" s="24">
        <v>114900</v>
      </c>
      <c r="J172" s="24">
        <v>117827</v>
      </c>
      <c r="K172" s="24">
        <v>120750</v>
      </c>
      <c r="L172" s="24">
        <v>123663</v>
      </c>
      <c r="M172" s="24">
        <v>126577</v>
      </c>
      <c r="N172" s="24">
        <v>132188</v>
      </c>
      <c r="O172" s="24">
        <v>137787</v>
      </c>
      <c r="P172" s="24">
        <v>143369</v>
      </c>
      <c r="Q172" s="24">
        <v>148929</v>
      </c>
      <c r="R172" s="24">
        <v>154474</v>
      </c>
      <c r="S172" s="24">
        <v>157403</v>
      </c>
      <c r="T172" s="24">
        <v>160304</v>
      </c>
      <c r="U172" s="24">
        <v>163173</v>
      </c>
      <c r="V172" s="24">
        <v>166011</v>
      </c>
      <c r="W172" s="24">
        <v>168808</v>
      </c>
      <c r="X172" s="24">
        <v>169720</v>
      </c>
      <c r="Y172" s="24">
        <v>170594</v>
      </c>
      <c r="Z172" s="24">
        <v>171428</v>
      </c>
      <c r="AA172" s="24">
        <v>172225</v>
      </c>
      <c r="AB172" s="24">
        <v>172973</v>
      </c>
      <c r="AC172" s="24">
        <v>178553</v>
      </c>
      <c r="AD172" s="24">
        <v>184093</v>
      </c>
      <c r="AE172" s="24"/>
    </row>
    <row r="173" spans="1:153">
      <c r="A173" s="38">
        <v>54</v>
      </c>
      <c r="B173" s="24">
        <v>85866</v>
      </c>
      <c r="D173" s="24">
        <v>90105</v>
      </c>
      <c r="E173" s="24">
        <v>94343</v>
      </c>
      <c r="F173" s="24">
        <v>98579</v>
      </c>
      <c r="G173" s="24">
        <v>102815</v>
      </c>
      <c r="H173" s="24">
        <v>107037</v>
      </c>
      <c r="I173" s="24">
        <v>110224</v>
      </c>
      <c r="J173" s="24">
        <v>113408</v>
      </c>
      <c r="K173" s="24">
        <v>116588</v>
      </c>
      <c r="L173" s="24">
        <v>119759</v>
      </c>
      <c r="M173" s="24">
        <v>122930</v>
      </c>
      <c r="N173" s="24">
        <v>127862</v>
      </c>
      <c r="O173" s="24">
        <v>132781</v>
      </c>
      <c r="P173" s="24">
        <v>137684</v>
      </c>
      <c r="Q173" s="24">
        <v>142566</v>
      </c>
      <c r="R173" s="24">
        <v>147434</v>
      </c>
      <c r="S173" s="24">
        <v>151099</v>
      </c>
      <c r="T173" s="24">
        <v>154737</v>
      </c>
      <c r="U173" s="24">
        <v>158346</v>
      </c>
      <c r="V173" s="24">
        <v>161924</v>
      </c>
      <c r="W173" s="24">
        <v>165462</v>
      </c>
      <c r="X173" s="24">
        <v>166665</v>
      </c>
      <c r="Y173" s="24">
        <v>167831</v>
      </c>
      <c r="Z173" s="24">
        <v>168957</v>
      </c>
      <c r="AA173" s="24">
        <v>170047</v>
      </c>
      <c r="AB173" s="24">
        <v>171089</v>
      </c>
      <c r="AC173" s="24">
        <v>175475</v>
      </c>
      <c r="AD173" s="24">
        <v>179821</v>
      </c>
      <c r="AE173" s="24"/>
    </row>
    <row r="174" spans="1:153">
      <c r="A174" s="37" t="s">
        <v>81</v>
      </c>
      <c r="B174" s="32">
        <v>0</v>
      </c>
      <c r="D174" s="32">
        <v>0</v>
      </c>
      <c r="E174" s="32">
        <v>0</v>
      </c>
      <c r="F174" s="32">
        <v>0</v>
      </c>
      <c r="G174" s="32">
        <v>0</v>
      </c>
      <c r="H174" s="32">
        <v>0</v>
      </c>
      <c r="I174" s="32">
        <v>0</v>
      </c>
      <c r="J174" s="32">
        <v>0</v>
      </c>
      <c r="K174" s="32">
        <v>0</v>
      </c>
      <c r="L174" s="32">
        <v>0</v>
      </c>
      <c r="M174" s="32">
        <v>0</v>
      </c>
      <c r="N174" s="32">
        <v>0</v>
      </c>
      <c r="O174" s="32">
        <v>0</v>
      </c>
      <c r="P174" s="32">
        <v>0</v>
      </c>
      <c r="Q174" s="32">
        <v>0</v>
      </c>
      <c r="R174" s="32">
        <v>0</v>
      </c>
      <c r="S174" s="32">
        <v>0</v>
      </c>
      <c r="T174" s="32">
        <v>0</v>
      </c>
      <c r="U174" s="32">
        <v>0</v>
      </c>
      <c r="V174" s="32">
        <v>0</v>
      </c>
      <c r="W174" s="32">
        <v>0</v>
      </c>
      <c r="X174" s="32">
        <v>0</v>
      </c>
      <c r="Y174" s="32">
        <v>0</v>
      </c>
      <c r="Z174" s="32">
        <v>0</v>
      </c>
      <c r="AA174" s="32">
        <v>0</v>
      </c>
      <c r="AB174" s="32">
        <v>0</v>
      </c>
      <c r="AC174" s="32">
        <v>0</v>
      </c>
      <c r="AD174" s="32">
        <v>0</v>
      </c>
      <c r="AE174" s="32"/>
    </row>
    <row r="175" spans="1:153">
      <c r="A175" s="38">
        <v>55</v>
      </c>
      <c r="B175" s="24">
        <v>80413</v>
      </c>
      <c r="D175" s="24">
        <v>84761</v>
      </c>
      <c r="E175" s="24">
        <v>89107</v>
      </c>
      <c r="F175" s="24">
        <v>93452</v>
      </c>
      <c r="G175" s="24">
        <v>97796</v>
      </c>
      <c r="H175" s="24">
        <v>102128</v>
      </c>
      <c r="I175" s="24">
        <v>105617</v>
      </c>
      <c r="J175" s="24">
        <v>109103</v>
      </c>
      <c r="K175" s="24">
        <v>112587</v>
      </c>
      <c r="L175" s="24">
        <v>116060</v>
      </c>
      <c r="M175" s="24">
        <v>119536</v>
      </c>
      <c r="N175" s="24">
        <v>123617</v>
      </c>
      <c r="O175" s="24">
        <v>127684</v>
      </c>
      <c r="P175" s="24">
        <v>131736</v>
      </c>
      <c r="Q175" s="24">
        <v>135768</v>
      </c>
      <c r="R175" s="24">
        <v>139786</v>
      </c>
      <c r="S175" s="24">
        <v>144330</v>
      </c>
      <c r="T175" s="24">
        <v>148850</v>
      </c>
      <c r="U175" s="24">
        <v>153341</v>
      </c>
      <c r="V175" s="24">
        <v>157801</v>
      </c>
      <c r="W175" s="24">
        <v>162225</v>
      </c>
      <c r="X175" s="24">
        <v>163780</v>
      </c>
      <c r="Y175" s="24">
        <v>165300</v>
      </c>
      <c r="Z175" s="24">
        <v>166782</v>
      </c>
      <c r="AA175" s="24">
        <v>168227</v>
      </c>
      <c r="AB175" s="24">
        <v>169624</v>
      </c>
      <c r="AC175" s="24">
        <v>172633</v>
      </c>
      <c r="AD175" s="24">
        <v>175604</v>
      </c>
      <c r="AE175" s="24"/>
    </row>
    <row r="176" spans="1:153">
      <c r="A176" s="38">
        <v>56</v>
      </c>
      <c r="B176" s="24">
        <v>75162</v>
      </c>
      <c r="D176" s="24">
        <v>79601</v>
      </c>
      <c r="E176" s="24">
        <v>84039</v>
      </c>
      <c r="F176" s="24">
        <v>88475</v>
      </c>
      <c r="G176" s="24">
        <v>92912</v>
      </c>
      <c r="H176" s="24">
        <v>97336</v>
      </c>
      <c r="I176" s="24">
        <v>101027</v>
      </c>
      <c r="J176" s="24">
        <v>104715</v>
      </c>
      <c r="K176" s="24">
        <v>108401</v>
      </c>
      <c r="L176" s="24">
        <v>112077</v>
      </c>
      <c r="M176" s="24">
        <v>115755</v>
      </c>
      <c r="N176" s="24">
        <v>119125</v>
      </c>
      <c r="O176" s="24">
        <v>122483</v>
      </c>
      <c r="P176" s="24">
        <v>125826</v>
      </c>
      <c r="Q176" s="24">
        <v>129149</v>
      </c>
      <c r="R176" s="24">
        <v>132460</v>
      </c>
      <c r="S176" s="24">
        <v>137794</v>
      </c>
      <c r="T176" s="24">
        <v>143105</v>
      </c>
      <c r="U176" s="24">
        <v>148389</v>
      </c>
      <c r="V176" s="24">
        <v>153643</v>
      </c>
      <c r="W176" s="24">
        <v>158859</v>
      </c>
      <c r="X176" s="24">
        <v>160695</v>
      </c>
      <c r="Y176" s="24">
        <v>162496</v>
      </c>
      <c r="Z176" s="24">
        <v>164259</v>
      </c>
      <c r="AA176" s="24">
        <v>165986</v>
      </c>
      <c r="AB176" s="24">
        <v>167667</v>
      </c>
      <c r="AC176" s="24">
        <v>169520</v>
      </c>
      <c r="AD176" s="24">
        <v>171332</v>
      </c>
      <c r="AE176" s="24"/>
    </row>
    <row r="177" spans="1:31">
      <c r="A177" s="38">
        <v>57</v>
      </c>
      <c r="B177" s="24">
        <v>70267</v>
      </c>
      <c r="D177" s="24">
        <v>74678</v>
      </c>
      <c r="E177" s="24">
        <v>79089</v>
      </c>
      <c r="F177" s="24">
        <v>83498</v>
      </c>
      <c r="G177" s="24">
        <v>87908</v>
      </c>
      <c r="H177" s="24">
        <v>92305</v>
      </c>
      <c r="I177" s="24">
        <v>96178</v>
      </c>
      <c r="J177" s="24">
        <v>100049</v>
      </c>
      <c r="K177" s="24">
        <v>103916</v>
      </c>
      <c r="L177" s="24">
        <v>107775</v>
      </c>
      <c r="M177" s="24">
        <v>111636</v>
      </c>
      <c r="N177" s="24">
        <v>114551</v>
      </c>
      <c r="O177" s="24">
        <v>117454</v>
      </c>
      <c r="P177" s="24">
        <v>120343</v>
      </c>
      <c r="Q177" s="24">
        <v>123213</v>
      </c>
      <c r="R177" s="24">
        <v>126072</v>
      </c>
      <c r="S177" s="24">
        <v>131766</v>
      </c>
      <c r="T177" s="24">
        <v>137438</v>
      </c>
      <c r="U177" s="24">
        <v>143085</v>
      </c>
      <c r="V177" s="24">
        <v>148703</v>
      </c>
      <c r="W177" s="24">
        <v>154284</v>
      </c>
      <c r="X177" s="24">
        <v>156561</v>
      </c>
      <c r="Y177" s="24">
        <v>158803</v>
      </c>
      <c r="Z177" s="24">
        <v>161009</v>
      </c>
      <c r="AA177" s="24">
        <v>163179</v>
      </c>
      <c r="AB177" s="24">
        <v>165303</v>
      </c>
      <c r="AC177" s="24">
        <v>166396</v>
      </c>
      <c r="AD177" s="24">
        <v>167448</v>
      </c>
      <c r="AE177" s="24"/>
    </row>
    <row r="178" spans="1:31">
      <c r="A178" s="38">
        <v>58</v>
      </c>
      <c r="B178" s="24">
        <v>65861</v>
      </c>
      <c r="D178" s="24">
        <v>70091</v>
      </c>
      <c r="E178" s="24">
        <v>74320</v>
      </c>
      <c r="F178" s="24">
        <v>78546</v>
      </c>
      <c r="G178" s="24">
        <v>82774</v>
      </c>
      <c r="H178" s="24">
        <v>86989</v>
      </c>
      <c r="I178" s="24">
        <v>90989</v>
      </c>
      <c r="J178" s="24">
        <v>94987</v>
      </c>
      <c r="K178" s="24">
        <v>98981</v>
      </c>
      <c r="L178" s="24">
        <v>102968</v>
      </c>
      <c r="M178" s="24">
        <v>106956</v>
      </c>
      <c r="N178" s="24">
        <v>109816</v>
      </c>
      <c r="O178" s="24">
        <v>112664</v>
      </c>
      <c r="P178" s="24">
        <v>115498</v>
      </c>
      <c r="Q178" s="24">
        <v>118315</v>
      </c>
      <c r="R178" s="24">
        <v>121120</v>
      </c>
      <c r="S178" s="24">
        <v>126576</v>
      </c>
      <c r="T178" s="24">
        <v>132012</v>
      </c>
      <c r="U178" s="24">
        <v>137423</v>
      </c>
      <c r="V178" s="24">
        <v>142807</v>
      </c>
      <c r="W178" s="24">
        <v>148155</v>
      </c>
      <c r="X178" s="24">
        <v>151033</v>
      </c>
      <c r="Y178" s="24">
        <v>153878</v>
      </c>
      <c r="Z178" s="24">
        <v>156688</v>
      </c>
      <c r="AA178" s="24">
        <v>159464</v>
      </c>
      <c r="AB178" s="24">
        <v>162193</v>
      </c>
      <c r="AC178" s="24">
        <v>163117</v>
      </c>
      <c r="AD178" s="24">
        <v>164001</v>
      </c>
      <c r="AE178" s="24"/>
    </row>
    <row r="179" spans="1:31">
      <c r="A179" s="38">
        <v>59</v>
      </c>
      <c r="B179" s="24">
        <v>61891</v>
      </c>
      <c r="D179" s="24">
        <v>65819</v>
      </c>
      <c r="E179" s="24">
        <v>69747</v>
      </c>
      <c r="F179" s="24">
        <v>73673</v>
      </c>
      <c r="G179" s="24">
        <v>77599</v>
      </c>
      <c r="H179" s="24">
        <v>81514</v>
      </c>
      <c r="I179" s="24">
        <v>85588</v>
      </c>
      <c r="J179" s="24">
        <v>89660</v>
      </c>
      <c r="K179" s="24">
        <v>93728</v>
      </c>
      <c r="L179" s="24">
        <v>97790</v>
      </c>
      <c r="M179" s="24">
        <v>101853</v>
      </c>
      <c r="N179" s="24">
        <v>104949</v>
      </c>
      <c r="O179" s="24">
        <v>108033</v>
      </c>
      <c r="P179" s="24">
        <v>111105</v>
      </c>
      <c r="Q179" s="24">
        <v>114160</v>
      </c>
      <c r="R179" s="24">
        <v>117202</v>
      </c>
      <c r="S179" s="24">
        <v>121996</v>
      </c>
      <c r="T179" s="24">
        <v>126769</v>
      </c>
      <c r="U179" s="24">
        <v>131518</v>
      </c>
      <c r="V179" s="24">
        <v>136241</v>
      </c>
      <c r="W179" s="24">
        <v>140930</v>
      </c>
      <c r="X179" s="24">
        <v>144495</v>
      </c>
      <c r="Y179" s="24">
        <v>148028</v>
      </c>
      <c r="Z179" s="24">
        <v>151528</v>
      </c>
      <c r="AA179" s="24">
        <v>154995</v>
      </c>
      <c r="AB179" s="24">
        <v>158416</v>
      </c>
      <c r="AC179" s="24">
        <v>159622</v>
      </c>
      <c r="AD179" s="24">
        <v>160790</v>
      </c>
      <c r="AE179" s="24"/>
    </row>
    <row r="180" spans="1:31">
      <c r="A180" s="37" t="s">
        <v>82</v>
      </c>
      <c r="B180" s="32">
        <v>0</v>
      </c>
      <c r="D180" s="32">
        <v>0</v>
      </c>
      <c r="E180" s="32">
        <v>0</v>
      </c>
      <c r="F180" s="32">
        <v>0</v>
      </c>
      <c r="G180" s="32">
        <v>0</v>
      </c>
      <c r="H180" s="32">
        <v>0</v>
      </c>
      <c r="I180" s="32">
        <v>0</v>
      </c>
      <c r="J180" s="32">
        <v>0</v>
      </c>
      <c r="K180" s="32">
        <v>0</v>
      </c>
      <c r="L180" s="32">
        <v>0</v>
      </c>
      <c r="M180" s="32">
        <v>0</v>
      </c>
      <c r="N180" s="32">
        <v>0</v>
      </c>
      <c r="O180" s="32">
        <v>0</v>
      </c>
      <c r="P180" s="32">
        <v>0</v>
      </c>
      <c r="Q180" s="32">
        <v>0</v>
      </c>
      <c r="R180" s="32">
        <v>0</v>
      </c>
      <c r="S180" s="32">
        <v>0</v>
      </c>
      <c r="T180" s="32">
        <v>0</v>
      </c>
      <c r="U180" s="32">
        <v>0</v>
      </c>
      <c r="V180" s="32">
        <v>0</v>
      </c>
      <c r="W180" s="32">
        <v>0</v>
      </c>
      <c r="X180" s="32">
        <v>0</v>
      </c>
      <c r="Y180" s="32">
        <v>0</v>
      </c>
      <c r="Z180" s="32">
        <v>0</v>
      </c>
      <c r="AA180" s="32">
        <v>0</v>
      </c>
      <c r="AB180" s="32">
        <v>0</v>
      </c>
      <c r="AC180" s="32">
        <v>0</v>
      </c>
      <c r="AD180" s="32">
        <v>0</v>
      </c>
      <c r="AE180" s="32"/>
    </row>
    <row r="181" spans="1:31">
      <c r="A181" s="38">
        <v>60</v>
      </c>
      <c r="B181" s="24">
        <v>58072</v>
      </c>
      <c r="D181" s="24">
        <v>61665</v>
      </c>
      <c r="E181" s="24">
        <v>65255</v>
      </c>
      <c r="F181" s="24">
        <v>68845</v>
      </c>
      <c r="G181" s="24">
        <v>72434</v>
      </c>
      <c r="H181" s="24">
        <v>76015</v>
      </c>
      <c r="I181" s="24">
        <v>80172</v>
      </c>
      <c r="J181" s="24">
        <v>84328</v>
      </c>
      <c r="K181" s="24">
        <v>88481</v>
      </c>
      <c r="L181" s="24">
        <v>92627</v>
      </c>
      <c r="M181" s="24">
        <v>96774</v>
      </c>
      <c r="N181" s="24">
        <v>100152</v>
      </c>
      <c r="O181" s="24">
        <v>103518</v>
      </c>
      <c r="P181" s="24">
        <v>106872</v>
      </c>
      <c r="Q181" s="24">
        <v>110210</v>
      </c>
      <c r="R181" s="24">
        <v>113535</v>
      </c>
      <c r="S181" s="24">
        <v>117498</v>
      </c>
      <c r="T181" s="24">
        <v>121443</v>
      </c>
      <c r="U181" s="24">
        <v>125362</v>
      </c>
      <c r="V181" s="24">
        <v>129258</v>
      </c>
      <c r="W181" s="24">
        <v>133122</v>
      </c>
      <c r="X181" s="24">
        <v>137507</v>
      </c>
      <c r="Y181" s="24">
        <v>141863</v>
      </c>
      <c r="Z181" s="24">
        <v>146187</v>
      </c>
      <c r="AA181" s="24">
        <v>150477</v>
      </c>
      <c r="AB181" s="24">
        <v>154724</v>
      </c>
      <c r="AC181" s="24">
        <v>156276</v>
      </c>
      <c r="AD181" s="24">
        <v>157792</v>
      </c>
      <c r="AE181" s="24"/>
    </row>
    <row r="182" spans="1:31">
      <c r="A182" s="38">
        <v>61</v>
      </c>
      <c r="B182" s="24">
        <v>54417</v>
      </c>
      <c r="D182" s="24">
        <v>57678</v>
      </c>
      <c r="E182" s="24">
        <v>60940</v>
      </c>
      <c r="F182" s="24">
        <v>64200</v>
      </c>
      <c r="G182" s="24">
        <v>67460</v>
      </c>
      <c r="H182" s="24">
        <v>70710</v>
      </c>
      <c r="I182" s="24">
        <v>74937</v>
      </c>
      <c r="J182" s="24">
        <v>79163</v>
      </c>
      <c r="K182" s="24">
        <v>83387</v>
      </c>
      <c r="L182" s="24">
        <v>87603</v>
      </c>
      <c r="M182" s="24">
        <v>91821</v>
      </c>
      <c r="N182" s="24">
        <v>95379</v>
      </c>
      <c r="O182" s="24">
        <v>98928</v>
      </c>
      <c r="P182" s="24">
        <v>102464</v>
      </c>
      <c r="Q182" s="24">
        <v>105985</v>
      </c>
      <c r="R182" s="24">
        <v>109493</v>
      </c>
      <c r="S182" s="24">
        <v>112761</v>
      </c>
      <c r="T182" s="24">
        <v>116010</v>
      </c>
      <c r="U182" s="24">
        <v>119237</v>
      </c>
      <c r="V182" s="24">
        <v>122440</v>
      </c>
      <c r="W182" s="24">
        <v>125613</v>
      </c>
      <c r="X182" s="24">
        <v>130733</v>
      </c>
      <c r="Y182" s="24">
        <v>135827</v>
      </c>
      <c r="Z182" s="24">
        <v>140890</v>
      </c>
      <c r="AA182" s="24">
        <v>145923</v>
      </c>
      <c r="AB182" s="24">
        <v>150910</v>
      </c>
      <c r="AC182" s="24">
        <v>152734</v>
      </c>
      <c r="AD182" s="24">
        <v>154522</v>
      </c>
      <c r="AE182" s="24"/>
    </row>
    <row r="183" spans="1:31">
      <c r="A183" s="38">
        <v>62</v>
      </c>
      <c r="B183" s="24">
        <v>51226</v>
      </c>
      <c r="D183" s="24">
        <v>54136</v>
      </c>
      <c r="E183" s="24">
        <v>57045</v>
      </c>
      <c r="F183" s="24">
        <v>59953</v>
      </c>
      <c r="G183" s="24">
        <v>62862</v>
      </c>
      <c r="H183" s="24">
        <v>65761</v>
      </c>
      <c r="I183" s="24">
        <v>69945</v>
      </c>
      <c r="J183" s="24">
        <v>74127</v>
      </c>
      <c r="K183" s="24">
        <v>78307</v>
      </c>
      <c r="L183" s="24">
        <v>82481</v>
      </c>
      <c r="M183" s="24">
        <v>86656</v>
      </c>
      <c r="N183" s="24">
        <v>90371</v>
      </c>
      <c r="O183" s="24">
        <v>94077</v>
      </c>
      <c r="P183" s="24">
        <v>97772</v>
      </c>
      <c r="Q183" s="24">
        <v>101451</v>
      </c>
      <c r="R183" s="24">
        <v>105119</v>
      </c>
      <c r="S183" s="24">
        <v>107935</v>
      </c>
      <c r="T183" s="24">
        <v>110731</v>
      </c>
      <c r="U183" s="24">
        <v>113507</v>
      </c>
      <c r="V183" s="24">
        <v>116261</v>
      </c>
      <c r="W183" s="24">
        <v>118986</v>
      </c>
      <c r="X183" s="24">
        <v>124435</v>
      </c>
      <c r="Y183" s="24">
        <v>129860</v>
      </c>
      <c r="Z183" s="24">
        <v>135256</v>
      </c>
      <c r="AA183" s="24">
        <v>140622</v>
      </c>
      <c r="AB183" s="24">
        <v>145945</v>
      </c>
      <c r="AC183" s="24">
        <v>148180</v>
      </c>
      <c r="AD183" s="24">
        <v>150381</v>
      </c>
      <c r="AE183" s="24"/>
    </row>
    <row r="184" spans="1:31">
      <c r="A184" s="38">
        <v>63</v>
      </c>
      <c r="B184" s="24">
        <v>48575</v>
      </c>
      <c r="D184" s="24">
        <v>51122</v>
      </c>
      <c r="E184" s="24">
        <v>53670</v>
      </c>
      <c r="F184" s="24">
        <v>56215</v>
      </c>
      <c r="G184" s="24">
        <v>58762</v>
      </c>
      <c r="H184" s="24">
        <v>61299</v>
      </c>
      <c r="I184" s="24">
        <v>65292</v>
      </c>
      <c r="J184" s="24">
        <v>69284</v>
      </c>
      <c r="K184" s="24">
        <v>73273</v>
      </c>
      <c r="L184" s="24">
        <v>77256</v>
      </c>
      <c r="M184" s="24">
        <v>81241</v>
      </c>
      <c r="N184" s="24">
        <v>85053</v>
      </c>
      <c r="O184" s="24">
        <v>88856</v>
      </c>
      <c r="P184" s="24">
        <v>92649</v>
      </c>
      <c r="Q184" s="24">
        <v>96428</v>
      </c>
      <c r="R184" s="24">
        <v>100195</v>
      </c>
      <c r="S184" s="24">
        <v>102940</v>
      </c>
      <c r="T184" s="24">
        <v>105666</v>
      </c>
      <c r="U184" s="24">
        <v>108373</v>
      </c>
      <c r="V184" s="24">
        <v>111058</v>
      </c>
      <c r="W184" s="24">
        <v>113717</v>
      </c>
      <c r="X184" s="24">
        <v>118930</v>
      </c>
      <c r="Y184" s="24">
        <v>124119</v>
      </c>
      <c r="Z184" s="24">
        <v>129281</v>
      </c>
      <c r="AA184" s="24">
        <v>134414</v>
      </c>
      <c r="AB184" s="24">
        <v>139505</v>
      </c>
      <c r="AC184" s="24">
        <v>142289</v>
      </c>
      <c r="AD184" s="24">
        <v>145040</v>
      </c>
      <c r="AE184" s="24"/>
    </row>
    <row r="185" spans="1:31">
      <c r="A185" s="38">
        <v>64</v>
      </c>
      <c r="B185" s="24">
        <v>46345</v>
      </c>
      <c r="D185" s="24">
        <v>48532</v>
      </c>
      <c r="E185" s="24">
        <v>50719</v>
      </c>
      <c r="F185" s="24">
        <v>52904</v>
      </c>
      <c r="G185" s="24">
        <v>55089</v>
      </c>
      <c r="H185" s="24">
        <v>57267</v>
      </c>
      <c r="I185" s="24">
        <v>60957</v>
      </c>
      <c r="J185" s="24">
        <v>64645</v>
      </c>
      <c r="K185" s="24">
        <v>68331</v>
      </c>
      <c r="L185" s="24">
        <v>72012</v>
      </c>
      <c r="M185" s="24">
        <v>75694</v>
      </c>
      <c r="N185" s="24">
        <v>79547</v>
      </c>
      <c r="O185" s="24">
        <v>83392</v>
      </c>
      <c r="P185" s="24">
        <v>87228</v>
      </c>
      <c r="Q185" s="24">
        <v>91049</v>
      </c>
      <c r="R185" s="24">
        <v>94861</v>
      </c>
      <c r="S185" s="24">
        <v>97813</v>
      </c>
      <c r="T185" s="24">
        <v>100748</v>
      </c>
      <c r="U185" s="24">
        <v>103664</v>
      </c>
      <c r="V185" s="24">
        <v>106559</v>
      </c>
      <c r="W185" s="24">
        <v>109429</v>
      </c>
      <c r="X185" s="24">
        <v>114002</v>
      </c>
      <c r="Y185" s="24">
        <v>118551</v>
      </c>
      <c r="Z185" s="24">
        <v>123074</v>
      </c>
      <c r="AA185" s="24">
        <v>127570</v>
      </c>
      <c r="AB185" s="24">
        <v>132027</v>
      </c>
      <c r="AC185" s="24">
        <v>135429</v>
      </c>
      <c r="AD185" s="24">
        <v>138799</v>
      </c>
      <c r="AE185" s="24"/>
    </row>
    <row r="186" spans="1:31">
      <c r="A186" s="37" t="s">
        <v>83</v>
      </c>
      <c r="B186" s="32">
        <v>0</v>
      </c>
      <c r="D186" s="32">
        <v>0</v>
      </c>
      <c r="E186" s="32">
        <v>0</v>
      </c>
      <c r="F186" s="32">
        <v>0</v>
      </c>
      <c r="G186" s="32">
        <v>0</v>
      </c>
      <c r="H186" s="32">
        <v>0</v>
      </c>
      <c r="I186" s="32">
        <v>0</v>
      </c>
      <c r="J186" s="32">
        <v>0</v>
      </c>
      <c r="K186" s="32">
        <v>0</v>
      </c>
      <c r="L186" s="32">
        <v>0</v>
      </c>
      <c r="M186" s="32">
        <v>0</v>
      </c>
      <c r="N186" s="32">
        <v>0</v>
      </c>
      <c r="O186" s="32">
        <v>0</v>
      </c>
      <c r="P186" s="32">
        <v>0</v>
      </c>
      <c r="Q186" s="32">
        <v>0</v>
      </c>
      <c r="R186" s="32">
        <v>0</v>
      </c>
      <c r="S186" s="32">
        <v>0</v>
      </c>
      <c r="T186" s="32">
        <v>0</v>
      </c>
      <c r="U186" s="32">
        <v>0</v>
      </c>
      <c r="V186" s="32">
        <v>0</v>
      </c>
      <c r="W186" s="32">
        <v>0</v>
      </c>
      <c r="X186" s="32">
        <v>0</v>
      </c>
      <c r="Y186" s="32">
        <v>0</v>
      </c>
      <c r="Z186" s="32">
        <v>0</v>
      </c>
      <c r="AA186" s="32">
        <v>0</v>
      </c>
      <c r="AB186" s="32">
        <v>0</v>
      </c>
      <c r="AC186" s="32">
        <v>0</v>
      </c>
      <c r="AD186" s="32">
        <v>0</v>
      </c>
      <c r="AE186" s="32"/>
    </row>
    <row r="187" spans="1:31">
      <c r="A187" s="38">
        <v>65</v>
      </c>
      <c r="B187" s="24">
        <v>44348</v>
      </c>
      <c r="D187" s="24">
        <v>46161</v>
      </c>
      <c r="E187" s="24">
        <v>47973</v>
      </c>
      <c r="F187" s="24">
        <v>49783</v>
      </c>
      <c r="G187" s="24">
        <v>51593</v>
      </c>
      <c r="H187" s="24">
        <v>53397</v>
      </c>
      <c r="I187" s="24">
        <v>56748</v>
      </c>
      <c r="J187" s="24">
        <v>60099</v>
      </c>
      <c r="K187" s="24">
        <v>63448</v>
      </c>
      <c r="L187" s="24">
        <v>66793</v>
      </c>
      <c r="M187" s="24">
        <v>70137</v>
      </c>
      <c r="N187" s="24">
        <v>74041</v>
      </c>
      <c r="O187" s="24">
        <v>77936</v>
      </c>
      <c r="P187" s="24">
        <v>81822</v>
      </c>
      <c r="Q187" s="24">
        <v>85697</v>
      </c>
      <c r="R187" s="24">
        <v>89562</v>
      </c>
      <c r="S187" s="24">
        <v>92766</v>
      </c>
      <c r="T187" s="24">
        <v>95952</v>
      </c>
      <c r="U187" s="24">
        <v>99121</v>
      </c>
      <c r="V187" s="24">
        <v>102271</v>
      </c>
      <c r="W187" s="24">
        <v>105394</v>
      </c>
      <c r="X187" s="24">
        <v>109169</v>
      </c>
      <c r="Y187" s="24">
        <v>112919</v>
      </c>
      <c r="Z187" s="24">
        <v>116645</v>
      </c>
      <c r="AA187" s="24">
        <v>120345</v>
      </c>
      <c r="AB187" s="24">
        <v>124008</v>
      </c>
      <c r="AC187" s="24">
        <v>128149</v>
      </c>
      <c r="AD187" s="24">
        <v>132261</v>
      </c>
      <c r="AE187" s="24"/>
    </row>
    <row r="188" spans="1:31">
      <c r="A188" s="38">
        <v>66</v>
      </c>
      <c r="B188" s="24">
        <v>42409</v>
      </c>
      <c r="D188" s="24">
        <v>43866</v>
      </c>
      <c r="E188" s="24">
        <v>45323</v>
      </c>
      <c r="F188" s="24">
        <v>46779</v>
      </c>
      <c r="G188" s="24">
        <v>48236</v>
      </c>
      <c r="H188" s="24">
        <v>49686</v>
      </c>
      <c r="I188" s="24">
        <v>52708</v>
      </c>
      <c r="J188" s="24">
        <v>55729</v>
      </c>
      <c r="K188" s="24">
        <v>58748</v>
      </c>
      <c r="L188" s="24">
        <v>61762</v>
      </c>
      <c r="M188" s="24">
        <v>64779</v>
      </c>
      <c r="N188" s="24">
        <v>68721</v>
      </c>
      <c r="O188" s="24">
        <v>72657</v>
      </c>
      <c r="P188" s="24">
        <v>76585</v>
      </c>
      <c r="Q188" s="24">
        <v>80500</v>
      </c>
      <c r="R188" s="24">
        <v>84409</v>
      </c>
      <c r="S188" s="24">
        <v>87765</v>
      </c>
      <c r="T188" s="24">
        <v>91107</v>
      </c>
      <c r="U188" s="24">
        <v>94432</v>
      </c>
      <c r="V188" s="24">
        <v>97737</v>
      </c>
      <c r="W188" s="24">
        <v>101021</v>
      </c>
      <c r="X188" s="24">
        <v>104119</v>
      </c>
      <c r="Y188" s="24">
        <v>107196</v>
      </c>
      <c r="Z188" s="24">
        <v>110249</v>
      </c>
      <c r="AA188" s="24">
        <v>113277</v>
      </c>
      <c r="AB188" s="24">
        <v>116272</v>
      </c>
      <c r="AC188" s="24">
        <v>121076</v>
      </c>
      <c r="AD188" s="24">
        <v>125854</v>
      </c>
      <c r="AE188" s="24"/>
    </row>
    <row r="189" spans="1:31">
      <c r="A189" s="38">
        <v>67</v>
      </c>
      <c r="B189" s="24">
        <v>40478</v>
      </c>
      <c r="D189" s="24">
        <v>41665</v>
      </c>
      <c r="E189" s="24">
        <v>42851</v>
      </c>
      <c r="F189" s="24">
        <v>44036</v>
      </c>
      <c r="G189" s="24">
        <v>45222</v>
      </c>
      <c r="H189" s="24">
        <v>46401</v>
      </c>
      <c r="I189" s="24">
        <v>49080</v>
      </c>
      <c r="J189" s="24">
        <v>51757</v>
      </c>
      <c r="K189" s="24">
        <v>54433</v>
      </c>
      <c r="L189" s="24">
        <v>57104</v>
      </c>
      <c r="M189" s="24">
        <v>59778</v>
      </c>
      <c r="N189" s="24">
        <v>63655</v>
      </c>
      <c r="O189" s="24">
        <v>67526</v>
      </c>
      <c r="P189" s="24">
        <v>71389</v>
      </c>
      <c r="Q189" s="24">
        <v>75240</v>
      </c>
      <c r="R189" s="24">
        <v>79087</v>
      </c>
      <c r="S189" s="24">
        <v>82567</v>
      </c>
      <c r="T189" s="24">
        <v>86034</v>
      </c>
      <c r="U189" s="24">
        <v>89484</v>
      </c>
      <c r="V189" s="24">
        <v>92916</v>
      </c>
      <c r="W189" s="24">
        <v>96328</v>
      </c>
      <c r="X189" s="24">
        <v>98978</v>
      </c>
      <c r="Y189" s="24">
        <v>101608</v>
      </c>
      <c r="Z189" s="24">
        <v>104215</v>
      </c>
      <c r="AA189" s="24">
        <v>106798</v>
      </c>
      <c r="AB189" s="24">
        <v>109350</v>
      </c>
      <c r="AC189" s="24">
        <v>114442</v>
      </c>
      <c r="AD189" s="24">
        <v>119509</v>
      </c>
      <c r="AE189" s="24"/>
    </row>
    <row r="190" spans="1:31">
      <c r="A190" s="38">
        <v>68</v>
      </c>
      <c r="B190" s="24">
        <v>38470</v>
      </c>
      <c r="D190" s="24">
        <v>39499</v>
      </c>
      <c r="E190" s="24">
        <v>40528</v>
      </c>
      <c r="F190" s="24">
        <v>41556</v>
      </c>
      <c r="G190" s="24">
        <v>42584</v>
      </c>
      <c r="H190" s="24">
        <v>43607</v>
      </c>
      <c r="I190" s="24">
        <v>45941</v>
      </c>
      <c r="J190" s="24">
        <v>48274</v>
      </c>
      <c r="K190" s="24">
        <v>50605</v>
      </c>
      <c r="L190" s="24">
        <v>52932</v>
      </c>
      <c r="M190" s="24">
        <v>55261</v>
      </c>
      <c r="N190" s="24">
        <v>58936</v>
      </c>
      <c r="O190" s="24">
        <v>62606</v>
      </c>
      <c r="P190" s="24">
        <v>66268</v>
      </c>
      <c r="Q190" s="24">
        <v>69920</v>
      </c>
      <c r="R190" s="24">
        <v>73567</v>
      </c>
      <c r="S190" s="24">
        <v>77105</v>
      </c>
      <c r="T190" s="24">
        <v>80631</v>
      </c>
      <c r="U190" s="24">
        <v>84141</v>
      </c>
      <c r="V190" s="24">
        <v>87635</v>
      </c>
      <c r="W190" s="24">
        <v>91109</v>
      </c>
      <c r="X190" s="24">
        <v>93668</v>
      </c>
      <c r="Y190" s="24">
        <v>96207</v>
      </c>
      <c r="Z190" s="24">
        <v>98724</v>
      </c>
      <c r="AA190" s="24">
        <v>101220</v>
      </c>
      <c r="AB190" s="24">
        <v>103685</v>
      </c>
      <c r="AC190" s="24">
        <v>108541</v>
      </c>
      <c r="AD190" s="24">
        <v>113374</v>
      </c>
      <c r="AE190" s="24"/>
    </row>
    <row r="191" spans="1:31">
      <c r="A191" s="38">
        <v>69</v>
      </c>
      <c r="B191" s="24">
        <v>36398</v>
      </c>
      <c r="D191" s="24">
        <v>37361</v>
      </c>
      <c r="E191" s="24">
        <v>38323</v>
      </c>
      <c r="F191" s="24">
        <v>39284</v>
      </c>
      <c r="G191" s="24">
        <v>40245</v>
      </c>
      <c r="H191" s="24">
        <v>41201</v>
      </c>
      <c r="I191" s="24">
        <v>43199</v>
      </c>
      <c r="J191" s="24">
        <v>45195</v>
      </c>
      <c r="K191" s="24">
        <v>47190</v>
      </c>
      <c r="L191" s="24">
        <v>49181</v>
      </c>
      <c r="M191" s="24">
        <v>51174</v>
      </c>
      <c r="N191" s="24">
        <v>54544</v>
      </c>
      <c r="O191" s="24">
        <v>57910</v>
      </c>
      <c r="P191" s="24">
        <v>61269</v>
      </c>
      <c r="Q191" s="24">
        <v>64618</v>
      </c>
      <c r="R191" s="24">
        <v>67961</v>
      </c>
      <c r="S191" s="24">
        <v>71499</v>
      </c>
      <c r="T191" s="24">
        <v>75025</v>
      </c>
      <c r="U191" s="24">
        <v>78538</v>
      </c>
      <c r="V191" s="24">
        <v>82034</v>
      </c>
      <c r="W191" s="24">
        <v>85512</v>
      </c>
      <c r="X191" s="24">
        <v>88239</v>
      </c>
      <c r="Y191" s="24">
        <v>90948</v>
      </c>
      <c r="Z191" s="24">
        <v>93636</v>
      </c>
      <c r="AA191" s="24">
        <v>96304</v>
      </c>
      <c r="AB191" s="24">
        <v>98942</v>
      </c>
      <c r="AC191" s="24">
        <v>103188</v>
      </c>
      <c r="AD191" s="24">
        <v>107412</v>
      </c>
      <c r="AE191" s="24"/>
    </row>
    <row r="192" spans="1:31">
      <c r="A192" s="37" t="s">
        <v>84</v>
      </c>
      <c r="B192" s="32">
        <v>0</v>
      </c>
      <c r="D192" s="32">
        <v>0</v>
      </c>
      <c r="E192" s="32">
        <v>0</v>
      </c>
      <c r="F192" s="32">
        <v>0</v>
      </c>
      <c r="G192" s="32">
        <v>0</v>
      </c>
      <c r="H192" s="32">
        <v>0</v>
      </c>
      <c r="I192" s="32">
        <v>0</v>
      </c>
      <c r="J192" s="32">
        <v>0</v>
      </c>
      <c r="K192" s="32">
        <v>0</v>
      </c>
      <c r="L192" s="32">
        <v>0</v>
      </c>
      <c r="M192" s="32">
        <v>0</v>
      </c>
      <c r="N192" s="32">
        <v>0</v>
      </c>
      <c r="O192" s="32">
        <v>0</v>
      </c>
      <c r="P192" s="32">
        <v>0</v>
      </c>
      <c r="Q192" s="32">
        <v>0</v>
      </c>
      <c r="R192" s="32">
        <v>0</v>
      </c>
      <c r="S192" s="32">
        <v>0</v>
      </c>
      <c r="T192" s="32">
        <v>0</v>
      </c>
      <c r="U192" s="32">
        <v>0</v>
      </c>
      <c r="V192" s="32">
        <v>0</v>
      </c>
      <c r="W192" s="32">
        <v>0</v>
      </c>
      <c r="X192" s="32">
        <v>0</v>
      </c>
      <c r="Y192" s="32">
        <v>0</v>
      </c>
      <c r="Z192" s="32">
        <v>0</v>
      </c>
      <c r="AA192" s="32">
        <v>0</v>
      </c>
      <c r="AB192" s="32">
        <v>0</v>
      </c>
      <c r="AC192" s="32">
        <v>0</v>
      </c>
      <c r="AD192" s="32">
        <v>0</v>
      </c>
      <c r="AE192" s="32"/>
    </row>
    <row r="193" spans="1:31">
      <c r="A193" s="38">
        <v>70</v>
      </c>
      <c r="B193" s="24">
        <v>34471</v>
      </c>
      <c r="D193" s="24">
        <v>35392</v>
      </c>
      <c r="E193" s="24">
        <v>36311</v>
      </c>
      <c r="F193" s="24">
        <v>37231</v>
      </c>
      <c r="G193" s="24">
        <v>38149</v>
      </c>
      <c r="H193" s="24">
        <v>39063</v>
      </c>
      <c r="I193" s="24">
        <v>40715</v>
      </c>
      <c r="J193" s="24">
        <v>42366</v>
      </c>
      <c r="K193" s="24">
        <v>44016</v>
      </c>
      <c r="L193" s="24">
        <v>45664</v>
      </c>
      <c r="M193" s="24">
        <v>47309</v>
      </c>
      <c r="N193" s="24">
        <v>50349</v>
      </c>
      <c r="O193" s="24">
        <v>53385</v>
      </c>
      <c r="P193" s="24">
        <v>56415</v>
      </c>
      <c r="Q193" s="24">
        <v>59436</v>
      </c>
      <c r="R193" s="24">
        <v>62450</v>
      </c>
      <c r="S193" s="24">
        <v>66001</v>
      </c>
      <c r="T193" s="24">
        <v>69543</v>
      </c>
      <c r="U193" s="24">
        <v>73072</v>
      </c>
      <c r="V193" s="24">
        <v>76585</v>
      </c>
      <c r="W193" s="24">
        <v>80081</v>
      </c>
      <c r="X193" s="24">
        <v>83023</v>
      </c>
      <c r="Y193" s="24">
        <v>85949</v>
      </c>
      <c r="Z193" s="24">
        <v>88857</v>
      </c>
      <c r="AA193" s="24">
        <v>91743</v>
      </c>
      <c r="AB193" s="24">
        <v>94603</v>
      </c>
      <c r="AC193" s="24">
        <v>98101</v>
      </c>
      <c r="AD193" s="24">
        <v>101576</v>
      </c>
      <c r="AE193" s="24"/>
    </row>
    <row r="194" spans="1:31">
      <c r="A194" s="38">
        <v>71</v>
      </c>
      <c r="B194" s="24">
        <v>32610</v>
      </c>
      <c r="D194" s="24">
        <v>33493</v>
      </c>
      <c r="E194" s="24">
        <v>34375</v>
      </c>
      <c r="F194" s="24">
        <v>35256</v>
      </c>
      <c r="G194" s="24">
        <v>36137</v>
      </c>
      <c r="H194" s="24">
        <v>37013</v>
      </c>
      <c r="I194" s="24">
        <v>38338</v>
      </c>
      <c r="J194" s="24">
        <v>39662</v>
      </c>
      <c r="K194" s="24">
        <v>40985</v>
      </c>
      <c r="L194" s="24">
        <v>42304</v>
      </c>
      <c r="M194" s="24">
        <v>43623</v>
      </c>
      <c r="N194" s="24">
        <v>46345</v>
      </c>
      <c r="O194" s="24">
        <v>49062</v>
      </c>
      <c r="P194" s="24">
        <v>51774</v>
      </c>
      <c r="Q194" s="24">
        <v>54477</v>
      </c>
      <c r="R194" s="24">
        <v>57174</v>
      </c>
      <c r="S194" s="24">
        <v>60736</v>
      </c>
      <c r="T194" s="24">
        <v>64288</v>
      </c>
      <c r="U194" s="24">
        <v>67828</v>
      </c>
      <c r="V194" s="24">
        <v>71355</v>
      </c>
      <c r="W194" s="24">
        <v>74864</v>
      </c>
      <c r="X194" s="24">
        <v>77932</v>
      </c>
      <c r="Y194" s="24">
        <v>80984</v>
      </c>
      <c r="Z194" s="24">
        <v>84017</v>
      </c>
      <c r="AA194" s="24">
        <v>87032</v>
      </c>
      <c r="AB194" s="24">
        <v>90020</v>
      </c>
      <c r="AC194" s="24">
        <v>92884</v>
      </c>
      <c r="AD194" s="24">
        <v>95727</v>
      </c>
      <c r="AE194" s="24"/>
    </row>
    <row r="195" spans="1:31">
      <c r="A195" s="38">
        <v>72</v>
      </c>
      <c r="B195" s="24">
        <v>30501</v>
      </c>
      <c r="D195" s="24">
        <v>31390</v>
      </c>
      <c r="E195" s="24">
        <v>32280</v>
      </c>
      <c r="F195" s="24">
        <v>33168</v>
      </c>
      <c r="G195" s="24">
        <v>34057</v>
      </c>
      <c r="H195" s="24">
        <v>34940</v>
      </c>
      <c r="I195" s="24">
        <v>36010</v>
      </c>
      <c r="J195" s="24">
        <v>37080</v>
      </c>
      <c r="K195" s="24">
        <v>38148</v>
      </c>
      <c r="L195" s="24">
        <v>39213</v>
      </c>
      <c r="M195" s="24">
        <v>40277</v>
      </c>
      <c r="N195" s="24">
        <v>42665</v>
      </c>
      <c r="O195" s="24">
        <v>45049</v>
      </c>
      <c r="P195" s="24">
        <v>47427</v>
      </c>
      <c r="Q195" s="24">
        <v>49798</v>
      </c>
      <c r="R195" s="24">
        <v>52162</v>
      </c>
      <c r="S195" s="24">
        <v>55630</v>
      </c>
      <c r="T195" s="24">
        <v>59090</v>
      </c>
      <c r="U195" s="24">
        <v>62539</v>
      </c>
      <c r="V195" s="24">
        <v>65975</v>
      </c>
      <c r="W195" s="24">
        <v>69395</v>
      </c>
      <c r="X195" s="24">
        <v>72544</v>
      </c>
      <c r="Y195" s="24">
        <v>75678</v>
      </c>
      <c r="Z195" s="24">
        <v>78795</v>
      </c>
      <c r="AA195" s="24">
        <v>81895</v>
      </c>
      <c r="AB195" s="24">
        <v>84970</v>
      </c>
      <c r="AC195" s="24">
        <v>87390</v>
      </c>
      <c r="AD195" s="24">
        <v>89791</v>
      </c>
      <c r="AE195" s="24"/>
    </row>
    <row r="196" spans="1:31">
      <c r="A196" s="38">
        <v>73</v>
      </c>
      <c r="B196" s="24">
        <v>28040</v>
      </c>
      <c r="D196" s="24">
        <v>28983</v>
      </c>
      <c r="E196" s="24">
        <v>29925</v>
      </c>
      <c r="F196" s="24">
        <v>30866</v>
      </c>
      <c r="G196" s="24">
        <v>31808</v>
      </c>
      <c r="H196" s="24">
        <v>32744</v>
      </c>
      <c r="I196" s="24">
        <v>33658</v>
      </c>
      <c r="J196" s="24">
        <v>34571</v>
      </c>
      <c r="K196" s="24">
        <v>35483</v>
      </c>
      <c r="L196" s="24">
        <v>36391</v>
      </c>
      <c r="M196" s="24">
        <v>37299</v>
      </c>
      <c r="N196" s="24">
        <v>39348</v>
      </c>
      <c r="O196" s="24">
        <v>41393</v>
      </c>
      <c r="P196" s="24">
        <v>43433</v>
      </c>
      <c r="Q196" s="24">
        <v>45466</v>
      </c>
      <c r="R196" s="24">
        <v>47492</v>
      </c>
      <c r="S196" s="24">
        <v>50733</v>
      </c>
      <c r="T196" s="24">
        <v>53965</v>
      </c>
      <c r="U196" s="24">
        <v>57188</v>
      </c>
      <c r="V196" s="24">
        <v>60399</v>
      </c>
      <c r="W196" s="24">
        <v>63595</v>
      </c>
      <c r="X196" s="24">
        <v>66743</v>
      </c>
      <c r="Y196" s="24">
        <v>69878</v>
      </c>
      <c r="Z196" s="24">
        <v>72997</v>
      </c>
      <c r="AA196" s="24">
        <v>76100</v>
      </c>
      <c r="AB196" s="24">
        <v>79180</v>
      </c>
      <c r="AC196" s="24">
        <v>81461</v>
      </c>
      <c r="AD196" s="24">
        <v>83724</v>
      </c>
      <c r="AE196" s="24"/>
    </row>
    <row r="197" spans="1:31">
      <c r="A197" s="38">
        <v>74</v>
      </c>
      <c r="B197" s="24">
        <v>25369</v>
      </c>
      <c r="D197" s="24">
        <v>26393</v>
      </c>
      <c r="E197" s="24">
        <v>27417</v>
      </c>
      <c r="F197" s="24">
        <v>28441</v>
      </c>
      <c r="G197" s="24">
        <v>29465</v>
      </c>
      <c r="H197" s="24">
        <v>30485</v>
      </c>
      <c r="I197" s="24">
        <v>31322</v>
      </c>
      <c r="J197" s="24">
        <v>32158</v>
      </c>
      <c r="K197" s="24">
        <v>32992</v>
      </c>
      <c r="L197" s="24">
        <v>33824</v>
      </c>
      <c r="M197" s="24">
        <v>34656</v>
      </c>
      <c r="N197" s="24">
        <v>36374</v>
      </c>
      <c r="O197" s="24">
        <v>38089</v>
      </c>
      <c r="P197" s="24">
        <v>39799</v>
      </c>
      <c r="Q197" s="24">
        <v>41503</v>
      </c>
      <c r="R197" s="24">
        <v>43201</v>
      </c>
      <c r="S197" s="24">
        <v>46118</v>
      </c>
      <c r="T197" s="24">
        <v>49027</v>
      </c>
      <c r="U197" s="24">
        <v>51928</v>
      </c>
      <c r="V197" s="24">
        <v>54818</v>
      </c>
      <c r="W197" s="24">
        <v>57695</v>
      </c>
      <c r="X197" s="24">
        <v>60778</v>
      </c>
      <c r="Y197" s="24">
        <v>63849</v>
      </c>
      <c r="Z197" s="24">
        <v>66905</v>
      </c>
      <c r="AA197" s="24">
        <v>69947</v>
      </c>
      <c r="AB197" s="24">
        <v>72967</v>
      </c>
      <c r="AC197" s="24">
        <v>75335</v>
      </c>
      <c r="AD197" s="24">
        <v>77687</v>
      </c>
      <c r="AE197" s="24"/>
    </row>
    <row r="198" spans="1:31">
      <c r="A198" s="40" t="s">
        <v>85</v>
      </c>
      <c r="B198" s="32">
        <v>0</v>
      </c>
      <c r="D198" s="32">
        <v>0</v>
      </c>
      <c r="E198" s="32">
        <v>0</v>
      </c>
      <c r="F198" s="32">
        <v>0</v>
      </c>
      <c r="G198" s="32">
        <v>0</v>
      </c>
      <c r="H198" s="32">
        <v>0</v>
      </c>
      <c r="I198" s="32">
        <v>0</v>
      </c>
      <c r="J198" s="32">
        <v>0</v>
      </c>
      <c r="K198" s="32">
        <v>0</v>
      </c>
      <c r="L198" s="32">
        <v>0</v>
      </c>
      <c r="M198" s="32">
        <v>0</v>
      </c>
      <c r="N198" s="32">
        <v>0</v>
      </c>
      <c r="O198" s="32">
        <v>0</v>
      </c>
      <c r="P198" s="32">
        <v>0</v>
      </c>
      <c r="Q198" s="32">
        <v>0</v>
      </c>
      <c r="R198" s="32">
        <v>0</v>
      </c>
      <c r="S198" s="32">
        <v>0</v>
      </c>
      <c r="T198" s="32">
        <v>0</v>
      </c>
      <c r="U198" s="32">
        <v>0</v>
      </c>
      <c r="V198" s="32">
        <v>0</v>
      </c>
      <c r="W198" s="32">
        <v>0</v>
      </c>
      <c r="X198" s="32">
        <v>0</v>
      </c>
      <c r="Y198" s="32">
        <v>0</v>
      </c>
      <c r="Z198" s="32">
        <v>0</v>
      </c>
      <c r="AA198" s="32">
        <v>0</v>
      </c>
      <c r="AB198" s="32">
        <v>0</v>
      </c>
      <c r="AC198" s="32">
        <v>0</v>
      </c>
      <c r="AD198" s="32">
        <v>0</v>
      </c>
      <c r="AE198" s="32"/>
    </row>
    <row r="199" spans="1:31">
      <c r="A199" s="39">
        <v>75</v>
      </c>
      <c r="B199" s="24">
        <v>22707</v>
      </c>
      <c r="D199" s="24">
        <v>23823</v>
      </c>
      <c r="E199" s="24">
        <v>24935</v>
      </c>
      <c r="F199" s="24">
        <v>26049</v>
      </c>
      <c r="G199" s="24">
        <v>27162</v>
      </c>
      <c r="H199" s="24">
        <v>28273</v>
      </c>
      <c r="I199" s="24">
        <v>29079</v>
      </c>
      <c r="J199" s="24">
        <v>29884</v>
      </c>
      <c r="K199" s="24">
        <v>30691</v>
      </c>
      <c r="L199" s="24">
        <v>31493</v>
      </c>
      <c r="M199" s="24">
        <v>32295</v>
      </c>
      <c r="N199" s="24">
        <v>33706</v>
      </c>
      <c r="O199" s="24">
        <v>35115</v>
      </c>
      <c r="P199" s="24">
        <v>36518</v>
      </c>
      <c r="Q199" s="24">
        <v>37916</v>
      </c>
      <c r="R199" s="24">
        <v>39311</v>
      </c>
      <c r="S199" s="24">
        <v>41870</v>
      </c>
      <c r="T199" s="24">
        <v>44425</v>
      </c>
      <c r="U199" s="24">
        <v>46971</v>
      </c>
      <c r="V199" s="24">
        <v>49507</v>
      </c>
      <c r="W199" s="24">
        <v>52031</v>
      </c>
      <c r="X199" s="24">
        <v>55019</v>
      </c>
      <c r="Y199" s="24">
        <v>57997</v>
      </c>
      <c r="Z199" s="24">
        <v>60964</v>
      </c>
      <c r="AA199" s="24">
        <v>63913</v>
      </c>
      <c r="AB199" s="24">
        <v>66846</v>
      </c>
      <c r="AC199" s="24">
        <v>69387</v>
      </c>
      <c r="AD199" s="24">
        <v>71912</v>
      </c>
      <c r="AE199" s="24"/>
    </row>
    <row r="200" spans="1:31">
      <c r="A200" s="38">
        <v>76</v>
      </c>
      <c r="B200" s="24">
        <v>20251</v>
      </c>
      <c r="D200" s="24">
        <v>21441</v>
      </c>
      <c r="E200" s="24">
        <v>22632</v>
      </c>
      <c r="F200" s="24">
        <v>23822</v>
      </c>
      <c r="G200" s="24">
        <v>25012</v>
      </c>
      <c r="H200" s="24">
        <v>26201</v>
      </c>
      <c r="I200" s="24">
        <v>26997</v>
      </c>
      <c r="J200" s="24">
        <v>27792</v>
      </c>
      <c r="K200" s="24">
        <v>28586</v>
      </c>
      <c r="L200" s="24">
        <v>29378</v>
      </c>
      <c r="M200" s="24">
        <v>30170</v>
      </c>
      <c r="N200" s="24">
        <v>31313</v>
      </c>
      <c r="O200" s="24">
        <v>32453</v>
      </c>
      <c r="P200" s="24">
        <v>33589</v>
      </c>
      <c r="Q200" s="24">
        <v>34720</v>
      </c>
      <c r="R200" s="24">
        <v>35847</v>
      </c>
      <c r="S200" s="24">
        <v>38073</v>
      </c>
      <c r="T200" s="24">
        <v>40292</v>
      </c>
      <c r="U200" s="24">
        <v>42504</v>
      </c>
      <c r="V200" s="24">
        <v>44708</v>
      </c>
      <c r="W200" s="24">
        <v>46900</v>
      </c>
      <c r="X200" s="24">
        <v>49796</v>
      </c>
      <c r="Y200" s="24">
        <v>52682</v>
      </c>
      <c r="Z200" s="24">
        <v>55556</v>
      </c>
      <c r="AA200" s="24">
        <v>58419</v>
      </c>
      <c r="AB200" s="24">
        <v>61263</v>
      </c>
      <c r="AC200" s="24">
        <v>63940</v>
      </c>
      <c r="AD200" s="24">
        <v>66605</v>
      </c>
      <c r="AE200" s="24"/>
    </row>
    <row r="201" spans="1:31">
      <c r="A201" s="39">
        <v>77</v>
      </c>
      <c r="B201" s="24">
        <v>18123</v>
      </c>
      <c r="D201" s="24">
        <v>19362</v>
      </c>
      <c r="E201" s="24">
        <v>20601</v>
      </c>
      <c r="F201" s="24">
        <v>21840</v>
      </c>
      <c r="G201" s="24">
        <v>23079</v>
      </c>
      <c r="H201" s="24">
        <v>24317</v>
      </c>
      <c r="I201" s="24">
        <v>25106</v>
      </c>
      <c r="J201" s="24">
        <v>25895</v>
      </c>
      <c r="K201" s="24">
        <v>26682</v>
      </c>
      <c r="L201" s="24">
        <v>27467</v>
      </c>
      <c r="M201" s="24">
        <v>28252</v>
      </c>
      <c r="N201" s="24">
        <v>29179</v>
      </c>
      <c r="O201" s="24">
        <v>30103</v>
      </c>
      <c r="P201" s="24">
        <v>31023</v>
      </c>
      <c r="Q201" s="24">
        <v>31939</v>
      </c>
      <c r="R201" s="24">
        <v>32851</v>
      </c>
      <c r="S201" s="24">
        <v>34797</v>
      </c>
      <c r="T201" s="24">
        <v>36738</v>
      </c>
      <c r="U201" s="24">
        <v>38672</v>
      </c>
      <c r="V201" s="24">
        <v>40598</v>
      </c>
      <c r="W201" s="24">
        <v>42515</v>
      </c>
      <c r="X201" s="24">
        <v>45332</v>
      </c>
      <c r="Y201" s="24">
        <v>48142</v>
      </c>
      <c r="Z201" s="24">
        <v>50940</v>
      </c>
      <c r="AA201" s="24">
        <v>53728</v>
      </c>
      <c r="AB201" s="24">
        <v>56498</v>
      </c>
      <c r="AC201" s="24">
        <v>59212</v>
      </c>
      <c r="AD201" s="24">
        <v>61914</v>
      </c>
      <c r="AE201" s="24"/>
    </row>
    <row r="202" spans="1:31">
      <c r="A202" s="39">
        <v>78</v>
      </c>
      <c r="B202" s="24">
        <v>16371</v>
      </c>
      <c r="D202" s="24">
        <v>17621</v>
      </c>
      <c r="E202" s="24">
        <v>18872</v>
      </c>
      <c r="F202" s="24">
        <v>20121</v>
      </c>
      <c r="G202" s="24">
        <v>21371</v>
      </c>
      <c r="H202" s="24">
        <v>22621</v>
      </c>
      <c r="I202" s="24">
        <v>23405</v>
      </c>
      <c r="J202" s="24">
        <v>24189</v>
      </c>
      <c r="K202" s="24">
        <v>24971</v>
      </c>
      <c r="L202" s="24">
        <v>25752</v>
      </c>
      <c r="M202" s="24">
        <v>26532</v>
      </c>
      <c r="N202" s="24">
        <v>27307</v>
      </c>
      <c r="O202" s="24">
        <v>28079</v>
      </c>
      <c r="P202" s="24">
        <v>28848</v>
      </c>
      <c r="Q202" s="24">
        <v>29612</v>
      </c>
      <c r="R202" s="24">
        <v>30373</v>
      </c>
      <c r="S202" s="24">
        <v>32109</v>
      </c>
      <c r="T202" s="24">
        <v>33839</v>
      </c>
      <c r="U202" s="24">
        <v>35563</v>
      </c>
      <c r="V202" s="24">
        <v>37280</v>
      </c>
      <c r="W202" s="24">
        <v>38988</v>
      </c>
      <c r="X202" s="24">
        <v>41739</v>
      </c>
      <c r="Y202" s="24">
        <v>44482</v>
      </c>
      <c r="Z202" s="24">
        <v>47215</v>
      </c>
      <c r="AA202" s="24">
        <v>49938</v>
      </c>
      <c r="AB202" s="24">
        <v>52645</v>
      </c>
      <c r="AC202" s="24">
        <v>55290</v>
      </c>
      <c r="AD202" s="24">
        <v>57924</v>
      </c>
      <c r="AE202" s="24"/>
    </row>
    <row r="203" spans="1:31">
      <c r="A203" s="39">
        <v>79</v>
      </c>
      <c r="B203" s="24">
        <v>14970</v>
      </c>
      <c r="D203" s="24">
        <v>16189</v>
      </c>
      <c r="E203" s="24">
        <v>17408</v>
      </c>
      <c r="F203" s="24">
        <v>18626</v>
      </c>
      <c r="G203" s="24">
        <v>19845</v>
      </c>
      <c r="H203" s="24">
        <v>21063</v>
      </c>
      <c r="I203" s="24">
        <v>21856</v>
      </c>
      <c r="J203" s="24">
        <v>22648</v>
      </c>
      <c r="K203" s="24">
        <v>23439</v>
      </c>
      <c r="L203" s="24">
        <v>24229</v>
      </c>
      <c r="M203" s="24">
        <v>25017</v>
      </c>
      <c r="N203" s="24">
        <v>25716</v>
      </c>
      <c r="O203" s="24">
        <v>26412</v>
      </c>
      <c r="P203" s="24">
        <v>27105</v>
      </c>
      <c r="Q203" s="24">
        <v>27794</v>
      </c>
      <c r="R203" s="24">
        <v>28479</v>
      </c>
      <c r="S203" s="24">
        <v>30064</v>
      </c>
      <c r="T203" s="24">
        <v>31643</v>
      </c>
      <c r="U203" s="24">
        <v>33217</v>
      </c>
      <c r="V203" s="24">
        <v>34784</v>
      </c>
      <c r="W203" s="24">
        <v>36342</v>
      </c>
      <c r="X203" s="24">
        <v>39016</v>
      </c>
      <c r="Y203" s="24">
        <v>41683</v>
      </c>
      <c r="Z203" s="24">
        <v>44340</v>
      </c>
      <c r="AA203" s="24">
        <v>46988</v>
      </c>
      <c r="AB203" s="24">
        <v>49621</v>
      </c>
      <c r="AC203" s="24">
        <v>52144</v>
      </c>
      <c r="AD203" s="24">
        <v>54655</v>
      </c>
      <c r="AE203" s="24"/>
    </row>
    <row r="204" spans="1:31">
      <c r="A204" s="41" t="s">
        <v>86</v>
      </c>
      <c r="B204" s="24">
        <v>62085</v>
      </c>
      <c r="D204" s="24">
        <v>66057</v>
      </c>
      <c r="E204" s="24">
        <v>70028</v>
      </c>
      <c r="F204" s="24">
        <v>73997</v>
      </c>
      <c r="G204" s="24">
        <v>77967</v>
      </c>
      <c r="H204" s="24">
        <v>81927</v>
      </c>
      <c r="I204" s="24">
        <v>87671</v>
      </c>
      <c r="J204" s="24">
        <v>93414</v>
      </c>
      <c r="K204" s="24">
        <v>99153</v>
      </c>
      <c r="L204" s="24">
        <v>104885</v>
      </c>
      <c r="M204" s="24">
        <v>110608</v>
      </c>
      <c r="N204" s="24">
        <v>116383</v>
      </c>
      <c r="O204" s="24">
        <v>122146</v>
      </c>
      <c r="P204" s="24">
        <v>127895</v>
      </c>
      <c r="Q204" s="24">
        <v>133624</v>
      </c>
      <c r="R204" s="24">
        <v>139336</v>
      </c>
      <c r="S204" s="24">
        <v>145816</v>
      </c>
      <c r="T204" s="24">
        <v>152272</v>
      </c>
      <c r="U204" s="24">
        <v>158699</v>
      </c>
      <c r="V204" s="24">
        <v>165095</v>
      </c>
      <c r="W204" s="24">
        <v>171449</v>
      </c>
      <c r="X204" s="24">
        <v>181332</v>
      </c>
      <c r="Y204" s="24">
        <v>191181</v>
      </c>
      <c r="Z204" s="24">
        <v>200987</v>
      </c>
      <c r="AA204" s="24">
        <v>210748</v>
      </c>
      <c r="AB204" s="24">
        <v>220446</v>
      </c>
      <c r="AC204" s="24">
        <v>234814</v>
      </c>
      <c r="AD204" s="24">
        <v>249135</v>
      </c>
      <c r="AE204" s="24"/>
    </row>
    <row r="206" spans="1:31">
      <c r="A206" s="32" t="s">
        <v>89</v>
      </c>
      <c r="B206" s="32">
        <v>12080943</v>
      </c>
      <c r="D206" s="32">
        <v>12311377</v>
      </c>
      <c r="E206" s="32">
        <v>12541635</v>
      </c>
      <c r="F206" s="32">
        <v>12771551</v>
      </c>
      <c r="G206" s="32">
        <v>13001547</v>
      </c>
      <c r="H206" s="32">
        <v>13229691</v>
      </c>
      <c r="I206" s="32">
        <v>13460238</v>
      </c>
      <c r="J206" s="32">
        <v>13690447</v>
      </c>
      <c r="K206" s="32">
        <v>13920169</v>
      </c>
      <c r="L206" s="32">
        <v>14148781</v>
      </c>
      <c r="M206" s="32">
        <v>14377558</v>
      </c>
      <c r="N206" s="32">
        <v>14604334</v>
      </c>
      <c r="O206" s="32">
        <v>14829481</v>
      </c>
      <c r="P206" s="32">
        <v>15052819</v>
      </c>
      <c r="Q206" s="32">
        <v>15273855</v>
      </c>
      <c r="R206" s="32">
        <v>15493362</v>
      </c>
      <c r="S206" s="32">
        <v>15710146</v>
      </c>
      <c r="T206" s="32">
        <v>15924060</v>
      </c>
      <c r="U206" s="32">
        <v>16134909</v>
      </c>
      <c r="V206" s="32">
        <v>16342591</v>
      </c>
      <c r="W206" s="32">
        <v>16546658</v>
      </c>
      <c r="X206" s="32">
        <v>16748346</v>
      </c>
      <c r="Y206" s="32">
        <v>16946323</v>
      </c>
      <c r="Z206" s="32">
        <v>17140404</v>
      </c>
      <c r="AA206" s="32">
        <v>17330750</v>
      </c>
      <c r="AB206" s="32">
        <v>17516146</v>
      </c>
      <c r="AC206" s="32">
        <v>17699140</v>
      </c>
      <c r="AD206" s="32">
        <v>17877920</v>
      </c>
      <c r="AE206" s="32"/>
    </row>
    <row r="208" spans="1:31">
      <c r="A208" s="37" t="s">
        <v>70</v>
      </c>
      <c r="B208" s="32">
        <v>0</v>
      </c>
      <c r="D208" s="32">
        <v>0</v>
      </c>
      <c r="E208" s="32">
        <v>0</v>
      </c>
      <c r="F208" s="32">
        <v>0</v>
      </c>
      <c r="G208" s="32">
        <v>0</v>
      </c>
      <c r="H208" s="32">
        <v>0</v>
      </c>
      <c r="I208" s="32">
        <v>0</v>
      </c>
      <c r="J208" s="32">
        <v>0</v>
      </c>
      <c r="K208" s="32">
        <v>0</v>
      </c>
      <c r="L208" s="32">
        <v>0</v>
      </c>
      <c r="M208" s="32">
        <v>0</v>
      </c>
      <c r="N208" s="32">
        <v>0</v>
      </c>
      <c r="O208" s="32">
        <v>0</v>
      </c>
      <c r="P208" s="32">
        <v>0</v>
      </c>
      <c r="Q208" s="32">
        <v>0</v>
      </c>
      <c r="R208" s="32">
        <v>0</v>
      </c>
      <c r="S208" s="32">
        <v>0</v>
      </c>
      <c r="T208" s="32">
        <v>0</v>
      </c>
      <c r="U208" s="32">
        <v>0</v>
      </c>
      <c r="V208" s="32">
        <v>0</v>
      </c>
      <c r="W208" s="32">
        <v>0</v>
      </c>
      <c r="X208" s="32">
        <v>0</v>
      </c>
      <c r="Y208" s="32">
        <v>0</v>
      </c>
      <c r="Z208" s="32">
        <v>0</v>
      </c>
      <c r="AA208" s="32">
        <v>0</v>
      </c>
      <c r="AB208" s="32">
        <v>0</v>
      </c>
      <c r="AC208" s="32">
        <v>0</v>
      </c>
      <c r="AD208" s="32">
        <v>0</v>
      </c>
      <c r="AE208" s="32"/>
    </row>
    <row r="209" spans="1:31">
      <c r="A209" s="38">
        <v>0</v>
      </c>
      <c r="B209" s="24">
        <v>270471</v>
      </c>
      <c r="D209" s="24">
        <v>273691</v>
      </c>
      <c r="E209" s="24">
        <v>276910</v>
      </c>
      <c r="F209" s="24">
        <v>280118</v>
      </c>
      <c r="G209" s="24">
        <v>283328</v>
      </c>
      <c r="H209" s="24">
        <v>286500</v>
      </c>
      <c r="I209" s="24">
        <v>286867</v>
      </c>
      <c r="J209" s="24">
        <v>287226</v>
      </c>
      <c r="K209" s="24">
        <v>287575</v>
      </c>
      <c r="L209" s="24">
        <v>287902</v>
      </c>
      <c r="M209" s="24">
        <v>288232</v>
      </c>
      <c r="N209" s="24">
        <v>287463</v>
      </c>
      <c r="O209" s="24">
        <v>286663</v>
      </c>
      <c r="P209" s="24">
        <v>285825</v>
      </c>
      <c r="Q209" s="24">
        <v>284944</v>
      </c>
      <c r="R209" s="24">
        <v>284034</v>
      </c>
      <c r="S209" s="24">
        <v>283049</v>
      </c>
      <c r="T209" s="24">
        <v>282009</v>
      </c>
      <c r="U209" s="24">
        <v>280912</v>
      </c>
      <c r="V209" s="24">
        <v>279761</v>
      </c>
      <c r="W209" s="24">
        <v>278553</v>
      </c>
      <c r="X209" s="24">
        <v>277697</v>
      </c>
      <c r="Y209" s="24">
        <v>276776</v>
      </c>
      <c r="Z209" s="24">
        <v>275792</v>
      </c>
      <c r="AA209" s="24">
        <v>274749</v>
      </c>
      <c r="AB209" s="24">
        <v>273628</v>
      </c>
      <c r="AC209" s="24">
        <v>272681</v>
      </c>
      <c r="AD209" s="24">
        <v>271668</v>
      </c>
      <c r="AE209" s="24"/>
    </row>
    <row r="210" spans="1:31">
      <c r="A210" s="38">
        <v>1</v>
      </c>
      <c r="B210" s="24">
        <v>271457</v>
      </c>
      <c r="D210" s="24">
        <v>273361</v>
      </c>
      <c r="E210" s="24">
        <v>275263</v>
      </c>
      <c r="F210" s="24">
        <v>277156</v>
      </c>
      <c r="G210" s="24">
        <v>279051</v>
      </c>
      <c r="H210" s="24">
        <v>280907</v>
      </c>
      <c r="I210" s="24">
        <v>281958</v>
      </c>
      <c r="J210" s="24">
        <v>283002</v>
      </c>
      <c r="K210" s="24">
        <v>284037</v>
      </c>
      <c r="L210" s="24">
        <v>285048</v>
      </c>
      <c r="M210" s="24">
        <v>286064</v>
      </c>
      <c r="N210" s="24">
        <v>285935</v>
      </c>
      <c r="O210" s="24">
        <v>285773</v>
      </c>
      <c r="P210" s="24">
        <v>285576</v>
      </c>
      <c r="Q210" s="24">
        <v>285334</v>
      </c>
      <c r="R210" s="24">
        <v>285066</v>
      </c>
      <c r="S210" s="24">
        <v>284207</v>
      </c>
      <c r="T210" s="24">
        <v>283293</v>
      </c>
      <c r="U210" s="24">
        <v>282323</v>
      </c>
      <c r="V210" s="24">
        <v>281299</v>
      </c>
      <c r="W210" s="24">
        <v>280214</v>
      </c>
      <c r="X210" s="24">
        <v>279202</v>
      </c>
      <c r="Y210" s="24">
        <v>278124</v>
      </c>
      <c r="Z210" s="24">
        <v>276980</v>
      </c>
      <c r="AA210" s="24">
        <v>275778</v>
      </c>
      <c r="AB210" s="24">
        <v>274500</v>
      </c>
      <c r="AC210" s="24">
        <v>273469</v>
      </c>
      <c r="AD210" s="24">
        <v>272371</v>
      </c>
      <c r="AE210" s="24"/>
    </row>
    <row r="211" spans="1:31">
      <c r="A211" s="38">
        <v>2</v>
      </c>
      <c r="B211" s="24">
        <v>271287</v>
      </c>
      <c r="D211" s="24">
        <v>272390</v>
      </c>
      <c r="E211" s="24">
        <v>273489</v>
      </c>
      <c r="F211" s="24">
        <v>274581</v>
      </c>
      <c r="G211" s="24">
        <v>275673</v>
      </c>
      <c r="H211" s="24">
        <v>276727</v>
      </c>
      <c r="I211" s="24">
        <v>278236</v>
      </c>
      <c r="J211" s="24">
        <v>279738</v>
      </c>
      <c r="K211" s="24">
        <v>281229</v>
      </c>
      <c r="L211" s="24">
        <v>282698</v>
      </c>
      <c r="M211" s="24">
        <v>284172</v>
      </c>
      <c r="N211" s="24">
        <v>284526</v>
      </c>
      <c r="O211" s="24">
        <v>284848</v>
      </c>
      <c r="P211" s="24">
        <v>285133</v>
      </c>
      <c r="Q211" s="24">
        <v>285377</v>
      </c>
      <c r="R211" s="24">
        <v>285592</v>
      </c>
      <c r="S211" s="24">
        <v>284875</v>
      </c>
      <c r="T211" s="24">
        <v>284104</v>
      </c>
      <c r="U211" s="24">
        <v>283277</v>
      </c>
      <c r="V211" s="24">
        <v>282396</v>
      </c>
      <c r="W211" s="24">
        <v>281455</v>
      </c>
      <c r="X211" s="24">
        <v>280366</v>
      </c>
      <c r="Y211" s="24">
        <v>279212</v>
      </c>
      <c r="Z211" s="24">
        <v>277993</v>
      </c>
      <c r="AA211" s="24">
        <v>276714</v>
      </c>
      <c r="AB211" s="24">
        <v>275360</v>
      </c>
      <c r="AC211" s="24">
        <v>274284</v>
      </c>
      <c r="AD211" s="24">
        <v>273141</v>
      </c>
      <c r="AE211" s="24"/>
    </row>
    <row r="212" spans="1:31">
      <c r="A212" s="38">
        <v>3</v>
      </c>
      <c r="B212" s="24">
        <v>270324</v>
      </c>
      <c r="D212" s="24">
        <v>271019</v>
      </c>
      <c r="E212" s="24">
        <v>271709</v>
      </c>
      <c r="F212" s="24">
        <v>272390</v>
      </c>
      <c r="G212" s="24">
        <v>273075</v>
      </c>
      <c r="H212" s="24">
        <v>273720</v>
      </c>
      <c r="I212" s="24">
        <v>275492</v>
      </c>
      <c r="J212" s="24">
        <v>277257</v>
      </c>
      <c r="K212" s="24">
        <v>279011</v>
      </c>
      <c r="L212" s="24">
        <v>280744</v>
      </c>
      <c r="M212" s="24">
        <v>282482</v>
      </c>
      <c r="N212" s="24">
        <v>283191</v>
      </c>
      <c r="O212" s="24">
        <v>283866</v>
      </c>
      <c r="P212" s="24">
        <v>284506</v>
      </c>
      <c r="Q212" s="24">
        <v>285104</v>
      </c>
      <c r="R212" s="24">
        <v>285672</v>
      </c>
      <c r="S212" s="24">
        <v>285118</v>
      </c>
      <c r="T212" s="24">
        <v>284507</v>
      </c>
      <c r="U212" s="24">
        <v>283842</v>
      </c>
      <c r="V212" s="24">
        <v>283122</v>
      </c>
      <c r="W212" s="24">
        <v>282341</v>
      </c>
      <c r="X212" s="24">
        <v>281246</v>
      </c>
      <c r="Y212" s="24">
        <v>280087</v>
      </c>
      <c r="Z212" s="24">
        <v>278862</v>
      </c>
      <c r="AA212" s="24">
        <v>277577</v>
      </c>
      <c r="AB212" s="24">
        <v>276217</v>
      </c>
      <c r="AC212" s="24">
        <v>275127</v>
      </c>
      <c r="AD212" s="24">
        <v>273969</v>
      </c>
      <c r="AE212" s="24"/>
    </row>
    <row r="213" spans="1:31">
      <c r="A213" s="38">
        <v>4</v>
      </c>
      <c r="B213" s="24">
        <v>268930</v>
      </c>
      <c r="D213" s="24">
        <v>269486</v>
      </c>
      <c r="E213" s="24">
        <v>270040</v>
      </c>
      <c r="F213" s="24">
        <v>270585</v>
      </c>
      <c r="G213" s="24">
        <v>271131</v>
      </c>
      <c r="H213" s="24">
        <v>271640</v>
      </c>
      <c r="I213" s="24">
        <v>273514</v>
      </c>
      <c r="J213" s="24">
        <v>275383</v>
      </c>
      <c r="K213" s="24">
        <v>277242</v>
      </c>
      <c r="L213" s="24">
        <v>279077</v>
      </c>
      <c r="M213" s="24">
        <v>280920</v>
      </c>
      <c r="N213" s="24">
        <v>281881</v>
      </c>
      <c r="O213" s="24">
        <v>282809</v>
      </c>
      <c r="P213" s="24">
        <v>283703</v>
      </c>
      <c r="Q213" s="24">
        <v>284553</v>
      </c>
      <c r="R213" s="24">
        <v>285375</v>
      </c>
      <c r="S213" s="24">
        <v>285000</v>
      </c>
      <c r="T213" s="24">
        <v>284569</v>
      </c>
      <c r="U213" s="24">
        <v>284083</v>
      </c>
      <c r="V213" s="24">
        <v>283543</v>
      </c>
      <c r="W213" s="24">
        <v>282939</v>
      </c>
      <c r="X213" s="24">
        <v>281898</v>
      </c>
      <c r="Y213" s="24">
        <v>280792</v>
      </c>
      <c r="Z213" s="24">
        <v>279619</v>
      </c>
      <c r="AA213" s="24">
        <v>278386</v>
      </c>
      <c r="AB213" s="24">
        <v>277076</v>
      </c>
      <c r="AC213" s="24">
        <v>276000</v>
      </c>
      <c r="AD213" s="24">
        <v>274851</v>
      </c>
      <c r="AE213" s="24"/>
    </row>
    <row r="214" spans="1:31">
      <c r="A214" s="37" t="s">
        <v>71</v>
      </c>
      <c r="B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row>
    <row r="215" spans="1:31">
      <c r="A215" s="38">
        <v>5</v>
      </c>
      <c r="B215" s="24">
        <v>267485</v>
      </c>
      <c r="D215" s="24">
        <v>268050</v>
      </c>
      <c r="E215" s="24">
        <v>268612</v>
      </c>
      <c r="F215" s="24">
        <v>269165</v>
      </c>
      <c r="G215" s="24">
        <v>269719</v>
      </c>
      <c r="H215" s="24">
        <v>270236</v>
      </c>
      <c r="I215" s="24">
        <v>272088</v>
      </c>
      <c r="J215" s="24">
        <v>273934</v>
      </c>
      <c r="K215" s="24">
        <v>275770</v>
      </c>
      <c r="L215" s="24">
        <v>277583</v>
      </c>
      <c r="M215" s="24">
        <v>279403</v>
      </c>
      <c r="N215" s="24">
        <v>280545</v>
      </c>
      <c r="O215" s="24">
        <v>281655</v>
      </c>
      <c r="P215" s="24">
        <v>282729</v>
      </c>
      <c r="Q215" s="24">
        <v>283761</v>
      </c>
      <c r="R215" s="24">
        <v>284766</v>
      </c>
      <c r="S215" s="24">
        <v>284589</v>
      </c>
      <c r="T215" s="24">
        <v>284358</v>
      </c>
      <c r="U215" s="24">
        <v>284071</v>
      </c>
      <c r="V215" s="24">
        <v>283730</v>
      </c>
      <c r="W215" s="24">
        <v>283325</v>
      </c>
      <c r="X215" s="24">
        <v>282380</v>
      </c>
      <c r="Y215" s="24">
        <v>281372</v>
      </c>
      <c r="Z215" s="24">
        <v>280297</v>
      </c>
      <c r="AA215" s="24">
        <v>279162</v>
      </c>
      <c r="AB215" s="24">
        <v>277950</v>
      </c>
      <c r="AC215" s="24">
        <v>276897</v>
      </c>
      <c r="AD215" s="24">
        <v>275775</v>
      </c>
      <c r="AE215" s="24"/>
    </row>
    <row r="216" spans="1:31">
      <c r="A216" s="38">
        <v>6</v>
      </c>
      <c r="B216" s="24">
        <v>266352</v>
      </c>
      <c r="D216" s="24">
        <v>266949</v>
      </c>
      <c r="E216" s="24">
        <v>267542</v>
      </c>
      <c r="F216" s="24">
        <v>268127</v>
      </c>
      <c r="G216" s="24">
        <v>268715</v>
      </c>
      <c r="H216" s="24">
        <v>269263</v>
      </c>
      <c r="I216" s="24">
        <v>271001</v>
      </c>
      <c r="J216" s="24">
        <v>272731</v>
      </c>
      <c r="K216" s="24">
        <v>274453</v>
      </c>
      <c r="L216" s="24">
        <v>276152</v>
      </c>
      <c r="M216" s="24">
        <v>277858</v>
      </c>
      <c r="N216" s="24">
        <v>279137</v>
      </c>
      <c r="O216" s="24">
        <v>280384</v>
      </c>
      <c r="P216" s="24">
        <v>281596</v>
      </c>
      <c r="Q216" s="24">
        <v>282766</v>
      </c>
      <c r="R216" s="24">
        <v>283909</v>
      </c>
      <c r="S216" s="24">
        <v>283951</v>
      </c>
      <c r="T216" s="24">
        <v>283938</v>
      </c>
      <c r="U216" s="24">
        <v>283870</v>
      </c>
      <c r="V216" s="24">
        <v>283748</v>
      </c>
      <c r="W216" s="24">
        <v>283563</v>
      </c>
      <c r="X216" s="24">
        <v>282750</v>
      </c>
      <c r="Y216" s="24">
        <v>281873</v>
      </c>
      <c r="Z216" s="24">
        <v>280928</v>
      </c>
      <c r="AA216" s="24">
        <v>279924</v>
      </c>
      <c r="AB216" s="24">
        <v>278844</v>
      </c>
      <c r="AC216" s="24">
        <v>277825</v>
      </c>
      <c r="AD216" s="24">
        <v>276738</v>
      </c>
      <c r="AE216" s="24"/>
    </row>
    <row r="217" spans="1:31">
      <c r="A217" s="38">
        <v>7</v>
      </c>
      <c r="B217" s="24">
        <v>265825</v>
      </c>
      <c r="D217" s="24">
        <v>266377</v>
      </c>
      <c r="E217" s="24">
        <v>266922</v>
      </c>
      <c r="F217" s="24">
        <v>267461</v>
      </c>
      <c r="G217" s="24">
        <v>268002</v>
      </c>
      <c r="H217" s="24">
        <v>268503</v>
      </c>
      <c r="I217" s="24">
        <v>270066</v>
      </c>
      <c r="J217" s="24">
        <v>271622</v>
      </c>
      <c r="K217" s="24">
        <v>273167</v>
      </c>
      <c r="L217" s="24">
        <v>274692</v>
      </c>
      <c r="M217" s="24">
        <v>276222</v>
      </c>
      <c r="N217" s="24">
        <v>277619</v>
      </c>
      <c r="O217" s="24">
        <v>278983</v>
      </c>
      <c r="P217" s="24">
        <v>280313</v>
      </c>
      <c r="Q217" s="24">
        <v>281601</v>
      </c>
      <c r="R217" s="24">
        <v>282862</v>
      </c>
      <c r="S217" s="24">
        <v>283143</v>
      </c>
      <c r="T217" s="24">
        <v>283369</v>
      </c>
      <c r="U217" s="24">
        <v>283540</v>
      </c>
      <c r="V217" s="24">
        <v>283658</v>
      </c>
      <c r="W217" s="24">
        <v>283712</v>
      </c>
      <c r="X217" s="24">
        <v>283052</v>
      </c>
      <c r="Y217" s="24">
        <v>282329</v>
      </c>
      <c r="Z217" s="24">
        <v>281537</v>
      </c>
      <c r="AA217" s="24">
        <v>280687</v>
      </c>
      <c r="AB217" s="24">
        <v>279758</v>
      </c>
      <c r="AC217" s="24">
        <v>278779</v>
      </c>
      <c r="AD217" s="24">
        <v>277729</v>
      </c>
      <c r="AE217" s="24"/>
    </row>
    <row r="218" spans="1:31">
      <c r="A218" s="38">
        <v>8</v>
      </c>
      <c r="B218" s="24">
        <v>266092</v>
      </c>
      <c r="D218" s="24">
        <v>266444</v>
      </c>
      <c r="E218" s="24">
        <v>266791</v>
      </c>
      <c r="F218" s="24">
        <v>267132</v>
      </c>
      <c r="G218" s="24">
        <v>267473</v>
      </c>
      <c r="H218" s="24">
        <v>267776</v>
      </c>
      <c r="I218" s="24">
        <v>269132</v>
      </c>
      <c r="J218" s="24">
        <v>270479</v>
      </c>
      <c r="K218" s="24">
        <v>271817</v>
      </c>
      <c r="L218" s="24">
        <v>273133</v>
      </c>
      <c r="M218" s="24">
        <v>274456</v>
      </c>
      <c r="N218" s="24">
        <v>275969</v>
      </c>
      <c r="O218" s="24">
        <v>277450</v>
      </c>
      <c r="P218" s="24">
        <v>278897</v>
      </c>
      <c r="Q218" s="24">
        <v>280302</v>
      </c>
      <c r="R218" s="24">
        <v>281680</v>
      </c>
      <c r="S218" s="24">
        <v>282216</v>
      </c>
      <c r="T218" s="24">
        <v>282699</v>
      </c>
      <c r="U218" s="24">
        <v>283127</v>
      </c>
      <c r="V218" s="24">
        <v>283501</v>
      </c>
      <c r="W218" s="24">
        <v>283813</v>
      </c>
      <c r="X218" s="24">
        <v>283319</v>
      </c>
      <c r="Y218" s="24">
        <v>282762</v>
      </c>
      <c r="Z218" s="24">
        <v>282138</v>
      </c>
      <c r="AA218" s="24">
        <v>281453</v>
      </c>
      <c r="AB218" s="24">
        <v>280691</v>
      </c>
      <c r="AC218" s="24">
        <v>279749</v>
      </c>
      <c r="AD218" s="24">
        <v>278736</v>
      </c>
      <c r="AE218" s="24"/>
    </row>
    <row r="219" spans="1:31">
      <c r="A219" s="38">
        <v>9</v>
      </c>
      <c r="B219" s="24">
        <v>267007</v>
      </c>
      <c r="D219" s="24">
        <v>267024</v>
      </c>
      <c r="E219" s="24">
        <v>267037</v>
      </c>
      <c r="F219" s="24">
        <v>267043</v>
      </c>
      <c r="G219" s="24">
        <v>267050</v>
      </c>
      <c r="H219" s="24">
        <v>267019</v>
      </c>
      <c r="I219" s="24">
        <v>268153</v>
      </c>
      <c r="J219" s="24">
        <v>269279</v>
      </c>
      <c r="K219" s="24">
        <v>270396</v>
      </c>
      <c r="L219" s="24">
        <v>271492</v>
      </c>
      <c r="M219" s="24">
        <v>272592</v>
      </c>
      <c r="N219" s="24">
        <v>274220</v>
      </c>
      <c r="O219" s="24">
        <v>275816</v>
      </c>
      <c r="P219" s="24">
        <v>277379</v>
      </c>
      <c r="Q219" s="24">
        <v>278899</v>
      </c>
      <c r="R219" s="24">
        <v>280392</v>
      </c>
      <c r="S219" s="24">
        <v>281194</v>
      </c>
      <c r="T219" s="24">
        <v>281944</v>
      </c>
      <c r="U219" s="24">
        <v>282638</v>
      </c>
      <c r="V219" s="24">
        <v>283278</v>
      </c>
      <c r="W219" s="24">
        <v>283855</v>
      </c>
      <c r="X219" s="24">
        <v>283538</v>
      </c>
      <c r="Y219" s="24">
        <v>283155</v>
      </c>
      <c r="Z219" s="24">
        <v>282708</v>
      </c>
      <c r="AA219" s="24">
        <v>282199</v>
      </c>
      <c r="AB219" s="24">
        <v>281611</v>
      </c>
      <c r="AC219" s="24">
        <v>280706</v>
      </c>
      <c r="AD219" s="24">
        <v>279733</v>
      </c>
      <c r="AE219" s="24"/>
    </row>
    <row r="220" spans="1:31">
      <c r="A220" s="37" t="s">
        <v>72</v>
      </c>
      <c r="B220" s="32">
        <v>0</v>
      </c>
      <c r="D220" s="32">
        <v>0</v>
      </c>
      <c r="E220" s="32">
        <v>0</v>
      </c>
      <c r="F220" s="32">
        <v>0</v>
      </c>
      <c r="G220" s="32">
        <v>0</v>
      </c>
      <c r="H220" s="32">
        <v>0</v>
      </c>
      <c r="I220" s="32">
        <v>0</v>
      </c>
      <c r="J220" s="32">
        <v>0</v>
      </c>
      <c r="K220" s="32">
        <v>0</v>
      </c>
      <c r="L220" s="32">
        <v>0</v>
      </c>
      <c r="M220" s="32">
        <v>0</v>
      </c>
      <c r="N220" s="32">
        <v>0</v>
      </c>
      <c r="O220" s="32">
        <v>0</v>
      </c>
      <c r="P220" s="32">
        <v>0</v>
      </c>
      <c r="Q220" s="32">
        <v>0</v>
      </c>
      <c r="R220" s="32">
        <v>0</v>
      </c>
      <c r="S220" s="32">
        <v>0</v>
      </c>
      <c r="T220" s="32">
        <v>0</v>
      </c>
      <c r="U220" s="32">
        <v>0</v>
      </c>
      <c r="V220" s="32">
        <v>0</v>
      </c>
      <c r="W220" s="32">
        <v>0</v>
      </c>
      <c r="X220" s="32">
        <v>0</v>
      </c>
      <c r="Y220" s="32">
        <v>0</v>
      </c>
      <c r="Z220" s="32">
        <v>0</v>
      </c>
      <c r="AA220" s="32">
        <v>0</v>
      </c>
      <c r="AB220" s="32">
        <v>0</v>
      </c>
      <c r="AC220" s="32">
        <v>0</v>
      </c>
      <c r="AD220" s="32">
        <v>0</v>
      </c>
      <c r="AE220" s="32"/>
    </row>
    <row r="221" spans="1:31">
      <c r="A221" s="38">
        <v>10</v>
      </c>
      <c r="B221" s="24">
        <v>268081</v>
      </c>
      <c r="D221" s="24">
        <v>267739</v>
      </c>
      <c r="E221" s="24">
        <v>267391</v>
      </c>
      <c r="F221" s="24">
        <v>267039</v>
      </c>
      <c r="G221" s="24">
        <v>266687</v>
      </c>
      <c r="H221" s="24">
        <v>266297</v>
      </c>
      <c r="I221" s="24">
        <v>267204</v>
      </c>
      <c r="J221" s="24">
        <v>268103</v>
      </c>
      <c r="K221" s="24">
        <v>268992</v>
      </c>
      <c r="L221" s="24">
        <v>269860</v>
      </c>
      <c r="M221" s="24">
        <v>270732</v>
      </c>
      <c r="N221" s="24">
        <v>272456</v>
      </c>
      <c r="O221" s="24">
        <v>274146</v>
      </c>
      <c r="P221" s="24">
        <v>275803</v>
      </c>
      <c r="Q221" s="24">
        <v>277419</v>
      </c>
      <c r="R221" s="24">
        <v>279006</v>
      </c>
      <c r="S221" s="24">
        <v>280068</v>
      </c>
      <c r="T221" s="24">
        <v>281081</v>
      </c>
      <c r="U221" s="24">
        <v>282035</v>
      </c>
      <c r="V221" s="24">
        <v>282938</v>
      </c>
      <c r="W221" s="24">
        <v>283777</v>
      </c>
      <c r="X221" s="24">
        <v>283646</v>
      </c>
      <c r="Y221" s="24">
        <v>283449</v>
      </c>
      <c r="Z221" s="24">
        <v>283187</v>
      </c>
      <c r="AA221" s="24">
        <v>282863</v>
      </c>
      <c r="AB221" s="24">
        <v>282461</v>
      </c>
      <c r="AC221" s="24">
        <v>281605</v>
      </c>
      <c r="AD221" s="24">
        <v>280680</v>
      </c>
      <c r="AE221" s="24"/>
    </row>
    <row r="222" spans="1:31">
      <c r="A222" s="38">
        <v>11</v>
      </c>
      <c r="B222" s="24">
        <v>268513</v>
      </c>
      <c r="D222" s="24">
        <v>267983</v>
      </c>
      <c r="E222" s="24">
        <v>267448</v>
      </c>
      <c r="F222" s="24">
        <v>266904</v>
      </c>
      <c r="G222" s="24">
        <v>266363</v>
      </c>
      <c r="H222" s="24">
        <v>265783</v>
      </c>
      <c r="I222" s="24">
        <v>266456</v>
      </c>
      <c r="J222" s="24">
        <v>267122</v>
      </c>
      <c r="K222" s="24">
        <v>267777</v>
      </c>
      <c r="L222" s="24">
        <v>268412</v>
      </c>
      <c r="M222" s="24">
        <v>269051</v>
      </c>
      <c r="N222" s="24">
        <v>270810</v>
      </c>
      <c r="O222" s="24">
        <v>272538</v>
      </c>
      <c r="P222" s="24">
        <v>274231</v>
      </c>
      <c r="Q222" s="24">
        <v>275884</v>
      </c>
      <c r="R222" s="24">
        <v>277507</v>
      </c>
      <c r="S222" s="24">
        <v>278809</v>
      </c>
      <c r="T222" s="24">
        <v>280057</v>
      </c>
      <c r="U222" s="24">
        <v>281251</v>
      </c>
      <c r="V222" s="24">
        <v>282390</v>
      </c>
      <c r="W222" s="24">
        <v>283468</v>
      </c>
      <c r="X222" s="24">
        <v>283539</v>
      </c>
      <c r="Y222" s="24">
        <v>283548</v>
      </c>
      <c r="Z222" s="24">
        <v>283485</v>
      </c>
      <c r="AA222" s="24">
        <v>283365</v>
      </c>
      <c r="AB222" s="24">
        <v>283166</v>
      </c>
      <c r="AC222" s="24">
        <v>282380</v>
      </c>
      <c r="AD222" s="24">
        <v>281525</v>
      </c>
      <c r="AE222" s="24"/>
    </row>
    <row r="223" spans="1:31">
      <c r="A223" s="38">
        <v>12</v>
      </c>
      <c r="B223" s="24">
        <v>267375</v>
      </c>
      <c r="D223" s="24">
        <v>267055</v>
      </c>
      <c r="E223" s="24">
        <v>266732</v>
      </c>
      <c r="F223" s="24">
        <v>266400</v>
      </c>
      <c r="G223" s="24">
        <v>266070</v>
      </c>
      <c r="H223" s="24">
        <v>265702</v>
      </c>
      <c r="I223" s="24">
        <v>266130</v>
      </c>
      <c r="J223" s="24">
        <v>266549</v>
      </c>
      <c r="K223" s="24">
        <v>266960</v>
      </c>
      <c r="L223" s="24">
        <v>267349</v>
      </c>
      <c r="M223" s="24">
        <v>267741</v>
      </c>
      <c r="N223" s="24">
        <v>269434</v>
      </c>
      <c r="O223" s="24">
        <v>271098</v>
      </c>
      <c r="P223" s="24">
        <v>272728</v>
      </c>
      <c r="Q223" s="24">
        <v>274316</v>
      </c>
      <c r="R223" s="24">
        <v>275875</v>
      </c>
      <c r="S223" s="24">
        <v>277368</v>
      </c>
      <c r="T223" s="24">
        <v>278808</v>
      </c>
      <c r="U223" s="24">
        <v>280195</v>
      </c>
      <c r="V223" s="24">
        <v>281526</v>
      </c>
      <c r="W223" s="24">
        <v>282797</v>
      </c>
      <c r="X223" s="24">
        <v>283097</v>
      </c>
      <c r="Y223" s="24">
        <v>283331</v>
      </c>
      <c r="Z223" s="24">
        <v>283499</v>
      </c>
      <c r="AA223" s="24">
        <v>283605</v>
      </c>
      <c r="AB223" s="24">
        <v>283635</v>
      </c>
      <c r="AC223" s="24">
        <v>282959</v>
      </c>
      <c r="AD223" s="24">
        <v>282214</v>
      </c>
      <c r="AE223" s="24"/>
    </row>
    <row r="224" spans="1:31">
      <c r="A224" s="38">
        <v>13</v>
      </c>
      <c r="B224" s="24">
        <v>264107</v>
      </c>
      <c r="D224" s="24">
        <v>264528</v>
      </c>
      <c r="E224" s="24">
        <v>264946</v>
      </c>
      <c r="F224" s="24">
        <v>265356</v>
      </c>
      <c r="G224" s="24">
        <v>265768</v>
      </c>
      <c r="H224" s="24">
        <v>266142</v>
      </c>
      <c r="I224" s="24">
        <v>266318</v>
      </c>
      <c r="J224" s="24">
        <v>266486</v>
      </c>
      <c r="K224" s="24">
        <v>266645</v>
      </c>
      <c r="L224" s="24">
        <v>266783</v>
      </c>
      <c r="M224" s="24">
        <v>266923</v>
      </c>
      <c r="N224" s="24">
        <v>268427</v>
      </c>
      <c r="O224" s="24">
        <v>269901</v>
      </c>
      <c r="P224" s="24">
        <v>271342</v>
      </c>
      <c r="Q224" s="24">
        <v>272741</v>
      </c>
      <c r="R224" s="24">
        <v>274112</v>
      </c>
      <c r="S224" s="24">
        <v>275735</v>
      </c>
      <c r="T224" s="24">
        <v>277307</v>
      </c>
      <c r="U224" s="24">
        <v>278826</v>
      </c>
      <c r="V224" s="24">
        <v>280289</v>
      </c>
      <c r="W224" s="24">
        <v>281693</v>
      </c>
      <c r="X224" s="24">
        <v>282247</v>
      </c>
      <c r="Y224" s="24">
        <v>282737</v>
      </c>
      <c r="Z224" s="24">
        <v>283161</v>
      </c>
      <c r="AA224" s="24">
        <v>283524</v>
      </c>
      <c r="AB224" s="24">
        <v>283809</v>
      </c>
      <c r="AC224" s="24">
        <v>283292</v>
      </c>
      <c r="AD224" s="24">
        <v>282705</v>
      </c>
      <c r="AE224" s="24"/>
    </row>
    <row r="225" spans="1:31">
      <c r="A225" s="38">
        <v>14</v>
      </c>
      <c r="B225" s="24">
        <v>259246</v>
      </c>
      <c r="D225" s="24">
        <v>260771</v>
      </c>
      <c r="E225" s="24">
        <v>262291</v>
      </c>
      <c r="F225" s="24">
        <v>263804</v>
      </c>
      <c r="G225" s="24">
        <v>265318</v>
      </c>
      <c r="H225" s="24">
        <v>266797</v>
      </c>
      <c r="I225" s="24">
        <v>266752</v>
      </c>
      <c r="J225" s="24">
        <v>266703</v>
      </c>
      <c r="K225" s="24">
        <v>266643</v>
      </c>
      <c r="L225" s="24">
        <v>266562</v>
      </c>
      <c r="M225" s="24">
        <v>266484</v>
      </c>
      <c r="N225" s="24">
        <v>267712</v>
      </c>
      <c r="O225" s="24">
        <v>268909</v>
      </c>
      <c r="P225" s="24">
        <v>270074</v>
      </c>
      <c r="Q225" s="24">
        <v>271196</v>
      </c>
      <c r="R225" s="24">
        <v>272292</v>
      </c>
      <c r="S225" s="24">
        <v>273990</v>
      </c>
      <c r="T225" s="24">
        <v>275636</v>
      </c>
      <c r="U225" s="24">
        <v>277230</v>
      </c>
      <c r="V225" s="24">
        <v>278769</v>
      </c>
      <c r="W225" s="24">
        <v>280248</v>
      </c>
      <c r="X225" s="24">
        <v>281071</v>
      </c>
      <c r="Y225" s="24">
        <v>281829</v>
      </c>
      <c r="Z225" s="24">
        <v>282523</v>
      </c>
      <c r="AA225" s="24">
        <v>283154</v>
      </c>
      <c r="AB225" s="24">
        <v>283708</v>
      </c>
      <c r="AC225" s="24">
        <v>283388</v>
      </c>
      <c r="AD225" s="24">
        <v>282996</v>
      </c>
      <c r="AE225" s="24"/>
    </row>
    <row r="226" spans="1:31">
      <c r="A226" s="37" t="s">
        <v>73</v>
      </c>
      <c r="B226" s="32">
        <v>0</v>
      </c>
      <c r="D226" s="32">
        <v>0</v>
      </c>
      <c r="E226" s="32">
        <v>0</v>
      </c>
      <c r="F226" s="32">
        <v>0</v>
      </c>
      <c r="G226" s="32">
        <v>0</v>
      </c>
      <c r="H226" s="32">
        <v>0</v>
      </c>
      <c r="I226" s="32">
        <v>0</v>
      </c>
      <c r="J226" s="32">
        <v>0</v>
      </c>
      <c r="K226" s="32">
        <v>0</v>
      </c>
      <c r="L226" s="32">
        <v>0</v>
      </c>
      <c r="M226" s="32">
        <v>0</v>
      </c>
      <c r="N226" s="32">
        <v>0</v>
      </c>
      <c r="O226" s="32">
        <v>0</v>
      </c>
      <c r="P226" s="32">
        <v>0</v>
      </c>
      <c r="Q226" s="32">
        <v>0</v>
      </c>
      <c r="R226" s="32">
        <v>0</v>
      </c>
      <c r="S226" s="32">
        <v>0</v>
      </c>
      <c r="T226" s="32">
        <v>0</v>
      </c>
      <c r="U226" s="32">
        <v>0</v>
      </c>
      <c r="V226" s="32">
        <v>0</v>
      </c>
      <c r="W226" s="32">
        <v>0</v>
      </c>
      <c r="X226" s="32">
        <v>0</v>
      </c>
      <c r="Y226" s="32">
        <v>0</v>
      </c>
      <c r="Z226" s="32">
        <v>0</v>
      </c>
      <c r="AA226" s="32">
        <v>0</v>
      </c>
      <c r="AB226" s="32">
        <v>0</v>
      </c>
      <c r="AC226" s="32">
        <v>0</v>
      </c>
      <c r="AD226" s="32">
        <v>0</v>
      </c>
      <c r="AE226" s="32"/>
    </row>
    <row r="227" spans="1:31">
      <c r="A227" s="38">
        <v>15</v>
      </c>
      <c r="B227" s="24">
        <v>253632</v>
      </c>
      <c r="D227" s="24">
        <v>256453</v>
      </c>
      <c r="E227" s="24">
        <v>259274</v>
      </c>
      <c r="F227" s="24">
        <v>262083</v>
      </c>
      <c r="G227" s="24">
        <v>264895</v>
      </c>
      <c r="H227" s="24">
        <v>267671</v>
      </c>
      <c r="I227" s="24">
        <v>267342</v>
      </c>
      <c r="J227" s="24">
        <v>267008</v>
      </c>
      <c r="K227" s="24">
        <v>266661</v>
      </c>
      <c r="L227" s="24">
        <v>266296</v>
      </c>
      <c r="M227" s="24">
        <v>265933</v>
      </c>
      <c r="N227" s="24">
        <v>266892</v>
      </c>
      <c r="O227" s="24">
        <v>267819</v>
      </c>
      <c r="P227" s="24">
        <v>268715</v>
      </c>
      <c r="Q227" s="24">
        <v>269568</v>
      </c>
      <c r="R227" s="24">
        <v>270399</v>
      </c>
      <c r="S227" s="24">
        <v>272162</v>
      </c>
      <c r="T227" s="24">
        <v>273876</v>
      </c>
      <c r="U227" s="24">
        <v>275536</v>
      </c>
      <c r="V227" s="24">
        <v>277141</v>
      </c>
      <c r="W227" s="24">
        <v>278687</v>
      </c>
      <c r="X227" s="24">
        <v>279777</v>
      </c>
      <c r="Y227" s="24">
        <v>280802</v>
      </c>
      <c r="Z227" s="24">
        <v>281762</v>
      </c>
      <c r="AA227" s="24">
        <v>282660</v>
      </c>
      <c r="AB227" s="24">
        <v>283481</v>
      </c>
      <c r="AC227" s="24">
        <v>283363</v>
      </c>
      <c r="AD227" s="24">
        <v>283175</v>
      </c>
      <c r="AE227" s="24"/>
    </row>
    <row r="228" spans="1:31">
      <c r="A228" s="38">
        <v>16</v>
      </c>
      <c r="B228" s="24">
        <v>248196</v>
      </c>
      <c r="D228" s="24">
        <v>252169</v>
      </c>
      <c r="E228" s="24">
        <v>256138</v>
      </c>
      <c r="F228" s="24">
        <v>260101</v>
      </c>
      <c r="G228" s="24">
        <v>264065</v>
      </c>
      <c r="H228" s="24">
        <v>267990</v>
      </c>
      <c r="I228" s="24">
        <v>267475</v>
      </c>
      <c r="J228" s="24">
        <v>266952</v>
      </c>
      <c r="K228" s="24">
        <v>266420</v>
      </c>
      <c r="L228" s="24">
        <v>265866</v>
      </c>
      <c r="M228" s="24">
        <v>265316</v>
      </c>
      <c r="N228" s="24">
        <v>266042</v>
      </c>
      <c r="O228" s="24">
        <v>266738</v>
      </c>
      <c r="P228" s="24">
        <v>267401</v>
      </c>
      <c r="Q228" s="24">
        <v>268024</v>
      </c>
      <c r="R228" s="24">
        <v>268622</v>
      </c>
      <c r="S228" s="24">
        <v>270424</v>
      </c>
      <c r="T228" s="24">
        <v>272176</v>
      </c>
      <c r="U228" s="24">
        <v>273874</v>
      </c>
      <c r="V228" s="24">
        <v>275519</v>
      </c>
      <c r="W228" s="24">
        <v>277104</v>
      </c>
      <c r="X228" s="24">
        <v>278431</v>
      </c>
      <c r="Y228" s="24">
        <v>279695</v>
      </c>
      <c r="Z228" s="24">
        <v>280895</v>
      </c>
      <c r="AA228" s="24">
        <v>282035</v>
      </c>
      <c r="AB228" s="24">
        <v>283094</v>
      </c>
      <c r="AC228" s="24">
        <v>283180</v>
      </c>
      <c r="AD228" s="24">
        <v>283197</v>
      </c>
      <c r="AE228" s="24"/>
    </row>
    <row r="229" spans="1:31">
      <c r="A229" s="38">
        <v>17</v>
      </c>
      <c r="B229" s="24">
        <v>243230</v>
      </c>
      <c r="D229" s="24">
        <v>247950</v>
      </c>
      <c r="E229" s="24">
        <v>252665</v>
      </c>
      <c r="F229" s="24">
        <v>257375</v>
      </c>
      <c r="G229" s="24">
        <v>262086</v>
      </c>
      <c r="H229" s="24">
        <v>266758</v>
      </c>
      <c r="I229" s="24">
        <v>266455</v>
      </c>
      <c r="J229" s="24">
        <v>266145</v>
      </c>
      <c r="K229" s="24">
        <v>265826</v>
      </c>
      <c r="L229" s="24">
        <v>265484</v>
      </c>
      <c r="M229" s="24">
        <v>265146</v>
      </c>
      <c r="N229" s="24">
        <v>265629</v>
      </c>
      <c r="O229" s="24">
        <v>266081</v>
      </c>
      <c r="P229" s="24">
        <v>266499</v>
      </c>
      <c r="Q229" s="24">
        <v>266878</v>
      </c>
      <c r="R229" s="24">
        <v>267233</v>
      </c>
      <c r="S229" s="24">
        <v>268972</v>
      </c>
      <c r="T229" s="24">
        <v>270660</v>
      </c>
      <c r="U229" s="24">
        <v>272296</v>
      </c>
      <c r="V229" s="24">
        <v>273878</v>
      </c>
      <c r="W229" s="24">
        <v>275400</v>
      </c>
      <c r="X229" s="24">
        <v>276920</v>
      </c>
      <c r="Y229" s="24">
        <v>278378</v>
      </c>
      <c r="Z229" s="24">
        <v>279772</v>
      </c>
      <c r="AA229" s="24">
        <v>281105</v>
      </c>
      <c r="AB229" s="24">
        <v>282358</v>
      </c>
      <c r="AC229" s="24">
        <v>282673</v>
      </c>
      <c r="AD229" s="24">
        <v>282919</v>
      </c>
      <c r="AE229" s="24"/>
    </row>
    <row r="230" spans="1:31">
      <c r="A230" s="38">
        <v>18</v>
      </c>
      <c r="B230" s="24">
        <v>239145</v>
      </c>
      <c r="D230" s="24">
        <v>244019</v>
      </c>
      <c r="E230" s="24">
        <v>248889</v>
      </c>
      <c r="F230" s="24">
        <v>253753</v>
      </c>
      <c r="G230" s="24">
        <v>258619</v>
      </c>
      <c r="H230" s="24">
        <v>263446</v>
      </c>
      <c r="I230" s="24">
        <v>263884</v>
      </c>
      <c r="J230" s="24">
        <v>264313</v>
      </c>
      <c r="K230" s="24">
        <v>264735</v>
      </c>
      <c r="L230" s="24">
        <v>265134</v>
      </c>
      <c r="M230" s="24">
        <v>265537</v>
      </c>
      <c r="N230" s="24">
        <v>265769</v>
      </c>
      <c r="O230" s="24">
        <v>265971</v>
      </c>
      <c r="P230" s="24">
        <v>266139</v>
      </c>
      <c r="Q230" s="24">
        <v>266268</v>
      </c>
      <c r="R230" s="24">
        <v>266373</v>
      </c>
      <c r="S230" s="24">
        <v>267923</v>
      </c>
      <c r="T230" s="24">
        <v>269422</v>
      </c>
      <c r="U230" s="24">
        <v>270869</v>
      </c>
      <c r="V230" s="24">
        <v>272264</v>
      </c>
      <c r="W230" s="24">
        <v>273600</v>
      </c>
      <c r="X230" s="24">
        <v>275251</v>
      </c>
      <c r="Y230" s="24">
        <v>276841</v>
      </c>
      <c r="Z230" s="24">
        <v>278366</v>
      </c>
      <c r="AA230" s="24">
        <v>279831</v>
      </c>
      <c r="AB230" s="24">
        <v>281217</v>
      </c>
      <c r="AC230" s="24">
        <v>281788</v>
      </c>
      <c r="AD230" s="24">
        <v>282289</v>
      </c>
      <c r="AE230" s="24"/>
    </row>
    <row r="231" spans="1:31">
      <c r="A231" s="38">
        <v>19</v>
      </c>
      <c r="B231" s="24">
        <v>235623</v>
      </c>
      <c r="D231" s="24">
        <v>240228</v>
      </c>
      <c r="E231" s="24">
        <v>244828</v>
      </c>
      <c r="F231" s="24">
        <v>249422</v>
      </c>
      <c r="G231" s="24">
        <v>254018</v>
      </c>
      <c r="H231" s="24">
        <v>258577</v>
      </c>
      <c r="I231" s="24">
        <v>260114</v>
      </c>
      <c r="J231" s="24">
        <v>261645</v>
      </c>
      <c r="K231" s="24">
        <v>263166</v>
      </c>
      <c r="L231" s="24">
        <v>264667</v>
      </c>
      <c r="M231" s="24">
        <v>266168</v>
      </c>
      <c r="N231" s="24">
        <v>266185</v>
      </c>
      <c r="O231" s="24">
        <v>266169</v>
      </c>
      <c r="P231" s="24">
        <v>266120</v>
      </c>
      <c r="Q231" s="24">
        <v>266031</v>
      </c>
      <c r="R231" s="24">
        <v>265917</v>
      </c>
      <c r="S231" s="24">
        <v>267191</v>
      </c>
      <c r="T231" s="24">
        <v>268415</v>
      </c>
      <c r="U231" s="24">
        <v>269587</v>
      </c>
      <c r="V231" s="24">
        <v>270707</v>
      </c>
      <c r="W231" s="24">
        <v>271767</v>
      </c>
      <c r="X231" s="24">
        <v>273493</v>
      </c>
      <c r="Y231" s="24">
        <v>275156</v>
      </c>
      <c r="Z231" s="24">
        <v>276756</v>
      </c>
      <c r="AA231" s="24">
        <v>278296</v>
      </c>
      <c r="AB231" s="24">
        <v>279757</v>
      </c>
      <c r="AC231" s="24">
        <v>280596</v>
      </c>
      <c r="AD231" s="24">
        <v>281366</v>
      </c>
      <c r="AE231" s="24"/>
    </row>
    <row r="232" spans="1:31">
      <c r="A232" s="37" t="s">
        <v>74</v>
      </c>
      <c r="B232" s="32">
        <v>0</v>
      </c>
      <c r="D232" s="32">
        <v>0</v>
      </c>
      <c r="E232" s="32">
        <v>0</v>
      </c>
      <c r="F232" s="32">
        <v>0</v>
      </c>
      <c r="G232" s="32">
        <v>0</v>
      </c>
      <c r="H232" s="32">
        <v>0</v>
      </c>
      <c r="I232" s="32">
        <v>0</v>
      </c>
      <c r="J232" s="32">
        <v>0</v>
      </c>
      <c r="K232" s="32">
        <v>0</v>
      </c>
      <c r="L232" s="32">
        <v>0</v>
      </c>
      <c r="M232" s="32">
        <v>0</v>
      </c>
      <c r="N232" s="32">
        <v>0</v>
      </c>
      <c r="O232" s="32">
        <v>0</v>
      </c>
      <c r="P232" s="32">
        <v>0</v>
      </c>
      <c r="Q232" s="32">
        <v>0</v>
      </c>
      <c r="R232" s="32">
        <v>0</v>
      </c>
      <c r="S232" s="32">
        <v>0</v>
      </c>
      <c r="T232" s="32">
        <v>0</v>
      </c>
      <c r="U232" s="32">
        <v>0</v>
      </c>
      <c r="V232" s="32">
        <v>0</v>
      </c>
      <c r="W232" s="32">
        <v>0</v>
      </c>
      <c r="X232" s="32">
        <v>0</v>
      </c>
      <c r="Y232" s="32">
        <v>0</v>
      </c>
      <c r="Z232" s="32">
        <v>0</v>
      </c>
      <c r="AA232" s="32">
        <v>0</v>
      </c>
      <c r="AB232" s="32">
        <v>0</v>
      </c>
      <c r="AC232" s="32">
        <v>0</v>
      </c>
      <c r="AD232" s="32">
        <v>0</v>
      </c>
      <c r="AE232" s="32"/>
    </row>
    <row r="233" spans="1:31">
      <c r="A233" s="38">
        <v>20</v>
      </c>
      <c r="B233" s="24">
        <v>232398</v>
      </c>
      <c r="D233" s="24">
        <v>236520</v>
      </c>
      <c r="E233" s="24">
        <v>240640</v>
      </c>
      <c r="F233" s="24">
        <v>244754</v>
      </c>
      <c r="G233" s="24">
        <v>248869</v>
      </c>
      <c r="H233" s="24">
        <v>252950</v>
      </c>
      <c r="I233" s="24">
        <v>255780</v>
      </c>
      <c r="J233" s="24">
        <v>258607</v>
      </c>
      <c r="K233" s="24">
        <v>261421</v>
      </c>
      <c r="L233" s="24">
        <v>264217</v>
      </c>
      <c r="M233" s="24">
        <v>267015</v>
      </c>
      <c r="N233" s="24">
        <v>266745</v>
      </c>
      <c r="O233" s="24">
        <v>266447</v>
      </c>
      <c r="P233" s="24">
        <v>266115</v>
      </c>
      <c r="Q233" s="24">
        <v>265742</v>
      </c>
      <c r="R233" s="24">
        <v>265342</v>
      </c>
      <c r="S233" s="24">
        <v>266348</v>
      </c>
      <c r="T233" s="24">
        <v>267303</v>
      </c>
      <c r="U233" s="24">
        <v>268208</v>
      </c>
      <c r="V233" s="24">
        <v>269060</v>
      </c>
      <c r="W233" s="24">
        <v>269855</v>
      </c>
      <c r="X233" s="24">
        <v>271646</v>
      </c>
      <c r="Y233" s="24">
        <v>273374</v>
      </c>
      <c r="Z233" s="24">
        <v>275044</v>
      </c>
      <c r="AA233" s="24">
        <v>276649</v>
      </c>
      <c r="AB233" s="24">
        <v>278178</v>
      </c>
      <c r="AC233" s="24">
        <v>279282</v>
      </c>
      <c r="AD233" s="24">
        <v>280318</v>
      </c>
      <c r="AE233" s="24"/>
    </row>
    <row r="234" spans="1:31">
      <c r="A234" s="38">
        <v>21</v>
      </c>
      <c r="B234" s="24">
        <v>228683</v>
      </c>
      <c r="D234" s="24">
        <v>232455</v>
      </c>
      <c r="E234" s="24">
        <v>236223</v>
      </c>
      <c r="F234" s="24">
        <v>239985</v>
      </c>
      <c r="G234" s="24">
        <v>243748</v>
      </c>
      <c r="H234" s="24">
        <v>247480</v>
      </c>
      <c r="I234" s="24">
        <v>251460</v>
      </c>
      <c r="J234" s="24">
        <v>255433</v>
      </c>
      <c r="K234" s="24">
        <v>259398</v>
      </c>
      <c r="L234" s="24">
        <v>263342</v>
      </c>
      <c r="M234" s="24">
        <v>267287</v>
      </c>
      <c r="N234" s="24">
        <v>266834</v>
      </c>
      <c r="O234" s="24">
        <v>266348</v>
      </c>
      <c r="P234" s="24">
        <v>265829</v>
      </c>
      <c r="Q234" s="24">
        <v>265271</v>
      </c>
      <c r="R234" s="24">
        <v>264685</v>
      </c>
      <c r="S234" s="24">
        <v>265460</v>
      </c>
      <c r="T234" s="24">
        <v>266185</v>
      </c>
      <c r="U234" s="24">
        <v>266857</v>
      </c>
      <c r="V234" s="24">
        <v>267477</v>
      </c>
      <c r="W234" s="24">
        <v>268043</v>
      </c>
      <c r="X234" s="24">
        <v>269872</v>
      </c>
      <c r="Y234" s="24">
        <v>271640</v>
      </c>
      <c r="Z234" s="24">
        <v>273345</v>
      </c>
      <c r="AA234" s="24">
        <v>274992</v>
      </c>
      <c r="AB234" s="24">
        <v>276559</v>
      </c>
      <c r="AC234" s="24">
        <v>277903</v>
      </c>
      <c r="AD234" s="24">
        <v>279178</v>
      </c>
      <c r="AE234" s="24"/>
    </row>
    <row r="235" spans="1:31">
      <c r="A235" s="38">
        <v>22</v>
      </c>
      <c r="B235" s="24">
        <v>223864</v>
      </c>
      <c r="D235" s="24">
        <v>227600</v>
      </c>
      <c r="E235" s="24">
        <v>231334</v>
      </c>
      <c r="F235" s="24">
        <v>235060</v>
      </c>
      <c r="G235" s="24">
        <v>238788</v>
      </c>
      <c r="H235" s="24">
        <v>242485</v>
      </c>
      <c r="I235" s="24">
        <v>247211</v>
      </c>
      <c r="J235" s="24">
        <v>251929</v>
      </c>
      <c r="K235" s="24">
        <v>256639</v>
      </c>
      <c r="L235" s="24">
        <v>261328</v>
      </c>
      <c r="M235" s="24">
        <v>266019</v>
      </c>
      <c r="N235" s="24">
        <v>265778</v>
      </c>
      <c r="O235" s="24">
        <v>265505</v>
      </c>
      <c r="P235" s="24">
        <v>265200</v>
      </c>
      <c r="Q235" s="24">
        <v>264853</v>
      </c>
      <c r="R235" s="24">
        <v>264480</v>
      </c>
      <c r="S235" s="24">
        <v>265011</v>
      </c>
      <c r="T235" s="24">
        <v>265493</v>
      </c>
      <c r="U235" s="24">
        <v>265922</v>
      </c>
      <c r="V235" s="24">
        <v>266300</v>
      </c>
      <c r="W235" s="24">
        <v>266623</v>
      </c>
      <c r="X235" s="24">
        <v>268389</v>
      </c>
      <c r="Y235" s="24">
        <v>270094</v>
      </c>
      <c r="Z235" s="24">
        <v>271736</v>
      </c>
      <c r="AA235" s="24">
        <v>273320</v>
      </c>
      <c r="AB235" s="24">
        <v>274827</v>
      </c>
      <c r="AC235" s="24">
        <v>276362</v>
      </c>
      <c r="AD235" s="24">
        <v>277831</v>
      </c>
      <c r="AE235" s="24"/>
    </row>
    <row r="236" spans="1:31">
      <c r="A236" s="38">
        <v>23</v>
      </c>
      <c r="B236" s="24">
        <v>217540</v>
      </c>
      <c r="D236" s="24">
        <v>221721</v>
      </c>
      <c r="E236" s="24">
        <v>225898</v>
      </c>
      <c r="F236" s="24">
        <v>230068</v>
      </c>
      <c r="G236" s="24">
        <v>234241</v>
      </c>
      <c r="H236" s="24">
        <v>238381</v>
      </c>
      <c r="I236" s="24">
        <v>243260</v>
      </c>
      <c r="J236" s="24">
        <v>248133</v>
      </c>
      <c r="K236" s="24">
        <v>252997</v>
      </c>
      <c r="L236" s="24">
        <v>257841</v>
      </c>
      <c r="M236" s="24">
        <v>262686</v>
      </c>
      <c r="N236" s="24">
        <v>263183</v>
      </c>
      <c r="O236" s="24">
        <v>263648</v>
      </c>
      <c r="P236" s="24">
        <v>264081</v>
      </c>
      <c r="Q236" s="24">
        <v>264474</v>
      </c>
      <c r="R236" s="24">
        <v>264840</v>
      </c>
      <c r="S236" s="24">
        <v>265122</v>
      </c>
      <c r="T236" s="24">
        <v>265354</v>
      </c>
      <c r="U236" s="24">
        <v>265535</v>
      </c>
      <c r="V236" s="24">
        <v>265663</v>
      </c>
      <c r="W236" s="24">
        <v>265737</v>
      </c>
      <c r="X236" s="24">
        <v>267315</v>
      </c>
      <c r="Y236" s="24">
        <v>268833</v>
      </c>
      <c r="Z236" s="24">
        <v>270287</v>
      </c>
      <c r="AA236" s="24">
        <v>271684</v>
      </c>
      <c r="AB236" s="24">
        <v>273004</v>
      </c>
      <c r="AC236" s="24">
        <v>274671</v>
      </c>
      <c r="AD236" s="24">
        <v>276271</v>
      </c>
      <c r="AE236" s="24"/>
    </row>
    <row r="237" spans="1:31">
      <c r="A237" s="38">
        <v>24</v>
      </c>
      <c r="B237" s="24">
        <v>210279</v>
      </c>
      <c r="D237" s="24">
        <v>215205</v>
      </c>
      <c r="E237" s="24">
        <v>220127</v>
      </c>
      <c r="F237" s="24">
        <v>225044</v>
      </c>
      <c r="G237" s="24">
        <v>229961</v>
      </c>
      <c r="H237" s="24">
        <v>234846</v>
      </c>
      <c r="I237" s="24">
        <v>239456</v>
      </c>
      <c r="J237" s="24">
        <v>244059</v>
      </c>
      <c r="K237" s="24">
        <v>248655</v>
      </c>
      <c r="L237" s="24">
        <v>253230</v>
      </c>
      <c r="M237" s="24">
        <v>257806</v>
      </c>
      <c r="N237" s="24">
        <v>259399</v>
      </c>
      <c r="O237" s="24">
        <v>260961</v>
      </c>
      <c r="P237" s="24">
        <v>262491</v>
      </c>
      <c r="Q237" s="24">
        <v>263982</v>
      </c>
      <c r="R237" s="24">
        <v>265446</v>
      </c>
      <c r="S237" s="24">
        <v>265512</v>
      </c>
      <c r="T237" s="24">
        <v>265528</v>
      </c>
      <c r="U237" s="24">
        <v>265491</v>
      </c>
      <c r="V237" s="24">
        <v>265404</v>
      </c>
      <c r="W237" s="24">
        <v>265261</v>
      </c>
      <c r="X237" s="24">
        <v>266564</v>
      </c>
      <c r="Y237" s="24">
        <v>267806</v>
      </c>
      <c r="Z237" s="24">
        <v>268986</v>
      </c>
      <c r="AA237" s="24">
        <v>270109</v>
      </c>
      <c r="AB237" s="24">
        <v>271154</v>
      </c>
      <c r="AC237" s="24">
        <v>272894</v>
      </c>
      <c r="AD237" s="24">
        <v>274569</v>
      </c>
      <c r="AE237" s="24"/>
    </row>
    <row r="238" spans="1:31">
      <c r="A238" s="39" t="s">
        <v>75</v>
      </c>
      <c r="B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row>
    <row r="239" spans="1:31">
      <c r="A239" s="39">
        <v>25</v>
      </c>
      <c r="B239" s="24">
        <v>202507</v>
      </c>
      <c r="D239" s="24">
        <v>208339</v>
      </c>
      <c r="E239" s="24">
        <v>214168</v>
      </c>
      <c r="F239" s="24">
        <v>219993</v>
      </c>
      <c r="G239" s="24">
        <v>225816</v>
      </c>
      <c r="H239" s="24">
        <v>231606</v>
      </c>
      <c r="I239" s="24">
        <v>235738</v>
      </c>
      <c r="J239" s="24">
        <v>239862</v>
      </c>
      <c r="K239" s="24">
        <v>243978</v>
      </c>
      <c r="L239" s="24">
        <v>248075</v>
      </c>
      <c r="M239" s="24">
        <v>252172</v>
      </c>
      <c r="N239" s="24">
        <v>255055</v>
      </c>
      <c r="O239" s="24">
        <v>257907</v>
      </c>
      <c r="P239" s="24">
        <v>260730</v>
      </c>
      <c r="Q239" s="24">
        <v>263512</v>
      </c>
      <c r="R239" s="24">
        <v>266267</v>
      </c>
      <c r="S239" s="24">
        <v>266051</v>
      </c>
      <c r="T239" s="24">
        <v>265784</v>
      </c>
      <c r="U239" s="24">
        <v>265464</v>
      </c>
      <c r="V239" s="24">
        <v>265093</v>
      </c>
      <c r="W239" s="24">
        <v>264668</v>
      </c>
      <c r="X239" s="24">
        <v>265701</v>
      </c>
      <c r="Y239" s="24">
        <v>266677</v>
      </c>
      <c r="Z239" s="24">
        <v>267590</v>
      </c>
      <c r="AA239" s="24">
        <v>268445</v>
      </c>
      <c r="AB239" s="24">
        <v>269227</v>
      </c>
      <c r="AC239" s="24">
        <v>271031</v>
      </c>
      <c r="AD239" s="24">
        <v>272771</v>
      </c>
      <c r="AE239" s="24"/>
    </row>
    <row r="240" spans="1:31">
      <c r="A240" s="39">
        <v>26</v>
      </c>
      <c r="B240" s="24">
        <v>195454</v>
      </c>
      <c r="D240" s="24">
        <v>201950</v>
      </c>
      <c r="E240" s="24">
        <v>208445</v>
      </c>
      <c r="F240" s="24">
        <v>214934</v>
      </c>
      <c r="G240" s="24">
        <v>221425</v>
      </c>
      <c r="H240" s="24">
        <v>227879</v>
      </c>
      <c r="I240" s="24">
        <v>231660</v>
      </c>
      <c r="J240" s="24">
        <v>235434</v>
      </c>
      <c r="K240" s="24">
        <v>239200</v>
      </c>
      <c r="L240" s="24">
        <v>242946</v>
      </c>
      <c r="M240" s="24">
        <v>246692</v>
      </c>
      <c r="N240" s="24">
        <v>250718</v>
      </c>
      <c r="O240" s="24">
        <v>254717</v>
      </c>
      <c r="P240" s="24">
        <v>258683</v>
      </c>
      <c r="Q240" s="24">
        <v>262611</v>
      </c>
      <c r="R240" s="24">
        <v>266513</v>
      </c>
      <c r="S240" s="24">
        <v>266111</v>
      </c>
      <c r="T240" s="24">
        <v>265658</v>
      </c>
      <c r="U240" s="24">
        <v>265153</v>
      </c>
      <c r="V240" s="24">
        <v>264598</v>
      </c>
      <c r="W240" s="24">
        <v>263987</v>
      </c>
      <c r="X240" s="24">
        <v>264792</v>
      </c>
      <c r="Y240" s="24">
        <v>265536</v>
      </c>
      <c r="Z240" s="24">
        <v>266218</v>
      </c>
      <c r="AA240" s="24">
        <v>266844</v>
      </c>
      <c r="AB240" s="24">
        <v>267393</v>
      </c>
      <c r="AC240" s="24">
        <v>269237</v>
      </c>
      <c r="AD240" s="24">
        <v>271016</v>
      </c>
      <c r="AE240" s="24"/>
    </row>
    <row r="241" spans="1:31">
      <c r="A241" s="39">
        <v>27</v>
      </c>
      <c r="B241" s="24">
        <v>190203</v>
      </c>
      <c r="D241" s="24">
        <v>196784</v>
      </c>
      <c r="E241" s="24">
        <v>203362</v>
      </c>
      <c r="F241" s="24">
        <v>209934</v>
      </c>
      <c r="G241" s="24">
        <v>216508</v>
      </c>
      <c r="H241" s="24">
        <v>223047</v>
      </c>
      <c r="I241" s="24">
        <v>226790</v>
      </c>
      <c r="J241" s="24">
        <v>230528</v>
      </c>
      <c r="K241" s="24">
        <v>234258</v>
      </c>
      <c r="L241" s="24">
        <v>237970</v>
      </c>
      <c r="M241" s="24">
        <v>241680</v>
      </c>
      <c r="N241" s="24">
        <v>246449</v>
      </c>
      <c r="O241" s="24">
        <v>251190</v>
      </c>
      <c r="P241" s="24">
        <v>255900</v>
      </c>
      <c r="Q241" s="24">
        <v>260571</v>
      </c>
      <c r="R241" s="24">
        <v>265217</v>
      </c>
      <c r="S241" s="24">
        <v>265026</v>
      </c>
      <c r="T241" s="24">
        <v>264786</v>
      </c>
      <c r="U241" s="24">
        <v>264493</v>
      </c>
      <c r="V241" s="24">
        <v>264150</v>
      </c>
      <c r="W241" s="24">
        <v>263751</v>
      </c>
      <c r="X241" s="24">
        <v>264314</v>
      </c>
      <c r="Y241" s="24">
        <v>264815</v>
      </c>
      <c r="Z241" s="24">
        <v>265256</v>
      </c>
      <c r="AA241" s="24">
        <v>265639</v>
      </c>
      <c r="AB241" s="24">
        <v>265947</v>
      </c>
      <c r="AC241" s="24">
        <v>267728</v>
      </c>
      <c r="AD241" s="24">
        <v>269443</v>
      </c>
      <c r="AE241" s="24"/>
    </row>
    <row r="242" spans="1:31">
      <c r="A242" s="39">
        <v>28</v>
      </c>
      <c r="B242" s="24">
        <v>187469</v>
      </c>
      <c r="D242" s="24">
        <v>193328</v>
      </c>
      <c r="E242" s="24">
        <v>199185</v>
      </c>
      <c r="F242" s="24">
        <v>205037</v>
      </c>
      <c r="G242" s="24">
        <v>210890</v>
      </c>
      <c r="H242" s="24">
        <v>216708</v>
      </c>
      <c r="I242" s="24">
        <v>220892</v>
      </c>
      <c r="J242" s="24">
        <v>225071</v>
      </c>
      <c r="K242" s="24">
        <v>229243</v>
      </c>
      <c r="L242" s="24">
        <v>233395</v>
      </c>
      <c r="M242" s="24">
        <v>237548</v>
      </c>
      <c r="N242" s="24">
        <v>242468</v>
      </c>
      <c r="O242" s="24">
        <v>247362</v>
      </c>
      <c r="P242" s="24">
        <v>252227</v>
      </c>
      <c r="Q242" s="24">
        <v>257052</v>
      </c>
      <c r="R242" s="24">
        <v>261851</v>
      </c>
      <c r="S242" s="24">
        <v>262397</v>
      </c>
      <c r="T242" s="24">
        <v>262893</v>
      </c>
      <c r="U242" s="24">
        <v>263338</v>
      </c>
      <c r="V242" s="24">
        <v>263732</v>
      </c>
      <c r="W242" s="24">
        <v>264068</v>
      </c>
      <c r="X242" s="24">
        <v>264383</v>
      </c>
      <c r="Y242" s="24">
        <v>264637</v>
      </c>
      <c r="Z242" s="24">
        <v>264829</v>
      </c>
      <c r="AA242" s="24">
        <v>264965</v>
      </c>
      <c r="AB242" s="24">
        <v>265026</v>
      </c>
      <c r="AC242" s="24">
        <v>266619</v>
      </c>
      <c r="AD242" s="24">
        <v>268148</v>
      </c>
      <c r="AE242" s="24"/>
    </row>
    <row r="243" spans="1:31">
      <c r="A243" s="39">
        <v>29</v>
      </c>
      <c r="B243" s="24">
        <v>186567</v>
      </c>
      <c r="D243" s="24">
        <v>191151</v>
      </c>
      <c r="E243" s="24">
        <v>195732</v>
      </c>
      <c r="F243" s="24">
        <v>200307</v>
      </c>
      <c r="G243" s="24">
        <v>204885</v>
      </c>
      <c r="H243" s="24">
        <v>209430</v>
      </c>
      <c r="I243" s="24">
        <v>214355</v>
      </c>
      <c r="J243" s="24">
        <v>219275</v>
      </c>
      <c r="K243" s="24">
        <v>224187</v>
      </c>
      <c r="L243" s="24">
        <v>229082</v>
      </c>
      <c r="M243" s="24">
        <v>233976</v>
      </c>
      <c r="N243" s="24">
        <v>238627</v>
      </c>
      <c r="O243" s="24">
        <v>243252</v>
      </c>
      <c r="P243" s="24">
        <v>247847</v>
      </c>
      <c r="Q243" s="24">
        <v>252405</v>
      </c>
      <c r="R243" s="24">
        <v>256937</v>
      </c>
      <c r="S243" s="24">
        <v>258576</v>
      </c>
      <c r="T243" s="24">
        <v>260165</v>
      </c>
      <c r="U243" s="24">
        <v>261706</v>
      </c>
      <c r="V243" s="24">
        <v>263194</v>
      </c>
      <c r="W243" s="24">
        <v>264623</v>
      </c>
      <c r="X243" s="24">
        <v>264724</v>
      </c>
      <c r="Y243" s="24">
        <v>264763</v>
      </c>
      <c r="Z243" s="24">
        <v>264741</v>
      </c>
      <c r="AA243" s="24">
        <v>264661</v>
      </c>
      <c r="AB243" s="24">
        <v>264507</v>
      </c>
      <c r="AC243" s="24">
        <v>265827</v>
      </c>
      <c r="AD243" s="24">
        <v>267082</v>
      </c>
      <c r="AE243" s="24"/>
    </row>
    <row r="244" spans="1:31">
      <c r="A244" s="39" t="s">
        <v>76</v>
      </c>
      <c r="B244" s="32">
        <v>0</v>
      </c>
      <c r="D244" s="32">
        <v>0</v>
      </c>
      <c r="E244" s="32">
        <v>0</v>
      </c>
      <c r="F244" s="32">
        <v>0</v>
      </c>
      <c r="G244" s="32">
        <v>0</v>
      </c>
      <c r="H244" s="32">
        <v>0</v>
      </c>
      <c r="I244" s="32">
        <v>0</v>
      </c>
      <c r="J244" s="32">
        <v>0</v>
      </c>
      <c r="K244" s="32">
        <v>0</v>
      </c>
      <c r="L244" s="32">
        <v>0</v>
      </c>
      <c r="M244" s="32">
        <v>0</v>
      </c>
      <c r="N244" s="32">
        <v>0</v>
      </c>
      <c r="O244" s="32">
        <v>0</v>
      </c>
      <c r="P244" s="32">
        <v>0</v>
      </c>
      <c r="Q244" s="32">
        <v>0</v>
      </c>
      <c r="R244" s="32">
        <v>0</v>
      </c>
      <c r="S244" s="32">
        <v>0</v>
      </c>
      <c r="T244" s="32">
        <v>0</v>
      </c>
      <c r="U244" s="32">
        <v>0</v>
      </c>
      <c r="V244" s="32">
        <v>0</v>
      </c>
      <c r="W244" s="32">
        <v>0</v>
      </c>
      <c r="X244" s="32">
        <v>0</v>
      </c>
      <c r="Y244" s="32">
        <v>0</v>
      </c>
      <c r="Z244" s="32">
        <v>0</v>
      </c>
      <c r="AA244" s="32">
        <v>0</v>
      </c>
      <c r="AB244" s="32">
        <v>0</v>
      </c>
      <c r="AC244" s="32">
        <v>0</v>
      </c>
      <c r="AD244" s="32">
        <v>0</v>
      </c>
      <c r="AE244" s="32"/>
    </row>
    <row r="245" spans="1:31">
      <c r="A245" s="39">
        <v>30</v>
      </c>
      <c r="B245" s="24">
        <v>186134</v>
      </c>
      <c r="D245" s="24">
        <v>189247</v>
      </c>
      <c r="E245" s="24">
        <v>192355</v>
      </c>
      <c r="F245" s="24">
        <v>195460</v>
      </c>
      <c r="G245" s="24">
        <v>198564</v>
      </c>
      <c r="H245" s="24">
        <v>201638</v>
      </c>
      <c r="I245" s="24">
        <v>207466</v>
      </c>
      <c r="J245" s="24">
        <v>213287</v>
      </c>
      <c r="K245" s="24">
        <v>219103</v>
      </c>
      <c r="L245" s="24">
        <v>224900</v>
      </c>
      <c r="M245" s="24">
        <v>230696</v>
      </c>
      <c r="N245" s="24">
        <v>234868</v>
      </c>
      <c r="O245" s="24">
        <v>239014</v>
      </c>
      <c r="P245" s="24">
        <v>243132</v>
      </c>
      <c r="Q245" s="24">
        <v>247214</v>
      </c>
      <c r="R245" s="24">
        <v>251269</v>
      </c>
      <c r="S245" s="24">
        <v>254193</v>
      </c>
      <c r="T245" s="24">
        <v>257069</v>
      </c>
      <c r="U245" s="24">
        <v>259898</v>
      </c>
      <c r="V245" s="24">
        <v>262674</v>
      </c>
      <c r="W245" s="24">
        <v>265390</v>
      </c>
      <c r="X245" s="24">
        <v>265211</v>
      </c>
      <c r="Y245" s="24">
        <v>264966</v>
      </c>
      <c r="Z245" s="24">
        <v>264664</v>
      </c>
      <c r="AA245" s="24">
        <v>264303</v>
      </c>
      <c r="AB245" s="24">
        <v>263868</v>
      </c>
      <c r="AC245" s="24">
        <v>264921</v>
      </c>
      <c r="AD245" s="24">
        <v>265908</v>
      </c>
      <c r="AE245" s="24"/>
    </row>
    <row r="246" spans="1:31">
      <c r="A246" s="39">
        <v>31</v>
      </c>
      <c r="B246" s="24">
        <v>185211</v>
      </c>
      <c r="D246" s="24">
        <v>187093</v>
      </c>
      <c r="E246" s="24">
        <v>188971</v>
      </c>
      <c r="F246" s="24">
        <v>190844</v>
      </c>
      <c r="G246" s="24">
        <v>192719</v>
      </c>
      <c r="H246" s="24">
        <v>194566</v>
      </c>
      <c r="I246" s="24">
        <v>201054</v>
      </c>
      <c r="J246" s="24">
        <v>207537</v>
      </c>
      <c r="K246" s="24">
        <v>214012</v>
      </c>
      <c r="L246" s="24">
        <v>220470</v>
      </c>
      <c r="M246" s="24">
        <v>226929</v>
      </c>
      <c r="N246" s="24">
        <v>230751</v>
      </c>
      <c r="O246" s="24">
        <v>234548</v>
      </c>
      <c r="P246" s="24">
        <v>238316</v>
      </c>
      <c r="Q246" s="24">
        <v>242047</v>
      </c>
      <c r="R246" s="24">
        <v>245756</v>
      </c>
      <c r="S246" s="24">
        <v>249819</v>
      </c>
      <c r="T246" s="24">
        <v>253838</v>
      </c>
      <c r="U246" s="24">
        <v>257808</v>
      </c>
      <c r="V246" s="24">
        <v>261727</v>
      </c>
      <c r="W246" s="24">
        <v>265583</v>
      </c>
      <c r="X246" s="24">
        <v>265218</v>
      </c>
      <c r="Y246" s="24">
        <v>264793</v>
      </c>
      <c r="Z246" s="24">
        <v>264305</v>
      </c>
      <c r="AA246" s="24">
        <v>263761</v>
      </c>
      <c r="AB246" s="24">
        <v>263144</v>
      </c>
      <c r="AC246" s="24">
        <v>263967</v>
      </c>
      <c r="AD246" s="24">
        <v>264725</v>
      </c>
      <c r="AE246" s="24"/>
    </row>
    <row r="247" spans="1:31">
      <c r="A247" s="39">
        <v>32</v>
      </c>
      <c r="B247" s="24">
        <v>183951</v>
      </c>
      <c r="D247" s="24">
        <v>185029</v>
      </c>
      <c r="E247" s="24">
        <v>186104</v>
      </c>
      <c r="F247" s="24">
        <v>187173</v>
      </c>
      <c r="G247" s="24">
        <v>188245</v>
      </c>
      <c r="H247" s="24">
        <v>189291</v>
      </c>
      <c r="I247" s="24">
        <v>195860</v>
      </c>
      <c r="J247" s="24">
        <v>202425</v>
      </c>
      <c r="K247" s="24">
        <v>208983</v>
      </c>
      <c r="L247" s="24">
        <v>215524</v>
      </c>
      <c r="M247" s="24">
        <v>222066</v>
      </c>
      <c r="N247" s="24">
        <v>225851</v>
      </c>
      <c r="O247" s="24">
        <v>229611</v>
      </c>
      <c r="P247" s="24">
        <v>233342</v>
      </c>
      <c r="Q247" s="24">
        <v>237037</v>
      </c>
      <c r="R247" s="24">
        <v>240710</v>
      </c>
      <c r="S247" s="24">
        <v>245513</v>
      </c>
      <c r="T247" s="24">
        <v>250272</v>
      </c>
      <c r="U247" s="24">
        <v>254983</v>
      </c>
      <c r="V247" s="24">
        <v>259644</v>
      </c>
      <c r="W247" s="24">
        <v>264241</v>
      </c>
      <c r="X247" s="24">
        <v>264087</v>
      </c>
      <c r="Y247" s="24">
        <v>263874</v>
      </c>
      <c r="Z247" s="24">
        <v>263598</v>
      </c>
      <c r="AA247" s="24">
        <v>263265</v>
      </c>
      <c r="AB247" s="24">
        <v>262859</v>
      </c>
      <c r="AC247" s="24">
        <v>263441</v>
      </c>
      <c r="AD247" s="24">
        <v>263958</v>
      </c>
      <c r="AE247" s="24"/>
    </row>
    <row r="248" spans="1:31">
      <c r="A248" s="39">
        <v>33</v>
      </c>
      <c r="B248" s="24">
        <v>182013</v>
      </c>
      <c r="D248" s="24">
        <v>182925</v>
      </c>
      <c r="E248" s="24">
        <v>183834</v>
      </c>
      <c r="F248" s="24">
        <v>184739</v>
      </c>
      <c r="G248" s="24">
        <v>185643</v>
      </c>
      <c r="H248" s="24">
        <v>186524</v>
      </c>
      <c r="I248" s="24">
        <v>192375</v>
      </c>
      <c r="J248" s="24">
        <v>198222</v>
      </c>
      <c r="K248" s="24">
        <v>204061</v>
      </c>
      <c r="L248" s="24">
        <v>209885</v>
      </c>
      <c r="M248" s="24">
        <v>215711</v>
      </c>
      <c r="N248" s="24">
        <v>219932</v>
      </c>
      <c r="O248" s="24">
        <v>224129</v>
      </c>
      <c r="P248" s="24">
        <v>228298</v>
      </c>
      <c r="Q248" s="24">
        <v>232433</v>
      </c>
      <c r="R248" s="24">
        <v>236545</v>
      </c>
      <c r="S248" s="24">
        <v>241499</v>
      </c>
      <c r="T248" s="24">
        <v>246410</v>
      </c>
      <c r="U248" s="24">
        <v>251274</v>
      </c>
      <c r="V248" s="24">
        <v>256088</v>
      </c>
      <c r="W248" s="24">
        <v>260841</v>
      </c>
      <c r="X248" s="24">
        <v>261419</v>
      </c>
      <c r="Y248" s="24">
        <v>261939</v>
      </c>
      <c r="Z248" s="24">
        <v>262397</v>
      </c>
      <c r="AA248" s="24">
        <v>262799</v>
      </c>
      <c r="AB248" s="24">
        <v>263127</v>
      </c>
      <c r="AC248" s="24">
        <v>263463</v>
      </c>
      <c r="AD248" s="24">
        <v>263735</v>
      </c>
      <c r="AE248" s="24"/>
    </row>
    <row r="249" spans="1:31">
      <c r="A249" s="39">
        <v>34</v>
      </c>
      <c r="B249" s="24">
        <v>179449</v>
      </c>
      <c r="D249" s="24">
        <v>180685</v>
      </c>
      <c r="E249" s="24">
        <v>181920</v>
      </c>
      <c r="F249" s="24">
        <v>183148</v>
      </c>
      <c r="G249" s="24">
        <v>184379</v>
      </c>
      <c r="H249" s="24">
        <v>185583</v>
      </c>
      <c r="I249" s="24">
        <v>190164</v>
      </c>
      <c r="J249" s="24">
        <v>194742</v>
      </c>
      <c r="K249" s="24">
        <v>199312</v>
      </c>
      <c r="L249" s="24">
        <v>203866</v>
      </c>
      <c r="M249" s="24">
        <v>208423</v>
      </c>
      <c r="N249" s="24">
        <v>213379</v>
      </c>
      <c r="O249" s="24">
        <v>218313</v>
      </c>
      <c r="P249" s="24">
        <v>223219</v>
      </c>
      <c r="Q249" s="24">
        <v>228091</v>
      </c>
      <c r="R249" s="24">
        <v>232940</v>
      </c>
      <c r="S249" s="24">
        <v>237625</v>
      </c>
      <c r="T249" s="24">
        <v>242267</v>
      </c>
      <c r="U249" s="24">
        <v>246862</v>
      </c>
      <c r="V249" s="24">
        <v>251409</v>
      </c>
      <c r="W249" s="24">
        <v>255897</v>
      </c>
      <c r="X249" s="24">
        <v>257564</v>
      </c>
      <c r="Y249" s="24">
        <v>259173</v>
      </c>
      <c r="Z249" s="24">
        <v>260721</v>
      </c>
      <c r="AA249" s="24">
        <v>262214</v>
      </c>
      <c r="AB249" s="24">
        <v>263633</v>
      </c>
      <c r="AC249" s="24">
        <v>263755</v>
      </c>
      <c r="AD249" s="24">
        <v>263813</v>
      </c>
      <c r="AE249" s="24"/>
    </row>
    <row r="250" spans="1:31">
      <c r="A250" s="39" t="s">
        <v>77</v>
      </c>
      <c r="B250" s="32">
        <v>0</v>
      </c>
      <c r="D250" s="32">
        <v>0</v>
      </c>
      <c r="E250" s="32">
        <v>0</v>
      </c>
      <c r="F250" s="32">
        <v>0</v>
      </c>
      <c r="G250" s="32">
        <v>0</v>
      </c>
      <c r="H250" s="32">
        <v>0</v>
      </c>
      <c r="I250" s="32">
        <v>0</v>
      </c>
      <c r="J250" s="32">
        <v>0</v>
      </c>
      <c r="K250" s="32">
        <v>0</v>
      </c>
      <c r="L250" s="32">
        <v>0</v>
      </c>
      <c r="M250" s="32">
        <v>0</v>
      </c>
      <c r="N250" s="32">
        <v>0</v>
      </c>
      <c r="O250" s="32">
        <v>0</v>
      </c>
      <c r="P250" s="32">
        <v>0</v>
      </c>
      <c r="Q250" s="32">
        <v>0</v>
      </c>
      <c r="R250" s="32">
        <v>0</v>
      </c>
      <c r="S250" s="32">
        <v>0</v>
      </c>
      <c r="T250" s="32">
        <v>0</v>
      </c>
      <c r="U250" s="32">
        <v>0</v>
      </c>
      <c r="V250" s="32">
        <v>0</v>
      </c>
      <c r="W250" s="32">
        <v>0</v>
      </c>
      <c r="X250" s="32">
        <v>0</v>
      </c>
      <c r="Y250" s="32">
        <v>0</v>
      </c>
      <c r="Z250" s="32">
        <v>0</v>
      </c>
      <c r="AA250" s="32">
        <v>0</v>
      </c>
      <c r="AB250" s="32">
        <v>0</v>
      </c>
      <c r="AC250" s="32">
        <v>0</v>
      </c>
      <c r="AD250" s="32">
        <v>0</v>
      </c>
      <c r="AE250" s="32"/>
    </row>
    <row r="251" spans="1:31">
      <c r="A251" s="39">
        <v>35</v>
      </c>
      <c r="B251" s="24">
        <v>177040</v>
      </c>
      <c r="D251" s="24">
        <v>178664</v>
      </c>
      <c r="E251" s="24">
        <v>180284</v>
      </c>
      <c r="F251" s="24">
        <v>181900</v>
      </c>
      <c r="G251" s="24">
        <v>183519</v>
      </c>
      <c r="H251" s="24">
        <v>185107</v>
      </c>
      <c r="I251" s="24">
        <v>188226</v>
      </c>
      <c r="J251" s="24">
        <v>191338</v>
      </c>
      <c r="K251" s="24">
        <v>194442</v>
      </c>
      <c r="L251" s="24">
        <v>197533</v>
      </c>
      <c r="M251" s="24">
        <v>200625</v>
      </c>
      <c r="N251" s="24">
        <v>206475</v>
      </c>
      <c r="O251" s="24">
        <v>212304</v>
      </c>
      <c r="P251" s="24">
        <v>218109</v>
      </c>
      <c r="Q251" s="24">
        <v>223877</v>
      </c>
      <c r="R251" s="24">
        <v>229623</v>
      </c>
      <c r="S251" s="24">
        <v>233831</v>
      </c>
      <c r="T251" s="24">
        <v>237994</v>
      </c>
      <c r="U251" s="24">
        <v>242113</v>
      </c>
      <c r="V251" s="24">
        <v>246184</v>
      </c>
      <c r="W251" s="24">
        <v>250201</v>
      </c>
      <c r="X251" s="24">
        <v>253147</v>
      </c>
      <c r="Y251" s="24">
        <v>256036</v>
      </c>
      <c r="Z251" s="24">
        <v>258869</v>
      </c>
      <c r="AA251" s="24">
        <v>261644</v>
      </c>
      <c r="AB251" s="24">
        <v>264343</v>
      </c>
      <c r="AC251" s="24">
        <v>264188</v>
      </c>
      <c r="AD251" s="24">
        <v>263966</v>
      </c>
      <c r="AE251" s="24"/>
    </row>
    <row r="252" spans="1:31">
      <c r="A252" s="39">
        <v>36</v>
      </c>
      <c r="B252" s="24">
        <v>174501</v>
      </c>
      <c r="D252" s="24">
        <v>176440</v>
      </c>
      <c r="E252" s="24">
        <v>178375</v>
      </c>
      <c r="F252" s="24">
        <v>180305</v>
      </c>
      <c r="G252" s="24">
        <v>182236</v>
      </c>
      <c r="H252" s="24">
        <v>184142</v>
      </c>
      <c r="I252" s="24">
        <v>186033</v>
      </c>
      <c r="J252" s="24">
        <v>187920</v>
      </c>
      <c r="K252" s="24">
        <v>189800</v>
      </c>
      <c r="L252" s="24">
        <v>191665</v>
      </c>
      <c r="M252" s="24">
        <v>193535</v>
      </c>
      <c r="N252" s="24">
        <v>200041</v>
      </c>
      <c r="O252" s="24">
        <v>206527</v>
      </c>
      <c r="P252" s="24">
        <v>212987</v>
      </c>
      <c r="Q252" s="24">
        <v>219415</v>
      </c>
      <c r="R252" s="24">
        <v>225818</v>
      </c>
      <c r="S252" s="24">
        <v>229674</v>
      </c>
      <c r="T252" s="24">
        <v>233489</v>
      </c>
      <c r="U252" s="24">
        <v>237259</v>
      </c>
      <c r="V252" s="24">
        <v>240982</v>
      </c>
      <c r="W252" s="24">
        <v>244652</v>
      </c>
      <c r="X252" s="24">
        <v>248734</v>
      </c>
      <c r="Y252" s="24">
        <v>252760</v>
      </c>
      <c r="Z252" s="24">
        <v>256728</v>
      </c>
      <c r="AA252" s="24">
        <v>260640</v>
      </c>
      <c r="AB252" s="24">
        <v>264478</v>
      </c>
      <c r="AC252" s="24">
        <v>264140</v>
      </c>
      <c r="AD252" s="24">
        <v>263737</v>
      </c>
      <c r="AE252" s="24"/>
    </row>
    <row r="253" spans="1:31">
      <c r="A253" s="39">
        <v>37</v>
      </c>
      <c r="B253" s="24">
        <v>170671</v>
      </c>
      <c r="D253" s="24">
        <v>173113</v>
      </c>
      <c r="E253" s="24">
        <v>175554</v>
      </c>
      <c r="F253" s="24">
        <v>177990</v>
      </c>
      <c r="G253" s="24">
        <v>180425</v>
      </c>
      <c r="H253" s="24">
        <v>182837</v>
      </c>
      <c r="I253" s="24">
        <v>183928</v>
      </c>
      <c r="J253" s="24">
        <v>185015</v>
      </c>
      <c r="K253" s="24">
        <v>186096</v>
      </c>
      <c r="L253" s="24">
        <v>187161</v>
      </c>
      <c r="M253" s="24">
        <v>188231</v>
      </c>
      <c r="N253" s="24">
        <v>194818</v>
      </c>
      <c r="O253" s="24">
        <v>201384</v>
      </c>
      <c r="P253" s="24">
        <v>207926</v>
      </c>
      <c r="Q253" s="24">
        <v>214436</v>
      </c>
      <c r="R253" s="24">
        <v>220922</v>
      </c>
      <c r="S253" s="24">
        <v>224739</v>
      </c>
      <c r="T253" s="24">
        <v>228515</v>
      </c>
      <c r="U253" s="24">
        <v>232248</v>
      </c>
      <c r="V253" s="24">
        <v>235934</v>
      </c>
      <c r="W253" s="24">
        <v>239569</v>
      </c>
      <c r="X253" s="24">
        <v>244386</v>
      </c>
      <c r="Y253" s="24">
        <v>249149</v>
      </c>
      <c r="Z253" s="24">
        <v>253855</v>
      </c>
      <c r="AA253" s="24">
        <v>258506</v>
      </c>
      <c r="AB253" s="24">
        <v>263082</v>
      </c>
      <c r="AC253" s="24">
        <v>262953</v>
      </c>
      <c r="AD253" s="24">
        <v>262761</v>
      </c>
      <c r="AE253" s="24"/>
    </row>
    <row r="254" spans="1:31">
      <c r="A254" s="39">
        <v>38</v>
      </c>
      <c r="B254" s="24">
        <v>165165</v>
      </c>
      <c r="D254" s="24">
        <v>168312</v>
      </c>
      <c r="E254" s="24">
        <v>171456</v>
      </c>
      <c r="F254" s="24">
        <v>174595</v>
      </c>
      <c r="G254" s="24">
        <v>177736</v>
      </c>
      <c r="H254" s="24">
        <v>180851</v>
      </c>
      <c r="I254" s="24">
        <v>181778</v>
      </c>
      <c r="J254" s="24">
        <v>182700</v>
      </c>
      <c r="K254" s="24">
        <v>183616</v>
      </c>
      <c r="L254" s="24">
        <v>184517</v>
      </c>
      <c r="M254" s="24">
        <v>185422</v>
      </c>
      <c r="N254" s="24">
        <v>191294</v>
      </c>
      <c r="O254" s="24">
        <v>197145</v>
      </c>
      <c r="P254" s="24">
        <v>202973</v>
      </c>
      <c r="Q254" s="24">
        <v>208769</v>
      </c>
      <c r="R254" s="24">
        <v>214543</v>
      </c>
      <c r="S254" s="24">
        <v>218791</v>
      </c>
      <c r="T254" s="24">
        <v>223001</v>
      </c>
      <c r="U254" s="24">
        <v>227166</v>
      </c>
      <c r="V254" s="24">
        <v>231288</v>
      </c>
      <c r="W254" s="24">
        <v>235359</v>
      </c>
      <c r="X254" s="24">
        <v>240325</v>
      </c>
      <c r="Y254" s="24">
        <v>245241</v>
      </c>
      <c r="Z254" s="24">
        <v>250100</v>
      </c>
      <c r="AA254" s="24">
        <v>254903</v>
      </c>
      <c r="AB254" s="24">
        <v>259633</v>
      </c>
      <c r="AC254" s="24">
        <v>260234</v>
      </c>
      <c r="AD254" s="24">
        <v>260772</v>
      </c>
      <c r="AE254" s="24"/>
    </row>
    <row r="255" spans="1:31">
      <c r="A255" s="39">
        <v>39</v>
      </c>
      <c r="B255" s="24">
        <v>158486</v>
      </c>
      <c r="D255" s="24">
        <v>162445</v>
      </c>
      <c r="E255" s="24">
        <v>166402</v>
      </c>
      <c r="F255" s="24">
        <v>170355</v>
      </c>
      <c r="G255" s="24">
        <v>174308</v>
      </c>
      <c r="H255" s="24">
        <v>178238</v>
      </c>
      <c r="I255" s="24">
        <v>179488</v>
      </c>
      <c r="J255" s="24">
        <v>180734</v>
      </c>
      <c r="K255" s="24">
        <v>181974</v>
      </c>
      <c r="L255" s="24">
        <v>183199</v>
      </c>
      <c r="M255" s="24">
        <v>184427</v>
      </c>
      <c r="N255" s="24">
        <v>189036</v>
      </c>
      <c r="O255" s="24">
        <v>193624</v>
      </c>
      <c r="P255" s="24">
        <v>198188</v>
      </c>
      <c r="Q255" s="24">
        <v>202723</v>
      </c>
      <c r="R255" s="24">
        <v>207235</v>
      </c>
      <c r="S255" s="24">
        <v>212211</v>
      </c>
      <c r="T255" s="24">
        <v>217150</v>
      </c>
      <c r="U255" s="24">
        <v>222048</v>
      </c>
      <c r="V255" s="24">
        <v>226902</v>
      </c>
      <c r="W255" s="24">
        <v>231705</v>
      </c>
      <c r="X255" s="24">
        <v>236402</v>
      </c>
      <c r="Y255" s="24">
        <v>241049</v>
      </c>
      <c r="Z255" s="24">
        <v>245641</v>
      </c>
      <c r="AA255" s="24">
        <v>250179</v>
      </c>
      <c r="AB255" s="24">
        <v>254644</v>
      </c>
      <c r="AC255" s="24">
        <v>256327</v>
      </c>
      <c r="AD255" s="24">
        <v>257949</v>
      </c>
      <c r="AE255" s="24"/>
    </row>
    <row r="256" spans="1:31">
      <c r="A256" s="39" t="s">
        <v>78</v>
      </c>
      <c r="B256" s="32">
        <v>0</v>
      </c>
      <c r="D256" s="32">
        <v>0</v>
      </c>
      <c r="E256" s="32">
        <v>0</v>
      </c>
      <c r="F256" s="32">
        <v>0</v>
      </c>
      <c r="G256" s="32">
        <v>0</v>
      </c>
      <c r="H256" s="32">
        <v>0</v>
      </c>
      <c r="I256" s="32">
        <v>0</v>
      </c>
      <c r="J256" s="32">
        <v>0</v>
      </c>
      <c r="K256" s="32">
        <v>0</v>
      </c>
      <c r="L256" s="32">
        <v>0</v>
      </c>
      <c r="M256" s="32">
        <v>0</v>
      </c>
      <c r="N256" s="32">
        <v>0</v>
      </c>
      <c r="O256" s="32">
        <v>0</v>
      </c>
      <c r="P256" s="32">
        <v>0</v>
      </c>
      <c r="Q256" s="32">
        <v>0</v>
      </c>
      <c r="R256" s="32">
        <v>0</v>
      </c>
      <c r="S256" s="32">
        <v>0</v>
      </c>
      <c r="T256" s="32">
        <v>0</v>
      </c>
      <c r="U256" s="32">
        <v>0</v>
      </c>
      <c r="V256" s="32">
        <v>0</v>
      </c>
      <c r="W256" s="32">
        <v>0</v>
      </c>
      <c r="X256" s="32">
        <v>0</v>
      </c>
      <c r="Y256" s="32">
        <v>0</v>
      </c>
      <c r="Z256" s="32">
        <v>0</v>
      </c>
      <c r="AA256" s="32">
        <v>0</v>
      </c>
      <c r="AB256" s="32">
        <v>0</v>
      </c>
      <c r="AC256" s="32">
        <v>0</v>
      </c>
      <c r="AD256" s="32">
        <v>0</v>
      </c>
      <c r="AE256" s="32"/>
    </row>
    <row r="257" spans="1:31">
      <c r="A257" s="39">
        <v>40</v>
      </c>
      <c r="B257" s="24">
        <v>151182</v>
      </c>
      <c r="D257" s="24">
        <v>156108</v>
      </c>
      <c r="E257" s="24">
        <v>161035</v>
      </c>
      <c r="F257" s="24">
        <v>165956</v>
      </c>
      <c r="G257" s="24">
        <v>170877</v>
      </c>
      <c r="H257" s="24">
        <v>175775</v>
      </c>
      <c r="I257" s="24">
        <v>177414</v>
      </c>
      <c r="J257" s="24">
        <v>179045</v>
      </c>
      <c r="K257" s="24">
        <v>180670</v>
      </c>
      <c r="L257" s="24">
        <v>182281</v>
      </c>
      <c r="M257" s="24">
        <v>183895</v>
      </c>
      <c r="N257" s="24">
        <v>187048</v>
      </c>
      <c r="O257" s="24">
        <v>190176</v>
      </c>
      <c r="P257" s="24">
        <v>193281</v>
      </c>
      <c r="Q257" s="24">
        <v>196360</v>
      </c>
      <c r="R257" s="24">
        <v>199417</v>
      </c>
      <c r="S257" s="24">
        <v>205280</v>
      </c>
      <c r="T257" s="24">
        <v>211107</v>
      </c>
      <c r="U257" s="24">
        <v>216894</v>
      </c>
      <c r="V257" s="24">
        <v>222639</v>
      </c>
      <c r="W257" s="24">
        <v>228331</v>
      </c>
      <c r="X257" s="24">
        <v>232553</v>
      </c>
      <c r="Y257" s="24">
        <v>236724</v>
      </c>
      <c r="Z257" s="24">
        <v>240842</v>
      </c>
      <c r="AA257" s="24">
        <v>244907</v>
      </c>
      <c r="AB257" s="24">
        <v>248901</v>
      </c>
      <c r="AC257" s="24">
        <v>251858</v>
      </c>
      <c r="AD257" s="24">
        <v>254754</v>
      </c>
      <c r="AE257" s="24"/>
    </row>
    <row r="258" spans="1:31">
      <c r="A258" s="39">
        <v>41</v>
      </c>
      <c r="B258" s="24">
        <v>144226</v>
      </c>
      <c r="D258" s="24">
        <v>150025</v>
      </c>
      <c r="E258" s="24">
        <v>155822</v>
      </c>
      <c r="F258" s="24">
        <v>161616</v>
      </c>
      <c r="G258" s="24">
        <v>167410</v>
      </c>
      <c r="H258" s="24">
        <v>173182</v>
      </c>
      <c r="I258" s="24">
        <v>175131</v>
      </c>
      <c r="J258" s="24">
        <v>177077</v>
      </c>
      <c r="K258" s="24">
        <v>179017</v>
      </c>
      <c r="L258" s="24">
        <v>180942</v>
      </c>
      <c r="M258" s="24">
        <v>182867</v>
      </c>
      <c r="N258" s="24">
        <v>184798</v>
      </c>
      <c r="O258" s="24">
        <v>186708</v>
      </c>
      <c r="P258" s="24">
        <v>188596</v>
      </c>
      <c r="Q258" s="24">
        <v>190455</v>
      </c>
      <c r="R258" s="24">
        <v>192296</v>
      </c>
      <c r="S258" s="24">
        <v>198808</v>
      </c>
      <c r="T258" s="24">
        <v>205286</v>
      </c>
      <c r="U258" s="24">
        <v>211725</v>
      </c>
      <c r="V258" s="24">
        <v>218121</v>
      </c>
      <c r="W258" s="24">
        <v>224466</v>
      </c>
      <c r="X258" s="24">
        <v>228339</v>
      </c>
      <c r="Y258" s="24">
        <v>232163</v>
      </c>
      <c r="Z258" s="24">
        <v>235933</v>
      </c>
      <c r="AA258" s="24">
        <v>239652</v>
      </c>
      <c r="AB258" s="24">
        <v>243301</v>
      </c>
      <c r="AC258" s="24">
        <v>247386</v>
      </c>
      <c r="AD258" s="24">
        <v>251413</v>
      </c>
      <c r="AE258" s="24"/>
    </row>
    <row r="259" spans="1:31">
      <c r="A259" s="39">
        <v>42</v>
      </c>
      <c r="B259" s="24">
        <v>138278</v>
      </c>
      <c r="D259" s="24">
        <v>144490</v>
      </c>
      <c r="E259" s="24">
        <v>150699</v>
      </c>
      <c r="F259" s="24">
        <v>156905</v>
      </c>
      <c r="G259" s="24">
        <v>163112</v>
      </c>
      <c r="H259" s="24">
        <v>169296</v>
      </c>
      <c r="I259" s="24">
        <v>171747</v>
      </c>
      <c r="J259" s="24">
        <v>174195</v>
      </c>
      <c r="K259" s="24">
        <v>176635</v>
      </c>
      <c r="L259" s="24">
        <v>179062</v>
      </c>
      <c r="M259" s="24">
        <v>181487</v>
      </c>
      <c r="N259" s="24">
        <v>182622</v>
      </c>
      <c r="O259" s="24">
        <v>183737</v>
      </c>
      <c r="P259" s="24">
        <v>184829</v>
      </c>
      <c r="Q259" s="24">
        <v>185892</v>
      </c>
      <c r="R259" s="24">
        <v>186939</v>
      </c>
      <c r="S259" s="24">
        <v>193529</v>
      </c>
      <c r="T259" s="24">
        <v>200086</v>
      </c>
      <c r="U259" s="24">
        <v>206605</v>
      </c>
      <c r="V259" s="24">
        <v>213083</v>
      </c>
      <c r="W259" s="24">
        <v>219510</v>
      </c>
      <c r="X259" s="24">
        <v>223342</v>
      </c>
      <c r="Y259" s="24">
        <v>227125</v>
      </c>
      <c r="Z259" s="24">
        <v>230857</v>
      </c>
      <c r="AA259" s="24">
        <v>234537</v>
      </c>
      <c r="AB259" s="24">
        <v>238151</v>
      </c>
      <c r="AC259" s="24">
        <v>242966</v>
      </c>
      <c r="AD259" s="24">
        <v>247726</v>
      </c>
      <c r="AE259" s="24"/>
    </row>
    <row r="260" spans="1:31">
      <c r="A260" s="39">
        <v>43</v>
      </c>
      <c r="B260" s="24">
        <v>133863</v>
      </c>
      <c r="D260" s="24">
        <v>139847</v>
      </c>
      <c r="E260" s="24">
        <v>145827</v>
      </c>
      <c r="F260" s="24">
        <v>151804</v>
      </c>
      <c r="G260" s="24">
        <v>157783</v>
      </c>
      <c r="H260" s="24">
        <v>163740</v>
      </c>
      <c r="I260" s="24">
        <v>166886</v>
      </c>
      <c r="J260" s="24">
        <v>170028</v>
      </c>
      <c r="K260" s="24">
        <v>173165</v>
      </c>
      <c r="L260" s="24">
        <v>176288</v>
      </c>
      <c r="M260" s="24">
        <v>179410</v>
      </c>
      <c r="N260" s="24">
        <v>180381</v>
      </c>
      <c r="O260" s="24">
        <v>181332</v>
      </c>
      <c r="P260" s="24">
        <v>182261</v>
      </c>
      <c r="Q260" s="24">
        <v>183161</v>
      </c>
      <c r="R260" s="24">
        <v>184046</v>
      </c>
      <c r="S260" s="24">
        <v>189925</v>
      </c>
      <c r="T260" s="24">
        <v>195772</v>
      </c>
      <c r="U260" s="24">
        <v>201582</v>
      </c>
      <c r="V260" s="24">
        <v>207351</v>
      </c>
      <c r="W260" s="24">
        <v>213072</v>
      </c>
      <c r="X260" s="24">
        <v>217329</v>
      </c>
      <c r="Y260" s="24">
        <v>221539</v>
      </c>
      <c r="Z260" s="24">
        <v>225699</v>
      </c>
      <c r="AA260" s="24">
        <v>229809</v>
      </c>
      <c r="AB260" s="24">
        <v>233853</v>
      </c>
      <c r="AC260" s="24">
        <v>238818</v>
      </c>
      <c r="AD260" s="24">
        <v>243728</v>
      </c>
      <c r="AE260" s="24"/>
    </row>
    <row r="261" spans="1:31">
      <c r="A261" s="39">
        <v>44</v>
      </c>
      <c r="B261" s="24">
        <v>130552</v>
      </c>
      <c r="D261" s="24">
        <v>135851</v>
      </c>
      <c r="E261" s="24">
        <v>141148</v>
      </c>
      <c r="F261" s="24">
        <v>146442</v>
      </c>
      <c r="G261" s="24">
        <v>151737</v>
      </c>
      <c r="H261" s="24">
        <v>157010</v>
      </c>
      <c r="I261" s="24">
        <v>160958</v>
      </c>
      <c r="J261" s="24">
        <v>164903</v>
      </c>
      <c r="K261" s="24">
        <v>168842</v>
      </c>
      <c r="L261" s="24">
        <v>172768</v>
      </c>
      <c r="M261" s="24">
        <v>176692</v>
      </c>
      <c r="N261" s="24">
        <v>177986</v>
      </c>
      <c r="O261" s="24">
        <v>179260</v>
      </c>
      <c r="P261" s="24">
        <v>180512</v>
      </c>
      <c r="Q261" s="24">
        <v>181736</v>
      </c>
      <c r="R261" s="24">
        <v>182943</v>
      </c>
      <c r="S261" s="24">
        <v>187568</v>
      </c>
      <c r="T261" s="24">
        <v>192160</v>
      </c>
      <c r="U261" s="24">
        <v>196716</v>
      </c>
      <c r="V261" s="24">
        <v>201232</v>
      </c>
      <c r="W261" s="24">
        <v>205701</v>
      </c>
      <c r="X261" s="24">
        <v>210679</v>
      </c>
      <c r="Y261" s="24">
        <v>215610</v>
      </c>
      <c r="Z261" s="24">
        <v>220493</v>
      </c>
      <c r="AA261" s="24">
        <v>225327</v>
      </c>
      <c r="AB261" s="24">
        <v>230095</v>
      </c>
      <c r="AC261" s="24">
        <v>234792</v>
      </c>
      <c r="AD261" s="24">
        <v>239436</v>
      </c>
      <c r="AE261" s="24"/>
    </row>
    <row r="262" spans="1:31">
      <c r="A262" s="39" t="s">
        <v>79</v>
      </c>
      <c r="B262" s="32">
        <v>0</v>
      </c>
      <c r="D262" s="32">
        <v>0</v>
      </c>
      <c r="E262" s="32">
        <v>0</v>
      </c>
      <c r="F262" s="32">
        <v>0</v>
      </c>
      <c r="G262" s="32">
        <v>0</v>
      </c>
      <c r="H262" s="32">
        <v>0</v>
      </c>
      <c r="I262" s="32">
        <v>0</v>
      </c>
      <c r="J262" s="32">
        <v>0</v>
      </c>
      <c r="K262" s="32">
        <v>0</v>
      </c>
      <c r="L262" s="32">
        <v>0</v>
      </c>
      <c r="M262" s="32">
        <v>0</v>
      </c>
      <c r="N262" s="32">
        <v>0</v>
      </c>
      <c r="O262" s="32">
        <v>0</v>
      </c>
      <c r="P262" s="32">
        <v>0</v>
      </c>
      <c r="Q262" s="32">
        <v>0</v>
      </c>
      <c r="R262" s="32">
        <v>0</v>
      </c>
      <c r="S262" s="32">
        <v>0</v>
      </c>
      <c r="T262" s="32">
        <v>0</v>
      </c>
      <c r="U262" s="32">
        <v>0</v>
      </c>
      <c r="V262" s="32">
        <v>0</v>
      </c>
      <c r="W262" s="32">
        <v>0</v>
      </c>
      <c r="X262" s="32">
        <v>0</v>
      </c>
      <c r="Y262" s="32">
        <v>0</v>
      </c>
      <c r="Z262" s="32">
        <v>0</v>
      </c>
      <c r="AA262" s="32">
        <v>0</v>
      </c>
      <c r="AB262" s="32">
        <v>0</v>
      </c>
      <c r="AC262" s="32">
        <v>0</v>
      </c>
      <c r="AD262" s="32">
        <v>0</v>
      </c>
      <c r="AE262" s="32"/>
    </row>
    <row r="263" spans="1:31">
      <c r="A263" s="39">
        <v>45</v>
      </c>
      <c r="B263" s="24">
        <v>127521</v>
      </c>
      <c r="D263" s="24">
        <v>131954</v>
      </c>
      <c r="E263" s="24">
        <v>136386</v>
      </c>
      <c r="F263" s="24">
        <v>140814</v>
      </c>
      <c r="G263" s="24">
        <v>145246</v>
      </c>
      <c r="H263" s="24">
        <v>149654</v>
      </c>
      <c r="I263" s="24">
        <v>154558</v>
      </c>
      <c r="J263" s="24">
        <v>159459</v>
      </c>
      <c r="K263" s="24">
        <v>164354</v>
      </c>
      <c r="L263" s="24">
        <v>169236</v>
      </c>
      <c r="M263" s="24">
        <v>174116</v>
      </c>
      <c r="N263" s="24">
        <v>175796</v>
      </c>
      <c r="O263" s="24">
        <v>177455</v>
      </c>
      <c r="P263" s="24">
        <v>179091</v>
      </c>
      <c r="Q263" s="24">
        <v>180702</v>
      </c>
      <c r="R263" s="24">
        <v>182296</v>
      </c>
      <c r="S263" s="24">
        <v>185472</v>
      </c>
      <c r="T263" s="24">
        <v>188615</v>
      </c>
      <c r="U263" s="24">
        <v>191723</v>
      </c>
      <c r="V263" s="24">
        <v>194792</v>
      </c>
      <c r="W263" s="24">
        <v>197817</v>
      </c>
      <c r="X263" s="24">
        <v>203669</v>
      </c>
      <c r="Y263" s="24">
        <v>209479</v>
      </c>
      <c r="Z263" s="24">
        <v>215243</v>
      </c>
      <c r="AA263" s="24">
        <v>220957</v>
      </c>
      <c r="AB263" s="24">
        <v>226606</v>
      </c>
      <c r="AC263" s="24">
        <v>230830</v>
      </c>
      <c r="AD263" s="24">
        <v>235000</v>
      </c>
      <c r="AE263" s="24"/>
    </row>
    <row r="264" spans="1:31">
      <c r="A264" s="39">
        <v>46</v>
      </c>
      <c r="B264" s="24">
        <v>124089</v>
      </c>
      <c r="D264" s="24">
        <v>127808</v>
      </c>
      <c r="E264" s="24">
        <v>131524</v>
      </c>
      <c r="F264" s="24">
        <v>135237</v>
      </c>
      <c r="G264" s="24">
        <v>138950</v>
      </c>
      <c r="H264" s="24">
        <v>142643</v>
      </c>
      <c r="I264" s="24">
        <v>148407</v>
      </c>
      <c r="J264" s="24">
        <v>154168</v>
      </c>
      <c r="K264" s="24">
        <v>159924</v>
      </c>
      <c r="L264" s="24">
        <v>165668</v>
      </c>
      <c r="M264" s="24">
        <v>171411</v>
      </c>
      <c r="N264" s="24">
        <v>173401</v>
      </c>
      <c r="O264" s="24">
        <v>175372</v>
      </c>
      <c r="P264" s="24">
        <v>177321</v>
      </c>
      <c r="Q264" s="24">
        <v>179244</v>
      </c>
      <c r="R264" s="24">
        <v>181148</v>
      </c>
      <c r="S264" s="24">
        <v>183114</v>
      </c>
      <c r="T264" s="24">
        <v>185046</v>
      </c>
      <c r="U264" s="24">
        <v>186942</v>
      </c>
      <c r="V264" s="24">
        <v>188802</v>
      </c>
      <c r="W264" s="24">
        <v>190619</v>
      </c>
      <c r="X264" s="24">
        <v>197112</v>
      </c>
      <c r="Y264" s="24">
        <v>203564</v>
      </c>
      <c r="Z264" s="24">
        <v>209970</v>
      </c>
      <c r="AA264" s="24">
        <v>216329</v>
      </c>
      <c r="AB264" s="24">
        <v>222624</v>
      </c>
      <c r="AC264" s="24">
        <v>226501</v>
      </c>
      <c r="AD264" s="24">
        <v>230325</v>
      </c>
      <c r="AE264" s="24"/>
    </row>
    <row r="265" spans="1:31">
      <c r="A265" s="39">
        <v>47</v>
      </c>
      <c r="B265" s="24">
        <v>120275</v>
      </c>
      <c r="D265" s="24">
        <v>123553</v>
      </c>
      <c r="E265" s="24">
        <v>126830</v>
      </c>
      <c r="F265" s="24">
        <v>130103</v>
      </c>
      <c r="G265" s="24">
        <v>133376</v>
      </c>
      <c r="H265" s="24">
        <v>136629</v>
      </c>
      <c r="I265" s="24">
        <v>142800</v>
      </c>
      <c r="J265" s="24">
        <v>148967</v>
      </c>
      <c r="K265" s="24">
        <v>155129</v>
      </c>
      <c r="L265" s="24">
        <v>161279</v>
      </c>
      <c r="M265" s="24">
        <v>167429</v>
      </c>
      <c r="N265" s="24">
        <v>169914</v>
      </c>
      <c r="O265" s="24">
        <v>172380</v>
      </c>
      <c r="P265" s="24">
        <v>174825</v>
      </c>
      <c r="Q265" s="24">
        <v>177243</v>
      </c>
      <c r="R265" s="24">
        <v>179645</v>
      </c>
      <c r="S265" s="24">
        <v>180821</v>
      </c>
      <c r="T265" s="24">
        <v>181961</v>
      </c>
      <c r="U265" s="24">
        <v>183067</v>
      </c>
      <c r="V265" s="24">
        <v>184137</v>
      </c>
      <c r="W265" s="24">
        <v>185167</v>
      </c>
      <c r="X265" s="24">
        <v>191735</v>
      </c>
      <c r="Y265" s="24">
        <v>198264</v>
      </c>
      <c r="Z265" s="24">
        <v>204748</v>
      </c>
      <c r="AA265" s="24">
        <v>211188</v>
      </c>
      <c r="AB265" s="24">
        <v>217562</v>
      </c>
      <c r="AC265" s="24">
        <v>221396</v>
      </c>
      <c r="AD265" s="24">
        <v>225179</v>
      </c>
      <c r="AE265" s="24"/>
    </row>
    <row r="266" spans="1:31">
      <c r="A266" s="39">
        <v>48</v>
      </c>
      <c r="B266" s="24">
        <v>115834</v>
      </c>
      <c r="D266" s="24">
        <v>119100</v>
      </c>
      <c r="E266" s="24">
        <v>122367</v>
      </c>
      <c r="F266" s="24">
        <v>125630</v>
      </c>
      <c r="G266" s="24">
        <v>128893</v>
      </c>
      <c r="H266" s="24">
        <v>132137</v>
      </c>
      <c r="I266" s="24">
        <v>138080</v>
      </c>
      <c r="J266" s="24">
        <v>144019</v>
      </c>
      <c r="K266" s="24">
        <v>149953</v>
      </c>
      <c r="L266" s="24">
        <v>155875</v>
      </c>
      <c r="M266" s="24">
        <v>161799</v>
      </c>
      <c r="N266" s="24">
        <v>164968</v>
      </c>
      <c r="O266" s="24">
        <v>168119</v>
      </c>
      <c r="P266" s="24">
        <v>171250</v>
      </c>
      <c r="Q266" s="24">
        <v>174354</v>
      </c>
      <c r="R266" s="24">
        <v>177441</v>
      </c>
      <c r="S266" s="24">
        <v>178454</v>
      </c>
      <c r="T266" s="24">
        <v>179433</v>
      </c>
      <c r="U266" s="24">
        <v>180377</v>
      </c>
      <c r="V266" s="24">
        <v>181286</v>
      </c>
      <c r="W266" s="24">
        <v>182156</v>
      </c>
      <c r="X266" s="24">
        <v>188020</v>
      </c>
      <c r="Y266" s="24">
        <v>193845</v>
      </c>
      <c r="Z266" s="24">
        <v>199626</v>
      </c>
      <c r="AA266" s="24">
        <v>205363</v>
      </c>
      <c r="AB266" s="24">
        <v>211039</v>
      </c>
      <c r="AC266" s="24">
        <v>215290</v>
      </c>
      <c r="AD266" s="24">
        <v>219491</v>
      </c>
      <c r="AE266" s="24"/>
    </row>
    <row r="267" spans="1:31">
      <c r="A267" s="39">
        <v>49</v>
      </c>
      <c r="B267" s="24">
        <v>110924</v>
      </c>
      <c r="D267" s="24">
        <v>114494</v>
      </c>
      <c r="E267" s="24">
        <v>118061</v>
      </c>
      <c r="F267" s="24">
        <v>121626</v>
      </c>
      <c r="G267" s="24">
        <v>125191</v>
      </c>
      <c r="H267" s="24">
        <v>128739</v>
      </c>
      <c r="I267" s="24">
        <v>134003</v>
      </c>
      <c r="J267" s="24">
        <v>139264</v>
      </c>
      <c r="K267" s="24">
        <v>144520</v>
      </c>
      <c r="L267" s="24">
        <v>149765</v>
      </c>
      <c r="M267" s="24">
        <v>155011</v>
      </c>
      <c r="N267" s="24">
        <v>158967</v>
      </c>
      <c r="O267" s="24">
        <v>162906</v>
      </c>
      <c r="P267" s="24">
        <v>166826</v>
      </c>
      <c r="Q267" s="24">
        <v>170719</v>
      </c>
      <c r="R267" s="24">
        <v>174596</v>
      </c>
      <c r="S267" s="24">
        <v>175928</v>
      </c>
      <c r="T267" s="24">
        <v>177229</v>
      </c>
      <c r="U267" s="24">
        <v>178494</v>
      </c>
      <c r="V267" s="24">
        <v>179724</v>
      </c>
      <c r="W267" s="24">
        <v>180917</v>
      </c>
      <c r="X267" s="24">
        <v>185539</v>
      </c>
      <c r="Y267" s="24">
        <v>190121</v>
      </c>
      <c r="Z267" s="24">
        <v>194659</v>
      </c>
      <c r="AA267" s="24">
        <v>199156</v>
      </c>
      <c r="AB267" s="24">
        <v>203593</v>
      </c>
      <c r="AC267" s="24">
        <v>208552</v>
      </c>
      <c r="AD267" s="24">
        <v>213464</v>
      </c>
      <c r="AE267" s="24"/>
    </row>
    <row r="268" spans="1:31">
      <c r="A268" s="37" t="s">
        <v>80</v>
      </c>
      <c r="B268" s="32">
        <v>0</v>
      </c>
      <c r="D268" s="32">
        <v>0</v>
      </c>
      <c r="E268" s="32">
        <v>0</v>
      </c>
      <c r="F268" s="32">
        <v>0</v>
      </c>
      <c r="G268" s="32">
        <v>0</v>
      </c>
      <c r="H268" s="32">
        <v>0</v>
      </c>
      <c r="I268" s="32">
        <v>0</v>
      </c>
      <c r="J268" s="32">
        <v>0</v>
      </c>
      <c r="K268" s="32">
        <v>0</v>
      </c>
      <c r="L268" s="32">
        <v>0</v>
      </c>
      <c r="M268" s="32">
        <v>0</v>
      </c>
      <c r="N268" s="32">
        <v>0</v>
      </c>
      <c r="O268" s="32">
        <v>0</v>
      </c>
      <c r="P268" s="32">
        <v>0</v>
      </c>
      <c r="Q268" s="32">
        <v>0</v>
      </c>
      <c r="R268" s="32">
        <v>0</v>
      </c>
      <c r="S268" s="32">
        <v>0</v>
      </c>
      <c r="T268" s="32">
        <v>0</v>
      </c>
      <c r="U268" s="32">
        <v>0</v>
      </c>
      <c r="V268" s="32">
        <v>0</v>
      </c>
      <c r="W268" s="32">
        <v>0</v>
      </c>
      <c r="X268" s="32">
        <v>0</v>
      </c>
      <c r="Y268" s="32">
        <v>0</v>
      </c>
      <c r="Z268" s="32">
        <v>0</v>
      </c>
      <c r="AA268" s="32">
        <v>0</v>
      </c>
      <c r="AB268" s="32">
        <v>0</v>
      </c>
      <c r="AC268" s="32">
        <v>0</v>
      </c>
      <c r="AD268" s="32">
        <v>0</v>
      </c>
      <c r="AE268" s="32"/>
    </row>
    <row r="269" spans="1:31">
      <c r="A269" s="38">
        <v>50</v>
      </c>
      <c r="B269" s="24">
        <v>106027</v>
      </c>
      <c r="D269" s="24">
        <v>109949</v>
      </c>
      <c r="E269" s="24">
        <v>113871</v>
      </c>
      <c r="F269" s="24">
        <v>117792</v>
      </c>
      <c r="G269" s="24">
        <v>121712</v>
      </c>
      <c r="H269" s="24">
        <v>125616</v>
      </c>
      <c r="I269" s="24">
        <v>130024</v>
      </c>
      <c r="J269" s="24">
        <v>134425</v>
      </c>
      <c r="K269" s="24">
        <v>138826</v>
      </c>
      <c r="L269" s="24">
        <v>143213</v>
      </c>
      <c r="M269" s="24">
        <v>147601</v>
      </c>
      <c r="N269" s="24">
        <v>152494</v>
      </c>
      <c r="O269" s="24">
        <v>157372</v>
      </c>
      <c r="P269" s="24">
        <v>162232</v>
      </c>
      <c r="Q269" s="24">
        <v>167065</v>
      </c>
      <c r="R269" s="24">
        <v>171881</v>
      </c>
      <c r="S269" s="24">
        <v>173597</v>
      </c>
      <c r="T269" s="24">
        <v>175281</v>
      </c>
      <c r="U269" s="24">
        <v>176930</v>
      </c>
      <c r="V269" s="24">
        <v>178546</v>
      </c>
      <c r="W269" s="24">
        <v>180122</v>
      </c>
      <c r="X269" s="24">
        <v>183310</v>
      </c>
      <c r="Y269" s="24">
        <v>186457</v>
      </c>
      <c r="Z269" s="24">
        <v>189562</v>
      </c>
      <c r="AA269" s="24">
        <v>192625</v>
      </c>
      <c r="AB269" s="24">
        <v>195630</v>
      </c>
      <c r="AC269" s="24">
        <v>201453</v>
      </c>
      <c r="AD269" s="24">
        <v>207228</v>
      </c>
      <c r="AE269" s="24"/>
    </row>
    <row r="270" spans="1:31">
      <c r="A270" s="38">
        <v>51</v>
      </c>
      <c r="B270" s="24">
        <v>101286</v>
      </c>
      <c r="D270" s="24">
        <v>105454</v>
      </c>
      <c r="E270" s="24">
        <v>109620</v>
      </c>
      <c r="F270" s="24">
        <v>113783</v>
      </c>
      <c r="G270" s="24">
        <v>117946</v>
      </c>
      <c r="H270" s="24">
        <v>122096</v>
      </c>
      <c r="I270" s="24">
        <v>125790</v>
      </c>
      <c r="J270" s="24">
        <v>129483</v>
      </c>
      <c r="K270" s="24">
        <v>133169</v>
      </c>
      <c r="L270" s="24">
        <v>136846</v>
      </c>
      <c r="M270" s="24">
        <v>140524</v>
      </c>
      <c r="N270" s="24">
        <v>146262</v>
      </c>
      <c r="O270" s="24">
        <v>151984</v>
      </c>
      <c r="P270" s="24">
        <v>157689</v>
      </c>
      <c r="Q270" s="24">
        <v>163369</v>
      </c>
      <c r="R270" s="24">
        <v>169032</v>
      </c>
      <c r="S270" s="24">
        <v>171057</v>
      </c>
      <c r="T270" s="24">
        <v>173051</v>
      </c>
      <c r="U270" s="24">
        <v>175011</v>
      </c>
      <c r="V270" s="24">
        <v>176937</v>
      </c>
      <c r="W270" s="24">
        <v>178826</v>
      </c>
      <c r="X270" s="24">
        <v>180811</v>
      </c>
      <c r="Y270" s="24">
        <v>182757</v>
      </c>
      <c r="Z270" s="24">
        <v>184660</v>
      </c>
      <c r="AA270" s="24">
        <v>186523</v>
      </c>
      <c r="AB270" s="24">
        <v>188334</v>
      </c>
      <c r="AC270" s="24">
        <v>194783</v>
      </c>
      <c r="AD270" s="24">
        <v>201190</v>
      </c>
      <c r="AE270" s="24"/>
    </row>
    <row r="271" spans="1:31">
      <c r="A271" s="38">
        <v>52</v>
      </c>
      <c r="B271" s="24">
        <v>96417</v>
      </c>
      <c r="D271" s="24">
        <v>100777</v>
      </c>
      <c r="E271" s="24">
        <v>105136</v>
      </c>
      <c r="F271" s="24">
        <v>109491</v>
      </c>
      <c r="G271" s="24">
        <v>113848</v>
      </c>
      <c r="H271" s="24">
        <v>118192</v>
      </c>
      <c r="I271" s="24">
        <v>121447</v>
      </c>
      <c r="J271" s="24">
        <v>124700</v>
      </c>
      <c r="K271" s="24">
        <v>127948</v>
      </c>
      <c r="L271" s="24">
        <v>131186</v>
      </c>
      <c r="M271" s="24">
        <v>134427</v>
      </c>
      <c r="N271" s="24">
        <v>140561</v>
      </c>
      <c r="O271" s="24">
        <v>146681</v>
      </c>
      <c r="P271" s="24">
        <v>152783</v>
      </c>
      <c r="Q271" s="24">
        <v>158862</v>
      </c>
      <c r="R271" s="24">
        <v>164924</v>
      </c>
      <c r="S271" s="24">
        <v>167436</v>
      </c>
      <c r="T271" s="24">
        <v>169916</v>
      </c>
      <c r="U271" s="24">
        <v>172365</v>
      </c>
      <c r="V271" s="24">
        <v>174779</v>
      </c>
      <c r="W271" s="24">
        <v>177158</v>
      </c>
      <c r="X271" s="24">
        <v>178360</v>
      </c>
      <c r="Y271" s="24">
        <v>179522</v>
      </c>
      <c r="Z271" s="24">
        <v>180642</v>
      </c>
      <c r="AA271" s="24">
        <v>181723</v>
      </c>
      <c r="AB271" s="24">
        <v>182754</v>
      </c>
      <c r="AC271" s="24">
        <v>189277</v>
      </c>
      <c r="AD271" s="24">
        <v>195757</v>
      </c>
      <c r="AE271" s="24"/>
    </row>
    <row r="272" spans="1:31">
      <c r="A272" s="38">
        <v>53</v>
      </c>
      <c r="B272" s="24">
        <v>91407</v>
      </c>
      <c r="D272" s="24">
        <v>95864</v>
      </c>
      <c r="E272" s="24">
        <v>100318</v>
      </c>
      <c r="F272" s="24">
        <v>104770</v>
      </c>
      <c r="G272" s="24">
        <v>109223</v>
      </c>
      <c r="H272" s="24">
        <v>113663</v>
      </c>
      <c r="I272" s="24">
        <v>116904</v>
      </c>
      <c r="J272" s="24">
        <v>120142</v>
      </c>
      <c r="K272" s="24">
        <v>123375</v>
      </c>
      <c r="L272" s="24">
        <v>126599</v>
      </c>
      <c r="M272" s="24">
        <v>129825</v>
      </c>
      <c r="N272" s="24">
        <v>135732</v>
      </c>
      <c r="O272" s="24">
        <v>141624</v>
      </c>
      <c r="P272" s="24">
        <v>147499</v>
      </c>
      <c r="Q272" s="24">
        <v>153352</v>
      </c>
      <c r="R272" s="24">
        <v>159190</v>
      </c>
      <c r="S272" s="24">
        <v>162369</v>
      </c>
      <c r="T272" s="24">
        <v>165520</v>
      </c>
      <c r="U272" s="24">
        <v>168640</v>
      </c>
      <c r="V272" s="24">
        <v>171725</v>
      </c>
      <c r="W272" s="24">
        <v>174775</v>
      </c>
      <c r="X272" s="24">
        <v>175817</v>
      </c>
      <c r="Y272" s="24">
        <v>176819</v>
      </c>
      <c r="Z272" s="24">
        <v>177780</v>
      </c>
      <c r="AA272" s="24">
        <v>178703</v>
      </c>
      <c r="AB272" s="24">
        <v>179577</v>
      </c>
      <c r="AC272" s="24">
        <v>185403</v>
      </c>
      <c r="AD272" s="24">
        <v>191189</v>
      </c>
      <c r="AE272" s="24"/>
    </row>
    <row r="273" spans="1:31">
      <c r="A273" s="38">
        <v>54</v>
      </c>
      <c r="B273" s="24">
        <v>86346</v>
      </c>
      <c r="D273" s="24">
        <v>90816</v>
      </c>
      <c r="E273" s="24">
        <v>95285</v>
      </c>
      <c r="F273" s="24">
        <v>99750</v>
      </c>
      <c r="G273" s="24">
        <v>104217</v>
      </c>
      <c r="H273" s="24">
        <v>108671</v>
      </c>
      <c r="I273" s="24">
        <v>112204</v>
      </c>
      <c r="J273" s="24">
        <v>115735</v>
      </c>
      <c r="K273" s="24">
        <v>119261</v>
      </c>
      <c r="L273" s="24">
        <v>122778</v>
      </c>
      <c r="M273" s="24">
        <v>126298</v>
      </c>
      <c r="N273" s="24">
        <v>131532</v>
      </c>
      <c r="O273" s="24">
        <v>136753</v>
      </c>
      <c r="P273" s="24">
        <v>141958</v>
      </c>
      <c r="Q273" s="24">
        <v>147141</v>
      </c>
      <c r="R273" s="24">
        <v>152309</v>
      </c>
      <c r="S273" s="24">
        <v>156256</v>
      </c>
      <c r="T273" s="24">
        <v>160175</v>
      </c>
      <c r="U273" s="24">
        <v>164064</v>
      </c>
      <c r="V273" s="24">
        <v>167920</v>
      </c>
      <c r="W273" s="24">
        <v>171740</v>
      </c>
      <c r="X273" s="24">
        <v>173100</v>
      </c>
      <c r="Y273" s="24">
        <v>174420</v>
      </c>
      <c r="Z273" s="24">
        <v>175702</v>
      </c>
      <c r="AA273" s="24">
        <v>176945</v>
      </c>
      <c r="AB273" s="24">
        <v>178138</v>
      </c>
      <c r="AC273" s="24">
        <v>182738</v>
      </c>
      <c r="AD273" s="24">
        <v>187298</v>
      </c>
      <c r="AE273" s="24"/>
    </row>
    <row r="274" spans="1:31">
      <c r="A274" s="37" t="s">
        <v>81</v>
      </c>
      <c r="B274" s="32">
        <v>0</v>
      </c>
      <c r="D274" s="32">
        <v>0</v>
      </c>
      <c r="E274" s="32">
        <v>0</v>
      </c>
      <c r="F274" s="32">
        <v>0</v>
      </c>
      <c r="G274" s="32">
        <v>0</v>
      </c>
      <c r="H274" s="32">
        <v>0</v>
      </c>
      <c r="I274" s="32">
        <v>0</v>
      </c>
      <c r="J274" s="32">
        <v>0</v>
      </c>
      <c r="K274" s="32">
        <v>0</v>
      </c>
      <c r="L274" s="32">
        <v>0</v>
      </c>
      <c r="M274" s="32">
        <v>0</v>
      </c>
      <c r="N274" s="32">
        <v>0</v>
      </c>
      <c r="O274" s="32">
        <v>0</v>
      </c>
      <c r="P274" s="32">
        <v>0</v>
      </c>
      <c r="Q274" s="32">
        <v>0</v>
      </c>
      <c r="R274" s="32">
        <v>0</v>
      </c>
      <c r="S274" s="32">
        <v>0</v>
      </c>
      <c r="T274" s="32">
        <v>0</v>
      </c>
      <c r="U274" s="32">
        <v>0</v>
      </c>
      <c r="V274" s="32">
        <v>0</v>
      </c>
      <c r="W274" s="32">
        <v>0</v>
      </c>
      <c r="X274" s="32">
        <v>0</v>
      </c>
      <c r="Y274" s="32">
        <v>0</v>
      </c>
      <c r="Z274" s="32">
        <v>0</v>
      </c>
      <c r="AA274" s="32">
        <v>0</v>
      </c>
      <c r="AB274" s="32">
        <v>0</v>
      </c>
      <c r="AC274" s="32">
        <v>0</v>
      </c>
      <c r="AD274" s="32">
        <v>0</v>
      </c>
      <c r="AE274" s="32"/>
    </row>
    <row r="275" spans="1:31">
      <c r="A275" s="38">
        <v>55</v>
      </c>
      <c r="B275" s="24">
        <v>81300</v>
      </c>
      <c r="D275" s="24">
        <v>85781</v>
      </c>
      <c r="E275" s="24">
        <v>90262</v>
      </c>
      <c r="F275" s="24">
        <v>94740</v>
      </c>
      <c r="G275" s="24">
        <v>99220</v>
      </c>
      <c r="H275" s="24">
        <v>103684</v>
      </c>
      <c r="I275" s="24">
        <v>107563</v>
      </c>
      <c r="J275" s="24">
        <v>111441</v>
      </c>
      <c r="K275" s="24">
        <v>115310</v>
      </c>
      <c r="L275" s="24">
        <v>119175</v>
      </c>
      <c r="M275" s="24">
        <v>123039</v>
      </c>
      <c r="N275" s="24">
        <v>127425</v>
      </c>
      <c r="O275" s="24">
        <v>131798</v>
      </c>
      <c r="P275" s="24">
        <v>136155</v>
      </c>
      <c r="Q275" s="24">
        <v>140491</v>
      </c>
      <c r="R275" s="24">
        <v>144815</v>
      </c>
      <c r="S275" s="24">
        <v>149674</v>
      </c>
      <c r="T275" s="24">
        <v>154507</v>
      </c>
      <c r="U275" s="24">
        <v>159312</v>
      </c>
      <c r="V275" s="24">
        <v>164086</v>
      </c>
      <c r="W275" s="24">
        <v>168820</v>
      </c>
      <c r="X275" s="24">
        <v>170564</v>
      </c>
      <c r="Y275" s="24">
        <v>172268</v>
      </c>
      <c r="Z275" s="24">
        <v>173931</v>
      </c>
      <c r="AA275" s="24">
        <v>175557</v>
      </c>
      <c r="AB275" s="24">
        <v>177135</v>
      </c>
      <c r="AC275" s="24">
        <v>180320</v>
      </c>
      <c r="AD275" s="24">
        <v>183459</v>
      </c>
      <c r="AE275" s="24"/>
    </row>
    <row r="276" spans="1:31">
      <c r="A276" s="38">
        <v>56</v>
      </c>
      <c r="B276" s="24">
        <v>76434</v>
      </c>
      <c r="D276" s="24">
        <v>80924</v>
      </c>
      <c r="E276" s="24">
        <v>85412</v>
      </c>
      <c r="F276" s="24">
        <v>89899</v>
      </c>
      <c r="G276" s="24">
        <v>94386</v>
      </c>
      <c r="H276" s="24">
        <v>98859</v>
      </c>
      <c r="I276" s="24">
        <v>102971</v>
      </c>
      <c r="J276" s="24">
        <v>107082</v>
      </c>
      <c r="K276" s="24">
        <v>111188</v>
      </c>
      <c r="L276" s="24">
        <v>115286</v>
      </c>
      <c r="M276" s="24">
        <v>119386</v>
      </c>
      <c r="N276" s="24">
        <v>123066</v>
      </c>
      <c r="O276" s="24">
        <v>126733</v>
      </c>
      <c r="P276" s="24">
        <v>130385</v>
      </c>
      <c r="Q276" s="24">
        <v>134017</v>
      </c>
      <c r="R276" s="24">
        <v>137637</v>
      </c>
      <c r="S276" s="24">
        <v>143318</v>
      </c>
      <c r="T276" s="24">
        <v>148975</v>
      </c>
      <c r="U276" s="24">
        <v>154604</v>
      </c>
      <c r="V276" s="24">
        <v>160202</v>
      </c>
      <c r="W276" s="24">
        <v>165765</v>
      </c>
      <c r="X276" s="24">
        <v>167814</v>
      </c>
      <c r="Y276" s="24">
        <v>169825</v>
      </c>
      <c r="Z276" s="24">
        <v>171798</v>
      </c>
      <c r="AA276" s="24">
        <v>173734</v>
      </c>
      <c r="AB276" s="24">
        <v>175618</v>
      </c>
      <c r="AC276" s="24">
        <v>177615</v>
      </c>
      <c r="AD276" s="24">
        <v>179571</v>
      </c>
      <c r="AE276" s="24"/>
    </row>
    <row r="277" spans="1:31">
      <c r="A277" s="38">
        <v>57</v>
      </c>
      <c r="B277" s="24">
        <v>71909</v>
      </c>
      <c r="D277" s="24">
        <v>76313</v>
      </c>
      <c r="E277" s="24">
        <v>80716</v>
      </c>
      <c r="F277" s="24">
        <v>85116</v>
      </c>
      <c r="G277" s="24">
        <v>89517</v>
      </c>
      <c r="H277" s="24">
        <v>93905</v>
      </c>
      <c r="I277" s="24">
        <v>98200</v>
      </c>
      <c r="J277" s="24">
        <v>102492</v>
      </c>
      <c r="K277" s="24">
        <v>106782</v>
      </c>
      <c r="L277" s="24">
        <v>111062</v>
      </c>
      <c r="M277" s="24">
        <v>115344</v>
      </c>
      <c r="N277" s="24">
        <v>118586</v>
      </c>
      <c r="O277" s="24">
        <v>121815</v>
      </c>
      <c r="P277" s="24">
        <v>125029</v>
      </c>
      <c r="Q277" s="24">
        <v>128224</v>
      </c>
      <c r="R277" s="24">
        <v>131407</v>
      </c>
      <c r="S277" s="24">
        <v>137472</v>
      </c>
      <c r="T277" s="24">
        <v>143514</v>
      </c>
      <c r="U277" s="24">
        <v>149529</v>
      </c>
      <c r="V277" s="24">
        <v>155514</v>
      </c>
      <c r="W277" s="24">
        <v>161464</v>
      </c>
      <c r="X277" s="24">
        <v>163988</v>
      </c>
      <c r="Y277" s="24">
        <v>166476</v>
      </c>
      <c r="Z277" s="24">
        <v>168927</v>
      </c>
      <c r="AA277" s="24">
        <v>171341</v>
      </c>
      <c r="AB277" s="24">
        <v>173705</v>
      </c>
      <c r="AC277" s="24">
        <v>174927</v>
      </c>
      <c r="AD277" s="24">
        <v>176109</v>
      </c>
      <c r="AE277" s="24"/>
    </row>
    <row r="278" spans="1:31">
      <c r="A278" s="38">
        <v>58</v>
      </c>
      <c r="B278" s="24">
        <v>67837</v>
      </c>
      <c r="D278" s="24">
        <v>72036</v>
      </c>
      <c r="E278" s="24">
        <v>76235</v>
      </c>
      <c r="F278" s="24">
        <v>80432</v>
      </c>
      <c r="G278" s="24">
        <v>84629</v>
      </c>
      <c r="H278" s="24">
        <v>88815</v>
      </c>
      <c r="I278" s="24">
        <v>93194</v>
      </c>
      <c r="J278" s="24">
        <v>97570</v>
      </c>
      <c r="K278" s="24">
        <v>101945</v>
      </c>
      <c r="L278" s="24">
        <v>106310</v>
      </c>
      <c r="M278" s="24">
        <v>110677</v>
      </c>
      <c r="N278" s="24">
        <v>113895</v>
      </c>
      <c r="O278" s="24">
        <v>117102</v>
      </c>
      <c r="P278" s="24">
        <v>120295</v>
      </c>
      <c r="Q278" s="24">
        <v>123468</v>
      </c>
      <c r="R278" s="24">
        <v>126630</v>
      </c>
      <c r="S278" s="24">
        <v>132468</v>
      </c>
      <c r="T278" s="24">
        <v>138283</v>
      </c>
      <c r="U278" s="24">
        <v>144073</v>
      </c>
      <c r="V278" s="24">
        <v>149833</v>
      </c>
      <c r="W278" s="24">
        <v>155559</v>
      </c>
      <c r="X278" s="24">
        <v>158730</v>
      </c>
      <c r="Y278" s="24">
        <v>161867</v>
      </c>
      <c r="Z278" s="24">
        <v>164967</v>
      </c>
      <c r="AA278" s="24">
        <v>168031</v>
      </c>
      <c r="AB278" s="24">
        <v>171046</v>
      </c>
      <c r="AC278" s="24">
        <v>172112</v>
      </c>
      <c r="AD278" s="24">
        <v>173137</v>
      </c>
      <c r="AE278" s="24"/>
    </row>
    <row r="279" spans="1:31">
      <c r="A279" s="38">
        <v>59</v>
      </c>
      <c r="B279" s="24">
        <v>64166</v>
      </c>
      <c r="D279" s="24">
        <v>68072</v>
      </c>
      <c r="E279" s="24">
        <v>71976</v>
      </c>
      <c r="F279" s="24">
        <v>75879</v>
      </c>
      <c r="G279" s="24">
        <v>79783</v>
      </c>
      <c r="H279" s="24">
        <v>83675</v>
      </c>
      <c r="I279" s="24">
        <v>88055</v>
      </c>
      <c r="J279" s="24">
        <v>92433</v>
      </c>
      <c r="K279" s="24">
        <v>96809</v>
      </c>
      <c r="L279" s="24">
        <v>101175</v>
      </c>
      <c r="M279" s="24">
        <v>105544</v>
      </c>
      <c r="N279" s="24">
        <v>109041</v>
      </c>
      <c r="O279" s="24">
        <v>112527</v>
      </c>
      <c r="P279" s="24">
        <v>115999</v>
      </c>
      <c r="Q279" s="24">
        <v>119453</v>
      </c>
      <c r="R279" s="24">
        <v>122896</v>
      </c>
      <c r="S279" s="24">
        <v>128071</v>
      </c>
      <c r="T279" s="24">
        <v>133225</v>
      </c>
      <c r="U279" s="24">
        <v>138354</v>
      </c>
      <c r="V279" s="24">
        <v>143454</v>
      </c>
      <c r="W279" s="24">
        <v>148523</v>
      </c>
      <c r="X279" s="24">
        <v>152431</v>
      </c>
      <c r="Y279" s="24">
        <v>156308</v>
      </c>
      <c r="Z279" s="24">
        <v>160149</v>
      </c>
      <c r="AA279" s="24">
        <v>163954</v>
      </c>
      <c r="AB279" s="24">
        <v>167712</v>
      </c>
      <c r="AC279" s="24">
        <v>169093</v>
      </c>
      <c r="AD279" s="24">
        <v>170434</v>
      </c>
      <c r="AE279" s="24"/>
    </row>
    <row r="280" spans="1:31">
      <c r="A280" s="37" t="s">
        <v>82</v>
      </c>
      <c r="B280" s="32">
        <v>0</v>
      </c>
      <c r="D280" s="32">
        <v>0</v>
      </c>
      <c r="E280" s="32">
        <v>0</v>
      </c>
      <c r="F280" s="32">
        <v>0</v>
      </c>
      <c r="G280" s="32">
        <v>0</v>
      </c>
      <c r="H280" s="32">
        <v>0</v>
      </c>
      <c r="I280" s="32">
        <v>0</v>
      </c>
      <c r="J280" s="32">
        <v>0</v>
      </c>
      <c r="K280" s="32">
        <v>0</v>
      </c>
      <c r="L280" s="32">
        <v>0</v>
      </c>
      <c r="M280" s="32">
        <v>0</v>
      </c>
      <c r="N280" s="32">
        <v>0</v>
      </c>
      <c r="O280" s="32">
        <v>0</v>
      </c>
      <c r="P280" s="32">
        <v>0</v>
      </c>
      <c r="Q280" s="32">
        <v>0</v>
      </c>
      <c r="R280" s="32">
        <v>0</v>
      </c>
      <c r="S280" s="32">
        <v>0</v>
      </c>
      <c r="T280" s="32">
        <v>0</v>
      </c>
      <c r="U280" s="32">
        <v>0</v>
      </c>
      <c r="V280" s="32">
        <v>0</v>
      </c>
      <c r="W280" s="32">
        <v>0</v>
      </c>
      <c r="X280" s="32">
        <v>0</v>
      </c>
      <c r="Y280" s="32">
        <v>0</v>
      </c>
      <c r="Z280" s="32">
        <v>0</v>
      </c>
      <c r="AA280" s="32">
        <v>0</v>
      </c>
      <c r="AB280" s="32">
        <v>0</v>
      </c>
      <c r="AC280" s="32">
        <v>0</v>
      </c>
      <c r="AD280" s="32">
        <v>0</v>
      </c>
      <c r="AE280" s="32"/>
    </row>
    <row r="281" spans="1:31">
      <c r="A281" s="38">
        <v>60</v>
      </c>
      <c r="B281" s="24">
        <v>60657</v>
      </c>
      <c r="D281" s="24">
        <v>64237</v>
      </c>
      <c r="E281" s="24">
        <v>67819</v>
      </c>
      <c r="F281" s="24">
        <v>71399</v>
      </c>
      <c r="G281" s="24">
        <v>74980</v>
      </c>
      <c r="H281" s="24">
        <v>78549</v>
      </c>
      <c r="I281" s="24">
        <v>82927</v>
      </c>
      <c r="J281" s="24">
        <v>87305</v>
      </c>
      <c r="K281" s="24">
        <v>91681</v>
      </c>
      <c r="L281" s="24">
        <v>96046</v>
      </c>
      <c r="M281" s="24">
        <v>100417</v>
      </c>
      <c r="N281" s="24">
        <v>104243</v>
      </c>
      <c r="O281" s="24">
        <v>108060</v>
      </c>
      <c r="P281" s="24">
        <v>111863</v>
      </c>
      <c r="Q281" s="24">
        <v>115650</v>
      </c>
      <c r="R281" s="24">
        <v>119423</v>
      </c>
      <c r="S281" s="24">
        <v>123763</v>
      </c>
      <c r="T281" s="24">
        <v>128081</v>
      </c>
      <c r="U281" s="24">
        <v>132376</v>
      </c>
      <c r="V281" s="24">
        <v>136643</v>
      </c>
      <c r="W281" s="24">
        <v>140881</v>
      </c>
      <c r="X281" s="24">
        <v>145666</v>
      </c>
      <c r="Y281" s="24">
        <v>150423</v>
      </c>
      <c r="Z281" s="24">
        <v>155144</v>
      </c>
      <c r="AA281" s="24">
        <v>159835</v>
      </c>
      <c r="AB281" s="24">
        <v>164476</v>
      </c>
      <c r="AC281" s="24">
        <v>166238</v>
      </c>
      <c r="AD281" s="24">
        <v>167959</v>
      </c>
      <c r="AE281" s="24"/>
    </row>
    <row r="282" spans="1:31">
      <c r="A282" s="38">
        <v>61</v>
      </c>
      <c r="B282" s="24">
        <v>57307</v>
      </c>
      <c r="D282" s="24">
        <v>60570</v>
      </c>
      <c r="E282" s="24">
        <v>63830</v>
      </c>
      <c r="F282" s="24">
        <v>67088</v>
      </c>
      <c r="G282" s="24">
        <v>70348</v>
      </c>
      <c r="H282" s="24">
        <v>73598</v>
      </c>
      <c r="I282" s="24">
        <v>77974</v>
      </c>
      <c r="J282" s="24">
        <v>82348</v>
      </c>
      <c r="K282" s="24">
        <v>86717</v>
      </c>
      <c r="L282" s="24">
        <v>91082</v>
      </c>
      <c r="M282" s="24">
        <v>95446</v>
      </c>
      <c r="N282" s="24">
        <v>99495</v>
      </c>
      <c r="O282" s="24">
        <v>103532</v>
      </c>
      <c r="P282" s="24">
        <v>107559</v>
      </c>
      <c r="Q282" s="24">
        <v>111568</v>
      </c>
      <c r="R282" s="24">
        <v>115564</v>
      </c>
      <c r="S282" s="24">
        <v>119205</v>
      </c>
      <c r="T282" s="24">
        <v>122825</v>
      </c>
      <c r="U282" s="24">
        <v>126422</v>
      </c>
      <c r="V282" s="24">
        <v>129994</v>
      </c>
      <c r="W282" s="24">
        <v>133538</v>
      </c>
      <c r="X282" s="24">
        <v>139116</v>
      </c>
      <c r="Y282" s="24">
        <v>144665</v>
      </c>
      <c r="Z282" s="24">
        <v>150183</v>
      </c>
      <c r="AA282" s="24">
        <v>155666</v>
      </c>
      <c r="AB282" s="24">
        <v>161103</v>
      </c>
      <c r="AC282" s="24">
        <v>163167</v>
      </c>
      <c r="AD282" s="24">
        <v>165193</v>
      </c>
      <c r="AE282" s="24"/>
    </row>
    <row r="283" spans="1:31">
      <c r="A283" s="38">
        <v>62</v>
      </c>
      <c r="B283" s="24">
        <v>54370</v>
      </c>
      <c r="D283" s="24">
        <v>57296</v>
      </c>
      <c r="E283" s="24">
        <v>60222</v>
      </c>
      <c r="F283" s="24">
        <v>63146</v>
      </c>
      <c r="G283" s="24">
        <v>66070</v>
      </c>
      <c r="H283" s="24">
        <v>68985</v>
      </c>
      <c r="I283" s="24">
        <v>73266</v>
      </c>
      <c r="J283" s="24">
        <v>77545</v>
      </c>
      <c r="K283" s="24">
        <v>81821</v>
      </c>
      <c r="L283" s="24">
        <v>86090</v>
      </c>
      <c r="M283" s="24">
        <v>90360</v>
      </c>
      <c r="N283" s="24">
        <v>94575</v>
      </c>
      <c r="O283" s="24">
        <v>98780</v>
      </c>
      <c r="P283" s="24">
        <v>102974</v>
      </c>
      <c r="Q283" s="24">
        <v>107152</v>
      </c>
      <c r="R283" s="24">
        <v>111315</v>
      </c>
      <c r="S283" s="24">
        <v>114517</v>
      </c>
      <c r="T283" s="24">
        <v>117700</v>
      </c>
      <c r="U283" s="24">
        <v>120860</v>
      </c>
      <c r="V283" s="24">
        <v>123996</v>
      </c>
      <c r="W283" s="24">
        <v>127105</v>
      </c>
      <c r="X283" s="24">
        <v>133049</v>
      </c>
      <c r="Y283" s="24">
        <v>138965</v>
      </c>
      <c r="Z283" s="24">
        <v>144851</v>
      </c>
      <c r="AA283" s="24">
        <v>150703</v>
      </c>
      <c r="AB283" s="24">
        <v>156510</v>
      </c>
      <c r="AC283" s="24">
        <v>159035</v>
      </c>
      <c r="AD283" s="24">
        <v>161522</v>
      </c>
      <c r="AE283" s="24"/>
    </row>
    <row r="284" spans="1:31">
      <c r="A284" s="38">
        <v>63</v>
      </c>
      <c r="B284" s="24">
        <v>51901</v>
      </c>
      <c r="D284" s="24">
        <v>54489</v>
      </c>
      <c r="E284" s="24">
        <v>57074</v>
      </c>
      <c r="F284" s="24">
        <v>59659</v>
      </c>
      <c r="G284" s="24">
        <v>62243</v>
      </c>
      <c r="H284" s="24">
        <v>64820</v>
      </c>
      <c r="I284" s="24">
        <v>68892</v>
      </c>
      <c r="J284" s="24">
        <v>72961</v>
      </c>
      <c r="K284" s="24">
        <v>77028</v>
      </c>
      <c r="L284" s="24">
        <v>81090</v>
      </c>
      <c r="M284" s="24">
        <v>85151</v>
      </c>
      <c r="N284" s="24">
        <v>89432</v>
      </c>
      <c r="O284" s="24">
        <v>93705</v>
      </c>
      <c r="P284" s="24">
        <v>97966</v>
      </c>
      <c r="Q284" s="24">
        <v>102211</v>
      </c>
      <c r="R284" s="24">
        <v>106444</v>
      </c>
      <c r="S284" s="24">
        <v>109612</v>
      </c>
      <c r="T284" s="24">
        <v>112761</v>
      </c>
      <c r="U284" s="24">
        <v>115889</v>
      </c>
      <c r="V284" s="24">
        <v>118993</v>
      </c>
      <c r="W284" s="24">
        <v>122072</v>
      </c>
      <c r="X284" s="24">
        <v>127788</v>
      </c>
      <c r="Y284" s="24">
        <v>133479</v>
      </c>
      <c r="Z284" s="24">
        <v>139139</v>
      </c>
      <c r="AA284" s="24">
        <v>144768</v>
      </c>
      <c r="AB284" s="24">
        <v>150354</v>
      </c>
      <c r="AC284" s="24">
        <v>153494</v>
      </c>
      <c r="AD284" s="24">
        <v>156599</v>
      </c>
      <c r="AE284" s="24"/>
    </row>
    <row r="285" spans="1:31">
      <c r="A285" s="38">
        <v>64</v>
      </c>
      <c r="B285" s="24">
        <v>49800</v>
      </c>
      <c r="D285" s="24">
        <v>52053</v>
      </c>
      <c r="E285" s="24">
        <v>54305</v>
      </c>
      <c r="F285" s="24">
        <v>56556</v>
      </c>
      <c r="G285" s="24">
        <v>58808</v>
      </c>
      <c r="H285" s="24">
        <v>61051</v>
      </c>
      <c r="I285" s="24">
        <v>64826</v>
      </c>
      <c r="J285" s="24">
        <v>68600</v>
      </c>
      <c r="K285" s="24">
        <v>72372</v>
      </c>
      <c r="L285" s="24">
        <v>76138</v>
      </c>
      <c r="M285" s="24">
        <v>79904</v>
      </c>
      <c r="N285" s="24">
        <v>84168</v>
      </c>
      <c r="O285" s="24">
        <v>88423</v>
      </c>
      <c r="P285" s="24">
        <v>92667</v>
      </c>
      <c r="Q285" s="24">
        <v>96897</v>
      </c>
      <c r="R285" s="24">
        <v>101115</v>
      </c>
      <c r="S285" s="24">
        <v>104541</v>
      </c>
      <c r="T285" s="24">
        <v>107949</v>
      </c>
      <c r="U285" s="24">
        <v>111337</v>
      </c>
      <c r="V285" s="24">
        <v>114703</v>
      </c>
      <c r="W285" s="24">
        <v>118043</v>
      </c>
      <c r="X285" s="24">
        <v>123110</v>
      </c>
      <c r="Y285" s="24">
        <v>128153</v>
      </c>
      <c r="Z285" s="24">
        <v>133167</v>
      </c>
      <c r="AA285" s="24">
        <v>138150</v>
      </c>
      <c r="AB285" s="24">
        <v>143092</v>
      </c>
      <c r="AC285" s="24">
        <v>146928</v>
      </c>
      <c r="AD285" s="24">
        <v>150732</v>
      </c>
      <c r="AE285" s="24"/>
    </row>
    <row r="286" spans="1:31">
      <c r="A286" s="37" t="s">
        <v>83</v>
      </c>
      <c r="B286" s="32">
        <v>0</v>
      </c>
      <c r="D286" s="32">
        <v>0</v>
      </c>
      <c r="E286" s="32">
        <v>0</v>
      </c>
      <c r="F286" s="32">
        <v>0</v>
      </c>
      <c r="G286" s="32">
        <v>0</v>
      </c>
      <c r="H286" s="32">
        <v>0</v>
      </c>
      <c r="I286" s="32">
        <v>0</v>
      </c>
      <c r="J286" s="32">
        <v>0</v>
      </c>
      <c r="K286" s="32">
        <v>0</v>
      </c>
      <c r="L286" s="32">
        <v>0</v>
      </c>
      <c r="M286" s="32">
        <v>0</v>
      </c>
      <c r="N286" s="32">
        <v>0</v>
      </c>
      <c r="O286" s="32">
        <v>0</v>
      </c>
      <c r="P286" s="32">
        <v>0</v>
      </c>
      <c r="Q286" s="32">
        <v>0</v>
      </c>
      <c r="R286" s="32">
        <v>0</v>
      </c>
      <c r="S286" s="32">
        <v>0</v>
      </c>
      <c r="T286" s="32">
        <v>0</v>
      </c>
      <c r="U286" s="32">
        <v>0</v>
      </c>
      <c r="V286" s="32">
        <v>0</v>
      </c>
      <c r="W286" s="32">
        <v>0</v>
      </c>
      <c r="X286" s="32">
        <v>0</v>
      </c>
      <c r="Y286" s="32">
        <v>0</v>
      </c>
      <c r="Z286" s="32">
        <v>0</v>
      </c>
      <c r="AA286" s="32">
        <v>0</v>
      </c>
      <c r="AB286" s="32">
        <v>0</v>
      </c>
      <c r="AC286" s="32">
        <v>0</v>
      </c>
      <c r="AD286" s="32">
        <v>0</v>
      </c>
      <c r="AE286" s="32"/>
    </row>
    <row r="287" spans="1:31">
      <c r="A287" s="38">
        <v>65</v>
      </c>
      <c r="B287" s="24">
        <v>47898</v>
      </c>
      <c r="D287" s="24">
        <v>49808</v>
      </c>
      <c r="E287" s="24">
        <v>51719</v>
      </c>
      <c r="F287" s="24">
        <v>53629</v>
      </c>
      <c r="G287" s="24">
        <v>55540</v>
      </c>
      <c r="H287" s="24">
        <v>57440</v>
      </c>
      <c r="I287" s="24">
        <v>60891</v>
      </c>
      <c r="J287" s="24">
        <v>64341</v>
      </c>
      <c r="K287" s="24">
        <v>67787</v>
      </c>
      <c r="L287" s="24">
        <v>71227</v>
      </c>
      <c r="M287" s="24">
        <v>74670</v>
      </c>
      <c r="N287" s="24">
        <v>78912</v>
      </c>
      <c r="O287" s="24">
        <v>83149</v>
      </c>
      <c r="P287" s="24">
        <v>87374</v>
      </c>
      <c r="Q287" s="24">
        <v>91586</v>
      </c>
      <c r="R287" s="24">
        <v>95787</v>
      </c>
      <c r="S287" s="24">
        <v>99520</v>
      </c>
      <c r="T287" s="24">
        <v>103240</v>
      </c>
      <c r="U287" s="24">
        <v>106939</v>
      </c>
      <c r="V287" s="24">
        <v>110615</v>
      </c>
      <c r="W287" s="24">
        <v>114270</v>
      </c>
      <c r="X287" s="24">
        <v>118517</v>
      </c>
      <c r="Y287" s="24">
        <v>122743</v>
      </c>
      <c r="Z287" s="24">
        <v>126940</v>
      </c>
      <c r="AA287" s="24">
        <v>131108</v>
      </c>
      <c r="AB287" s="24">
        <v>135236</v>
      </c>
      <c r="AC287" s="24">
        <v>139901</v>
      </c>
      <c r="AD287" s="24">
        <v>144536</v>
      </c>
      <c r="AE287" s="24"/>
    </row>
    <row r="288" spans="1:31">
      <c r="A288" s="38">
        <v>66</v>
      </c>
      <c r="B288" s="24">
        <v>46052</v>
      </c>
      <c r="D288" s="24">
        <v>47643</v>
      </c>
      <c r="E288" s="24">
        <v>49232</v>
      </c>
      <c r="F288" s="24">
        <v>50819</v>
      </c>
      <c r="G288" s="24">
        <v>52406</v>
      </c>
      <c r="H288" s="24">
        <v>53986</v>
      </c>
      <c r="I288" s="24">
        <v>57115</v>
      </c>
      <c r="J288" s="24">
        <v>60243</v>
      </c>
      <c r="K288" s="24">
        <v>63369</v>
      </c>
      <c r="L288" s="24">
        <v>66490</v>
      </c>
      <c r="M288" s="24">
        <v>69610</v>
      </c>
      <c r="N288" s="24">
        <v>73832</v>
      </c>
      <c r="O288" s="24">
        <v>78047</v>
      </c>
      <c r="P288" s="24">
        <v>82252</v>
      </c>
      <c r="Q288" s="24">
        <v>86445</v>
      </c>
      <c r="R288" s="24">
        <v>90625</v>
      </c>
      <c r="S288" s="24">
        <v>94562</v>
      </c>
      <c r="T288" s="24">
        <v>98482</v>
      </c>
      <c r="U288" s="24">
        <v>102384</v>
      </c>
      <c r="V288" s="24">
        <v>106266</v>
      </c>
      <c r="W288" s="24">
        <v>110122</v>
      </c>
      <c r="X288" s="24">
        <v>113684</v>
      </c>
      <c r="Y288" s="24">
        <v>117222</v>
      </c>
      <c r="Z288" s="24">
        <v>120733</v>
      </c>
      <c r="AA288" s="24">
        <v>124218</v>
      </c>
      <c r="AB288" s="24">
        <v>127666</v>
      </c>
      <c r="AC288" s="24">
        <v>133078</v>
      </c>
      <c r="AD288" s="24">
        <v>138462</v>
      </c>
      <c r="AE288" s="24"/>
    </row>
    <row r="289" spans="1:31">
      <c r="A289" s="38">
        <v>67</v>
      </c>
      <c r="B289" s="24">
        <v>44246</v>
      </c>
      <c r="D289" s="24">
        <v>45585</v>
      </c>
      <c r="E289" s="24">
        <v>46923</v>
      </c>
      <c r="F289" s="24">
        <v>48260</v>
      </c>
      <c r="G289" s="24">
        <v>49597</v>
      </c>
      <c r="H289" s="24">
        <v>50927</v>
      </c>
      <c r="I289" s="24">
        <v>53724</v>
      </c>
      <c r="J289" s="24">
        <v>56521</v>
      </c>
      <c r="K289" s="24">
        <v>59316</v>
      </c>
      <c r="L289" s="24">
        <v>62106</v>
      </c>
      <c r="M289" s="24">
        <v>64896</v>
      </c>
      <c r="N289" s="24">
        <v>69009</v>
      </c>
      <c r="O289" s="24">
        <v>73116</v>
      </c>
      <c r="P289" s="24">
        <v>77215</v>
      </c>
      <c r="Q289" s="24">
        <v>81302</v>
      </c>
      <c r="R289" s="24">
        <v>85377</v>
      </c>
      <c r="S289" s="24">
        <v>89458</v>
      </c>
      <c r="T289" s="24">
        <v>93524</v>
      </c>
      <c r="U289" s="24">
        <v>97573</v>
      </c>
      <c r="V289" s="24">
        <v>101603</v>
      </c>
      <c r="W289" s="24">
        <v>105607</v>
      </c>
      <c r="X289" s="24">
        <v>108730</v>
      </c>
      <c r="Y289" s="24">
        <v>111830</v>
      </c>
      <c r="Z289" s="24">
        <v>114905</v>
      </c>
      <c r="AA289" s="24">
        <v>117955</v>
      </c>
      <c r="AB289" s="24">
        <v>120970</v>
      </c>
      <c r="AC289" s="24">
        <v>126721</v>
      </c>
      <c r="AD289" s="24">
        <v>132446</v>
      </c>
      <c r="AE289" s="24"/>
    </row>
    <row r="290" spans="1:31">
      <c r="A290" s="38">
        <v>68</v>
      </c>
      <c r="B290" s="24">
        <v>42409</v>
      </c>
      <c r="D290" s="24">
        <v>43593</v>
      </c>
      <c r="E290" s="24">
        <v>44776</v>
      </c>
      <c r="F290" s="24">
        <v>45958</v>
      </c>
      <c r="G290" s="24">
        <v>47140</v>
      </c>
      <c r="H290" s="24">
        <v>48314</v>
      </c>
      <c r="I290" s="24">
        <v>50783</v>
      </c>
      <c r="J290" s="24">
        <v>53250</v>
      </c>
      <c r="K290" s="24">
        <v>55716</v>
      </c>
      <c r="L290" s="24">
        <v>58177</v>
      </c>
      <c r="M290" s="24">
        <v>60639</v>
      </c>
      <c r="N290" s="24">
        <v>64537</v>
      </c>
      <c r="O290" s="24">
        <v>68428</v>
      </c>
      <c r="P290" s="24">
        <v>72312</v>
      </c>
      <c r="Q290" s="24">
        <v>76183</v>
      </c>
      <c r="R290" s="24">
        <v>80045</v>
      </c>
      <c r="S290" s="24">
        <v>84169</v>
      </c>
      <c r="T290" s="24">
        <v>88278</v>
      </c>
      <c r="U290" s="24">
        <v>92372</v>
      </c>
      <c r="V290" s="24">
        <v>96447</v>
      </c>
      <c r="W290" s="24">
        <v>100497</v>
      </c>
      <c r="X290" s="24">
        <v>103571</v>
      </c>
      <c r="Y290" s="24">
        <v>106623</v>
      </c>
      <c r="Z290" s="24">
        <v>109650</v>
      </c>
      <c r="AA290" s="24">
        <v>112653</v>
      </c>
      <c r="AB290" s="24">
        <v>115624</v>
      </c>
      <c r="AC290" s="24">
        <v>121148</v>
      </c>
      <c r="AD290" s="24">
        <v>126647</v>
      </c>
      <c r="AE290" s="24"/>
    </row>
    <row r="291" spans="1:31">
      <c r="A291" s="38">
        <v>69</v>
      </c>
      <c r="B291" s="24">
        <v>40536</v>
      </c>
      <c r="D291" s="24">
        <v>41642</v>
      </c>
      <c r="E291" s="24">
        <v>42747</v>
      </c>
      <c r="F291" s="24">
        <v>43852</v>
      </c>
      <c r="G291" s="24">
        <v>44957</v>
      </c>
      <c r="H291" s="24">
        <v>46055</v>
      </c>
      <c r="I291" s="24">
        <v>48203</v>
      </c>
      <c r="J291" s="24">
        <v>50351</v>
      </c>
      <c r="K291" s="24">
        <v>52497</v>
      </c>
      <c r="L291" s="24">
        <v>54639</v>
      </c>
      <c r="M291" s="24">
        <v>56781</v>
      </c>
      <c r="N291" s="24">
        <v>60382</v>
      </c>
      <c r="O291" s="24">
        <v>63975</v>
      </c>
      <c r="P291" s="24">
        <v>67562</v>
      </c>
      <c r="Q291" s="24">
        <v>71138</v>
      </c>
      <c r="R291" s="24">
        <v>74705</v>
      </c>
      <c r="S291" s="24">
        <v>78787</v>
      </c>
      <c r="T291" s="24">
        <v>82856</v>
      </c>
      <c r="U291" s="24">
        <v>86908</v>
      </c>
      <c r="V291" s="24">
        <v>90944</v>
      </c>
      <c r="W291" s="24">
        <v>94957</v>
      </c>
      <c r="X291" s="24">
        <v>98261</v>
      </c>
      <c r="Y291" s="24">
        <v>101544</v>
      </c>
      <c r="Z291" s="24">
        <v>104805</v>
      </c>
      <c r="AA291" s="24">
        <v>108042</v>
      </c>
      <c r="AB291" s="24">
        <v>111248</v>
      </c>
      <c r="AC291" s="24">
        <v>116143</v>
      </c>
      <c r="AD291" s="24">
        <v>121012</v>
      </c>
      <c r="AE291" s="24"/>
    </row>
    <row r="292" spans="1:31">
      <c r="A292" s="37" t="s">
        <v>84</v>
      </c>
      <c r="B292" s="32">
        <v>0</v>
      </c>
      <c r="D292" s="32">
        <v>0</v>
      </c>
      <c r="E292" s="32">
        <v>0</v>
      </c>
      <c r="F292" s="32">
        <v>0</v>
      </c>
      <c r="G292" s="32">
        <v>0</v>
      </c>
      <c r="H292" s="32">
        <v>0</v>
      </c>
      <c r="I292" s="32">
        <v>0</v>
      </c>
      <c r="J292" s="32">
        <v>0</v>
      </c>
      <c r="K292" s="32">
        <v>0</v>
      </c>
      <c r="L292" s="32">
        <v>0</v>
      </c>
      <c r="M292" s="32">
        <v>0</v>
      </c>
      <c r="N292" s="32">
        <v>0</v>
      </c>
      <c r="O292" s="32">
        <v>0</v>
      </c>
      <c r="P292" s="32">
        <v>0</v>
      </c>
      <c r="Q292" s="32">
        <v>0</v>
      </c>
      <c r="R292" s="32">
        <v>0</v>
      </c>
      <c r="S292" s="32">
        <v>0</v>
      </c>
      <c r="T292" s="32">
        <v>0</v>
      </c>
      <c r="U292" s="32">
        <v>0</v>
      </c>
      <c r="V292" s="32">
        <v>0</v>
      </c>
      <c r="W292" s="32">
        <v>0</v>
      </c>
      <c r="X292" s="32">
        <v>0</v>
      </c>
      <c r="Y292" s="32">
        <v>0</v>
      </c>
      <c r="Z292" s="32">
        <v>0</v>
      </c>
      <c r="AA292" s="32">
        <v>0</v>
      </c>
      <c r="AB292" s="32">
        <v>0</v>
      </c>
      <c r="AC292" s="32">
        <v>0</v>
      </c>
      <c r="AD292" s="32">
        <v>0</v>
      </c>
      <c r="AE292" s="32"/>
    </row>
    <row r="293" spans="1:31">
      <c r="A293" s="38">
        <v>70</v>
      </c>
      <c r="B293" s="24">
        <v>38821</v>
      </c>
      <c r="D293" s="24">
        <v>39869</v>
      </c>
      <c r="E293" s="24">
        <v>40917</v>
      </c>
      <c r="F293" s="24">
        <v>41962</v>
      </c>
      <c r="G293" s="24">
        <v>43010</v>
      </c>
      <c r="H293" s="24">
        <v>44051</v>
      </c>
      <c r="I293" s="24">
        <v>45877</v>
      </c>
      <c r="J293" s="24">
        <v>47700</v>
      </c>
      <c r="K293" s="24">
        <v>49524</v>
      </c>
      <c r="L293" s="24">
        <v>51340</v>
      </c>
      <c r="M293" s="24">
        <v>53163</v>
      </c>
      <c r="N293" s="24">
        <v>56447</v>
      </c>
      <c r="O293" s="24">
        <v>59723</v>
      </c>
      <c r="P293" s="24">
        <v>62994</v>
      </c>
      <c r="Q293" s="24">
        <v>66253</v>
      </c>
      <c r="R293" s="24">
        <v>69507</v>
      </c>
      <c r="S293" s="24">
        <v>73554</v>
      </c>
      <c r="T293" s="24">
        <v>77587</v>
      </c>
      <c r="U293" s="24">
        <v>81608</v>
      </c>
      <c r="V293" s="24">
        <v>85612</v>
      </c>
      <c r="W293" s="24">
        <v>89594</v>
      </c>
      <c r="X293" s="24">
        <v>93188</v>
      </c>
      <c r="Y293" s="24">
        <v>96762</v>
      </c>
      <c r="Z293" s="24">
        <v>100312</v>
      </c>
      <c r="AA293" s="24">
        <v>103843</v>
      </c>
      <c r="AB293" s="24">
        <v>107341</v>
      </c>
      <c r="AC293" s="24">
        <v>111456</v>
      </c>
      <c r="AD293" s="24">
        <v>115547</v>
      </c>
      <c r="AE293" s="24"/>
    </row>
    <row r="294" spans="1:31">
      <c r="A294" s="38">
        <v>71</v>
      </c>
      <c r="B294" s="24">
        <v>37136</v>
      </c>
      <c r="D294" s="24">
        <v>38135</v>
      </c>
      <c r="E294" s="24">
        <v>39133</v>
      </c>
      <c r="F294" s="24">
        <v>40131</v>
      </c>
      <c r="G294" s="24">
        <v>41129</v>
      </c>
      <c r="H294" s="24">
        <v>42121</v>
      </c>
      <c r="I294" s="24">
        <v>43641</v>
      </c>
      <c r="J294" s="24">
        <v>45161</v>
      </c>
      <c r="K294" s="24">
        <v>46678</v>
      </c>
      <c r="L294" s="24">
        <v>48192</v>
      </c>
      <c r="M294" s="24">
        <v>49710</v>
      </c>
      <c r="N294" s="24">
        <v>52682</v>
      </c>
      <c r="O294" s="24">
        <v>55650</v>
      </c>
      <c r="P294" s="24">
        <v>58610</v>
      </c>
      <c r="Q294" s="24">
        <v>61563</v>
      </c>
      <c r="R294" s="24">
        <v>64507</v>
      </c>
      <c r="S294" s="24">
        <v>68522</v>
      </c>
      <c r="T294" s="24">
        <v>72526</v>
      </c>
      <c r="U294" s="24">
        <v>76517</v>
      </c>
      <c r="V294" s="24">
        <v>80491</v>
      </c>
      <c r="W294" s="24">
        <v>84446</v>
      </c>
      <c r="X294" s="24">
        <v>88224</v>
      </c>
      <c r="Y294" s="24">
        <v>91984</v>
      </c>
      <c r="Z294" s="24">
        <v>95725</v>
      </c>
      <c r="AA294" s="24">
        <v>99444</v>
      </c>
      <c r="AB294" s="24">
        <v>103132</v>
      </c>
      <c r="AC294" s="24">
        <v>106594</v>
      </c>
      <c r="AD294" s="24">
        <v>110033</v>
      </c>
      <c r="AE294" s="24"/>
    </row>
    <row r="295" spans="1:31">
      <c r="A295" s="38">
        <v>72</v>
      </c>
      <c r="B295" s="24">
        <v>35132</v>
      </c>
      <c r="D295" s="24">
        <v>36134</v>
      </c>
      <c r="E295" s="24">
        <v>37134</v>
      </c>
      <c r="F295" s="24">
        <v>38134</v>
      </c>
      <c r="G295" s="24">
        <v>39134</v>
      </c>
      <c r="H295" s="24">
        <v>40129</v>
      </c>
      <c r="I295" s="24">
        <v>41408</v>
      </c>
      <c r="J295" s="24">
        <v>42685</v>
      </c>
      <c r="K295" s="24">
        <v>43961</v>
      </c>
      <c r="L295" s="24">
        <v>45233</v>
      </c>
      <c r="M295" s="24">
        <v>46509</v>
      </c>
      <c r="N295" s="24">
        <v>49152</v>
      </c>
      <c r="O295" s="24">
        <v>51791</v>
      </c>
      <c r="P295" s="24">
        <v>54424</v>
      </c>
      <c r="Q295" s="24">
        <v>57048</v>
      </c>
      <c r="R295" s="24">
        <v>59667</v>
      </c>
      <c r="S295" s="24">
        <v>63553</v>
      </c>
      <c r="T295" s="24">
        <v>67429</v>
      </c>
      <c r="U295" s="24">
        <v>71293</v>
      </c>
      <c r="V295" s="24">
        <v>75143</v>
      </c>
      <c r="W295" s="24">
        <v>78973</v>
      </c>
      <c r="X295" s="24">
        <v>82863</v>
      </c>
      <c r="Y295" s="24">
        <v>86737</v>
      </c>
      <c r="Z295" s="24">
        <v>90592</v>
      </c>
      <c r="AA295" s="24">
        <v>94426</v>
      </c>
      <c r="AB295" s="24">
        <v>98231</v>
      </c>
      <c r="AC295" s="24">
        <v>101250</v>
      </c>
      <c r="AD295" s="24">
        <v>104246</v>
      </c>
      <c r="AE295" s="24"/>
    </row>
    <row r="296" spans="1:31">
      <c r="A296" s="38">
        <v>73</v>
      </c>
      <c r="B296" s="24">
        <v>32681</v>
      </c>
      <c r="D296" s="24">
        <v>33740</v>
      </c>
      <c r="E296" s="24">
        <v>34800</v>
      </c>
      <c r="F296" s="24">
        <v>35859</v>
      </c>
      <c r="G296" s="24">
        <v>36917</v>
      </c>
      <c r="H296" s="24">
        <v>37973</v>
      </c>
      <c r="I296" s="24">
        <v>39092</v>
      </c>
      <c r="J296" s="24">
        <v>40211</v>
      </c>
      <c r="K296" s="24">
        <v>41327</v>
      </c>
      <c r="L296" s="24">
        <v>42442</v>
      </c>
      <c r="M296" s="24">
        <v>43559</v>
      </c>
      <c r="N296" s="24">
        <v>45861</v>
      </c>
      <c r="O296" s="24">
        <v>48159</v>
      </c>
      <c r="P296" s="24">
        <v>50452</v>
      </c>
      <c r="Q296" s="24">
        <v>52737</v>
      </c>
      <c r="R296" s="24">
        <v>55017</v>
      </c>
      <c r="S296" s="24">
        <v>58652</v>
      </c>
      <c r="T296" s="24">
        <v>62280</v>
      </c>
      <c r="U296" s="24">
        <v>65894</v>
      </c>
      <c r="V296" s="24">
        <v>69496</v>
      </c>
      <c r="W296" s="24">
        <v>73081</v>
      </c>
      <c r="X296" s="24">
        <v>76958</v>
      </c>
      <c r="Y296" s="24">
        <v>80819</v>
      </c>
      <c r="Z296" s="24">
        <v>84663</v>
      </c>
      <c r="AA296" s="24">
        <v>88488</v>
      </c>
      <c r="AB296" s="24">
        <v>92285</v>
      </c>
      <c r="AC296" s="24">
        <v>95196</v>
      </c>
      <c r="AD296" s="24">
        <v>98085</v>
      </c>
      <c r="AE296" s="24"/>
    </row>
    <row r="297" spans="1:31">
      <c r="A297" s="38">
        <v>74</v>
      </c>
      <c r="B297" s="24">
        <v>29949</v>
      </c>
      <c r="D297" s="24">
        <v>31105</v>
      </c>
      <c r="E297" s="24">
        <v>32261</v>
      </c>
      <c r="F297" s="24">
        <v>33415</v>
      </c>
      <c r="G297" s="24">
        <v>34570</v>
      </c>
      <c r="H297" s="24">
        <v>35721</v>
      </c>
      <c r="I297" s="24">
        <v>36751</v>
      </c>
      <c r="J297" s="24">
        <v>37781</v>
      </c>
      <c r="K297" s="24">
        <v>38810</v>
      </c>
      <c r="L297" s="24">
        <v>39836</v>
      </c>
      <c r="M297" s="24">
        <v>40863</v>
      </c>
      <c r="N297" s="24">
        <v>42830</v>
      </c>
      <c r="O297" s="24">
        <v>44793</v>
      </c>
      <c r="P297" s="24">
        <v>46750</v>
      </c>
      <c r="Q297" s="24">
        <v>48700</v>
      </c>
      <c r="R297" s="24">
        <v>50646</v>
      </c>
      <c r="S297" s="24">
        <v>53946</v>
      </c>
      <c r="T297" s="24">
        <v>57239</v>
      </c>
      <c r="U297" s="24">
        <v>60520</v>
      </c>
      <c r="V297" s="24">
        <v>63789</v>
      </c>
      <c r="W297" s="24">
        <v>67043</v>
      </c>
      <c r="X297" s="24">
        <v>70811</v>
      </c>
      <c r="Y297" s="24">
        <v>74566</v>
      </c>
      <c r="Z297" s="24">
        <v>78306</v>
      </c>
      <c r="AA297" s="24">
        <v>82026</v>
      </c>
      <c r="AB297" s="24">
        <v>85722</v>
      </c>
      <c r="AC297" s="24">
        <v>88773</v>
      </c>
      <c r="AD297" s="24">
        <v>91805</v>
      </c>
      <c r="AE297" s="24"/>
    </row>
    <row r="298" spans="1:31">
      <c r="A298" s="40" t="s">
        <v>85</v>
      </c>
      <c r="B298" s="32">
        <v>0</v>
      </c>
      <c r="D298" s="32">
        <v>0</v>
      </c>
      <c r="E298" s="32">
        <v>0</v>
      </c>
      <c r="F298" s="32">
        <v>0</v>
      </c>
      <c r="G298" s="32">
        <v>0</v>
      </c>
      <c r="H298" s="32">
        <v>0</v>
      </c>
      <c r="I298" s="32">
        <v>0</v>
      </c>
      <c r="J298" s="32">
        <v>0</v>
      </c>
      <c r="K298" s="32">
        <v>0</v>
      </c>
      <c r="L298" s="32">
        <v>0</v>
      </c>
      <c r="M298" s="32">
        <v>0</v>
      </c>
      <c r="N298" s="32">
        <v>0</v>
      </c>
      <c r="O298" s="32">
        <v>0</v>
      </c>
      <c r="P298" s="32">
        <v>0</v>
      </c>
      <c r="Q298" s="32">
        <v>0</v>
      </c>
      <c r="R298" s="32">
        <v>0</v>
      </c>
      <c r="S298" s="32">
        <v>0</v>
      </c>
      <c r="T298" s="32">
        <v>0</v>
      </c>
      <c r="U298" s="32">
        <v>0</v>
      </c>
      <c r="V298" s="32">
        <v>0</v>
      </c>
      <c r="W298" s="32">
        <v>0</v>
      </c>
      <c r="X298" s="32">
        <v>0</v>
      </c>
      <c r="Y298" s="32">
        <v>0</v>
      </c>
      <c r="Z298" s="32">
        <v>0</v>
      </c>
      <c r="AA298" s="32">
        <v>0</v>
      </c>
      <c r="AB298" s="32">
        <v>0</v>
      </c>
      <c r="AC298" s="32">
        <v>0</v>
      </c>
      <c r="AD298" s="32">
        <v>0</v>
      </c>
      <c r="AE298" s="32"/>
    </row>
    <row r="299" spans="1:31">
      <c r="A299" s="39">
        <v>75</v>
      </c>
      <c r="B299" s="24">
        <v>27212</v>
      </c>
      <c r="D299" s="24">
        <v>28469</v>
      </c>
      <c r="E299" s="24">
        <v>29731</v>
      </c>
      <c r="F299" s="24">
        <v>30990</v>
      </c>
      <c r="G299" s="24">
        <v>32249</v>
      </c>
      <c r="H299" s="24">
        <v>33504</v>
      </c>
      <c r="I299" s="24">
        <v>34492</v>
      </c>
      <c r="J299" s="24">
        <v>35478</v>
      </c>
      <c r="K299" s="24">
        <v>36460</v>
      </c>
      <c r="L299" s="24">
        <v>37444</v>
      </c>
      <c r="M299" s="24">
        <v>38427</v>
      </c>
      <c r="N299" s="24">
        <v>40083</v>
      </c>
      <c r="O299" s="24">
        <v>41735</v>
      </c>
      <c r="P299" s="24">
        <v>43383</v>
      </c>
      <c r="Q299" s="24">
        <v>45024</v>
      </c>
      <c r="R299" s="24">
        <v>46659</v>
      </c>
      <c r="S299" s="24">
        <v>49600</v>
      </c>
      <c r="T299" s="24">
        <v>52529</v>
      </c>
      <c r="U299" s="24">
        <v>55451</v>
      </c>
      <c r="V299" s="24">
        <v>58361</v>
      </c>
      <c r="W299" s="24">
        <v>61258</v>
      </c>
      <c r="X299" s="24">
        <v>64884</v>
      </c>
      <c r="Y299" s="24">
        <v>68496</v>
      </c>
      <c r="Z299" s="24">
        <v>72092</v>
      </c>
      <c r="AA299" s="24">
        <v>75674</v>
      </c>
      <c r="AB299" s="24">
        <v>79231</v>
      </c>
      <c r="AC299" s="24">
        <v>82516</v>
      </c>
      <c r="AD299" s="24">
        <v>85784</v>
      </c>
      <c r="AE299" s="24"/>
    </row>
    <row r="300" spans="1:31">
      <c r="A300" s="38">
        <v>76</v>
      </c>
      <c r="B300" s="24">
        <v>24697</v>
      </c>
      <c r="D300" s="24">
        <v>26046</v>
      </c>
      <c r="E300" s="24">
        <v>27393</v>
      </c>
      <c r="F300" s="24">
        <v>28740</v>
      </c>
      <c r="G300" s="24">
        <v>30088</v>
      </c>
      <c r="H300" s="24">
        <v>31431</v>
      </c>
      <c r="I300" s="24">
        <v>32398</v>
      </c>
      <c r="J300" s="24">
        <v>33365</v>
      </c>
      <c r="K300" s="24">
        <v>34330</v>
      </c>
      <c r="L300" s="24">
        <v>35292</v>
      </c>
      <c r="M300" s="24">
        <v>36255</v>
      </c>
      <c r="N300" s="24">
        <v>37645</v>
      </c>
      <c r="O300" s="24">
        <v>39030</v>
      </c>
      <c r="P300" s="24">
        <v>40411</v>
      </c>
      <c r="Q300" s="24">
        <v>41786</v>
      </c>
      <c r="R300" s="24">
        <v>43158</v>
      </c>
      <c r="S300" s="24">
        <v>45759</v>
      </c>
      <c r="T300" s="24">
        <v>48355</v>
      </c>
      <c r="U300" s="24">
        <v>50941</v>
      </c>
      <c r="V300" s="24">
        <v>53517</v>
      </c>
      <c r="W300" s="24">
        <v>56081</v>
      </c>
      <c r="X300" s="24">
        <v>59574</v>
      </c>
      <c r="Y300" s="24">
        <v>63056</v>
      </c>
      <c r="Z300" s="24">
        <v>66525</v>
      </c>
      <c r="AA300" s="24">
        <v>69978</v>
      </c>
      <c r="AB300" s="24">
        <v>73409</v>
      </c>
      <c r="AC300" s="24">
        <v>76893</v>
      </c>
      <c r="AD300" s="24">
        <v>80359</v>
      </c>
      <c r="AE300" s="24"/>
    </row>
    <row r="301" spans="1:31">
      <c r="A301" s="39">
        <v>77</v>
      </c>
      <c r="B301" s="24">
        <v>22563</v>
      </c>
      <c r="D301" s="24">
        <v>23964</v>
      </c>
      <c r="E301" s="24">
        <v>25366</v>
      </c>
      <c r="F301" s="24">
        <v>26766</v>
      </c>
      <c r="G301" s="24">
        <v>28166</v>
      </c>
      <c r="H301" s="24">
        <v>29564</v>
      </c>
      <c r="I301" s="24">
        <v>30523</v>
      </c>
      <c r="J301" s="24">
        <v>31482</v>
      </c>
      <c r="K301" s="24">
        <v>32440</v>
      </c>
      <c r="L301" s="24">
        <v>33395</v>
      </c>
      <c r="M301" s="24">
        <v>34351</v>
      </c>
      <c r="N301" s="24">
        <v>35534</v>
      </c>
      <c r="O301" s="24">
        <v>36713</v>
      </c>
      <c r="P301" s="24">
        <v>37888</v>
      </c>
      <c r="Q301" s="24">
        <v>39056</v>
      </c>
      <c r="R301" s="24">
        <v>40223</v>
      </c>
      <c r="S301" s="24">
        <v>42548</v>
      </c>
      <c r="T301" s="24">
        <v>44866</v>
      </c>
      <c r="U301" s="24">
        <v>47175</v>
      </c>
      <c r="V301" s="24">
        <v>49476</v>
      </c>
      <c r="W301" s="24">
        <v>51765</v>
      </c>
      <c r="X301" s="24">
        <v>55165</v>
      </c>
      <c r="Y301" s="24">
        <v>58554</v>
      </c>
      <c r="Z301" s="24">
        <v>61931</v>
      </c>
      <c r="AA301" s="24">
        <v>65293</v>
      </c>
      <c r="AB301" s="24">
        <v>68635</v>
      </c>
      <c r="AC301" s="24">
        <v>72208</v>
      </c>
      <c r="AD301" s="24">
        <v>75765</v>
      </c>
      <c r="AE301" s="24"/>
    </row>
    <row r="302" spans="1:31">
      <c r="A302" s="39">
        <v>78</v>
      </c>
      <c r="B302" s="24">
        <v>20863</v>
      </c>
      <c r="D302" s="24">
        <v>22273</v>
      </c>
      <c r="E302" s="24">
        <v>23681</v>
      </c>
      <c r="F302" s="24">
        <v>25090</v>
      </c>
      <c r="G302" s="24">
        <v>26499</v>
      </c>
      <c r="H302" s="24">
        <v>27904</v>
      </c>
      <c r="I302" s="24">
        <v>28868</v>
      </c>
      <c r="J302" s="24">
        <v>29831</v>
      </c>
      <c r="K302" s="24">
        <v>30795</v>
      </c>
      <c r="L302" s="24">
        <v>31754</v>
      </c>
      <c r="M302" s="24">
        <v>32715</v>
      </c>
      <c r="N302" s="24">
        <v>33765</v>
      </c>
      <c r="O302" s="24">
        <v>34811</v>
      </c>
      <c r="P302" s="24">
        <v>35852</v>
      </c>
      <c r="Q302" s="24">
        <v>36888</v>
      </c>
      <c r="R302" s="24">
        <v>37922</v>
      </c>
      <c r="S302" s="24">
        <v>40041</v>
      </c>
      <c r="T302" s="24">
        <v>42155</v>
      </c>
      <c r="U302" s="24">
        <v>44260</v>
      </c>
      <c r="V302" s="24">
        <v>46356</v>
      </c>
      <c r="W302" s="24">
        <v>48443</v>
      </c>
      <c r="X302" s="24">
        <v>51786</v>
      </c>
      <c r="Y302" s="24">
        <v>55120</v>
      </c>
      <c r="Z302" s="24">
        <v>58442</v>
      </c>
      <c r="AA302" s="24">
        <v>61750</v>
      </c>
      <c r="AB302" s="24">
        <v>65040</v>
      </c>
      <c r="AC302" s="24">
        <v>68587</v>
      </c>
      <c r="AD302" s="24">
        <v>72120</v>
      </c>
      <c r="AE302" s="24"/>
    </row>
    <row r="303" spans="1:31">
      <c r="A303" s="39">
        <v>79</v>
      </c>
      <c r="B303" s="24">
        <v>19564</v>
      </c>
      <c r="D303" s="24">
        <v>20934</v>
      </c>
      <c r="E303" s="24">
        <v>22302</v>
      </c>
      <c r="F303" s="24">
        <v>23671</v>
      </c>
      <c r="G303" s="24">
        <v>25039</v>
      </c>
      <c r="H303" s="24">
        <v>26405</v>
      </c>
      <c r="I303" s="24">
        <v>27395</v>
      </c>
      <c r="J303" s="24">
        <v>28385</v>
      </c>
      <c r="K303" s="24">
        <v>29374</v>
      </c>
      <c r="L303" s="24">
        <v>30360</v>
      </c>
      <c r="M303" s="24">
        <v>31348</v>
      </c>
      <c r="N303" s="24">
        <v>32347</v>
      </c>
      <c r="O303" s="24">
        <v>33343</v>
      </c>
      <c r="P303" s="24">
        <v>34335</v>
      </c>
      <c r="Q303" s="24">
        <v>35321</v>
      </c>
      <c r="R303" s="24">
        <v>36306</v>
      </c>
      <c r="S303" s="24">
        <v>38286</v>
      </c>
      <c r="T303" s="24">
        <v>40262</v>
      </c>
      <c r="U303" s="24">
        <v>42229</v>
      </c>
      <c r="V303" s="24">
        <v>44187</v>
      </c>
      <c r="W303" s="24">
        <v>46137</v>
      </c>
      <c r="X303" s="24">
        <v>49436</v>
      </c>
      <c r="Y303" s="24">
        <v>52726</v>
      </c>
      <c r="Z303" s="24">
        <v>56006</v>
      </c>
      <c r="AA303" s="24">
        <v>59272</v>
      </c>
      <c r="AB303" s="24">
        <v>62519</v>
      </c>
      <c r="AC303" s="24">
        <v>65984</v>
      </c>
      <c r="AD303" s="24">
        <v>69437</v>
      </c>
      <c r="AE303" s="24"/>
    </row>
    <row r="304" spans="1:31">
      <c r="A304" s="41" t="s">
        <v>86</v>
      </c>
      <c r="B304" s="24">
        <v>87313</v>
      </c>
      <c r="D304" s="24">
        <v>91884</v>
      </c>
      <c r="E304" s="24">
        <v>96454</v>
      </c>
      <c r="F304" s="24">
        <v>101022</v>
      </c>
      <c r="G304" s="24">
        <v>105590</v>
      </c>
      <c r="H304" s="24">
        <v>110139</v>
      </c>
      <c r="I304" s="24">
        <v>117245</v>
      </c>
      <c r="J304" s="24">
        <v>124347</v>
      </c>
      <c r="K304" s="24">
        <v>131447</v>
      </c>
      <c r="L304" s="24">
        <v>138534</v>
      </c>
      <c r="M304" s="24">
        <v>145624</v>
      </c>
      <c r="N304" s="24">
        <v>153385</v>
      </c>
      <c r="O304" s="24">
        <v>161131</v>
      </c>
      <c r="P304" s="24">
        <v>168858</v>
      </c>
      <c r="Q304" s="24">
        <v>176558</v>
      </c>
      <c r="R304" s="24">
        <v>184239</v>
      </c>
      <c r="S304" s="24">
        <v>193441</v>
      </c>
      <c r="T304" s="24">
        <v>202612</v>
      </c>
      <c r="U304" s="24">
        <v>211746</v>
      </c>
      <c r="V304" s="24">
        <v>220836</v>
      </c>
      <c r="W304" s="24">
        <v>229872</v>
      </c>
      <c r="X304" s="24">
        <v>243610</v>
      </c>
      <c r="Y304" s="24">
        <v>257300</v>
      </c>
      <c r="Z304" s="24">
        <v>270935</v>
      </c>
      <c r="AA304" s="24">
        <v>284508</v>
      </c>
      <c r="AB304" s="24">
        <v>297994</v>
      </c>
      <c r="AC304" s="24">
        <v>318036</v>
      </c>
      <c r="AD304" s="24">
        <v>338015</v>
      </c>
      <c r="AE304" s="24"/>
    </row>
  </sheetData>
  <printOptions horizontalCentered="1"/>
  <pageMargins left="0.39370078740157483" right="0.39370078740157483" top="0.39370078740157483" bottom="0.39370078740157483" header="0" footer="0"/>
  <pageSetup scale="66" fitToWidth="2" fitToHeight="6" orientation="landscape" r:id="rId1"/>
  <headerFooter scaleWithDoc="0" alignWithMargins="0">
    <oddFooter>&amp;R&amp;P/&amp;N</oddFooter>
  </headerFooter>
  <rowBreaks count="5" manualBreakCount="5">
    <brk id="61" max="28" man="1"/>
    <brk id="104" max="28" man="1"/>
    <brk id="161" max="28" man="1"/>
    <brk id="204" max="28" man="1"/>
    <brk id="261" max="28" man="1"/>
  </rowBreaks>
</worksheet>
</file>

<file path=xl/worksheets/sheet3.xml><?xml version="1.0" encoding="utf-8"?>
<worksheet xmlns="http://schemas.openxmlformats.org/spreadsheetml/2006/main" xmlns:r="http://schemas.openxmlformats.org/officeDocument/2006/relationships">
  <sheetPr>
    <tabColor rgb="FFC00000"/>
  </sheetPr>
  <dimension ref="A1:Z53"/>
  <sheetViews>
    <sheetView tabSelected="1" workbookViewId="0">
      <selection activeCell="D4" sqref="D4:D5"/>
    </sheetView>
  </sheetViews>
  <sheetFormatPr baseColWidth="10" defaultRowHeight="15"/>
  <cols>
    <col min="1" max="1" width="6.85546875" bestFit="1" customWidth="1"/>
    <col min="2" max="2" width="4.42578125" bestFit="1" customWidth="1"/>
    <col min="3" max="3" width="8" bestFit="1" customWidth="1"/>
    <col min="4" max="4" width="7" bestFit="1" customWidth="1"/>
    <col min="5" max="5" width="6" bestFit="1" customWidth="1"/>
    <col min="6" max="8" width="4.28515625" bestFit="1" customWidth="1"/>
    <col min="9" max="9" width="7.140625" bestFit="1" customWidth="1"/>
    <col min="10" max="24" width="9.140625" bestFit="1" customWidth="1"/>
    <col min="25" max="25" width="8.140625" bestFit="1" customWidth="1"/>
    <col min="26" max="26" width="4.7109375" bestFit="1" customWidth="1"/>
  </cols>
  <sheetData>
    <row r="1" spans="1:26">
      <c r="A1" s="70" t="s">
        <v>106</v>
      </c>
    </row>
    <row r="2" spans="1:26" s="20" customFormat="1">
      <c r="A2" s="20" t="s">
        <v>21</v>
      </c>
      <c r="B2" s="20" t="s">
        <v>22</v>
      </c>
      <c r="C2" s="20" t="s">
        <v>20</v>
      </c>
      <c r="D2" s="20">
        <v>-1</v>
      </c>
      <c r="E2" s="20">
        <v>1</v>
      </c>
      <c r="F2" s="20">
        <v>2</v>
      </c>
      <c r="G2" s="20">
        <v>3</v>
      </c>
      <c r="H2" s="20">
        <v>4</v>
      </c>
      <c r="I2" s="21" t="s">
        <v>3</v>
      </c>
      <c r="J2" s="20" t="s">
        <v>4</v>
      </c>
      <c r="K2" s="20" t="s">
        <v>5</v>
      </c>
      <c r="L2" s="20" t="s">
        <v>6</v>
      </c>
      <c r="M2" s="20" t="s">
        <v>7</v>
      </c>
      <c r="N2" s="20" t="s">
        <v>8</v>
      </c>
      <c r="O2" s="20" t="s">
        <v>9</v>
      </c>
      <c r="P2" s="20" t="s">
        <v>10</v>
      </c>
      <c r="Q2" s="20" t="s">
        <v>11</v>
      </c>
      <c r="R2" s="20" t="s">
        <v>12</v>
      </c>
      <c r="S2" s="20" t="s">
        <v>13</v>
      </c>
      <c r="T2" s="20" t="s">
        <v>14</v>
      </c>
      <c r="U2" s="20" t="s">
        <v>15</v>
      </c>
      <c r="V2" s="20" t="s">
        <v>16</v>
      </c>
      <c r="W2" s="20" t="s">
        <v>17</v>
      </c>
      <c r="X2" s="20" t="s">
        <v>18</v>
      </c>
      <c r="Y2" s="20" t="s">
        <v>19</v>
      </c>
      <c r="Z2" s="20" t="s">
        <v>23</v>
      </c>
    </row>
    <row r="3" spans="1:26">
      <c r="A3">
        <v>2011</v>
      </c>
      <c r="B3" t="s">
        <v>0</v>
      </c>
      <c r="C3" s="1">
        <v>143020</v>
      </c>
      <c r="D3" s="1">
        <v>8900</v>
      </c>
      <c r="E3">
        <v>607</v>
      </c>
      <c r="F3">
        <v>356</v>
      </c>
      <c r="G3">
        <v>244</v>
      </c>
      <c r="H3">
        <v>188</v>
      </c>
      <c r="I3">
        <v>687</v>
      </c>
      <c r="J3">
        <v>969</v>
      </c>
      <c r="K3" s="1">
        <v>4526</v>
      </c>
      <c r="L3" s="1">
        <v>6425</v>
      </c>
      <c r="M3" s="1">
        <v>5627</v>
      </c>
      <c r="N3" s="1">
        <v>4867</v>
      </c>
      <c r="O3" s="1">
        <v>4482</v>
      </c>
      <c r="P3" s="1">
        <v>4705</v>
      </c>
      <c r="Q3" s="1">
        <v>5771</v>
      </c>
      <c r="R3" s="1">
        <v>7612</v>
      </c>
      <c r="S3" s="1">
        <v>9215</v>
      </c>
      <c r="T3" s="1">
        <v>10405</v>
      </c>
      <c r="U3" s="1">
        <v>10481</v>
      </c>
      <c r="V3" s="1">
        <v>11607</v>
      </c>
      <c r="W3" s="1">
        <v>12602</v>
      </c>
      <c r="X3" s="1">
        <v>13334</v>
      </c>
      <c r="Y3" s="1">
        <v>19336</v>
      </c>
      <c r="Z3">
        <v>74</v>
      </c>
    </row>
    <row r="4" spans="1:26">
      <c r="A4">
        <v>2011</v>
      </c>
      <c r="B4" t="s">
        <v>1</v>
      </c>
      <c r="C4" s="1">
        <v>86504</v>
      </c>
      <c r="D4" s="1">
        <v>5033</v>
      </c>
      <c r="E4">
        <v>310</v>
      </c>
      <c r="F4">
        <v>192</v>
      </c>
      <c r="G4">
        <v>138</v>
      </c>
      <c r="H4">
        <v>95</v>
      </c>
      <c r="I4">
        <v>401</v>
      </c>
      <c r="J4">
        <v>596</v>
      </c>
      <c r="K4" s="1">
        <v>3845</v>
      </c>
      <c r="L4" s="1">
        <v>5635</v>
      </c>
      <c r="M4" s="1">
        <v>4683</v>
      </c>
      <c r="N4" s="1">
        <v>3726</v>
      </c>
      <c r="O4" s="1">
        <v>3216</v>
      </c>
      <c r="P4" s="1">
        <v>3109</v>
      </c>
      <c r="Q4" s="1">
        <v>3747</v>
      </c>
      <c r="R4" s="1">
        <v>4804</v>
      </c>
      <c r="S4" s="1">
        <v>5861</v>
      </c>
      <c r="T4" s="1">
        <v>6450</v>
      </c>
      <c r="U4" s="1">
        <v>6414</v>
      </c>
      <c r="V4" s="1">
        <v>6767</v>
      </c>
      <c r="W4" s="1">
        <v>6805</v>
      </c>
      <c r="X4" s="1">
        <v>6649</v>
      </c>
      <c r="Y4" s="1">
        <v>7960</v>
      </c>
      <c r="Z4">
        <v>68</v>
      </c>
    </row>
    <row r="5" spans="1:26">
      <c r="A5">
        <v>2011</v>
      </c>
      <c r="B5" t="s">
        <v>2</v>
      </c>
      <c r="C5" s="1">
        <v>56516</v>
      </c>
      <c r="D5" s="1">
        <v>3867</v>
      </c>
      <c r="E5">
        <v>297</v>
      </c>
      <c r="F5">
        <v>164</v>
      </c>
      <c r="G5">
        <v>106</v>
      </c>
      <c r="H5">
        <v>93</v>
      </c>
      <c r="I5">
        <v>286</v>
      </c>
      <c r="J5">
        <v>373</v>
      </c>
      <c r="K5">
        <v>681</v>
      </c>
      <c r="L5">
        <v>790</v>
      </c>
      <c r="M5">
        <v>944</v>
      </c>
      <c r="N5" s="1">
        <v>1141</v>
      </c>
      <c r="O5" s="1">
        <v>1266</v>
      </c>
      <c r="P5" s="1">
        <v>1596</v>
      </c>
      <c r="Q5" s="1">
        <v>2024</v>
      </c>
      <c r="R5" s="1">
        <v>2808</v>
      </c>
      <c r="S5" s="1">
        <v>3354</v>
      </c>
      <c r="T5" s="1">
        <v>3955</v>
      </c>
      <c r="U5" s="1">
        <v>4067</v>
      </c>
      <c r="V5" s="1">
        <v>4840</v>
      </c>
      <c r="W5" s="1">
        <v>5797</v>
      </c>
      <c r="X5" s="1">
        <v>6685</v>
      </c>
      <c r="Y5" s="1">
        <v>11376</v>
      </c>
      <c r="Z5">
        <v>6</v>
      </c>
    </row>
    <row r="6" spans="1:26">
      <c r="A6">
        <f>+A3-1</f>
        <v>2010</v>
      </c>
      <c r="B6" t="s">
        <v>0</v>
      </c>
      <c r="C6" s="1">
        <v>138504</v>
      </c>
      <c r="D6" s="1">
        <v>8965</v>
      </c>
      <c r="E6">
        <v>640</v>
      </c>
      <c r="F6">
        <v>365</v>
      </c>
      <c r="G6">
        <v>233</v>
      </c>
      <c r="H6">
        <v>215</v>
      </c>
      <c r="I6">
        <v>784</v>
      </c>
      <c r="J6">
        <v>939</v>
      </c>
      <c r="K6" s="1">
        <v>4584</v>
      </c>
      <c r="L6" s="1">
        <v>6388</v>
      </c>
      <c r="M6" s="1">
        <v>5735</v>
      </c>
      <c r="N6" s="1">
        <v>4897</v>
      </c>
      <c r="O6" s="1">
        <v>4295</v>
      </c>
      <c r="P6" s="1">
        <v>4582</v>
      </c>
      <c r="Q6" s="1">
        <v>5757</v>
      </c>
      <c r="R6" s="1">
        <v>7287</v>
      </c>
      <c r="S6" s="1">
        <v>8799</v>
      </c>
      <c r="T6" s="1">
        <v>9656</v>
      </c>
      <c r="U6" s="1">
        <v>9872</v>
      </c>
      <c r="V6" s="1">
        <v>11445</v>
      </c>
      <c r="W6" s="1">
        <v>12236</v>
      </c>
      <c r="X6" s="1">
        <v>12775</v>
      </c>
      <c r="Y6" s="1">
        <v>18019</v>
      </c>
      <c r="Z6">
        <v>36</v>
      </c>
    </row>
    <row r="7" spans="1:26">
      <c r="A7">
        <f t="shared" ref="A7:A53" si="0">+A4-1</f>
        <v>2010</v>
      </c>
      <c r="B7" t="s">
        <v>1</v>
      </c>
      <c r="C7" s="1">
        <v>84196</v>
      </c>
      <c r="D7" s="1">
        <v>5102</v>
      </c>
      <c r="E7">
        <v>350</v>
      </c>
      <c r="F7">
        <v>227</v>
      </c>
      <c r="G7">
        <v>145</v>
      </c>
      <c r="H7">
        <v>111</v>
      </c>
      <c r="I7">
        <v>449</v>
      </c>
      <c r="J7">
        <v>598</v>
      </c>
      <c r="K7" s="1">
        <v>3822</v>
      </c>
      <c r="L7" s="1">
        <v>5535</v>
      </c>
      <c r="M7" s="1">
        <v>4783</v>
      </c>
      <c r="N7" s="1">
        <v>3810</v>
      </c>
      <c r="O7" s="1">
        <v>3070</v>
      </c>
      <c r="P7" s="1">
        <v>3034</v>
      </c>
      <c r="Q7" s="1">
        <v>3757</v>
      </c>
      <c r="R7" s="1">
        <v>4687</v>
      </c>
      <c r="S7" s="1">
        <v>5517</v>
      </c>
      <c r="T7" s="1">
        <v>6044</v>
      </c>
      <c r="U7" s="1">
        <v>5919</v>
      </c>
      <c r="V7" s="1">
        <v>6536</v>
      </c>
      <c r="W7" s="1">
        <v>6742</v>
      </c>
      <c r="X7" s="1">
        <v>6449</v>
      </c>
      <c r="Y7" s="1">
        <v>7476</v>
      </c>
      <c r="Z7">
        <v>33</v>
      </c>
    </row>
    <row r="8" spans="1:26">
      <c r="A8">
        <f t="shared" si="0"/>
        <v>2010</v>
      </c>
      <c r="B8" t="s">
        <v>2</v>
      </c>
      <c r="C8" s="1">
        <v>54308</v>
      </c>
      <c r="D8" s="1">
        <v>3863</v>
      </c>
      <c r="E8">
        <v>290</v>
      </c>
      <c r="F8">
        <v>138</v>
      </c>
      <c r="G8">
        <v>88</v>
      </c>
      <c r="H8">
        <v>104</v>
      </c>
      <c r="I8">
        <v>335</v>
      </c>
      <c r="J8">
        <v>341</v>
      </c>
      <c r="K8">
        <v>762</v>
      </c>
      <c r="L8">
        <v>853</v>
      </c>
      <c r="M8">
        <v>952</v>
      </c>
      <c r="N8" s="1">
        <v>1087</v>
      </c>
      <c r="O8" s="1">
        <v>1225</v>
      </c>
      <c r="P8" s="1">
        <v>1548</v>
      </c>
      <c r="Q8" s="1">
        <v>2000</v>
      </c>
      <c r="R8" s="1">
        <v>2600</v>
      </c>
      <c r="S8" s="1">
        <v>3282</v>
      </c>
      <c r="T8" s="1">
        <v>3612</v>
      </c>
      <c r="U8" s="1">
        <v>3953</v>
      </c>
      <c r="V8" s="1">
        <v>4909</v>
      </c>
      <c r="W8" s="1">
        <v>5494</v>
      </c>
      <c r="X8" s="1">
        <v>6326</v>
      </c>
      <c r="Y8" s="1">
        <v>10543</v>
      </c>
      <c r="Z8">
        <v>3</v>
      </c>
    </row>
    <row r="9" spans="1:26">
      <c r="A9">
        <f t="shared" si="0"/>
        <v>2009</v>
      </c>
      <c r="B9" t="s">
        <v>0</v>
      </c>
      <c r="C9" s="1">
        <v>134731</v>
      </c>
      <c r="D9" s="1">
        <v>8577</v>
      </c>
      <c r="E9">
        <v>654</v>
      </c>
      <c r="F9">
        <v>360</v>
      </c>
      <c r="G9">
        <v>246</v>
      </c>
      <c r="H9">
        <v>204</v>
      </c>
      <c r="I9">
        <v>766</v>
      </c>
      <c r="J9">
        <v>966</v>
      </c>
      <c r="K9" s="1">
        <v>4813</v>
      </c>
      <c r="L9" s="1">
        <v>6958</v>
      </c>
      <c r="M9" s="1">
        <v>6119</v>
      </c>
      <c r="N9" s="1">
        <v>5049</v>
      </c>
      <c r="O9" s="1">
        <v>4377</v>
      </c>
      <c r="P9" s="1">
        <v>4899</v>
      </c>
      <c r="Q9" s="1">
        <v>5937</v>
      </c>
      <c r="R9" s="1">
        <v>7266</v>
      </c>
      <c r="S9" s="1">
        <v>8663</v>
      </c>
      <c r="T9" s="1">
        <v>9084</v>
      </c>
      <c r="U9" s="1">
        <v>9477</v>
      </c>
      <c r="V9" s="1">
        <v>10717</v>
      </c>
      <c r="W9" s="1">
        <v>11884</v>
      </c>
      <c r="X9" s="1">
        <v>11527</v>
      </c>
      <c r="Y9" s="1">
        <v>16100</v>
      </c>
      <c r="Z9">
        <v>88</v>
      </c>
    </row>
    <row r="10" spans="1:26">
      <c r="A10">
        <f t="shared" si="0"/>
        <v>2009</v>
      </c>
      <c r="B10" t="s">
        <v>1</v>
      </c>
      <c r="C10" s="1">
        <v>83325</v>
      </c>
      <c r="D10" s="1">
        <v>4888</v>
      </c>
      <c r="E10">
        <v>346</v>
      </c>
      <c r="F10">
        <v>184</v>
      </c>
      <c r="G10">
        <v>133</v>
      </c>
      <c r="H10">
        <v>125</v>
      </c>
      <c r="I10">
        <v>439</v>
      </c>
      <c r="J10">
        <v>612</v>
      </c>
      <c r="K10" s="1">
        <v>4051</v>
      </c>
      <c r="L10" s="1">
        <v>6103</v>
      </c>
      <c r="M10" s="1">
        <v>5096</v>
      </c>
      <c r="N10" s="1">
        <v>4023</v>
      </c>
      <c r="O10" s="1">
        <v>3207</v>
      </c>
      <c r="P10" s="1">
        <v>3357</v>
      </c>
      <c r="Q10" s="1">
        <v>3858</v>
      </c>
      <c r="R10" s="1">
        <v>4729</v>
      </c>
      <c r="S10" s="1">
        <v>5524</v>
      </c>
      <c r="T10" s="1">
        <v>5663</v>
      </c>
      <c r="U10" s="1">
        <v>5751</v>
      </c>
      <c r="V10" s="1">
        <v>6201</v>
      </c>
      <c r="W10" s="1">
        <v>6628</v>
      </c>
      <c r="X10" s="1">
        <v>5706</v>
      </c>
      <c r="Y10" s="1">
        <v>6622</v>
      </c>
      <c r="Z10">
        <v>79</v>
      </c>
    </row>
    <row r="11" spans="1:26">
      <c r="A11">
        <f t="shared" si="0"/>
        <v>2009</v>
      </c>
      <c r="B11" t="s">
        <v>2</v>
      </c>
      <c r="C11" s="1">
        <v>51406</v>
      </c>
      <c r="D11" s="1">
        <v>3689</v>
      </c>
      <c r="E11">
        <v>308</v>
      </c>
      <c r="F11">
        <v>176</v>
      </c>
      <c r="G11">
        <v>113</v>
      </c>
      <c r="H11">
        <v>79</v>
      </c>
      <c r="I11">
        <v>327</v>
      </c>
      <c r="J11">
        <v>354</v>
      </c>
      <c r="K11">
        <v>762</v>
      </c>
      <c r="L11">
        <v>855</v>
      </c>
      <c r="M11" s="1">
        <v>1023</v>
      </c>
      <c r="N11" s="1">
        <v>1026</v>
      </c>
      <c r="O11" s="1">
        <v>1170</v>
      </c>
      <c r="P11" s="1">
        <v>1542</v>
      </c>
      <c r="Q11" s="1">
        <v>2079</v>
      </c>
      <c r="R11" s="1">
        <v>2537</v>
      </c>
      <c r="S11" s="1">
        <v>3139</v>
      </c>
      <c r="T11" s="1">
        <v>3421</v>
      </c>
      <c r="U11" s="1">
        <v>3726</v>
      </c>
      <c r="V11" s="1">
        <v>4516</v>
      </c>
      <c r="W11" s="1">
        <v>5256</v>
      </c>
      <c r="X11" s="1">
        <v>5821</v>
      </c>
      <c r="Y11" s="1">
        <v>9478</v>
      </c>
      <c r="Z11">
        <v>9</v>
      </c>
    </row>
    <row r="12" spans="1:26">
      <c r="A12">
        <f t="shared" si="0"/>
        <v>2008</v>
      </c>
      <c r="B12" t="s">
        <v>0</v>
      </c>
      <c r="C12" s="1">
        <v>133651</v>
      </c>
      <c r="D12" s="1">
        <v>8307</v>
      </c>
      <c r="E12">
        <v>662</v>
      </c>
      <c r="F12">
        <v>329</v>
      </c>
      <c r="G12">
        <v>254</v>
      </c>
      <c r="H12">
        <v>168</v>
      </c>
      <c r="I12">
        <v>733</v>
      </c>
      <c r="J12" s="1">
        <v>1060</v>
      </c>
      <c r="K12" s="1">
        <v>4840</v>
      </c>
      <c r="L12" s="1">
        <v>7108</v>
      </c>
      <c r="M12" s="1">
        <v>6077</v>
      </c>
      <c r="N12" s="1">
        <v>4933</v>
      </c>
      <c r="O12" s="1">
        <v>4403</v>
      </c>
      <c r="P12" s="1">
        <v>4813</v>
      </c>
      <c r="Q12" s="1">
        <v>5847</v>
      </c>
      <c r="R12" s="1">
        <v>7046</v>
      </c>
      <c r="S12" s="1">
        <v>8392</v>
      </c>
      <c r="T12" s="1">
        <v>8603</v>
      </c>
      <c r="U12" s="1">
        <v>9514</v>
      </c>
      <c r="V12" s="1">
        <v>10668</v>
      </c>
      <c r="W12" s="1">
        <v>12014</v>
      </c>
      <c r="X12" s="1">
        <v>11380</v>
      </c>
      <c r="Y12" s="1">
        <v>16292</v>
      </c>
      <c r="Z12">
        <v>208</v>
      </c>
    </row>
    <row r="13" spans="1:26">
      <c r="A13">
        <f t="shared" si="0"/>
        <v>2008</v>
      </c>
      <c r="B13" t="s">
        <v>1</v>
      </c>
      <c r="C13" s="1">
        <v>83106</v>
      </c>
      <c r="D13" s="1">
        <v>4781</v>
      </c>
      <c r="E13">
        <v>369</v>
      </c>
      <c r="F13">
        <v>180</v>
      </c>
      <c r="G13">
        <v>149</v>
      </c>
      <c r="H13">
        <v>88</v>
      </c>
      <c r="I13">
        <v>432</v>
      </c>
      <c r="J13">
        <v>671</v>
      </c>
      <c r="K13" s="1">
        <v>4087</v>
      </c>
      <c r="L13" s="1">
        <v>6239</v>
      </c>
      <c r="M13" s="1">
        <v>5161</v>
      </c>
      <c r="N13" s="1">
        <v>3943</v>
      </c>
      <c r="O13" s="1">
        <v>3245</v>
      </c>
      <c r="P13" s="1">
        <v>3326</v>
      </c>
      <c r="Q13" s="1">
        <v>3837</v>
      </c>
      <c r="R13" s="1">
        <v>4585</v>
      </c>
      <c r="S13" s="1">
        <v>5279</v>
      </c>
      <c r="T13" s="1">
        <v>5377</v>
      </c>
      <c r="U13" s="1">
        <v>5771</v>
      </c>
      <c r="V13" s="1">
        <v>6222</v>
      </c>
      <c r="W13" s="1">
        <v>6676</v>
      </c>
      <c r="X13" s="1">
        <v>5749</v>
      </c>
      <c r="Y13" s="1">
        <v>6749</v>
      </c>
      <c r="Z13">
        <v>190</v>
      </c>
    </row>
    <row r="14" spans="1:26">
      <c r="A14">
        <f t="shared" si="0"/>
        <v>2008</v>
      </c>
      <c r="B14" t="s">
        <v>2</v>
      </c>
      <c r="C14" s="1">
        <v>50545</v>
      </c>
      <c r="D14" s="1">
        <v>3526</v>
      </c>
      <c r="E14">
        <v>293</v>
      </c>
      <c r="F14">
        <v>149</v>
      </c>
      <c r="G14">
        <v>105</v>
      </c>
      <c r="H14">
        <v>80</v>
      </c>
      <c r="I14">
        <v>301</v>
      </c>
      <c r="J14">
        <v>389</v>
      </c>
      <c r="K14">
        <v>753</v>
      </c>
      <c r="L14">
        <v>869</v>
      </c>
      <c r="M14">
        <v>916</v>
      </c>
      <c r="N14">
        <v>990</v>
      </c>
      <c r="O14" s="1">
        <v>1158</v>
      </c>
      <c r="P14" s="1">
        <v>1487</v>
      </c>
      <c r="Q14" s="1">
        <v>2010</v>
      </c>
      <c r="R14" s="1">
        <v>2461</v>
      </c>
      <c r="S14" s="1">
        <v>3113</v>
      </c>
      <c r="T14" s="1">
        <v>3226</v>
      </c>
      <c r="U14" s="1">
        <v>3743</v>
      </c>
      <c r="V14" s="1">
        <v>4446</v>
      </c>
      <c r="W14" s="1">
        <v>5338</v>
      </c>
      <c r="X14" s="1">
        <v>5631</v>
      </c>
      <c r="Y14" s="1">
        <v>9543</v>
      </c>
      <c r="Z14">
        <v>18</v>
      </c>
    </row>
    <row r="15" spans="1:26">
      <c r="A15">
        <f t="shared" si="0"/>
        <v>2007</v>
      </c>
      <c r="B15" t="s">
        <v>0</v>
      </c>
      <c r="C15" s="1">
        <v>127463</v>
      </c>
      <c r="D15" s="1">
        <v>8323</v>
      </c>
      <c r="E15">
        <v>800</v>
      </c>
      <c r="F15">
        <v>371</v>
      </c>
      <c r="G15">
        <v>252</v>
      </c>
      <c r="H15">
        <v>203</v>
      </c>
      <c r="I15">
        <v>828</v>
      </c>
      <c r="J15" s="1">
        <v>1058</v>
      </c>
      <c r="K15" s="1">
        <v>4355</v>
      </c>
      <c r="L15" s="1">
        <v>6472</v>
      </c>
      <c r="M15" s="1">
        <v>5905</v>
      </c>
      <c r="N15" s="1">
        <v>4683</v>
      </c>
      <c r="O15" s="1">
        <v>4345</v>
      </c>
      <c r="P15" s="1">
        <v>4682</v>
      </c>
      <c r="Q15" s="1">
        <v>5754</v>
      </c>
      <c r="R15" s="1">
        <v>6824</v>
      </c>
      <c r="S15" s="1">
        <v>7738</v>
      </c>
      <c r="T15" s="1">
        <v>8154</v>
      </c>
      <c r="U15" s="1">
        <v>9148</v>
      </c>
      <c r="V15" s="1">
        <v>10436</v>
      </c>
      <c r="W15" s="1">
        <v>11455</v>
      </c>
      <c r="X15" s="1">
        <v>10501</v>
      </c>
      <c r="Y15" s="1">
        <v>15010</v>
      </c>
      <c r="Z15">
        <v>166</v>
      </c>
    </row>
    <row r="16" spans="1:26">
      <c r="A16">
        <f t="shared" si="0"/>
        <v>2007</v>
      </c>
      <c r="B16" t="s">
        <v>1</v>
      </c>
      <c r="C16" s="1">
        <v>79156</v>
      </c>
      <c r="D16" s="1">
        <v>4847</v>
      </c>
      <c r="E16">
        <v>436</v>
      </c>
      <c r="F16">
        <v>206</v>
      </c>
      <c r="G16">
        <v>137</v>
      </c>
      <c r="H16">
        <v>123</v>
      </c>
      <c r="I16">
        <v>519</v>
      </c>
      <c r="J16">
        <v>667</v>
      </c>
      <c r="K16" s="1">
        <v>3665</v>
      </c>
      <c r="L16" s="1">
        <v>5680</v>
      </c>
      <c r="M16" s="1">
        <v>5029</v>
      </c>
      <c r="N16" s="1">
        <v>3701</v>
      </c>
      <c r="O16" s="1">
        <v>3193</v>
      </c>
      <c r="P16" s="1">
        <v>3249</v>
      </c>
      <c r="Q16" s="1">
        <v>3747</v>
      </c>
      <c r="R16" s="1">
        <v>4366</v>
      </c>
      <c r="S16" s="1">
        <v>4959</v>
      </c>
      <c r="T16" s="1">
        <v>5094</v>
      </c>
      <c r="U16" s="1">
        <v>5574</v>
      </c>
      <c r="V16" s="1">
        <v>6045</v>
      </c>
      <c r="W16" s="1">
        <v>6255</v>
      </c>
      <c r="X16" s="1">
        <v>5305</v>
      </c>
      <c r="Y16" s="1">
        <v>6229</v>
      </c>
      <c r="Z16">
        <v>130</v>
      </c>
    </row>
    <row r="17" spans="1:26">
      <c r="A17">
        <f t="shared" si="0"/>
        <v>2007</v>
      </c>
      <c r="B17" t="s">
        <v>2</v>
      </c>
      <c r="C17" s="1">
        <v>48307</v>
      </c>
      <c r="D17" s="1">
        <v>3476</v>
      </c>
      <c r="E17">
        <v>364</v>
      </c>
      <c r="F17">
        <v>165</v>
      </c>
      <c r="G17">
        <v>115</v>
      </c>
      <c r="H17">
        <v>80</v>
      </c>
      <c r="I17">
        <v>309</v>
      </c>
      <c r="J17">
        <v>391</v>
      </c>
      <c r="K17">
        <v>690</v>
      </c>
      <c r="L17">
        <v>792</v>
      </c>
      <c r="M17">
        <v>876</v>
      </c>
      <c r="N17">
        <v>982</v>
      </c>
      <c r="O17" s="1">
        <v>1152</v>
      </c>
      <c r="P17" s="1">
        <v>1433</v>
      </c>
      <c r="Q17" s="1">
        <v>2007</v>
      </c>
      <c r="R17" s="1">
        <v>2458</v>
      </c>
      <c r="S17" s="1">
        <v>2779</v>
      </c>
      <c r="T17" s="1">
        <v>3060</v>
      </c>
      <c r="U17" s="1">
        <v>3574</v>
      </c>
      <c r="V17" s="1">
        <v>4391</v>
      </c>
      <c r="W17" s="1">
        <v>5200</v>
      </c>
      <c r="X17" s="1">
        <v>5196</v>
      </c>
      <c r="Y17" s="1">
        <v>8781</v>
      </c>
      <c r="Z17">
        <v>36</v>
      </c>
    </row>
    <row r="18" spans="1:26">
      <c r="A18">
        <f t="shared" si="0"/>
        <v>2006</v>
      </c>
      <c r="B18" t="s">
        <v>0</v>
      </c>
      <c r="C18" s="1">
        <v>121586</v>
      </c>
      <c r="D18" s="1">
        <v>8371</v>
      </c>
      <c r="E18">
        <v>821</v>
      </c>
      <c r="F18">
        <v>379</v>
      </c>
      <c r="G18">
        <v>237</v>
      </c>
      <c r="H18">
        <v>213</v>
      </c>
      <c r="I18">
        <v>842</v>
      </c>
      <c r="J18" s="1">
        <v>1068</v>
      </c>
      <c r="K18" s="1">
        <v>3965</v>
      </c>
      <c r="L18" s="1">
        <v>5820</v>
      </c>
      <c r="M18" s="1">
        <v>5358</v>
      </c>
      <c r="N18" s="1">
        <v>4189</v>
      </c>
      <c r="O18" s="1">
        <v>3941</v>
      </c>
      <c r="P18" s="1">
        <v>4648</v>
      </c>
      <c r="Q18" s="1">
        <v>5613</v>
      </c>
      <c r="R18" s="1">
        <v>6698</v>
      </c>
      <c r="S18" s="1">
        <v>7427</v>
      </c>
      <c r="T18" s="1">
        <v>7618</v>
      </c>
      <c r="U18" s="1">
        <v>8781</v>
      </c>
      <c r="V18" s="1">
        <v>10030</v>
      </c>
      <c r="W18" s="1">
        <v>11054</v>
      </c>
      <c r="X18" s="1">
        <v>10155</v>
      </c>
      <c r="Y18" s="1">
        <v>14322</v>
      </c>
      <c r="Z18">
        <v>36</v>
      </c>
    </row>
    <row r="19" spans="1:26">
      <c r="A19">
        <f t="shared" si="0"/>
        <v>2006</v>
      </c>
      <c r="B19" t="s">
        <v>1</v>
      </c>
      <c r="C19" s="1">
        <v>74378</v>
      </c>
      <c r="D19" s="1">
        <v>4801</v>
      </c>
      <c r="E19">
        <v>430</v>
      </c>
      <c r="F19">
        <v>231</v>
      </c>
      <c r="G19">
        <v>136</v>
      </c>
      <c r="H19">
        <v>114</v>
      </c>
      <c r="I19">
        <v>491</v>
      </c>
      <c r="J19">
        <v>655</v>
      </c>
      <c r="K19" s="1">
        <v>3255</v>
      </c>
      <c r="L19" s="1">
        <v>5060</v>
      </c>
      <c r="M19" s="1">
        <v>4458</v>
      </c>
      <c r="N19" s="1">
        <v>3237</v>
      </c>
      <c r="O19" s="1">
        <v>2857</v>
      </c>
      <c r="P19" s="1">
        <v>3144</v>
      </c>
      <c r="Q19" s="1">
        <v>3648</v>
      </c>
      <c r="R19" s="1">
        <v>4239</v>
      </c>
      <c r="S19" s="1">
        <v>4730</v>
      </c>
      <c r="T19" s="1">
        <v>4683</v>
      </c>
      <c r="U19" s="1">
        <v>5259</v>
      </c>
      <c r="V19" s="1">
        <v>5832</v>
      </c>
      <c r="W19" s="1">
        <v>6091</v>
      </c>
      <c r="X19" s="1">
        <v>5041</v>
      </c>
      <c r="Y19" s="1">
        <v>5957</v>
      </c>
      <c r="Z19">
        <v>29</v>
      </c>
    </row>
    <row r="20" spans="1:26">
      <c r="A20">
        <f t="shared" si="0"/>
        <v>2006</v>
      </c>
      <c r="B20" t="s">
        <v>2</v>
      </c>
      <c r="C20" s="1">
        <v>47208</v>
      </c>
      <c r="D20" s="1">
        <v>3570</v>
      </c>
      <c r="E20">
        <v>391</v>
      </c>
      <c r="F20">
        <v>148</v>
      </c>
      <c r="G20">
        <v>101</v>
      </c>
      <c r="H20">
        <v>99</v>
      </c>
      <c r="I20">
        <v>351</v>
      </c>
      <c r="J20">
        <v>413</v>
      </c>
      <c r="K20">
        <v>710</v>
      </c>
      <c r="L20">
        <v>760</v>
      </c>
      <c r="M20">
        <v>900</v>
      </c>
      <c r="N20">
        <v>952</v>
      </c>
      <c r="O20" s="1">
        <v>1084</v>
      </c>
      <c r="P20" s="1">
        <v>1504</v>
      </c>
      <c r="Q20" s="1">
        <v>1965</v>
      </c>
      <c r="R20" s="1">
        <v>2459</v>
      </c>
      <c r="S20" s="1">
        <v>2697</v>
      </c>
      <c r="T20" s="1">
        <v>2935</v>
      </c>
      <c r="U20" s="1">
        <v>3522</v>
      </c>
      <c r="V20" s="1">
        <v>4198</v>
      </c>
      <c r="W20" s="1">
        <v>4963</v>
      </c>
      <c r="X20" s="1">
        <v>5114</v>
      </c>
      <c r="Y20" s="1">
        <v>8365</v>
      </c>
      <c r="Z20">
        <v>7</v>
      </c>
    </row>
    <row r="21" spans="1:26">
      <c r="A21">
        <f t="shared" si="0"/>
        <v>2005</v>
      </c>
      <c r="B21" t="s">
        <v>0</v>
      </c>
      <c r="C21" s="1">
        <v>117831</v>
      </c>
      <c r="D21" s="1">
        <v>9093</v>
      </c>
      <c r="E21">
        <v>878</v>
      </c>
      <c r="F21">
        <v>379</v>
      </c>
      <c r="G21">
        <v>230</v>
      </c>
      <c r="H21">
        <v>208</v>
      </c>
      <c r="I21">
        <v>834</v>
      </c>
      <c r="J21">
        <v>979</v>
      </c>
      <c r="K21" s="1">
        <v>3572</v>
      </c>
      <c r="L21" s="1">
        <v>5205</v>
      </c>
      <c r="M21" s="1">
        <v>4694</v>
      </c>
      <c r="N21" s="1">
        <v>3890</v>
      </c>
      <c r="O21" s="1">
        <v>3814</v>
      </c>
      <c r="P21" s="1">
        <v>4440</v>
      </c>
      <c r="Q21" s="1">
        <v>5275</v>
      </c>
      <c r="R21" s="1">
        <v>6385</v>
      </c>
      <c r="S21" s="1">
        <v>7032</v>
      </c>
      <c r="T21" s="1">
        <v>7527</v>
      </c>
      <c r="U21" s="1">
        <v>8707</v>
      </c>
      <c r="V21" s="1">
        <v>9739</v>
      </c>
      <c r="W21" s="1">
        <v>11133</v>
      </c>
      <c r="X21" s="1">
        <v>9778</v>
      </c>
      <c r="Y21" s="1">
        <v>13934</v>
      </c>
      <c r="Z21">
        <v>105</v>
      </c>
    </row>
    <row r="22" spans="1:26">
      <c r="A22">
        <f t="shared" si="0"/>
        <v>2005</v>
      </c>
      <c r="B22" t="s">
        <v>1</v>
      </c>
      <c r="C22" s="1">
        <v>71155</v>
      </c>
      <c r="D22" s="1">
        <v>5204</v>
      </c>
      <c r="E22">
        <v>476</v>
      </c>
      <c r="F22">
        <v>208</v>
      </c>
      <c r="G22">
        <v>123</v>
      </c>
      <c r="H22">
        <v>126</v>
      </c>
      <c r="I22">
        <v>495</v>
      </c>
      <c r="J22">
        <v>632</v>
      </c>
      <c r="K22" s="1">
        <v>2927</v>
      </c>
      <c r="L22" s="1">
        <v>4391</v>
      </c>
      <c r="M22" s="1">
        <v>3859</v>
      </c>
      <c r="N22" s="1">
        <v>3018</v>
      </c>
      <c r="O22" s="1">
        <v>2705</v>
      </c>
      <c r="P22" s="1">
        <v>3020</v>
      </c>
      <c r="Q22" s="1">
        <v>3424</v>
      </c>
      <c r="R22" s="1">
        <v>4027</v>
      </c>
      <c r="S22" s="1">
        <v>4356</v>
      </c>
      <c r="T22" s="1">
        <v>4646</v>
      </c>
      <c r="U22" s="1">
        <v>5140</v>
      </c>
      <c r="V22" s="1">
        <v>5557</v>
      </c>
      <c r="W22" s="1">
        <v>6016</v>
      </c>
      <c r="X22" s="1">
        <v>4881</v>
      </c>
      <c r="Y22" s="1">
        <v>5832</v>
      </c>
      <c r="Z22">
        <v>92</v>
      </c>
    </row>
    <row r="23" spans="1:26">
      <c r="A23">
        <f t="shared" si="0"/>
        <v>2005</v>
      </c>
      <c r="B23" t="s">
        <v>2</v>
      </c>
      <c r="C23" s="1">
        <v>46676</v>
      </c>
      <c r="D23" s="1">
        <v>3889</v>
      </c>
      <c r="E23">
        <v>402</v>
      </c>
      <c r="F23">
        <v>171</v>
      </c>
      <c r="G23">
        <v>107</v>
      </c>
      <c r="H23">
        <v>82</v>
      </c>
      <c r="I23">
        <v>339</v>
      </c>
      <c r="J23">
        <v>347</v>
      </c>
      <c r="K23">
        <v>645</v>
      </c>
      <c r="L23">
        <v>814</v>
      </c>
      <c r="M23">
        <v>835</v>
      </c>
      <c r="N23">
        <v>872</v>
      </c>
      <c r="O23" s="1">
        <v>1109</v>
      </c>
      <c r="P23" s="1">
        <v>1420</v>
      </c>
      <c r="Q23" s="1">
        <v>1851</v>
      </c>
      <c r="R23" s="1">
        <v>2358</v>
      </c>
      <c r="S23" s="1">
        <v>2676</v>
      </c>
      <c r="T23" s="1">
        <v>2881</v>
      </c>
      <c r="U23" s="1">
        <v>3567</v>
      </c>
      <c r="V23" s="1">
        <v>4182</v>
      </c>
      <c r="W23" s="1">
        <v>5117</v>
      </c>
      <c r="X23" s="1">
        <v>4897</v>
      </c>
      <c r="Y23" s="1">
        <v>8102</v>
      </c>
      <c r="Z23">
        <v>13</v>
      </c>
    </row>
    <row r="24" spans="1:26">
      <c r="A24">
        <f t="shared" si="0"/>
        <v>2004</v>
      </c>
      <c r="B24" t="s">
        <v>0</v>
      </c>
      <c r="C24" s="1">
        <v>117227</v>
      </c>
      <c r="D24" s="1">
        <v>9272</v>
      </c>
      <c r="E24" s="1">
        <v>1054</v>
      </c>
      <c r="F24">
        <v>475</v>
      </c>
      <c r="G24">
        <v>307</v>
      </c>
      <c r="H24">
        <v>249</v>
      </c>
      <c r="I24">
        <v>942</v>
      </c>
      <c r="J24" s="1">
        <v>1066</v>
      </c>
      <c r="K24" s="1">
        <v>3748</v>
      </c>
      <c r="L24" s="1">
        <v>5469</v>
      </c>
      <c r="M24" s="1">
        <v>4754</v>
      </c>
      <c r="N24" s="1">
        <v>4011</v>
      </c>
      <c r="O24" s="1">
        <v>3862</v>
      </c>
      <c r="P24" s="1">
        <v>4315</v>
      </c>
      <c r="Q24" s="1">
        <v>5231</v>
      </c>
      <c r="R24" s="1">
        <v>6165</v>
      </c>
      <c r="S24" s="1">
        <v>6646</v>
      </c>
      <c r="T24" s="1">
        <v>7230</v>
      </c>
      <c r="U24" s="1">
        <v>8610</v>
      </c>
      <c r="V24" s="1">
        <v>9914</v>
      </c>
      <c r="W24" s="1">
        <v>10815</v>
      </c>
      <c r="X24" s="1">
        <v>9635</v>
      </c>
      <c r="Y24" s="1">
        <v>13376</v>
      </c>
      <c r="Z24">
        <v>81</v>
      </c>
    </row>
    <row r="25" spans="1:26">
      <c r="A25">
        <f t="shared" si="0"/>
        <v>2004</v>
      </c>
      <c r="B25" t="s">
        <v>1</v>
      </c>
      <c r="C25" s="1">
        <v>70835</v>
      </c>
      <c r="D25" s="1">
        <v>5317</v>
      </c>
      <c r="E25">
        <v>553</v>
      </c>
      <c r="F25">
        <v>267</v>
      </c>
      <c r="G25">
        <v>163</v>
      </c>
      <c r="H25">
        <v>125</v>
      </c>
      <c r="I25">
        <v>572</v>
      </c>
      <c r="J25">
        <v>641</v>
      </c>
      <c r="K25" s="1">
        <v>3036</v>
      </c>
      <c r="L25" s="1">
        <v>4648</v>
      </c>
      <c r="M25" s="1">
        <v>3908</v>
      </c>
      <c r="N25" s="1">
        <v>3112</v>
      </c>
      <c r="O25" s="1">
        <v>2785</v>
      </c>
      <c r="P25" s="1">
        <v>2888</v>
      </c>
      <c r="Q25" s="1">
        <v>3356</v>
      </c>
      <c r="R25" s="1">
        <v>3906</v>
      </c>
      <c r="S25" s="1">
        <v>4173</v>
      </c>
      <c r="T25" s="1">
        <v>4511</v>
      </c>
      <c r="U25" s="1">
        <v>5062</v>
      </c>
      <c r="V25" s="1">
        <v>5603</v>
      </c>
      <c r="W25" s="1">
        <v>5835</v>
      </c>
      <c r="X25" s="1">
        <v>4751</v>
      </c>
      <c r="Y25" s="1">
        <v>5552</v>
      </c>
      <c r="Z25">
        <v>71</v>
      </c>
    </row>
    <row r="26" spans="1:26">
      <c r="A26">
        <f t="shared" si="0"/>
        <v>2004</v>
      </c>
      <c r="B26" t="s">
        <v>2</v>
      </c>
      <c r="C26" s="1">
        <v>46392</v>
      </c>
      <c r="D26" s="1">
        <v>3955</v>
      </c>
      <c r="E26">
        <v>501</v>
      </c>
      <c r="F26">
        <v>208</v>
      </c>
      <c r="G26">
        <v>144</v>
      </c>
      <c r="H26">
        <v>124</v>
      </c>
      <c r="I26">
        <v>370</v>
      </c>
      <c r="J26">
        <v>425</v>
      </c>
      <c r="K26">
        <v>712</v>
      </c>
      <c r="L26">
        <v>821</v>
      </c>
      <c r="M26">
        <v>846</v>
      </c>
      <c r="N26">
        <v>899</v>
      </c>
      <c r="O26" s="1">
        <v>1077</v>
      </c>
      <c r="P26" s="1">
        <v>1427</v>
      </c>
      <c r="Q26" s="1">
        <v>1875</v>
      </c>
      <c r="R26" s="1">
        <v>2259</v>
      </c>
      <c r="S26" s="1">
        <v>2473</v>
      </c>
      <c r="T26" s="1">
        <v>2719</v>
      </c>
      <c r="U26" s="1">
        <v>3548</v>
      </c>
      <c r="V26" s="1">
        <v>4311</v>
      </c>
      <c r="W26" s="1">
        <v>4980</v>
      </c>
      <c r="X26" s="1">
        <v>4884</v>
      </c>
      <c r="Y26" s="1">
        <v>7824</v>
      </c>
      <c r="Z26">
        <v>10</v>
      </c>
    </row>
    <row r="27" spans="1:26">
      <c r="A27">
        <f t="shared" si="0"/>
        <v>2003</v>
      </c>
      <c r="B27" t="s">
        <v>0</v>
      </c>
      <c r="C27" s="1">
        <v>121864</v>
      </c>
      <c r="D27" s="1">
        <v>10276</v>
      </c>
      <c r="E27" s="1">
        <v>1539</v>
      </c>
      <c r="F27">
        <v>590</v>
      </c>
      <c r="G27">
        <v>355</v>
      </c>
      <c r="H27">
        <v>229</v>
      </c>
      <c r="I27">
        <v>921</v>
      </c>
      <c r="J27" s="1">
        <v>1116</v>
      </c>
      <c r="K27" s="1">
        <v>4104</v>
      </c>
      <c r="L27" s="1">
        <v>6190</v>
      </c>
      <c r="M27" s="1">
        <v>5138</v>
      </c>
      <c r="N27" s="1">
        <v>4199</v>
      </c>
      <c r="O27" s="1">
        <v>4127</v>
      </c>
      <c r="P27" s="1">
        <v>4530</v>
      </c>
      <c r="Q27" s="1">
        <v>5277</v>
      </c>
      <c r="R27" s="1">
        <v>6149</v>
      </c>
      <c r="S27" s="1">
        <v>6544</v>
      </c>
      <c r="T27" s="1">
        <v>7402</v>
      </c>
      <c r="U27" s="1">
        <v>8935</v>
      </c>
      <c r="V27" s="1">
        <v>10256</v>
      </c>
      <c r="W27" s="1">
        <v>10738</v>
      </c>
      <c r="X27" s="1">
        <v>9633</v>
      </c>
      <c r="Y27" s="1">
        <v>13578</v>
      </c>
      <c r="Z27">
        <v>38</v>
      </c>
    </row>
    <row r="28" spans="1:26">
      <c r="A28">
        <f t="shared" si="0"/>
        <v>2003</v>
      </c>
      <c r="B28" t="s">
        <v>1</v>
      </c>
      <c r="C28" s="1">
        <v>73826</v>
      </c>
      <c r="D28" s="1">
        <v>5848</v>
      </c>
      <c r="E28">
        <v>825</v>
      </c>
      <c r="F28">
        <v>308</v>
      </c>
      <c r="G28">
        <v>179</v>
      </c>
      <c r="H28">
        <v>121</v>
      </c>
      <c r="I28">
        <v>543</v>
      </c>
      <c r="J28">
        <v>693</v>
      </c>
      <c r="K28" s="1">
        <v>3402</v>
      </c>
      <c r="L28" s="1">
        <v>5314</v>
      </c>
      <c r="M28" s="1">
        <v>4242</v>
      </c>
      <c r="N28" s="1">
        <v>3242</v>
      </c>
      <c r="O28" s="1">
        <v>2983</v>
      </c>
      <c r="P28" s="1">
        <v>3038</v>
      </c>
      <c r="Q28" s="1">
        <v>3400</v>
      </c>
      <c r="R28" s="1">
        <v>3804</v>
      </c>
      <c r="S28" s="1">
        <v>4070</v>
      </c>
      <c r="T28" s="1">
        <v>4574</v>
      </c>
      <c r="U28" s="1">
        <v>5273</v>
      </c>
      <c r="V28" s="1">
        <v>5827</v>
      </c>
      <c r="W28" s="1">
        <v>5741</v>
      </c>
      <c r="X28" s="1">
        <v>4801</v>
      </c>
      <c r="Y28" s="1">
        <v>5564</v>
      </c>
      <c r="Z28">
        <v>34</v>
      </c>
    </row>
    <row r="29" spans="1:26">
      <c r="A29">
        <f t="shared" si="0"/>
        <v>2003</v>
      </c>
      <c r="B29" t="s">
        <v>2</v>
      </c>
      <c r="C29" s="1">
        <v>48038</v>
      </c>
      <c r="D29" s="1">
        <v>4428</v>
      </c>
      <c r="E29">
        <v>714</v>
      </c>
      <c r="F29">
        <v>282</v>
      </c>
      <c r="G29">
        <v>176</v>
      </c>
      <c r="H29">
        <v>108</v>
      </c>
      <c r="I29">
        <v>378</v>
      </c>
      <c r="J29">
        <v>423</v>
      </c>
      <c r="K29">
        <v>702</v>
      </c>
      <c r="L29">
        <v>876</v>
      </c>
      <c r="M29">
        <v>896</v>
      </c>
      <c r="N29">
        <v>957</v>
      </c>
      <c r="O29" s="1">
        <v>1144</v>
      </c>
      <c r="P29" s="1">
        <v>1492</v>
      </c>
      <c r="Q29" s="1">
        <v>1877</v>
      </c>
      <c r="R29" s="1">
        <v>2345</v>
      </c>
      <c r="S29" s="1">
        <v>2474</v>
      </c>
      <c r="T29" s="1">
        <v>2828</v>
      </c>
      <c r="U29" s="1">
        <v>3662</v>
      </c>
      <c r="V29" s="1">
        <v>4429</v>
      </c>
      <c r="W29" s="1">
        <v>4997</v>
      </c>
      <c r="X29" s="1">
        <v>4832</v>
      </c>
      <c r="Y29" s="1">
        <v>8014</v>
      </c>
      <c r="Z29">
        <v>4</v>
      </c>
    </row>
    <row r="30" spans="1:26">
      <c r="A30">
        <f t="shared" si="0"/>
        <v>2002</v>
      </c>
      <c r="B30" t="s">
        <v>0</v>
      </c>
      <c r="C30" s="1">
        <v>110293</v>
      </c>
      <c r="D30" s="1">
        <v>8949</v>
      </c>
      <c r="E30" s="1">
        <v>1144</v>
      </c>
      <c r="F30">
        <v>438</v>
      </c>
      <c r="G30">
        <v>282</v>
      </c>
      <c r="H30">
        <v>250</v>
      </c>
      <c r="I30">
        <v>877</v>
      </c>
      <c r="J30" s="1">
        <v>1104</v>
      </c>
      <c r="K30" s="1">
        <v>3769</v>
      </c>
      <c r="L30" s="1">
        <v>5579</v>
      </c>
      <c r="M30" s="1">
        <v>4523</v>
      </c>
      <c r="N30" s="1">
        <v>3776</v>
      </c>
      <c r="O30" s="1">
        <v>3706</v>
      </c>
      <c r="P30" s="1">
        <v>4305</v>
      </c>
      <c r="Q30" s="1">
        <v>5143</v>
      </c>
      <c r="R30" s="1">
        <v>5851</v>
      </c>
      <c r="S30" s="1">
        <v>6112</v>
      </c>
      <c r="T30" s="1">
        <v>6800</v>
      </c>
      <c r="U30" s="1">
        <v>8271</v>
      </c>
      <c r="V30" s="1">
        <v>9524</v>
      </c>
      <c r="W30" s="1">
        <v>9622</v>
      </c>
      <c r="X30" s="1">
        <v>8450</v>
      </c>
      <c r="Y30" s="1">
        <v>11723</v>
      </c>
      <c r="Z30">
        <v>95</v>
      </c>
    </row>
    <row r="31" spans="1:26">
      <c r="A31">
        <f t="shared" si="0"/>
        <v>2002</v>
      </c>
      <c r="B31" t="s">
        <v>1</v>
      </c>
      <c r="C31" s="1">
        <v>65573</v>
      </c>
      <c r="D31" s="1">
        <v>4976</v>
      </c>
      <c r="E31">
        <v>599</v>
      </c>
      <c r="F31">
        <v>251</v>
      </c>
      <c r="G31">
        <v>143</v>
      </c>
      <c r="H31">
        <v>139</v>
      </c>
      <c r="I31">
        <v>509</v>
      </c>
      <c r="J31">
        <v>682</v>
      </c>
      <c r="K31" s="1">
        <v>3007</v>
      </c>
      <c r="L31" s="1">
        <v>4658</v>
      </c>
      <c r="M31" s="1">
        <v>3573</v>
      </c>
      <c r="N31" s="1">
        <v>2802</v>
      </c>
      <c r="O31" s="1">
        <v>2526</v>
      </c>
      <c r="P31" s="1">
        <v>2786</v>
      </c>
      <c r="Q31" s="1">
        <v>3222</v>
      </c>
      <c r="R31" s="1">
        <v>3651</v>
      </c>
      <c r="S31" s="1">
        <v>3761</v>
      </c>
      <c r="T31" s="1">
        <v>4062</v>
      </c>
      <c r="U31" s="1">
        <v>4725</v>
      </c>
      <c r="V31" s="1">
        <v>5389</v>
      </c>
      <c r="W31" s="1">
        <v>5047</v>
      </c>
      <c r="X31" s="1">
        <v>4149</v>
      </c>
      <c r="Y31" s="1">
        <v>4833</v>
      </c>
      <c r="Z31">
        <v>83</v>
      </c>
    </row>
    <row r="32" spans="1:26">
      <c r="A32">
        <f t="shared" si="0"/>
        <v>2002</v>
      </c>
      <c r="B32" t="s">
        <v>2</v>
      </c>
      <c r="C32" s="1">
        <v>44720</v>
      </c>
      <c r="D32" s="1">
        <v>3973</v>
      </c>
      <c r="E32">
        <v>545</v>
      </c>
      <c r="F32">
        <v>187</v>
      </c>
      <c r="G32">
        <v>139</v>
      </c>
      <c r="H32">
        <v>111</v>
      </c>
      <c r="I32">
        <v>368</v>
      </c>
      <c r="J32">
        <v>422</v>
      </c>
      <c r="K32">
        <v>762</v>
      </c>
      <c r="L32">
        <v>921</v>
      </c>
      <c r="M32">
        <v>950</v>
      </c>
      <c r="N32">
        <v>974</v>
      </c>
      <c r="O32" s="1">
        <v>1180</v>
      </c>
      <c r="P32" s="1">
        <v>1519</v>
      </c>
      <c r="Q32" s="1">
        <v>1921</v>
      </c>
      <c r="R32" s="1">
        <v>2200</v>
      </c>
      <c r="S32" s="1">
        <v>2351</v>
      </c>
      <c r="T32" s="1">
        <v>2738</v>
      </c>
      <c r="U32" s="1">
        <v>3546</v>
      </c>
      <c r="V32" s="1">
        <v>4135</v>
      </c>
      <c r="W32" s="1">
        <v>4575</v>
      </c>
      <c r="X32" s="1">
        <v>4301</v>
      </c>
      <c r="Y32" s="1">
        <v>6890</v>
      </c>
      <c r="Z32">
        <v>12</v>
      </c>
    </row>
    <row r="33" spans="1:26">
      <c r="A33">
        <f t="shared" si="0"/>
        <v>2001</v>
      </c>
      <c r="B33" t="s">
        <v>0</v>
      </c>
      <c r="C33" s="1">
        <v>110672</v>
      </c>
      <c r="D33" s="1">
        <v>9353</v>
      </c>
      <c r="E33" s="1">
        <v>1243</v>
      </c>
      <c r="F33">
        <v>533</v>
      </c>
      <c r="G33">
        <v>312</v>
      </c>
      <c r="H33">
        <v>250</v>
      </c>
      <c r="I33">
        <v>974</v>
      </c>
      <c r="J33" s="1">
        <v>1057</v>
      </c>
      <c r="K33" s="1">
        <v>3350</v>
      </c>
      <c r="L33" s="1">
        <v>4860</v>
      </c>
      <c r="M33" s="1">
        <v>4234</v>
      </c>
      <c r="N33" s="1">
        <v>3727</v>
      </c>
      <c r="O33" s="1">
        <v>3897</v>
      </c>
      <c r="P33" s="1">
        <v>4378</v>
      </c>
      <c r="Q33" s="1">
        <v>5150</v>
      </c>
      <c r="R33" s="1">
        <v>5653</v>
      </c>
      <c r="S33" s="1">
        <v>5756</v>
      </c>
      <c r="T33" s="1">
        <v>7076</v>
      </c>
      <c r="U33" s="1">
        <v>8353</v>
      </c>
      <c r="V33" s="1">
        <v>9957</v>
      </c>
      <c r="W33" s="1">
        <v>9623</v>
      </c>
      <c r="X33" s="1">
        <v>8875</v>
      </c>
      <c r="Y33" s="1">
        <v>11982</v>
      </c>
      <c r="Z33">
        <v>79</v>
      </c>
    </row>
    <row r="34" spans="1:26">
      <c r="A34">
        <f t="shared" si="0"/>
        <v>2001</v>
      </c>
      <c r="B34" t="s">
        <v>1</v>
      </c>
      <c r="C34" s="1">
        <v>66616</v>
      </c>
      <c r="D34" s="1">
        <v>5375</v>
      </c>
      <c r="E34">
        <v>662</v>
      </c>
      <c r="F34">
        <v>298</v>
      </c>
      <c r="G34">
        <v>185</v>
      </c>
      <c r="H34">
        <v>138</v>
      </c>
      <c r="I34">
        <v>536</v>
      </c>
      <c r="J34">
        <v>635</v>
      </c>
      <c r="K34" s="1">
        <v>2699</v>
      </c>
      <c r="L34" s="1">
        <v>4132</v>
      </c>
      <c r="M34" s="1">
        <v>3438</v>
      </c>
      <c r="N34" s="1">
        <v>2829</v>
      </c>
      <c r="O34" s="1">
        <v>2794</v>
      </c>
      <c r="P34" s="1">
        <v>2911</v>
      </c>
      <c r="Q34" s="1">
        <v>3371</v>
      </c>
      <c r="R34" s="1">
        <v>3624</v>
      </c>
      <c r="S34" s="1">
        <v>3652</v>
      </c>
      <c r="T34" s="1">
        <v>4280</v>
      </c>
      <c r="U34" s="1">
        <v>4962</v>
      </c>
      <c r="V34" s="1">
        <v>5649</v>
      </c>
      <c r="W34" s="1">
        <v>5092</v>
      </c>
      <c r="X34" s="1">
        <v>4340</v>
      </c>
      <c r="Y34" s="1">
        <v>4938</v>
      </c>
      <c r="Z34">
        <v>76</v>
      </c>
    </row>
    <row r="35" spans="1:26">
      <c r="A35">
        <f t="shared" si="0"/>
        <v>2001</v>
      </c>
      <c r="B35" t="s">
        <v>2</v>
      </c>
      <c r="C35" s="1">
        <v>44056</v>
      </c>
      <c r="D35" s="1">
        <v>3978</v>
      </c>
      <c r="E35">
        <v>581</v>
      </c>
      <c r="F35">
        <v>235</v>
      </c>
      <c r="G35">
        <v>127</v>
      </c>
      <c r="H35">
        <v>112</v>
      </c>
      <c r="I35">
        <v>438</v>
      </c>
      <c r="J35">
        <v>422</v>
      </c>
      <c r="K35">
        <v>651</v>
      </c>
      <c r="L35">
        <v>728</v>
      </c>
      <c r="M35">
        <v>796</v>
      </c>
      <c r="N35">
        <v>898</v>
      </c>
      <c r="O35" s="1">
        <v>1103</v>
      </c>
      <c r="P35" s="1">
        <v>1467</v>
      </c>
      <c r="Q35" s="1">
        <v>1779</v>
      </c>
      <c r="R35" s="1">
        <v>2029</v>
      </c>
      <c r="S35" s="1">
        <v>2104</v>
      </c>
      <c r="T35" s="1">
        <v>2796</v>
      </c>
      <c r="U35" s="1">
        <v>3391</v>
      </c>
      <c r="V35" s="1">
        <v>4308</v>
      </c>
      <c r="W35" s="1">
        <v>4531</v>
      </c>
      <c r="X35" s="1">
        <v>4535</v>
      </c>
      <c r="Y35" s="1">
        <v>7044</v>
      </c>
      <c r="Z35">
        <v>3</v>
      </c>
    </row>
    <row r="36" spans="1:26">
      <c r="A36">
        <f t="shared" si="0"/>
        <v>2000</v>
      </c>
      <c r="B36" t="s">
        <v>0</v>
      </c>
      <c r="C36" s="1">
        <v>105948</v>
      </c>
      <c r="D36" s="1">
        <v>9649</v>
      </c>
      <c r="E36" s="1">
        <v>1207</v>
      </c>
      <c r="F36">
        <v>493</v>
      </c>
      <c r="G36">
        <v>318</v>
      </c>
      <c r="H36">
        <v>240</v>
      </c>
      <c r="I36">
        <v>986</v>
      </c>
      <c r="J36">
        <v>966</v>
      </c>
      <c r="K36" s="1">
        <v>3298</v>
      </c>
      <c r="L36" s="1">
        <v>4742</v>
      </c>
      <c r="M36" s="1">
        <v>4042</v>
      </c>
      <c r="N36" s="1">
        <v>3729</v>
      </c>
      <c r="O36" s="1">
        <v>3709</v>
      </c>
      <c r="P36" s="1">
        <v>4180</v>
      </c>
      <c r="Q36" s="1">
        <v>4734</v>
      </c>
      <c r="R36" s="1">
        <v>5249</v>
      </c>
      <c r="S36" s="1">
        <v>5475</v>
      </c>
      <c r="T36" s="1">
        <v>6883</v>
      </c>
      <c r="U36" s="1">
        <v>8052</v>
      </c>
      <c r="V36" s="1">
        <v>9583</v>
      </c>
      <c r="W36" s="1">
        <v>9068</v>
      </c>
      <c r="X36" s="1">
        <v>8380</v>
      </c>
      <c r="Y36" s="1">
        <v>10848</v>
      </c>
      <c r="Z36">
        <v>117</v>
      </c>
    </row>
    <row r="37" spans="1:26">
      <c r="A37">
        <f t="shared" si="0"/>
        <v>2000</v>
      </c>
      <c r="B37" t="s">
        <v>1</v>
      </c>
      <c r="C37" s="1">
        <v>64101</v>
      </c>
      <c r="D37" s="1">
        <v>5622</v>
      </c>
      <c r="E37">
        <v>639</v>
      </c>
      <c r="F37">
        <v>273</v>
      </c>
      <c r="G37">
        <v>174</v>
      </c>
      <c r="H37">
        <v>138</v>
      </c>
      <c r="I37">
        <v>588</v>
      </c>
      <c r="J37">
        <v>603</v>
      </c>
      <c r="K37" s="1">
        <v>2643</v>
      </c>
      <c r="L37" s="1">
        <v>4041</v>
      </c>
      <c r="M37" s="1">
        <v>3300</v>
      </c>
      <c r="N37" s="1">
        <v>2865</v>
      </c>
      <c r="O37" s="1">
        <v>2626</v>
      </c>
      <c r="P37" s="1">
        <v>2806</v>
      </c>
      <c r="Q37" s="1">
        <v>3047</v>
      </c>
      <c r="R37" s="1">
        <v>3301</v>
      </c>
      <c r="S37" s="1">
        <v>3432</v>
      </c>
      <c r="T37" s="1">
        <v>4090</v>
      </c>
      <c r="U37" s="1">
        <v>4735</v>
      </c>
      <c r="V37" s="1">
        <v>5542</v>
      </c>
      <c r="W37" s="1">
        <v>4863</v>
      </c>
      <c r="X37" s="1">
        <v>4120</v>
      </c>
      <c r="Y37" s="1">
        <v>4555</v>
      </c>
      <c r="Z37">
        <v>98</v>
      </c>
    </row>
    <row r="38" spans="1:26">
      <c r="A38">
        <f t="shared" si="0"/>
        <v>2000</v>
      </c>
      <c r="B38" t="s">
        <v>2</v>
      </c>
      <c r="C38" s="1">
        <v>41847</v>
      </c>
      <c r="D38" s="1">
        <v>4027</v>
      </c>
      <c r="E38">
        <v>568</v>
      </c>
      <c r="F38">
        <v>220</v>
      </c>
      <c r="G38">
        <v>144</v>
      </c>
      <c r="H38">
        <v>102</v>
      </c>
      <c r="I38">
        <v>398</v>
      </c>
      <c r="J38">
        <v>363</v>
      </c>
      <c r="K38">
        <v>655</v>
      </c>
      <c r="L38">
        <v>701</v>
      </c>
      <c r="M38">
        <v>742</v>
      </c>
      <c r="N38">
        <v>864</v>
      </c>
      <c r="O38" s="1">
        <v>1083</v>
      </c>
      <c r="P38" s="1">
        <v>1374</v>
      </c>
      <c r="Q38" s="1">
        <v>1687</v>
      </c>
      <c r="R38" s="1">
        <v>1948</v>
      </c>
      <c r="S38" s="1">
        <v>2043</v>
      </c>
      <c r="T38" s="1">
        <v>2793</v>
      </c>
      <c r="U38" s="1">
        <v>3317</v>
      </c>
      <c r="V38" s="1">
        <v>4041</v>
      </c>
      <c r="W38" s="1">
        <v>4205</v>
      </c>
      <c r="X38" s="1">
        <v>4260</v>
      </c>
      <c r="Y38" s="1">
        <v>6293</v>
      </c>
      <c r="Z38">
        <v>19</v>
      </c>
    </row>
    <row r="39" spans="1:26">
      <c r="A39">
        <f t="shared" si="0"/>
        <v>1999</v>
      </c>
      <c r="B39" t="s">
        <v>0</v>
      </c>
      <c r="C39">
        <v>104.625</v>
      </c>
      <c r="D39">
        <v>10.108000000000001</v>
      </c>
      <c r="E39">
        <v>1.2050000000000001</v>
      </c>
      <c r="F39">
        <v>527</v>
      </c>
      <c r="G39">
        <v>346</v>
      </c>
      <c r="H39">
        <v>275</v>
      </c>
      <c r="I39">
        <v>1.042</v>
      </c>
      <c r="J39">
        <v>1.0029999999999999</v>
      </c>
      <c r="K39">
        <v>2.8039999999999998</v>
      </c>
      <c r="L39">
        <v>3.875</v>
      </c>
      <c r="M39">
        <v>3.5750000000000002</v>
      </c>
      <c r="N39">
        <v>3.3650000000000002</v>
      </c>
      <c r="O39">
        <v>3.4849999999999999</v>
      </c>
      <c r="P39">
        <v>3.9580000000000002</v>
      </c>
      <c r="Q39">
        <v>4.6680000000000001</v>
      </c>
      <c r="R39">
        <v>4.93</v>
      </c>
      <c r="S39">
        <v>5.6020000000000003</v>
      </c>
      <c r="T39">
        <v>7.0549999999999997</v>
      </c>
      <c r="U39">
        <v>8.4269999999999996</v>
      </c>
      <c r="V39">
        <v>9.2870000000000008</v>
      </c>
      <c r="W39">
        <v>9.3480000000000008</v>
      </c>
      <c r="X39">
        <v>8.4580000000000002</v>
      </c>
      <c r="Y39">
        <v>11.148999999999999</v>
      </c>
      <c r="Z39">
        <v>133</v>
      </c>
    </row>
    <row r="40" spans="1:26">
      <c r="A40">
        <f t="shared" si="0"/>
        <v>1999</v>
      </c>
      <c r="B40" t="s">
        <v>1</v>
      </c>
      <c r="C40">
        <v>61.503</v>
      </c>
      <c r="D40">
        <v>5.835</v>
      </c>
      <c r="E40">
        <v>641</v>
      </c>
      <c r="F40">
        <v>298</v>
      </c>
      <c r="G40">
        <v>183</v>
      </c>
      <c r="H40">
        <v>156</v>
      </c>
      <c r="I40">
        <v>626</v>
      </c>
      <c r="J40">
        <v>616</v>
      </c>
      <c r="K40">
        <v>2.1619999999999999</v>
      </c>
      <c r="L40">
        <v>3.141</v>
      </c>
      <c r="M40">
        <v>2.83</v>
      </c>
      <c r="N40">
        <v>2.5019999999999998</v>
      </c>
      <c r="O40">
        <v>2.399</v>
      </c>
      <c r="P40">
        <v>2.5720000000000001</v>
      </c>
      <c r="Q40">
        <v>2.9409999999999998</v>
      </c>
      <c r="R40">
        <v>3.077</v>
      </c>
      <c r="S40">
        <v>3.415</v>
      </c>
      <c r="T40">
        <v>4.2699999999999996</v>
      </c>
      <c r="U40">
        <v>4.976</v>
      </c>
      <c r="V40">
        <v>5.1710000000000003</v>
      </c>
      <c r="W40">
        <v>4.9470000000000001</v>
      </c>
      <c r="X40">
        <v>4.1070000000000002</v>
      </c>
      <c r="Y40">
        <v>4.532</v>
      </c>
      <c r="Z40">
        <v>106</v>
      </c>
    </row>
    <row r="41" spans="1:26">
      <c r="A41">
        <f t="shared" si="0"/>
        <v>1999</v>
      </c>
      <c r="B41" t="s">
        <v>2</v>
      </c>
      <c r="C41">
        <v>43.122</v>
      </c>
      <c r="D41">
        <v>4.2729999999999997</v>
      </c>
      <c r="E41">
        <v>564</v>
      </c>
      <c r="F41">
        <v>229</v>
      </c>
      <c r="G41">
        <v>163</v>
      </c>
      <c r="H41">
        <v>119</v>
      </c>
      <c r="I41">
        <v>416</v>
      </c>
      <c r="J41">
        <v>387</v>
      </c>
      <c r="K41">
        <v>642</v>
      </c>
      <c r="L41">
        <v>734</v>
      </c>
      <c r="M41">
        <v>745</v>
      </c>
      <c r="N41">
        <v>863</v>
      </c>
      <c r="O41">
        <v>1.0860000000000001</v>
      </c>
      <c r="P41">
        <v>1.3859999999999999</v>
      </c>
      <c r="Q41">
        <v>1.7270000000000001</v>
      </c>
      <c r="R41">
        <v>1.853</v>
      </c>
      <c r="S41">
        <v>2.1869999999999998</v>
      </c>
      <c r="T41">
        <v>2.7850000000000001</v>
      </c>
      <c r="U41">
        <v>3.4510000000000001</v>
      </c>
      <c r="V41">
        <v>4.1159999999999997</v>
      </c>
      <c r="W41">
        <v>4.4009999999999998</v>
      </c>
      <c r="X41">
        <v>4.351</v>
      </c>
      <c r="Y41">
        <v>6.617</v>
      </c>
      <c r="Z41">
        <v>27</v>
      </c>
    </row>
    <row r="42" spans="1:26">
      <c r="A42">
        <f t="shared" si="0"/>
        <v>1998</v>
      </c>
      <c r="B42" t="s">
        <v>0</v>
      </c>
      <c r="C42" s="1">
        <v>100963</v>
      </c>
      <c r="D42" s="1">
        <v>10721</v>
      </c>
      <c r="E42" s="1">
        <v>1373</v>
      </c>
      <c r="F42">
        <v>560</v>
      </c>
      <c r="G42">
        <v>361</v>
      </c>
      <c r="H42">
        <v>272</v>
      </c>
      <c r="I42">
        <v>981</v>
      </c>
      <c r="J42" s="1">
        <v>1045</v>
      </c>
      <c r="K42" s="1">
        <v>2466</v>
      </c>
      <c r="L42" s="1">
        <v>3388</v>
      </c>
      <c r="M42" s="1">
        <v>3130</v>
      </c>
      <c r="N42" s="1">
        <v>3069</v>
      </c>
      <c r="O42" s="1">
        <v>3373</v>
      </c>
      <c r="P42" s="1">
        <v>3845</v>
      </c>
      <c r="Q42" s="1">
        <v>4441</v>
      </c>
      <c r="R42" s="1">
        <v>4702</v>
      </c>
      <c r="S42" s="1">
        <v>5505</v>
      </c>
      <c r="T42" s="1">
        <v>6686</v>
      </c>
      <c r="U42" s="1">
        <v>8314</v>
      </c>
      <c r="V42" s="1">
        <v>9066</v>
      </c>
      <c r="W42" s="1">
        <v>8912</v>
      </c>
      <c r="X42" s="1">
        <v>7874</v>
      </c>
      <c r="Y42" s="1">
        <v>10635</v>
      </c>
      <c r="Z42">
        <v>244</v>
      </c>
    </row>
    <row r="43" spans="1:26">
      <c r="A43">
        <f t="shared" si="0"/>
        <v>1998</v>
      </c>
      <c r="B43" t="s">
        <v>1</v>
      </c>
      <c r="C43" s="1">
        <v>59449</v>
      </c>
      <c r="D43" s="1">
        <v>6144</v>
      </c>
      <c r="E43">
        <v>765</v>
      </c>
      <c r="F43">
        <v>305</v>
      </c>
      <c r="G43">
        <v>199</v>
      </c>
      <c r="H43">
        <v>164</v>
      </c>
      <c r="I43">
        <v>575</v>
      </c>
      <c r="J43">
        <v>638</v>
      </c>
      <c r="K43" s="1">
        <v>1875</v>
      </c>
      <c r="L43" s="1">
        <v>2721</v>
      </c>
      <c r="M43" s="1">
        <v>2380</v>
      </c>
      <c r="N43" s="1">
        <v>2253</v>
      </c>
      <c r="O43" s="1">
        <v>2270</v>
      </c>
      <c r="P43" s="1">
        <v>2533</v>
      </c>
      <c r="Q43" s="1">
        <v>2792</v>
      </c>
      <c r="R43" s="1">
        <v>2932</v>
      </c>
      <c r="S43" s="1">
        <v>3435</v>
      </c>
      <c r="T43" s="1">
        <v>4075</v>
      </c>
      <c r="U43" s="1">
        <v>4839</v>
      </c>
      <c r="V43" s="1">
        <v>5168</v>
      </c>
      <c r="W43" s="1">
        <v>4741</v>
      </c>
      <c r="X43" s="1">
        <v>3900</v>
      </c>
      <c r="Y43" s="1">
        <v>4557</v>
      </c>
      <c r="Z43">
        <v>188</v>
      </c>
    </row>
    <row r="44" spans="1:26">
      <c r="A44">
        <f t="shared" si="0"/>
        <v>1998</v>
      </c>
      <c r="B44" t="s">
        <v>2</v>
      </c>
      <c r="C44" s="1">
        <v>41514</v>
      </c>
      <c r="D44" s="1">
        <v>4577</v>
      </c>
      <c r="E44">
        <v>608</v>
      </c>
      <c r="F44">
        <v>255</v>
      </c>
      <c r="G44">
        <v>162</v>
      </c>
      <c r="H44">
        <v>108</v>
      </c>
      <c r="I44">
        <v>406</v>
      </c>
      <c r="J44">
        <v>407</v>
      </c>
      <c r="K44">
        <v>591</v>
      </c>
      <c r="L44">
        <v>667</v>
      </c>
      <c r="M44">
        <v>750</v>
      </c>
      <c r="N44">
        <v>816</v>
      </c>
      <c r="O44" s="1">
        <v>1103</v>
      </c>
      <c r="P44" s="1">
        <v>1312</v>
      </c>
      <c r="Q44" s="1">
        <v>1649</v>
      </c>
      <c r="R44" s="1">
        <v>1770</v>
      </c>
      <c r="S44" s="1">
        <v>2070</v>
      </c>
      <c r="T44" s="1">
        <v>2611</v>
      </c>
      <c r="U44" s="1">
        <v>3475</v>
      </c>
      <c r="V44" s="1">
        <v>3898</v>
      </c>
      <c r="W44" s="1">
        <v>4171</v>
      </c>
      <c r="X44" s="1">
        <v>3974</v>
      </c>
      <c r="Y44" s="1">
        <v>6078</v>
      </c>
      <c r="Z44">
        <v>56</v>
      </c>
    </row>
    <row r="45" spans="1:26">
      <c r="A45">
        <f t="shared" si="0"/>
        <v>1997</v>
      </c>
      <c r="B45" t="s">
        <v>0</v>
      </c>
      <c r="C45" s="1">
        <v>98011</v>
      </c>
      <c r="D45" s="1">
        <v>11069</v>
      </c>
      <c r="E45" s="1">
        <v>1222</v>
      </c>
      <c r="F45">
        <v>549</v>
      </c>
      <c r="G45">
        <v>345</v>
      </c>
      <c r="H45">
        <v>275</v>
      </c>
      <c r="I45" s="1">
        <v>1013</v>
      </c>
      <c r="J45" s="1">
        <v>1052</v>
      </c>
      <c r="K45" s="1">
        <v>2503</v>
      </c>
      <c r="L45" s="1">
        <v>3170</v>
      </c>
      <c r="M45" s="1">
        <v>3022</v>
      </c>
      <c r="N45" s="1">
        <v>2943</v>
      </c>
      <c r="O45" s="1">
        <v>3277</v>
      </c>
      <c r="P45" s="1">
        <v>3734</v>
      </c>
      <c r="Q45" s="1">
        <v>3998</v>
      </c>
      <c r="R45" s="1">
        <v>4440</v>
      </c>
      <c r="S45" s="1">
        <v>5193</v>
      </c>
      <c r="T45" s="1">
        <v>6543</v>
      </c>
      <c r="U45" s="1">
        <v>7962</v>
      </c>
      <c r="V45" s="1">
        <v>8697</v>
      </c>
      <c r="W45" s="1">
        <v>8752</v>
      </c>
      <c r="X45" s="1">
        <v>7745</v>
      </c>
      <c r="Y45" s="1">
        <v>10356</v>
      </c>
      <c r="Z45">
        <v>151</v>
      </c>
    </row>
    <row r="46" spans="1:26">
      <c r="A46">
        <f t="shared" si="0"/>
        <v>1997</v>
      </c>
      <c r="B46" t="s">
        <v>1</v>
      </c>
      <c r="C46" s="1">
        <v>56598</v>
      </c>
      <c r="D46" s="1">
        <v>6324</v>
      </c>
      <c r="E46">
        <v>640</v>
      </c>
      <c r="F46">
        <v>293</v>
      </c>
      <c r="G46">
        <v>187</v>
      </c>
      <c r="H46">
        <v>145</v>
      </c>
      <c r="I46">
        <v>614</v>
      </c>
      <c r="J46">
        <v>647</v>
      </c>
      <c r="K46" s="1">
        <v>1884</v>
      </c>
      <c r="L46" s="1">
        <v>2476</v>
      </c>
      <c r="M46" s="1">
        <v>2274</v>
      </c>
      <c r="N46" s="1">
        <v>2090</v>
      </c>
      <c r="O46" s="1">
        <v>2130</v>
      </c>
      <c r="P46" s="1">
        <v>2302</v>
      </c>
      <c r="Q46" s="1">
        <v>2448</v>
      </c>
      <c r="R46" s="1">
        <v>2721</v>
      </c>
      <c r="S46" s="1">
        <v>3147</v>
      </c>
      <c r="T46" s="1">
        <v>3864</v>
      </c>
      <c r="U46" s="1">
        <v>4643</v>
      </c>
      <c r="V46" s="1">
        <v>4978</v>
      </c>
      <c r="W46" s="1">
        <v>4778</v>
      </c>
      <c r="X46" s="1">
        <v>3710</v>
      </c>
      <c r="Y46" s="1">
        <v>4186</v>
      </c>
      <c r="Z46">
        <v>117</v>
      </c>
    </row>
    <row r="47" spans="1:26">
      <c r="A47">
        <f t="shared" si="0"/>
        <v>1997</v>
      </c>
      <c r="B47" t="s">
        <v>2</v>
      </c>
      <c r="C47" s="1">
        <v>41413</v>
      </c>
      <c r="D47" s="1">
        <v>4745</v>
      </c>
      <c r="E47">
        <v>582</v>
      </c>
      <c r="F47">
        <v>256</v>
      </c>
      <c r="G47">
        <v>158</v>
      </c>
      <c r="H47">
        <v>130</v>
      </c>
      <c r="I47">
        <v>399</v>
      </c>
      <c r="J47">
        <v>405</v>
      </c>
      <c r="K47">
        <v>619</v>
      </c>
      <c r="L47">
        <v>694</v>
      </c>
      <c r="M47">
        <v>748</v>
      </c>
      <c r="N47">
        <v>853</v>
      </c>
      <c r="O47" s="1">
        <v>1147</v>
      </c>
      <c r="P47" s="1">
        <v>1432</v>
      </c>
      <c r="Q47" s="1">
        <v>1550</v>
      </c>
      <c r="R47" s="1">
        <v>1719</v>
      </c>
      <c r="S47" s="1">
        <v>2046</v>
      </c>
      <c r="T47" s="1">
        <v>2679</v>
      </c>
      <c r="U47" s="1">
        <v>3319</v>
      </c>
      <c r="V47" s="1">
        <v>3719</v>
      </c>
      <c r="W47" s="1">
        <v>3974</v>
      </c>
      <c r="X47" s="1">
        <v>4035</v>
      </c>
      <c r="Y47" s="1">
        <v>6170</v>
      </c>
      <c r="Z47">
        <v>34</v>
      </c>
    </row>
    <row r="48" spans="1:26">
      <c r="A48">
        <f t="shared" si="0"/>
        <v>1996</v>
      </c>
      <c r="B48" t="s">
        <v>0</v>
      </c>
      <c r="C48" s="1">
        <v>100045</v>
      </c>
      <c r="D48" s="1">
        <v>11913</v>
      </c>
      <c r="E48" s="1">
        <v>1569</v>
      </c>
      <c r="F48">
        <v>638</v>
      </c>
      <c r="G48">
        <v>382</v>
      </c>
      <c r="H48">
        <v>307</v>
      </c>
      <c r="I48" s="1">
        <v>1058</v>
      </c>
      <c r="J48" s="1">
        <v>1068</v>
      </c>
      <c r="K48" s="1">
        <v>2804</v>
      </c>
      <c r="L48" s="1">
        <v>3342</v>
      </c>
      <c r="M48" s="1">
        <v>3233</v>
      </c>
      <c r="N48" s="1">
        <v>3089</v>
      </c>
      <c r="O48" s="1">
        <v>3223</v>
      </c>
      <c r="P48" s="1">
        <v>3537</v>
      </c>
      <c r="Q48" s="1">
        <v>3922</v>
      </c>
      <c r="R48" s="1">
        <v>4369</v>
      </c>
      <c r="S48" s="1">
        <v>5309</v>
      </c>
      <c r="T48" s="1">
        <v>6503</v>
      </c>
      <c r="U48" s="1">
        <v>8193</v>
      </c>
      <c r="V48" s="1">
        <v>8470</v>
      </c>
      <c r="W48" s="1">
        <v>8711</v>
      </c>
      <c r="X48" s="1">
        <v>8024</v>
      </c>
      <c r="Y48" s="1">
        <v>10304</v>
      </c>
      <c r="Z48">
        <v>77</v>
      </c>
    </row>
    <row r="49" spans="1:26">
      <c r="A49">
        <f t="shared" si="0"/>
        <v>1996</v>
      </c>
      <c r="B49" t="s">
        <v>1</v>
      </c>
      <c r="C49" s="1">
        <v>58207</v>
      </c>
      <c r="D49" s="1">
        <v>6830</v>
      </c>
      <c r="E49">
        <v>829</v>
      </c>
      <c r="F49">
        <v>359</v>
      </c>
      <c r="G49">
        <v>220</v>
      </c>
      <c r="H49">
        <v>178</v>
      </c>
      <c r="I49">
        <v>632</v>
      </c>
      <c r="J49">
        <v>654</v>
      </c>
      <c r="K49" s="1">
        <v>2130</v>
      </c>
      <c r="L49" s="1">
        <v>2666</v>
      </c>
      <c r="M49" s="1">
        <v>2466</v>
      </c>
      <c r="N49" s="1">
        <v>2170</v>
      </c>
      <c r="O49" s="1">
        <v>2125</v>
      </c>
      <c r="P49" s="1">
        <v>2242</v>
      </c>
      <c r="Q49" s="1">
        <v>2438</v>
      </c>
      <c r="R49" s="1">
        <v>2668</v>
      </c>
      <c r="S49" s="1">
        <v>3199</v>
      </c>
      <c r="T49" s="1">
        <v>3910</v>
      </c>
      <c r="U49" s="1">
        <v>4794</v>
      </c>
      <c r="V49" s="1">
        <v>4850</v>
      </c>
      <c r="W49" s="1">
        <v>4580</v>
      </c>
      <c r="X49" s="1">
        <v>3880</v>
      </c>
      <c r="Y49" s="1">
        <v>4342</v>
      </c>
      <c r="Z49">
        <v>45</v>
      </c>
    </row>
    <row r="50" spans="1:26">
      <c r="A50">
        <f t="shared" si="0"/>
        <v>1996</v>
      </c>
      <c r="B50" t="s">
        <v>2</v>
      </c>
      <c r="C50" s="1">
        <v>41838</v>
      </c>
      <c r="D50" s="1">
        <v>5083</v>
      </c>
      <c r="E50">
        <v>740</v>
      </c>
      <c r="F50">
        <v>279</v>
      </c>
      <c r="G50">
        <v>162</v>
      </c>
      <c r="H50">
        <v>129</v>
      </c>
      <c r="I50">
        <v>426</v>
      </c>
      <c r="J50">
        <v>414</v>
      </c>
      <c r="K50">
        <v>674</v>
      </c>
      <c r="L50">
        <v>676</v>
      </c>
      <c r="M50">
        <v>767</v>
      </c>
      <c r="N50">
        <v>919</v>
      </c>
      <c r="O50" s="1">
        <v>1098</v>
      </c>
      <c r="P50" s="1">
        <v>1295</v>
      </c>
      <c r="Q50" s="1">
        <v>1484</v>
      </c>
      <c r="R50" s="1">
        <v>1701</v>
      </c>
      <c r="S50" s="1">
        <v>2110</v>
      </c>
      <c r="T50" s="1">
        <v>2593</v>
      </c>
      <c r="U50" s="1">
        <v>3399</v>
      </c>
      <c r="V50" s="1">
        <v>3620</v>
      </c>
      <c r="W50" s="1">
        <v>4131</v>
      </c>
      <c r="X50" s="1">
        <v>4144</v>
      </c>
      <c r="Y50" s="1">
        <v>5962</v>
      </c>
      <c r="Z50">
        <v>32</v>
      </c>
    </row>
    <row r="51" spans="1:26">
      <c r="A51">
        <f t="shared" si="0"/>
        <v>1995</v>
      </c>
      <c r="B51" t="s">
        <v>0</v>
      </c>
      <c r="C51">
        <v>98136</v>
      </c>
      <c r="D51">
        <v>12352</v>
      </c>
      <c r="E51">
        <v>1337</v>
      </c>
      <c r="F51">
        <v>525</v>
      </c>
      <c r="G51">
        <v>347</v>
      </c>
      <c r="H51">
        <v>238</v>
      </c>
      <c r="I51">
        <v>989</v>
      </c>
      <c r="J51">
        <v>1086</v>
      </c>
      <c r="K51">
        <v>2784</v>
      </c>
      <c r="L51">
        <v>3459</v>
      </c>
      <c r="M51">
        <v>3134</v>
      </c>
      <c r="N51">
        <v>3136</v>
      </c>
      <c r="O51">
        <v>3228</v>
      </c>
      <c r="P51">
        <v>3514</v>
      </c>
      <c r="Q51">
        <v>3727</v>
      </c>
      <c r="R51">
        <v>4195</v>
      </c>
      <c r="S51">
        <v>5226</v>
      </c>
      <c r="T51">
        <v>6541</v>
      </c>
      <c r="U51">
        <v>7751</v>
      </c>
      <c r="V51">
        <v>8247</v>
      </c>
      <c r="W51">
        <v>8163</v>
      </c>
      <c r="X51">
        <v>7954</v>
      </c>
      <c r="Y51">
        <v>9940</v>
      </c>
      <c r="Z51">
        <v>263</v>
      </c>
    </row>
    <row r="52" spans="1:26">
      <c r="A52">
        <f t="shared" si="0"/>
        <v>1995</v>
      </c>
      <c r="B52" t="s">
        <v>1</v>
      </c>
      <c r="C52">
        <v>57140</v>
      </c>
      <c r="D52">
        <v>7061</v>
      </c>
      <c r="E52">
        <v>700</v>
      </c>
      <c r="F52">
        <v>276</v>
      </c>
      <c r="G52">
        <v>190</v>
      </c>
      <c r="H52">
        <v>140</v>
      </c>
      <c r="I52">
        <v>570</v>
      </c>
      <c r="J52">
        <v>670</v>
      </c>
      <c r="K52">
        <v>2137</v>
      </c>
      <c r="L52">
        <v>2788</v>
      </c>
      <c r="M52">
        <v>2426</v>
      </c>
      <c r="N52">
        <v>2300</v>
      </c>
      <c r="O52">
        <v>2193</v>
      </c>
      <c r="P52">
        <v>2226</v>
      </c>
      <c r="Q52">
        <v>2251</v>
      </c>
      <c r="R52">
        <v>2631</v>
      </c>
      <c r="S52">
        <v>3106</v>
      </c>
      <c r="T52">
        <v>3960</v>
      </c>
      <c r="U52">
        <v>4445</v>
      </c>
      <c r="V52">
        <v>4574</v>
      </c>
      <c r="W52">
        <v>4350</v>
      </c>
      <c r="X52">
        <v>3869</v>
      </c>
      <c r="Y52">
        <v>4084</v>
      </c>
      <c r="Z52">
        <v>193</v>
      </c>
    </row>
    <row r="53" spans="1:26">
      <c r="A53">
        <f t="shared" si="0"/>
        <v>1995</v>
      </c>
      <c r="B53" t="s">
        <v>2</v>
      </c>
      <c r="C53">
        <v>40996</v>
      </c>
      <c r="D53">
        <v>5291</v>
      </c>
      <c r="E53">
        <v>637</v>
      </c>
      <c r="F53">
        <v>249</v>
      </c>
      <c r="G53">
        <v>157</v>
      </c>
      <c r="H53">
        <v>98</v>
      </c>
      <c r="I53">
        <v>419</v>
      </c>
      <c r="J53">
        <v>416</v>
      </c>
      <c r="K53">
        <v>647</v>
      </c>
      <c r="L53">
        <v>671</v>
      </c>
      <c r="M53">
        <v>708</v>
      </c>
      <c r="N53">
        <v>836</v>
      </c>
      <c r="O53">
        <v>1035</v>
      </c>
      <c r="P53">
        <v>1288</v>
      </c>
      <c r="Q53">
        <v>1476</v>
      </c>
      <c r="R53">
        <v>1564</v>
      </c>
      <c r="S53">
        <v>2120</v>
      </c>
      <c r="T53">
        <v>2581</v>
      </c>
      <c r="U53">
        <v>3306</v>
      </c>
      <c r="V53">
        <v>3673</v>
      </c>
      <c r="W53">
        <v>3813</v>
      </c>
      <c r="X53">
        <v>4085</v>
      </c>
      <c r="Y53">
        <v>5856</v>
      </c>
      <c r="Z53">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0070C0"/>
  </sheetPr>
  <dimension ref="A1:AA46"/>
  <sheetViews>
    <sheetView workbookViewId="0">
      <selection activeCell="B3" sqref="B3:B19"/>
    </sheetView>
  </sheetViews>
  <sheetFormatPr baseColWidth="10" defaultColWidth="2" defaultRowHeight="15"/>
  <cols>
    <col min="1" max="1" width="6.7109375" customWidth="1"/>
    <col min="2" max="2" width="4.42578125" bestFit="1" customWidth="1"/>
    <col min="3" max="3" width="8" bestFit="1" customWidth="1"/>
    <col min="4" max="4" width="7" bestFit="1" customWidth="1"/>
    <col min="5" max="5" width="7.5703125" bestFit="1" customWidth="1"/>
    <col min="6" max="6" width="7.140625" bestFit="1" customWidth="1"/>
    <col min="7" max="7" width="7.5703125" bestFit="1" customWidth="1"/>
    <col min="8" max="8" width="8" bestFit="1" customWidth="1"/>
    <col min="9" max="9" width="7.5703125" bestFit="1" customWidth="1"/>
    <col min="10" max="24" width="9.140625" bestFit="1" customWidth="1"/>
    <col min="25" max="25" width="8.140625" bestFit="1" customWidth="1"/>
    <col min="26" max="26" width="4.7109375" bestFit="1" customWidth="1"/>
    <col min="27" max="27" width="14.5703125" customWidth="1"/>
  </cols>
  <sheetData>
    <row r="1" spans="1:27">
      <c r="A1" s="70" t="s">
        <v>106</v>
      </c>
    </row>
    <row r="2" spans="1:27" s="22" customFormat="1">
      <c r="A2" s="22" t="s">
        <v>21</v>
      </c>
      <c r="B2" s="22" t="s">
        <v>22</v>
      </c>
      <c r="C2" s="22" t="s">
        <v>20</v>
      </c>
      <c r="D2" s="22">
        <v>-1</v>
      </c>
      <c r="E2" s="22">
        <v>1</v>
      </c>
      <c r="F2" s="22">
        <v>2</v>
      </c>
      <c r="G2" s="22">
        <v>3</v>
      </c>
      <c r="H2" s="22">
        <v>4</v>
      </c>
      <c r="I2" s="23" t="s">
        <v>3</v>
      </c>
      <c r="J2" s="22" t="s">
        <v>4</v>
      </c>
      <c r="K2" s="22" t="s">
        <v>5</v>
      </c>
      <c r="L2" s="22" t="s">
        <v>6</v>
      </c>
      <c r="M2" s="22" t="s">
        <v>7</v>
      </c>
      <c r="N2" s="22" t="s">
        <v>8</v>
      </c>
      <c r="O2" s="22" t="s">
        <v>9</v>
      </c>
      <c r="P2" s="22" t="s">
        <v>10</v>
      </c>
      <c r="Q2" s="22" t="s">
        <v>11</v>
      </c>
      <c r="R2" s="22" t="s">
        <v>12</v>
      </c>
      <c r="S2" s="22" t="s">
        <v>13</v>
      </c>
      <c r="T2" s="22" t="s">
        <v>14</v>
      </c>
      <c r="U2" s="22" t="s">
        <v>15</v>
      </c>
      <c r="V2" s="22" t="s">
        <v>16</v>
      </c>
      <c r="W2" s="22" t="s">
        <v>17</v>
      </c>
      <c r="X2" s="22" t="s">
        <v>18</v>
      </c>
      <c r="Y2" s="22" t="s">
        <v>19</v>
      </c>
      <c r="Z2" s="22" t="s">
        <v>23</v>
      </c>
      <c r="AA2"/>
    </row>
    <row r="3" spans="1:27">
      <c r="A3">
        <v>1995</v>
      </c>
      <c r="B3" t="s">
        <v>1</v>
      </c>
      <c r="C3" s="89">
        <v>57140</v>
      </c>
      <c r="D3" s="89">
        <v>7061</v>
      </c>
      <c r="E3" s="89">
        <v>700</v>
      </c>
      <c r="F3" s="89">
        <v>276</v>
      </c>
      <c r="G3" s="89">
        <v>190</v>
      </c>
      <c r="H3" s="89">
        <v>140</v>
      </c>
      <c r="I3" s="89">
        <v>570</v>
      </c>
      <c r="J3" s="89">
        <v>670</v>
      </c>
      <c r="K3" s="89">
        <v>2137</v>
      </c>
      <c r="L3" s="89">
        <v>2788</v>
      </c>
      <c r="M3" s="89">
        <v>2426</v>
      </c>
      <c r="N3" s="89">
        <v>2300</v>
      </c>
      <c r="O3" s="89">
        <v>2193</v>
      </c>
      <c r="P3" s="89">
        <v>2226</v>
      </c>
      <c r="Q3" s="89">
        <v>2251</v>
      </c>
      <c r="R3" s="89">
        <v>2631</v>
      </c>
      <c r="S3" s="89">
        <v>3106</v>
      </c>
      <c r="T3" s="89">
        <v>3960</v>
      </c>
      <c r="U3" s="89">
        <v>4445</v>
      </c>
      <c r="V3" s="89">
        <v>4574</v>
      </c>
      <c r="W3" s="89">
        <v>4350</v>
      </c>
      <c r="X3" s="89">
        <v>3869</v>
      </c>
      <c r="Y3" s="89">
        <v>4084</v>
      </c>
      <c r="Z3" s="89">
        <v>193</v>
      </c>
    </row>
    <row r="4" spans="1:27">
      <c r="A4">
        <v>1996</v>
      </c>
      <c r="B4" t="s">
        <v>1</v>
      </c>
      <c r="C4" s="89">
        <v>58207</v>
      </c>
      <c r="D4" s="89">
        <v>6830</v>
      </c>
      <c r="E4" s="89">
        <v>829</v>
      </c>
      <c r="F4" s="89">
        <v>359</v>
      </c>
      <c r="G4" s="89">
        <v>220</v>
      </c>
      <c r="H4" s="89">
        <v>178</v>
      </c>
      <c r="I4" s="89">
        <v>632</v>
      </c>
      <c r="J4" s="89">
        <v>654</v>
      </c>
      <c r="K4" s="89">
        <v>2130</v>
      </c>
      <c r="L4" s="89">
        <v>2666</v>
      </c>
      <c r="M4" s="89">
        <v>2466</v>
      </c>
      <c r="N4" s="89">
        <v>2170</v>
      </c>
      <c r="O4" s="89">
        <v>2125</v>
      </c>
      <c r="P4" s="89">
        <v>2242</v>
      </c>
      <c r="Q4" s="89">
        <v>2438</v>
      </c>
      <c r="R4" s="89">
        <v>2668</v>
      </c>
      <c r="S4" s="89">
        <v>3199</v>
      </c>
      <c r="T4" s="89">
        <v>3910</v>
      </c>
      <c r="U4" s="89">
        <v>4794</v>
      </c>
      <c r="V4" s="89">
        <v>4850</v>
      </c>
      <c r="W4" s="89">
        <v>4580</v>
      </c>
      <c r="X4" s="89">
        <v>3880</v>
      </c>
      <c r="Y4" s="89">
        <v>4342</v>
      </c>
      <c r="Z4" s="89">
        <v>45</v>
      </c>
    </row>
    <row r="5" spans="1:27">
      <c r="A5">
        <v>1997</v>
      </c>
      <c r="B5" t="s">
        <v>1</v>
      </c>
      <c r="C5" s="89">
        <v>56598</v>
      </c>
      <c r="D5" s="89">
        <v>6324</v>
      </c>
      <c r="E5" s="89">
        <v>640</v>
      </c>
      <c r="F5" s="89">
        <v>293</v>
      </c>
      <c r="G5" s="89">
        <v>187</v>
      </c>
      <c r="H5" s="89">
        <v>145</v>
      </c>
      <c r="I5" s="89">
        <v>614</v>
      </c>
      <c r="J5" s="89">
        <v>647</v>
      </c>
      <c r="K5" s="89">
        <v>1884</v>
      </c>
      <c r="L5" s="89">
        <v>2476</v>
      </c>
      <c r="M5" s="89">
        <v>2274</v>
      </c>
      <c r="N5" s="89">
        <v>2090</v>
      </c>
      <c r="O5" s="89">
        <v>2130</v>
      </c>
      <c r="P5" s="89">
        <v>2302</v>
      </c>
      <c r="Q5" s="89">
        <v>2448</v>
      </c>
      <c r="R5" s="89">
        <v>2721</v>
      </c>
      <c r="S5" s="89">
        <v>3147</v>
      </c>
      <c r="T5" s="89">
        <v>3864</v>
      </c>
      <c r="U5" s="89">
        <v>4643</v>
      </c>
      <c r="V5" s="89">
        <v>4978</v>
      </c>
      <c r="W5" s="89">
        <v>4778</v>
      </c>
      <c r="X5" s="89">
        <v>3710</v>
      </c>
      <c r="Y5" s="89">
        <v>4186</v>
      </c>
      <c r="Z5" s="89">
        <v>117</v>
      </c>
    </row>
    <row r="6" spans="1:27">
      <c r="A6">
        <v>1998</v>
      </c>
      <c r="B6" t="s">
        <v>1</v>
      </c>
      <c r="C6" s="89">
        <v>59449</v>
      </c>
      <c r="D6" s="89">
        <v>6144</v>
      </c>
      <c r="E6" s="89">
        <v>765</v>
      </c>
      <c r="F6" s="89">
        <v>305</v>
      </c>
      <c r="G6" s="89">
        <v>199</v>
      </c>
      <c r="H6" s="89">
        <v>164</v>
      </c>
      <c r="I6" s="89">
        <v>575</v>
      </c>
      <c r="J6" s="89">
        <v>638</v>
      </c>
      <c r="K6" s="89">
        <v>1875</v>
      </c>
      <c r="L6" s="89">
        <v>2721</v>
      </c>
      <c r="M6" s="89">
        <v>2380</v>
      </c>
      <c r="N6" s="89">
        <v>2253</v>
      </c>
      <c r="O6" s="89">
        <v>2270</v>
      </c>
      <c r="P6" s="89">
        <v>2533</v>
      </c>
      <c r="Q6" s="89">
        <v>2792</v>
      </c>
      <c r="R6" s="89">
        <v>2932</v>
      </c>
      <c r="S6" s="89">
        <v>3435</v>
      </c>
      <c r="T6" s="89">
        <v>4075</v>
      </c>
      <c r="U6" s="89">
        <v>4839</v>
      </c>
      <c r="V6" s="89">
        <v>5168</v>
      </c>
      <c r="W6" s="89">
        <v>4741</v>
      </c>
      <c r="X6" s="89">
        <v>3900</v>
      </c>
      <c r="Y6" s="89">
        <v>4557</v>
      </c>
      <c r="Z6" s="89">
        <v>188</v>
      </c>
    </row>
    <row r="7" spans="1:27">
      <c r="A7">
        <v>1999</v>
      </c>
      <c r="B7" t="s">
        <v>1</v>
      </c>
      <c r="C7" s="89">
        <v>61503</v>
      </c>
      <c r="D7" s="89">
        <v>5835</v>
      </c>
      <c r="E7" s="89">
        <v>641</v>
      </c>
      <c r="F7" s="89">
        <v>298</v>
      </c>
      <c r="G7" s="89">
        <v>183</v>
      </c>
      <c r="H7" s="89">
        <v>156</v>
      </c>
      <c r="I7" s="89">
        <v>626</v>
      </c>
      <c r="J7" s="89">
        <v>616</v>
      </c>
      <c r="K7" s="89">
        <v>2162</v>
      </c>
      <c r="L7" s="89">
        <v>3141</v>
      </c>
      <c r="M7" s="89">
        <v>2830</v>
      </c>
      <c r="N7" s="89">
        <v>2502</v>
      </c>
      <c r="O7" s="89">
        <v>2399</v>
      </c>
      <c r="P7" s="89">
        <v>2572</v>
      </c>
      <c r="Q7" s="89">
        <v>2941</v>
      </c>
      <c r="R7" s="89">
        <v>3077</v>
      </c>
      <c r="S7" s="89">
        <v>3415</v>
      </c>
      <c r="T7" s="89">
        <v>4270</v>
      </c>
      <c r="U7" s="89">
        <v>4976</v>
      </c>
      <c r="V7" s="89">
        <v>5171</v>
      </c>
      <c r="W7" s="89">
        <v>4947</v>
      </c>
      <c r="X7" s="89">
        <v>4107</v>
      </c>
      <c r="Y7" s="89">
        <v>4532</v>
      </c>
      <c r="Z7" s="89">
        <v>106</v>
      </c>
    </row>
    <row r="8" spans="1:27">
      <c r="A8">
        <v>2000</v>
      </c>
      <c r="B8" t="s">
        <v>1</v>
      </c>
      <c r="C8" s="89">
        <v>64101</v>
      </c>
      <c r="D8" s="89">
        <v>5622</v>
      </c>
      <c r="E8" s="89">
        <v>639</v>
      </c>
      <c r="F8" s="89">
        <v>273</v>
      </c>
      <c r="G8" s="89">
        <v>174</v>
      </c>
      <c r="H8" s="89">
        <v>138</v>
      </c>
      <c r="I8" s="89">
        <v>588</v>
      </c>
      <c r="J8" s="89">
        <v>603</v>
      </c>
      <c r="K8" s="89">
        <v>2643</v>
      </c>
      <c r="L8" s="89">
        <v>4041</v>
      </c>
      <c r="M8" s="89">
        <v>3300</v>
      </c>
      <c r="N8" s="89">
        <v>2865</v>
      </c>
      <c r="O8" s="89">
        <v>2626</v>
      </c>
      <c r="P8" s="89">
        <v>2806</v>
      </c>
      <c r="Q8" s="89">
        <v>3047</v>
      </c>
      <c r="R8" s="89">
        <v>3301</v>
      </c>
      <c r="S8" s="89">
        <v>3432</v>
      </c>
      <c r="T8" s="89">
        <v>4090</v>
      </c>
      <c r="U8" s="89">
        <v>4735</v>
      </c>
      <c r="V8" s="89">
        <v>5542</v>
      </c>
      <c r="W8" s="89">
        <v>4863</v>
      </c>
      <c r="X8" s="89">
        <v>4120</v>
      </c>
      <c r="Y8" s="89">
        <v>4555</v>
      </c>
      <c r="Z8" s="89">
        <v>98</v>
      </c>
    </row>
    <row r="9" spans="1:27">
      <c r="A9">
        <v>2001</v>
      </c>
      <c r="B9" t="s">
        <v>1</v>
      </c>
      <c r="C9" s="89">
        <v>66616</v>
      </c>
      <c r="D9" s="89">
        <v>5375</v>
      </c>
      <c r="E9" s="89">
        <v>662</v>
      </c>
      <c r="F9" s="89">
        <v>298</v>
      </c>
      <c r="G9" s="89">
        <v>185</v>
      </c>
      <c r="H9" s="89">
        <v>138</v>
      </c>
      <c r="I9" s="89">
        <v>536</v>
      </c>
      <c r="J9" s="89">
        <v>635</v>
      </c>
      <c r="K9" s="89">
        <v>2699</v>
      </c>
      <c r="L9" s="89">
        <v>4132</v>
      </c>
      <c r="M9" s="89">
        <v>3438</v>
      </c>
      <c r="N9" s="89">
        <v>2829</v>
      </c>
      <c r="O9" s="89">
        <v>2794</v>
      </c>
      <c r="P9" s="89">
        <v>2911</v>
      </c>
      <c r="Q9" s="89">
        <v>3371</v>
      </c>
      <c r="R9" s="89">
        <v>3624</v>
      </c>
      <c r="S9" s="89">
        <v>3652</v>
      </c>
      <c r="T9" s="89">
        <v>4280</v>
      </c>
      <c r="U9" s="89">
        <v>4962</v>
      </c>
      <c r="V9" s="89">
        <v>5649</v>
      </c>
      <c r="W9" s="89">
        <v>5092</v>
      </c>
      <c r="X9" s="89">
        <v>4340</v>
      </c>
      <c r="Y9" s="89">
        <v>4938</v>
      </c>
      <c r="Z9" s="89">
        <v>76</v>
      </c>
    </row>
    <row r="10" spans="1:27">
      <c r="A10">
        <v>2002</v>
      </c>
      <c r="B10" t="s">
        <v>1</v>
      </c>
      <c r="C10" s="89">
        <v>65573</v>
      </c>
      <c r="D10" s="89">
        <v>4976</v>
      </c>
      <c r="E10" s="89">
        <v>599</v>
      </c>
      <c r="F10" s="89">
        <v>251</v>
      </c>
      <c r="G10" s="89">
        <v>143</v>
      </c>
      <c r="H10" s="89">
        <v>139</v>
      </c>
      <c r="I10" s="89">
        <v>509</v>
      </c>
      <c r="J10" s="89">
        <v>682</v>
      </c>
      <c r="K10" s="89">
        <v>3007</v>
      </c>
      <c r="L10" s="89">
        <v>4658</v>
      </c>
      <c r="M10" s="89">
        <v>3573</v>
      </c>
      <c r="N10" s="89">
        <v>2802</v>
      </c>
      <c r="O10" s="89">
        <v>2526</v>
      </c>
      <c r="P10" s="89">
        <v>2786</v>
      </c>
      <c r="Q10" s="89">
        <v>3222</v>
      </c>
      <c r="R10" s="89">
        <v>3651</v>
      </c>
      <c r="S10" s="89">
        <v>3761</v>
      </c>
      <c r="T10" s="89">
        <v>4062</v>
      </c>
      <c r="U10" s="89">
        <v>4725</v>
      </c>
      <c r="V10" s="89">
        <v>5389</v>
      </c>
      <c r="W10" s="89">
        <v>5047</v>
      </c>
      <c r="X10" s="89">
        <v>4149</v>
      </c>
      <c r="Y10" s="89">
        <v>4833</v>
      </c>
      <c r="Z10" s="89">
        <v>83</v>
      </c>
    </row>
    <row r="11" spans="1:27">
      <c r="A11">
        <v>2003</v>
      </c>
      <c r="B11" t="s">
        <v>1</v>
      </c>
      <c r="C11" s="89">
        <v>73826</v>
      </c>
      <c r="D11" s="89">
        <v>5848</v>
      </c>
      <c r="E11" s="89">
        <v>825</v>
      </c>
      <c r="F11" s="89">
        <v>308</v>
      </c>
      <c r="G11" s="89">
        <v>179</v>
      </c>
      <c r="H11" s="89">
        <v>121</v>
      </c>
      <c r="I11" s="89">
        <v>543</v>
      </c>
      <c r="J11" s="89">
        <v>693</v>
      </c>
      <c r="K11" s="89">
        <v>3402</v>
      </c>
      <c r="L11" s="89">
        <v>5314</v>
      </c>
      <c r="M11" s="89">
        <v>4242</v>
      </c>
      <c r="N11" s="89">
        <v>3242</v>
      </c>
      <c r="O11" s="89">
        <v>2983</v>
      </c>
      <c r="P11" s="89">
        <v>3038</v>
      </c>
      <c r="Q11" s="89">
        <v>3400</v>
      </c>
      <c r="R11" s="89">
        <v>3804</v>
      </c>
      <c r="S11" s="89">
        <v>4070</v>
      </c>
      <c r="T11" s="89">
        <v>4574</v>
      </c>
      <c r="U11" s="89">
        <v>5273</v>
      </c>
      <c r="V11" s="89">
        <v>5827</v>
      </c>
      <c r="W11" s="89">
        <v>5741</v>
      </c>
      <c r="X11" s="89">
        <v>4801</v>
      </c>
      <c r="Y11" s="89">
        <v>5564</v>
      </c>
      <c r="Z11" s="89">
        <v>34</v>
      </c>
    </row>
    <row r="12" spans="1:27">
      <c r="A12">
        <v>2004</v>
      </c>
      <c r="B12" t="s">
        <v>1</v>
      </c>
      <c r="C12" s="89">
        <v>70835</v>
      </c>
      <c r="D12" s="89">
        <v>5317</v>
      </c>
      <c r="E12" s="89">
        <v>553</v>
      </c>
      <c r="F12" s="89">
        <v>267</v>
      </c>
      <c r="G12" s="89">
        <v>163</v>
      </c>
      <c r="H12" s="89">
        <v>125</v>
      </c>
      <c r="I12" s="89">
        <v>572</v>
      </c>
      <c r="J12" s="89">
        <v>641</v>
      </c>
      <c r="K12" s="89">
        <v>3036</v>
      </c>
      <c r="L12" s="89">
        <v>4648</v>
      </c>
      <c r="M12" s="89">
        <v>3908</v>
      </c>
      <c r="N12" s="89">
        <v>3112</v>
      </c>
      <c r="O12" s="89">
        <v>2785</v>
      </c>
      <c r="P12" s="89">
        <v>2888</v>
      </c>
      <c r="Q12" s="89">
        <v>3356</v>
      </c>
      <c r="R12" s="89">
        <v>3906</v>
      </c>
      <c r="S12" s="89">
        <v>4173</v>
      </c>
      <c r="T12" s="89">
        <v>4511</v>
      </c>
      <c r="U12" s="89">
        <v>5062</v>
      </c>
      <c r="V12" s="89">
        <v>5603</v>
      </c>
      <c r="W12" s="89">
        <v>5835</v>
      </c>
      <c r="X12" s="89">
        <v>4751</v>
      </c>
      <c r="Y12" s="89">
        <v>5552</v>
      </c>
      <c r="Z12" s="89">
        <v>71</v>
      </c>
    </row>
    <row r="13" spans="1:27">
      <c r="A13">
        <v>2005</v>
      </c>
      <c r="B13" t="s">
        <v>1</v>
      </c>
      <c r="C13" s="89">
        <v>71155</v>
      </c>
      <c r="D13" s="89">
        <v>5204</v>
      </c>
      <c r="E13" s="89">
        <v>476</v>
      </c>
      <c r="F13" s="89">
        <v>208</v>
      </c>
      <c r="G13" s="89">
        <v>123</v>
      </c>
      <c r="H13" s="89">
        <v>126</v>
      </c>
      <c r="I13" s="89">
        <v>495</v>
      </c>
      <c r="J13" s="89">
        <v>632</v>
      </c>
      <c r="K13" s="89">
        <v>2927</v>
      </c>
      <c r="L13" s="89">
        <v>4391</v>
      </c>
      <c r="M13" s="89">
        <v>3859</v>
      </c>
      <c r="N13" s="89">
        <v>3018</v>
      </c>
      <c r="O13" s="89">
        <v>2705</v>
      </c>
      <c r="P13" s="89">
        <v>3020</v>
      </c>
      <c r="Q13" s="89">
        <v>3424</v>
      </c>
      <c r="R13" s="89">
        <v>4027</v>
      </c>
      <c r="S13" s="89">
        <v>4356</v>
      </c>
      <c r="T13" s="89">
        <v>4646</v>
      </c>
      <c r="U13" s="89">
        <v>5140</v>
      </c>
      <c r="V13" s="89">
        <v>5557</v>
      </c>
      <c r="W13" s="89">
        <v>6016</v>
      </c>
      <c r="X13" s="89">
        <v>4881</v>
      </c>
      <c r="Y13" s="89">
        <v>5832</v>
      </c>
      <c r="Z13" s="89">
        <v>92</v>
      </c>
    </row>
    <row r="14" spans="1:27">
      <c r="A14">
        <v>2006</v>
      </c>
      <c r="B14" t="s">
        <v>1</v>
      </c>
      <c r="C14" s="89">
        <v>74378</v>
      </c>
      <c r="D14" s="89">
        <v>4801</v>
      </c>
      <c r="E14" s="89">
        <v>430</v>
      </c>
      <c r="F14" s="89">
        <v>231</v>
      </c>
      <c r="G14" s="89">
        <v>136</v>
      </c>
      <c r="H14" s="89">
        <v>114</v>
      </c>
      <c r="I14" s="89">
        <v>491</v>
      </c>
      <c r="J14" s="89">
        <v>655</v>
      </c>
      <c r="K14" s="89">
        <v>3255</v>
      </c>
      <c r="L14" s="89">
        <v>5060</v>
      </c>
      <c r="M14" s="89">
        <v>4458</v>
      </c>
      <c r="N14" s="89">
        <v>3237</v>
      </c>
      <c r="O14" s="89">
        <v>2857</v>
      </c>
      <c r="P14" s="89">
        <v>3144</v>
      </c>
      <c r="Q14" s="89">
        <v>3648</v>
      </c>
      <c r="R14" s="89">
        <v>4239</v>
      </c>
      <c r="S14" s="89">
        <v>4730</v>
      </c>
      <c r="T14" s="89">
        <v>4683</v>
      </c>
      <c r="U14" s="89">
        <v>5259</v>
      </c>
      <c r="V14" s="89">
        <v>5832</v>
      </c>
      <c r="W14" s="89">
        <v>6091</v>
      </c>
      <c r="X14" s="89">
        <v>5041</v>
      </c>
      <c r="Y14" s="89">
        <v>5957</v>
      </c>
      <c r="Z14" s="89">
        <v>29</v>
      </c>
    </row>
    <row r="15" spans="1:27">
      <c r="A15">
        <v>2007</v>
      </c>
      <c r="B15" t="s">
        <v>1</v>
      </c>
      <c r="C15" s="89">
        <v>79156</v>
      </c>
      <c r="D15" s="89">
        <v>4847</v>
      </c>
      <c r="E15" s="89">
        <v>436</v>
      </c>
      <c r="F15" s="89">
        <v>206</v>
      </c>
      <c r="G15" s="89">
        <v>137</v>
      </c>
      <c r="H15" s="89">
        <v>123</v>
      </c>
      <c r="I15" s="89">
        <v>519</v>
      </c>
      <c r="J15" s="89">
        <v>667</v>
      </c>
      <c r="K15" s="89">
        <v>3665</v>
      </c>
      <c r="L15" s="89">
        <v>5680</v>
      </c>
      <c r="M15" s="89">
        <v>5029</v>
      </c>
      <c r="N15" s="89">
        <v>3701</v>
      </c>
      <c r="O15" s="89">
        <v>3193</v>
      </c>
      <c r="P15" s="89">
        <v>3249</v>
      </c>
      <c r="Q15" s="89">
        <v>3747</v>
      </c>
      <c r="R15" s="89">
        <v>4366</v>
      </c>
      <c r="S15" s="89">
        <v>4959</v>
      </c>
      <c r="T15" s="89">
        <v>5094</v>
      </c>
      <c r="U15" s="89">
        <v>5574</v>
      </c>
      <c r="V15" s="89">
        <v>6045</v>
      </c>
      <c r="W15" s="89">
        <v>6255</v>
      </c>
      <c r="X15" s="89">
        <v>5305</v>
      </c>
      <c r="Y15" s="89">
        <v>6229</v>
      </c>
      <c r="Z15" s="89">
        <v>130</v>
      </c>
    </row>
    <row r="16" spans="1:27">
      <c r="A16">
        <v>2008</v>
      </c>
      <c r="B16" t="s">
        <v>1</v>
      </c>
      <c r="C16" s="89">
        <v>83106</v>
      </c>
      <c r="D16" s="89">
        <v>4781</v>
      </c>
      <c r="E16" s="89">
        <v>369</v>
      </c>
      <c r="F16" s="89">
        <v>180</v>
      </c>
      <c r="G16" s="89">
        <v>149</v>
      </c>
      <c r="H16" s="89">
        <v>88</v>
      </c>
      <c r="I16" s="89">
        <v>432</v>
      </c>
      <c r="J16" s="89">
        <v>671</v>
      </c>
      <c r="K16" s="89">
        <v>4087</v>
      </c>
      <c r="L16" s="89">
        <v>6239</v>
      </c>
      <c r="M16" s="89">
        <v>5161</v>
      </c>
      <c r="N16" s="89">
        <v>3943</v>
      </c>
      <c r="O16" s="89">
        <v>3245</v>
      </c>
      <c r="P16" s="89">
        <v>3326</v>
      </c>
      <c r="Q16" s="89">
        <v>3837</v>
      </c>
      <c r="R16" s="89">
        <v>4585</v>
      </c>
      <c r="S16" s="89">
        <v>5279</v>
      </c>
      <c r="T16" s="89">
        <v>5377</v>
      </c>
      <c r="U16" s="89">
        <v>5771</v>
      </c>
      <c r="V16" s="89">
        <v>6222</v>
      </c>
      <c r="W16" s="89">
        <v>6676</v>
      </c>
      <c r="X16" s="89">
        <v>5749</v>
      </c>
      <c r="Y16" s="89">
        <v>6749</v>
      </c>
      <c r="Z16" s="89">
        <v>190</v>
      </c>
    </row>
    <row r="17" spans="1:26">
      <c r="A17">
        <v>2009</v>
      </c>
      <c r="B17" t="s">
        <v>1</v>
      </c>
      <c r="C17" s="89">
        <v>83325</v>
      </c>
      <c r="D17" s="89">
        <v>4888</v>
      </c>
      <c r="E17" s="89">
        <v>346</v>
      </c>
      <c r="F17" s="89">
        <v>184</v>
      </c>
      <c r="G17" s="89">
        <v>133</v>
      </c>
      <c r="H17" s="89">
        <v>125</v>
      </c>
      <c r="I17" s="89">
        <v>439</v>
      </c>
      <c r="J17" s="89">
        <v>612</v>
      </c>
      <c r="K17" s="89">
        <v>4051</v>
      </c>
      <c r="L17" s="89">
        <v>6103</v>
      </c>
      <c r="M17" s="89">
        <v>5096</v>
      </c>
      <c r="N17" s="89">
        <v>4023</v>
      </c>
      <c r="O17" s="89">
        <v>3207</v>
      </c>
      <c r="P17" s="89">
        <v>3357</v>
      </c>
      <c r="Q17" s="89">
        <v>3858</v>
      </c>
      <c r="R17" s="89">
        <v>4729</v>
      </c>
      <c r="S17" s="89">
        <v>5524</v>
      </c>
      <c r="T17" s="89">
        <v>5663</v>
      </c>
      <c r="U17" s="89">
        <v>5751</v>
      </c>
      <c r="V17" s="89">
        <v>6201</v>
      </c>
      <c r="W17" s="89">
        <v>6628</v>
      </c>
      <c r="X17" s="89">
        <v>5706</v>
      </c>
      <c r="Y17" s="89">
        <v>6622</v>
      </c>
      <c r="Z17" s="89">
        <v>79</v>
      </c>
    </row>
    <row r="18" spans="1:26">
      <c r="A18">
        <v>2010</v>
      </c>
      <c r="B18" t="s">
        <v>1</v>
      </c>
      <c r="C18" s="89">
        <v>84196</v>
      </c>
      <c r="D18" s="89">
        <v>5102</v>
      </c>
      <c r="E18" s="89">
        <v>350</v>
      </c>
      <c r="F18" s="89">
        <v>227</v>
      </c>
      <c r="G18" s="89">
        <v>145</v>
      </c>
      <c r="H18" s="89">
        <v>111</v>
      </c>
      <c r="I18" s="89">
        <v>449</v>
      </c>
      <c r="J18" s="89">
        <v>598</v>
      </c>
      <c r="K18" s="89">
        <v>3822</v>
      </c>
      <c r="L18" s="89">
        <v>5535</v>
      </c>
      <c r="M18" s="89">
        <v>4783</v>
      </c>
      <c r="N18" s="89">
        <v>3810</v>
      </c>
      <c r="O18" s="89">
        <v>3070</v>
      </c>
      <c r="P18" s="89">
        <v>3034</v>
      </c>
      <c r="Q18" s="89">
        <v>3757</v>
      </c>
      <c r="R18" s="89">
        <v>4687</v>
      </c>
      <c r="S18" s="89">
        <v>5517</v>
      </c>
      <c r="T18" s="89">
        <v>6044</v>
      </c>
      <c r="U18" s="89">
        <v>5919</v>
      </c>
      <c r="V18" s="89">
        <v>6536</v>
      </c>
      <c r="W18" s="89">
        <v>6742</v>
      </c>
      <c r="X18" s="89">
        <v>6449</v>
      </c>
      <c r="Y18" s="89">
        <v>7476</v>
      </c>
      <c r="Z18" s="89">
        <v>33</v>
      </c>
    </row>
    <row r="19" spans="1:26">
      <c r="A19">
        <v>2011</v>
      </c>
      <c r="B19" t="s">
        <v>1</v>
      </c>
      <c r="C19" s="89">
        <v>86504</v>
      </c>
      <c r="D19" s="89">
        <v>5033</v>
      </c>
      <c r="E19" s="89">
        <v>310</v>
      </c>
      <c r="F19" s="89">
        <v>192</v>
      </c>
      <c r="G19" s="89">
        <v>138</v>
      </c>
      <c r="H19" s="89">
        <v>95</v>
      </c>
      <c r="I19" s="89">
        <v>401</v>
      </c>
      <c r="J19" s="89">
        <v>596</v>
      </c>
      <c r="K19" s="89">
        <v>3845</v>
      </c>
      <c r="L19" s="89">
        <v>5635</v>
      </c>
      <c r="M19" s="89">
        <v>4683</v>
      </c>
      <c r="N19" s="89">
        <v>3726</v>
      </c>
      <c r="O19" s="89">
        <v>3216</v>
      </c>
      <c r="P19" s="89">
        <v>3109</v>
      </c>
      <c r="Q19" s="89">
        <v>3747</v>
      </c>
      <c r="R19" s="89">
        <v>4804</v>
      </c>
      <c r="S19" s="89">
        <v>5861</v>
      </c>
      <c r="T19" s="89">
        <v>6450</v>
      </c>
      <c r="U19" s="89">
        <v>6414</v>
      </c>
      <c r="V19" s="89">
        <v>6767</v>
      </c>
      <c r="W19" s="89">
        <v>6805</v>
      </c>
      <c r="X19" s="89">
        <v>6649</v>
      </c>
      <c r="Y19" s="89">
        <v>7960</v>
      </c>
      <c r="Z19" s="89">
        <v>68</v>
      </c>
    </row>
    <row r="22" spans="1:26">
      <c r="A22" s="3" t="s">
        <v>21</v>
      </c>
      <c r="B22" s="3" t="s">
        <v>22</v>
      </c>
      <c r="C22" t="s">
        <v>90</v>
      </c>
      <c r="D22" s="6" t="str">
        <f>+I2</f>
        <v>5 a 9</v>
      </c>
      <c r="E22" s="6" t="str">
        <f t="shared" ref="E22:U22" si="0">+J2</f>
        <v>10 a 14</v>
      </c>
      <c r="F22" s="6" t="str">
        <f t="shared" si="0"/>
        <v>15 a 19</v>
      </c>
      <c r="G22" s="6" t="str">
        <f t="shared" si="0"/>
        <v>20 a 24</v>
      </c>
      <c r="H22" s="6" t="str">
        <f t="shared" si="0"/>
        <v>25 a 29</v>
      </c>
      <c r="I22" s="6" t="str">
        <f t="shared" si="0"/>
        <v>30 a 34</v>
      </c>
      <c r="J22" s="6" t="str">
        <f t="shared" si="0"/>
        <v>35 a 39</v>
      </c>
      <c r="K22" s="6" t="str">
        <f t="shared" si="0"/>
        <v>40 a 44</v>
      </c>
      <c r="L22" s="6" t="str">
        <f t="shared" si="0"/>
        <v>45 a 49</v>
      </c>
      <c r="M22" s="6" t="str">
        <f t="shared" si="0"/>
        <v>50 a 54</v>
      </c>
      <c r="N22" s="6" t="str">
        <f t="shared" si="0"/>
        <v>55 a 59</v>
      </c>
      <c r="O22" s="6" t="str">
        <f t="shared" si="0"/>
        <v>60 a 64</v>
      </c>
      <c r="P22" s="6" t="str">
        <f t="shared" si="0"/>
        <v>65 a 69</v>
      </c>
      <c r="Q22" s="6" t="str">
        <f t="shared" si="0"/>
        <v>70 a 74</v>
      </c>
      <c r="R22" s="6" t="str">
        <f t="shared" si="0"/>
        <v>75 a 79</v>
      </c>
      <c r="S22" s="6" t="str">
        <f t="shared" si="0"/>
        <v>80 a 84</v>
      </c>
      <c r="T22" s="6" t="str">
        <f t="shared" si="0"/>
        <v>85 y +</v>
      </c>
      <c r="U22" s="6" t="str">
        <f t="shared" si="0"/>
        <v>O</v>
      </c>
      <c r="V22" s="3" t="s">
        <v>20</v>
      </c>
    </row>
    <row r="23" spans="1:26">
      <c r="A23">
        <v>1995</v>
      </c>
      <c r="B23" t="s">
        <v>1</v>
      </c>
      <c r="C23" s="1">
        <f>+SUM(D3:H3)</f>
        <v>8367</v>
      </c>
      <c r="D23" s="1">
        <f>+I3</f>
        <v>570</v>
      </c>
      <c r="E23" s="1">
        <f t="shared" ref="E23:U37" si="1">+J3</f>
        <v>670</v>
      </c>
      <c r="F23" s="1">
        <f t="shared" si="1"/>
        <v>2137</v>
      </c>
      <c r="G23" s="1">
        <f t="shared" si="1"/>
        <v>2788</v>
      </c>
      <c r="H23" s="1">
        <f t="shared" si="1"/>
        <v>2426</v>
      </c>
      <c r="I23" s="1">
        <f t="shared" si="1"/>
        <v>2300</v>
      </c>
      <c r="J23" s="1">
        <f t="shared" si="1"/>
        <v>2193</v>
      </c>
      <c r="K23" s="1">
        <f t="shared" si="1"/>
        <v>2226</v>
      </c>
      <c r="L23" s="1">
        <f t="shared" si="1"/>
        <v>2251</v>
      </c>
      <c r="M23" s="1">
        <f t="shared" si="1"/>
        <v>2631</v>
      </c>
      <c r="N23" s="1">
        <f t="shared" si="1"/>
        <v>3106</v>
      </c>
      <c r="O23" s="1">
        <f t="shared" si="1"/>
        <v>3960</v>
      </c>
      <c r="P23" s="1">
        <f t="shared" si="1"/>
        <v>4445</v>
      </c>
      <c r="Q23" s="1">
        <f t="shared" si="1"/>
        <v>4574</v>
      </c>
      <c r="R23" s="1">
        <f t="shared" si="1"/>
        <v>4350</v>
      </c>
      <c r="S23" s="1">
        <f t="shared" si="1"/>
        <v>3869</v>
      </c>
      <c r="T23" s="1">
        <f t="shared" si="1"/>
        <v>4084</v>
      </c>
      <c r="U23" s="1">
        <f>+Z3</f>
        <v>193</v>
      </c>
      <c r="V23" s="1">
        <f>SUM(C23:U23)</f>
        <v>57140</v>
      </c>
    </row>
    <row r="24" spans="1:26">
      <c r="A24">
        <v>1996</v>
      </c>
      <c r="B24" t="s">
        <v>1</v>
      </c>
      <c r="C24" s="1">
        <f t="shared" ref="C24:C39" si="2">+SUM(D4:H4)</f>
        <v>8416</v>
      </c>
      <c r="D24" s="1">
        <f t="shared" ref="D24:D39" si="3">+I4</f>
        <v>632</v>
      </c>
      <c r="E24" s="1">
        <f t="shared" si="1"/>
        <v>654</v>
      </c>
      <c r="F24" s="1">
        <f t="shared" si="1"/>
        <v>2130</v>
      </c>
      <c r="G24" s="1">
        <f t="shared" si="1"/>
        <v>2666</v>
      </c>
      <c r="H24" s="1">
        <f t="shared" si="1"/>
        <v>2466</v>
      </c>
      <c r="I24" s="1">
        <f t="shared" si="1"/>
        <v>2170</v>
      </c>
      <c r="J24" s="1">
        <f t="shared" si="1"/>
        <v>2125</v>
      </c>
      <c r="K24" s="1">
        <f t="shared" si="1"/>
        <v>2242</v>
      </c>
      <c r="L24" s="1">
        <f t="shared" si="1"/>
        <v>2438</v>
      </c>
      <c r="M24" s="1">
        <f t="shared" si="1"/>
        <v>2668</v>
      </c>
      <c r="N24" s="1">
        <f t="shared" si="1"/>
        <v>3199</v>
      </c>
      <c r="O24" s="1">
        <f t="shared" si="1"/>
        <v>3910</v>
      </c>
      <c r="P24" s="1">
        <f t="shared" si="1"/>
        <v>4794</v>
      </c>
      <c r="Q24" s="1">
        <f t="shared" si="1"/>
        <v>4850</v>
      </c>
      <c r="R24" s="1">
        <f t="shared" si="1"/>
        <v>4580</v>
      </c>
      <c r="S24" s="1">
        <f t="shared" si="1"/>
        <v>3880</v>
      </c>
      <c r="T24" s="1">
        <f t="shared" si="1"/>
        <v>4342</v>
      </c>
      <c r="U24" s="1">
        <f t="shared" si="1"/>
        <v>45</v>
      </c>
      <c r="V24" s="1">
        <f t="shared" ref="V24:V39" si="4">SUM(C24:U24)</f>
        <v>58207</v>
      </c>
    </row>
    <row r="25" spans="1:26">
      <c r="A25">
        <v>1997</v>
      </c>
      <c r="B25" t="s">
        <v>1</v>
      </c>
      <c r="C25" s="1">
        <f t="shared" si="2"/>
        <v>7589</v>
      </c>
      <c r="D25" s="1">
        <f t="shared" si="3"/>
        <v>614</v>
      </c>
      <c r="E25" s="1">
        <f t="shared" si="1"/>
        <v>647</v>
      </c>
      <c r="F25" s="1">
        <f t="shared" si="1"/>
        <v>1884</v>
      </c>
      <c r="G25" s="1">
        <f t="shared" si="1"/>
        <v>2476</v>
      </c>
      <c r="H25" s="1">
        <f t="shared" si="1"/>
        <v>2274</v>
      </c>
      <c r="I25" s="1">
        <f t="shared" si="1"/>
        <v>2090</v>
      </c>
      <c r="J25" s="1">
        <f t="shared" si="1"/>
        <v>2130</v>
      </c>
      <c r="K25" s="1">
        <f t="shared" si="1"/>
        <v>2302</v>
      </c>
      <c r="L25" s="1">
        <f t="shared" si="1"/>
        <v>2448</v>
      </c>
      <c r="M25" s="1">
        <f t="shared" si="1"/>
        <v>2721</v>
      </c>
      <c r="N25" s="1">
        <f t="shared" si="1"/>
        <v>3147</v>
      </c>
      <c r="O25" s="1">
        <f t="shared" si="1"/>
        <v>3864</v>
      </c>
      <c r="P25" s="1">
        <f t="shared" si="1"/>
        <v>4643</v>
      </c>
      <c r="Q25" s="1">
        <f t="shared" si="1"/>
        <v>4978</v>
      </c>
      <c r="R25" s="1">
        <f t="shared" si="1"/>
        <v>4778</v>
      </c>
      <c r="S25" s="1">
        <f t="shared" si="1"/>
        <v>3710</v>
      </c>
      <c r="T25" s="1">
        <f t="shared" si="1"/>
        <v>4186</v>
      </c>
      <c r="U25" s="1">
        <f t="shared" si="1"/>
        <v>117</v>
      </c>
      <c r="V25" s="1">
        <f t="shared" si="4"/>
        <v>56598</v>
      </c>
    </row>
    <row r="26" spans="1:26">
      <c r="A26">
        <v>1998</v>
      </c>
      <c r="B26" t="s">
        <v>1</v>
      </c>
      <c r="C26" s="1">
        <f>+SUM(D6:H6)</f>
        <v>7577</v>
      </c>
      <c r="D26" s="1">
        <f t="shared" si="3"/>
        <v>575</v>
      </c>
      <c r="E26" s="1">
        <f t="shared" si="1"/>
        <v>638</v>
      </c>
      <c r="F26" s="1">
        <f t="shared" si="1"/>
        <v>1875</v>
      </c>
      <c r="G26" s="1">
        <f t="shared" si="1"/>
        <v>2721</v>
      </c>
      <c r="H26" s="1">
        <f t="shared" si="1"/>
        <v>2380</v>
      </c>
      <c r="I26" s="1">
        <f t="shared" si="1"/>
        <v>2253</v>
      </c>
      <c r="J26" s="1">
        <f t="shared" si="1"/>
        <v>2270</v>
      </c>
      <c r="K26" s="1">
        <f t="shared" si="1"/>
        <v>2533</v>
      </c>
      <c r="L26" s="1">
        <f t="shared" si="1"/>
        <v>2792</v>
      </c>
      <c r="M26" s="1">
        <f t="shared" si="1"/>
        <v>2932</v>
      </c>
      <c r="N26" s="1">
        <f t="shared" si="1"/>
        <v>3435</v>
      </c>
      <c r="O26" s="1">
        <f t="shared" si="1"/>
        <v>4075</v>
      </c>
      <c r="P26" s="1">
        <f t="shared" si="1"/>
        <v>4839</v>
      </c>
      <c r="Q26" s="1">
        <f t="shared" si="1"/>
        <v>5168</v>
      </c>
      <c r="R26" s="1">
        <f t="shared" si="1"/>
        <v>4741</v>
      </c>
      <c r="S26" s="1">
        <f t="shared" si="1"/>
        <v>3900</v>
      </c>
      <c r="T26" s="1">
        <f t="shared" si="1"/>
        <v>4557</v>
      </c>
      <c r="U26" s="1">
        <f t="shared" si="1"/>
        <v>188</v>
      </c>
      <c r="V26" s="1">
        <f t="shared" si="4"/>
        <v>59449</v>
      </c>
    </row>
    <row r="27" spans="1:26">
      <c r="A27">
        <v>1999</v>
      </c>
      <c r="B27" t="s">
        <v>1</v>
      </c>
      <c r="C27" s="1">
        <f t="shared" si="2"/>
        <v>7113</v>
      </c>
      <c r="D27" s="1">
        <f t="shared" si="3"/>
        <v>626</v>
      </c>
      <c r="E27" s="1">
        <f t="shared" si="1"/>
        <v>616</v>
      </c>
      <c r="F27" s="1">
        <f t="shared" si="1"/>
        <v>2162</v>
      </c>
      <c r="G27" s="1">
        <f t="shared" si="1"/>
        <v>3141</v>
      </c>
      <c r="H27" s="1">
        <f t="shared" si="1"/>
        <v>2830</v>
      </c>
      <c r="I27" s="1">
        <f t="shared" si="1"/>
        <v>2502</v>
      </c>
      <c r="J27" s="1">
        <f t="shared" si="1"/>
        <v>2399</v>
      </c>
      <c r="K27" s="1">
        <f t="shared" si="1"/>
        <v>2572</v>
      </c>
      <c r="L27" s="1">
        <f t="shared" si="1"/>
        <v>2941</v>
      </c>
      <c r="M27" s="1">
        <f t="shared" si="1"/>
        <v>3077</v>
      </c>
      <c r="N27" s="1">
        <f t="shared" si="1"/>
        <v>3415</v>
      </c>
      <c r="O27" s="1">
        <f t="shared" si="1"/>
        <v>4270</v>
      </c>
      <c r="P27" s="1">
        <f t="shared" si="1"/>
        <v>4976</v>
      </c>
      <c r="Q27" s="1">
        <f t="shared" si="1"/>
        <v>5171</v>
      </c>
      <c r="R27" s="1">
        <f t="shared" si="1"/>
        <v>4947</v>
      </c>
      <c r="S27" s="1">
        <f t="shared" si="1"/>
        <v>4107</v>
      </c>
      <c r="T27" s="1">
        <f t="shared" si="1"/>
        <v>4532</v>
      </c>
      <c r="U27" s="1">
        <f t="shared" si="1"/>
        <v>106</v>
      </c>
      <c r="V27" s="1">
        <f t="shared" si="4"/>
        <v>61503</v>
      </c>
    </row>
    <row r="28" spans="1:26">
      <c r="A28">
        <v>2000</v>
      </c>
      <c r="B28" t="s">
        <v>1</v>
      </c>
      <c r="C28" s="1">
        <f t="shared" si="2"/>
        <v>6846</v>
      </c>
      <c r="D28" s="1">
        <f t="shared" si="3"/>
        <v>588</v>
      </c>
      <c r="E28" s="1">
        <f t="shared" si="1"/>
        <v>603</v>
      </c>
      <c r="F28" s="1">
        <f t="shared" si="1"/>
        <v>2643</v>
      </c>
      <c r="G28" s="1">
        <f t="shared" si="1"/>
        <v>4041</v>
      </c>
      <c r="H28" s="1">
        <f t="shared" si="1"/>
        <v>3300</v>
      </c>
      <c r="I28" s="1">
        <f t="shared" si="1"/>
        <v>2865</v>
      </c>
      <c r="J28" s="1">
        <f t="shared" si="1"/>
        <v>2626</v>
      </c>
      <c r="K28" s="1">
        <f t="shared" si="1"/>
        <v>2806</v>
      </c>
      <c r="L28" s="1">
        <f t="shared" si="1"/>
        <v>3047</v>
      </c>
      <c r="M28" s="1">
        <f t="shared" si="1"/>
        <v>3301</v>
      </c>
      <c r="N28" s="1">
        <f t="shared" si="1"/>
        <v>3432</v>
      </c>
      <c r="O28" s="1">
        <f t="shared" si="1"/>
        <v>4090</v>
      </c>
      <c r="P28" s="1">
        <f t="shared" si="1"/>
        <v>4735</v>
      </c>
      <c r="Q28" s="1">
        <f t="shared" si="1"/>
        <v>5542</v>
      </c>
      <c r="R28" s="1">
        <f t="shared" si="1"/>
        <v>4863</v>
      </c>
      <c r="S28" s="1">
        <f t="shared" si="1"/>
        <v>4120</v>
      </c>
      <c r="T28" s="1">
        <f t="shared" si="1"/>
        <v>4555</v>
      </c>
      <c r="U28" s="1">
        <f t="shared" si="1"/>
        <v>98</v>
      </c>
      <c r="V28" s="1">
        <f t="shared" si="4"/>
        <v>64101</v>
      </c>
    </row>
    <row r="29" spans="1:26">
      <c r="A29">
        <v>2001</v>
      </c>
      <c r="B29" t="s">
        <v>1</v>
      </c>
      <c r="C29" s="1">
        <f t="shared" si="2"/>
        <v>6658</v>
      </c>
      <c r="D29" s="1">
        <f t="shared" si="3"/>
        <v>536</v>
      </c>
      <c r="E29" s="1">
        <f t="shared" si="1"/>
        <v>635</v>
      </c>
      <c r="F29" s="1">
        <f t="shared" si="1"/>
        <v>2699</v>
      </c>
      <c r="G29" s="1">
        <f t="shared" si="1"/>
        <v>4132</v>
      </c>
      <c r="H29" s="1">
        <f t="shared" si="1"/>
        <v>3438</v>
      </c>
      <c r="I29" s="1">
        <f t="shared" si="1"/>
        <v>2829</v>
      </c>
      <c r="J29" s="1">
        <f t="shared" si="1"/>
        <v>2794</v>
      </c>
      <c r="K29" s="1">
        <f t="shared" si="1"/>
        <v>2911</v>
      </c>
      <c r="L29" s="1">
        <f t="shared" si="1"/>
        <v>3371</v>
      </c>
      <c r="M29" s="1">
        <f t="shared" si="1"/>
        <v>3624</v>
      </c>
      <c r="N29" s="1">
        <f t="shared" si="1"/>
        <v>3652</v>
      </c>
      <c r="O29" s="1">
        <f t="shared" si="1"/>
        <v>4280</v>
      </c>
      <c r="P29" s="1">
        <f t="shared" si="1"/>
        <v>4962</v>
      </c>
      <c r="Q29" s="1">
        <f t="shared" si="1"/>
        <v>5649</v>
      </c>
      <c r="R29" s="1">
        <f t="shared" si="1"/>
        <v>5092</v>
      </c>
      <c r="S29" s="1">
        <f t="shared" si="1"/>
        <v>4340</v>
      </c>
      <c r="T29" s="1">
        <f t="shared" si="1"/>
        <v>4938</v>
      </c>
      <c r="U29" s="1">
        <f t="shared" si="1"/>
        <v>76</v>
      </c>
      <c r="V29" s="1">
        <f t="shared" si="4"/>
        <v>66616</v>
      </c>
    </row>
    <row r="30" spans="1:26">
      <c r="A30">
        <v>2002</v>
      </c>
      <c r="B30" t="s">
        <v>1</v>
      </c>
      <c r="C30" s="1">
        <f t="shared" si="2"/>
        <v>6108</v>
      </c>
      <c r="D30" s="1">
        <f t="shared" si="3"/>
        <v>509</v>
      </c>
      <c r="E30" s="1">
        <f t="shared" si="1"/>
        <v>682</v>
      </c>
      <c r="F30" s="1">
        <f t="shared" si="1"/>
        <v>3007</v>
      </c>
      <c r="G30" s="1">
        <f t="shared" si="1"/>
        <v>4658</v>
      </c>
      <c r="H30" s="1">
        <f t="shared" si="1"/>
        <v>3573</v>
      </c>
      <c r="I30" s="1">
        <f t="shared" si="1"/>
        <v>2802</v>
      </c>
      <c r="J30" s="1">
        <f t="shared" si="1"/>
        <v>2526</v>
      </c>
      <c r="K30" s="1">
        <f t="shared" si="1"/>
        <v>2786</v>
      </c>
      <c r="L30" s="1">
        <f t="shared" si="1"/>
        <v>3222</v>
      </c>
      <c r="M30" s="1">
        <f t="shared" si="1"/>
        <v>3651</v>
      </c>
      <c r="N30" s="1">
        <f t="shared" si="1"/>
        <v>3761</v>
      </c>
      <c r="O30" s="1">
        <f t="shared" si="1"/>
        <v>4062</v>
      </c>
      <c r="P30" s="1">
        <f t="shared" si="1"/>
        <v>4725</v>
      </c>
      <c r="Q30" s="1">
        <f t="shared" si="1"/>
        <v>5389</v>
      </c>
      <c r="R30" s="1">
        <f t="shared" si="1"/>
        <v>5047</v>
      </c>
      <c r="S30" s="1">
        <f t="shared" si="1"/>
        <v>4149</v>
      </c>
      <c r="T30" s="1">
        <f t="shared" si="1"/>
        <v>4833</v>
      </c>
      <c r="U30" s="1">
        <f t="shared" si="1"/>
        <v>83</v>
      </c>
      <c r="V30" s="1">
        <f t="shared" si="4"/>
        <v>65573</v>
      </c>
    </row>
    <row r="31" spans="1:26">
      <c r="A31">
        <v>2003</v>
      </c>
      <c r="B31" t="s">
        <v>1</v>
      </c>
      <c r="C31" s="1">
        <f t="shared" si="2"/>
        <v>7281</v>
      </c>
      <c r="D31" s="1">
        <f t="shared" si="3"/>
        <v>543</v>
      </c>
      <c r="E31" s="1">
        <f t="shared" si="1"/>
        <v>693</v>
      </c>
      <c r="F31" s="1">
        <f t="shared" si="1"/>
        <v>3402</v>
      </c>
      <c r="G31" s="1">
        <f t="shared" si="1"/>
        <v>5314</v>
      </c>
      <c r="H31" s="1">
        <f t="shared" si="1"/>
        <v>4242</v>
      </c>
      <c r="I31" s="1">
        <f t="shared" si="1"/>
        <v>3242</v>
      </c>
      <c r="J31" s="1">
        <f t="shared" si="1"/>
        <v>2983</v>
      </c>
      <c r="K31" s="1">
        <f t="shared" si="1"/>
        <v>3038</v>
      </c>
      <c r="L31" s="1">
        <f t="shared" si="1"/>
        <v>3400</v>
      </c>
      <c r="M31" s="1">
        <f t="shared" si="1"/>
        <v>3804</v>
      </c>
      <c r="N31" s="1">
        <f t="shared" si="1"/>
        <v>4070</v>
      </c>
      <c r="O31" s="1">
        <f t="shared" si="1"/>
        <v>4574</v>
      </c>
      <c r="P31" s="1">
        <f t="shared" si="1"/>
        <v>5273</v>
      </c>
      <c r="Q31" s="1">
        <f t="shared" si="1"/>
        <v>5827</v>
      </c>
      <c r="R31" s="1">
        <f t="shared" si="1"/>
        <v>5741</v>
      </c>
      <c r="S31" s="1">
        <f t="shared" si="1"/>
        <v>4801</v>
      </c>
      <c r="T31" s="1">
        <f t="shared" si="1"/>
        <v>5564</v>
      </c>
      <c r="U31" s="1">
        <f t="shared" si="1"/>
        <v>34</v>
      </c>
      <c r="V31" s="1">
        <f t="shared" si="4"/>
        <v>73826</v>
      </c>
    </row>
    <row r="32" spans="1:26">
      <c r="A32">
        <v>2004</v>
      </c>
      <c r="B32" t="s">
        <v>1</v>
      </c>
      <c r="C32" s="1">
        <f t="shared" si="2"/>
        <v>6425</v>
      </c>
      <c r="D32" s="1">
        <f t="shared" si="3"/>
        <v>572</v>
      </c>
      <c r="E32" s="1">
        <f t="shared" si="1"/>
        <v>641</v>
      </c>
      <c r="F32" s="1">
        <f>+K12</f>
        <v>3036</v>
      </c>
      <c r="G32" s="1">
        <f t="shared" si="1"/>
        <v>4648</v>
      </c>
      <c r="H32" s="1">
        <f t="shared" si="1"/>
        <v>3908</v>
      </c>
      <c r="I32" s="1">
        <f t="shared" si="1"/>
        <v>3112</v>
      </c>
      <c r="J32" s="1">
        <f t="shared" si="1"/>
        <v>2785</v>
      </c>
      <c r="K32" s="1">
        <f t="shared" si="1"/>
        <v>2888</v>
      </c>
      <c r="L32" s="1">
        <f t="shared" si="1"/>
        <v>3356</v>
      </c>
      <c r="M32" s="1">
        <f t="shared" si="1"/>
        <v>3906</v>
      </c>
      <c r="N32" s="1">
        <f t="shared" si="1"/>
        <v>4173</v>
      </c>
      <c r="O32" s="1">
        <f t="shared" si="1"/>
        <v>4511</v>
      </c>
      <c r="P32" s="1">
        <f t="shared" si="1"/>
        <v>5062</v>
      </c>
      <c r="Q32" s="1">
        <f t="shared" si="1"/>
        <v>5603</v>
      </c>
      <c r="R32" s="1">
        <f t="shared" si="1"/>
        <v>5835</v>
      </c>
      <c r="S32" s="1">
        <f t="shared" si="1"/>
        <v>4751</v>
      </c>
      <c r="T32" s="1">
        <f t="shared" si="1"/>
        <v>5552</v>
      </c>
      <c r="U32" s="1">
        <f t="shared" si="1"/>
        <v>71</v>
      </c>
      <c r="V32" s="1">
        <f t="shared" si="4"/>
        <v>70835</v>
      </c>
    </row>
    <row r="33" spans="1:22">
      <c r="A33">
        <v>2005</v>
      </c>
      <c r="B33" t="s">
        <v>1</v>
      </c>
      <c r="C33" s="1">
        <f t="shared" si="2"/>
        <v>6137</v>
      </c>
      <c r="D33" s="1">
        <f t="shared" si="3"/>
        <v>495</v>
      </c>
      <c r="E33" s="1">
        <f t="shared" si="1"/>
        <v>632</v>
      </c>
      <c r="F33" s="1">
        <f>+K13</f>
        <v>2927</v>
      </c>
      <c r="G33" s="1">
        <f t="shared" si="1"/>
        <v>4391</v>
      </c>
      <c r="H33" s="1">
        <f t="shared" si="1"/>
        <v>3859</v>
      </c>
      <c r="I33" s="1">
        <f t="shared" si="1"/>
        <v>3018</v>
      </c>
      <c r="J33" s="1">
        <f t="shared" si="1"/>
        <v>2705</v>
      </c>
      <c r="K33" s="1">
        <f t="shared" si="1"/>
        <v>3020</v>
      </c>
      <c r="L33" s="1">
        <f t="shared" si="1"/>
        <v>3424</v>
      </c>
      <c r="M33" s="1">
        <f t="shared" si="1"/>
        <v>4027</v>
      </c>
      <c r="N33" s="1">
        <f t="shared" si="1"/>
        <v>4356</v>
      </c>
      <c r="O33" s="1">
        <f t="shared" si="1"/>
        <v>4646</v>
      </c>
      <c r="P33" s="1">
        <f t="shared" si="1"/>
        <v>5140</v>
      </c>
      <c r="Q33" s="1">
        <f t="shared" si="1"/>
        <v>5557</v>
      </c>
      <c r="R33" s="1">
        <f t="shared" si="1"/>
        <v>6016</v>
      </c>
      <c r="S33" s="1">
        <f t="shared" si="1"/>
        <v>4881</v>
      </c>
      <c r="T33" s="1">
        <f t="shared" si="1"/>
        <v>5832</v>
      </c>
      <c r="U33" s="1">
        <f t="shared" si="1"/>
        <v>92</v>
      </c>
      <c r="V33" s="1">
        <f t="shared" si="4"/>
        <v>71155</v>
      </c>
    </row>
    <row r="34" spans="1:22">
      <c r="A34">
        <v>2006</v>
      </c>
      <c r="B34" t="s">
        <v>1</v>
      </c>
      <c r="C34" s="1">
        <f t="shared" si="2"/>
        <v>5712</v>
      </c>
      <c r="D34" s="1">
        <f t="shared" si="3"/>
        <v>491</v>
      </c>
      <c r="E34" s="1">
        <f t="shared" si="1"/>
        <v>655</v>
      </c>
      <c r="F34" s="1">
        <f>+K14</f>
        <v>3255</v>
      </c>
      <c r="G34" s="1">
        <f t="shared" si="1"/>
        <v>5060</v>
      </c>
      <c r="H34" s="1">
        <f t="shared" si="1"/>
        <v>4458</v>
      </c>
      <c r="I34" s="1">
        <f t="shared" si="1"/>
        <v>3237</v>
      </c>
      <c r="J34" s="1">
        <f t="shared" si="1"/>
        <v>2857</v>
      </c>
      <c r="K34" s="1">
        <f t="shared" si="1"/>
        <v>3144</v>
      </c>
      <c r="L34" s="1">
        <f t="shared" si="1"/>
        <v>3648</v>
      </c>
      <c r="M34" s="1">
        <f t="shared" si="1"/>
        <v>4239</v>
      </c>
      <c r="N34" s="1">
        <f t="shared" si="1"/>
        <v>4730</v>
      </c>
      <c r="O34" s="1">
        <f t="shared" si="1"/>
        <v>4683</v>
      </c>
      <c r="P34" s="1">
        <f t="shared" si="1"/>
        <v>5259</v>
      </c>
      <c r="Q34" s="1">
        <f t="shared" si="1"/>
        <v>5832</v>
      </c>
      <c r="R34" s="1">
        <f t="shared" si="1"/>
        <v>6091</v>
      </c>
      <c r="S34" s="1">
        <f t="shared" si="1"/>
        <v>5041</v>
      </c>
      <c r="T34" s="1">
        <f t="shared" si="1"/>
        <v>5957</v>
      </c>
      <c r="U34" s="1">
        <f t="shared" si="1"/>
        <v>29</v>
      </c>
      <c r="V34" s="1">
        <f t="shared" si="4"/>
        <v>74378</v>
      </c>
    </row>
    <row r="35" spans="1:22">
      <c r="A35">
        <v>2007</v>
      </c>
      <c r="B35" t="s">
        <v>1</v>
      </c>
      <c r="C35" s="1">
        <f t="shared" si="2"/>
        <v>5749</v>
      </c>
      <c r="D35" s="1">
        <f t="shared" si="3"/>
        <v>519</v>
      </c>
      <c r="E35" s="1">
        <f t="shared" si="1"/>
        <v>667</v>
      </c>
      <c r="F35" s="1">
        <f>+K15</f>
        <v>3665</v>
      </c>
      <c r="G35" s="1">
        <f t="shared" ref="G35" si="5">+L15</f>
        <v>5680</v>
      </c>
      <c r="H35" s="1">
        <f t="shared" ref="H35" si="6">+M15</f>
        <v>5029</v>
      </c>
      <c r="I35" s="1">
        <f t="shared" ref="I35" si="7">+N15</f>
        <v>3701</v>
      </c>
      <c r="J35" s="1">
        <f t="shared" ref="J35" si="8">+O15</f>
        <v>3193</v>
      </c>
      <c r="K35" s="1">
        <f t="shared" ref="K35" si="9">+P15</f>
        <v>3249</v>
      </c>
      <c r="L35" s="1">
        <f t="shared" ref="L35" si="10">+Q15</f>
        <v>3747</v>
      </c>
      <c r="M35" s="1">
        <f t="shared" ref="M35" si="11">+R15</f>
        <v>4366</v>
      </c>
      <c r="N35" s="1">
        <f t="shared" si="1"/>
        <v>4959</v>
      </c>
      <c r="O35" s="1">
        <f t="shared" ref="O35" si="12">+T15</f>
        <v>5094</v>
      </c>
      <c r="P35" s="1">
        <f t="shared" ref="P35" si="13">+U15</f>
        <v>5574</v>
      </c>
      <c r="Q35" s="1">
        <f t="shared" ref="Q35" si="14">+V15</f>
        <v>6045</v>
      </c>
      <c r="R35" s="1">
        <f t="shared" ref="R35" si="15">+W15</f>
        <v>6255</v>
      </c>
      <c r="S35" s="1">
        <f t="shared" ref="S35" si="16">+X15</f>
        <v>5305</v>
      </c>
      <c r="T35" s="1">
        <f t="shared" ref="T35" si="17">+Y15</f>
        <v>6229</v>
      </c>
      <c r="U35" s="1">
        <f t="shared" ref="U35" si="18">+Z15</f>
        <v>130</v>
      </c>
      <c r="V35" s="1">
        <f t="shared" si="4"/>
        <v>79156</v>
      </c>
    </row>
    <row r="36" spans="1:22">
      <c r="A36">
        <v>2008</v>
      </c>
      <c r="B36" t="s">
        <v>1</v>
      </c>
      <c r="C36" s="1">
        <f t="shared" si="2"/>
        <v>5567</v>
      </c>
      <c r="D36" s="1">
        <f t="shared" si="3"/>
        <v>432</v>
      </c>
      <c r="E36" s="1">
        <f t="shared" si="1"/>
        <v>671</v>
      </c>
      <c r="F36" s="1">
        <f t="shared" si="1"/>
        <v>4087</v>
      </c>
      <c r="G36" s="1">
        <f t="shared" si="1"/>
        <v>6239</v>
      </c>
      <c r="H36" s="1">
        <f t="shared" si="1"/>
        <v>5161</v>
      </c>
      <c r="I36" s="1">
        <f t="shared" si="1"/>
        <v>3943</v>
      </c>
      <c r="J36" s="1">
        <f t="shared" si="1"/>
        <v>3245</v>
      </c>
      <c r="K36" s="1">
        <f t="shared" si="1"/>
        <v>3326</v>
      </c>
      <c r="L36" s="1">
        <f t="shared" si="1"/>
        <v>3837</v>
      </c>
      <c r="M36" s="1">
        <f t="shared" si="1"/>
        <v>4585</v>
      </c>
      <c r="N36" s="1">
        <f t="shared" si="1"/>
        <v>5279</v>
      </c>
      <c r="O36" s="1">
        <f t="shared" si="1"/>
        <v>5377</v>
      </c>
      <c r="P36" s="1">
        <f t="shared" si="1"/>
        <v>5771</v>
      </c>
      <c r="Q36" s="1">
        <f t="shared" si="1"/>
        <v>6222</v>
      </c>
      <c r="R36" s="1">
        <f t="shared" si="1"/>
        <v>6676</v>
      </c>
      <c r="S36" s="1">
        <f t="shared" si="1"/>
        <v>5749</v>
      </c>
      <c r="T36" s="1">
        <f t="shared" si="1"/>
        <v>6749</v>
      </c>
      <c r="U36" s="1">
        <f t="shared" si="1"/>
        <v>190</v>
      </c>
      <c r="V36" s="1">
        <f t="shared" si="4"/>
        <v>83106</v>
      </c>
    </row>
    <row r="37" spans="1:22">
      <c r="A37">
        <v>2009</v>
      </c>
      <c r="B37" t="s">
        <v>1</v>
      </c>
      <c r="C37" s="1">
        <f t="shared" si="2"/>
        <v>5676</v>
      </c>
      <c r="D37" s="1">
        <f t="shared" si="3"/>
        <v>439</v>
      </c>
      <c r="E37" s="1">
        <f t="shared" si="1"/>
        <v>612</v>
      </c>
      <c r="F37" s="1">
        <f t="shared" si="1"/>
        <v>4051</v>
      </c>
      <c r="G37" s="1">
        <f t="shared" si="1"/>
        <v>6103</v>
      </c>
      <c r="H37" s="1">
        <f t="shared" ref="H37:H39" si="19">+M17</f>
        <v>5096</v>
      </c>
      <c r="I37" s="1">
        <f t="shared" ref="I37:I39" si="20">+N17</f>
        <v>4023</v>
      </c>
      <c r="J37" s="1">
        <f t="shared" ref="J37:J39" si="21">+O17</f>
        <v>3207</v>
      </c>
      <c r="K37" s="1">
        <f t="shared" ref="K37:K39" si="22">+P17</f>
        <v>3357</v>
      </c>
      <c r="L37" s="1">
        <f t="shared" ref="L37:L39" si="23">+Q17</f>
        <v>3858</v>
      </c>
      <c r="M37" s="1">
        <f t="shared" ref="M37:M39" si="24">+R17</f>
        <v>4729</v>
      </c>
      <c r="N37" s="1">
        <f t="shared" ref="N37:N39" si="25">+S17</f>
        <v>5524</v>
      </c>
      <c r="O37" s="1">
        <f t="shared" ref="O37:O39" si="26">+T17</f>
        <v>5663</v>
      </c>
      <c r="P37" s="1">
        <f t="shared" ref="P37:P39" si="27">+U17</f>
        <v>5751</v>
      </c>
      <c r="Q37" s="1">
        <f t="shared" ref="Q37:Q39" si="28">+V17</f>
        <v>6201</v>
      </c>
      <c r="R37" s="1">
        <f t="shared" ref="R37:R39" si="29">+W17</f>
        <v>6628</v>
      </c>
      <c r="S37" s="1">
        <f t="shared" ref="S37:S39" si="30">+X17</f>
        <v>5706</v>
      </c>
      <c r="T37" s="1">
        <f t="shared" ref="T37:T39" si="31">+Y17</f>
        <v>6622</v>
      </c>
      <c r="U37" s="1">
        <f t="shared" ref="U37:U39" si="32">+Z17</f>
        <v>79</v>
      </c>
      <c r="V37" s="1">
        <f t="shared" si="4"/>
        <v>83325</v>
      </c>
    </row>
    <row r="38" spans="1:22">
      <c r="A38">
        <v>2010</v>
      </c>
      <c r="B38" t="s">
        <v>1</v>
      </c>
      <c r="C38" s="1">
        <f t="shared" si="2"/>
        <v>5935</v>
      </c>
      <c r="D38" s="1">
        <f t="shared" si="3"/>
        <v>449</v>
      </c>
      <c r="E38" s="1">
        <f t="shared" ref="E38:E39" si="33">+J18</f>
        <v>598</v>
      </c>
      <c r="F38" s="1">
        <f t="shared" ref="F38:F39" si="34">+K18</f>
        <v>3822</v>
      </c>
      <c r="G38" s="1">
        <f t="shared" ref="G38:G39" si="35">+L18</f>
        <v>5535</v>
      </c>
      <c r="H38" s="1">
        <f t="shared" si="19"/>
        <v>4783</v>
      </c>
      <c r="I38" s="1">
        <f t="shared" si="20"/>
        <v>3810</v>
      </c>
      <c r="J38" s="1">
        <f t="shared" si="21"/>
        <v>3070</v>
      </c>
      <c r="K38" s="1">
        <f t="shared" si="22"/>
        <v>3034</v>
      </c>
      <c r="L38" s="1">
        <f t="shared" si="23"/>
        <v>3757</v>
      </c>
      <c r="M38" s="1">
        <f t="shared" si="24"/>
        <v>4687</v>
      </c>
      <c r="N38" s="1">
        <f t="shared" si="25"/>
        <v>5517</v>
      </c>
      <c r="O38" s="1">
        <f t="shared" si="26"/>
        <v>6044</v>
      </c>
      <c r="P38" s="1">
        <f t="shared" si="27"/>
        <v>5919</v>
      </c>
      <c r="Q38" s="1">
        <f t="shared" si="28"/>
        <v>6536</v>
      </c>
      <c r="R38" s="1">
        <f t="shared" si="29"/>
        <v>6742</v>
      </c>
      <c r="S38" s="1">
        <f t="shared" si="30"/>
        <v>6449</v>
      </c>
      <c r="T38" s="1">
        <f t="shared" si="31"/>
        <v>7476</v>
      </c>
      <c r="U38" s="1">
        <f t="shared" si="32"/>
        <v>33</v>
      </c>
      <c r="V38" s="1">
        <f t="shared" si="4"/>
        <v>84196</v>
      </c>
    </row>
    <row r="39" spans="1:22">
      <c r="A39">
        <v>2011</v>
      </c>
      <c r="B39" t="s">
        <v>1</v>
      </c>
      <c r="C39" s="1">
        <f t="shared" si="2"/>
        <v>5768</v>
      </c>
      <c r="D39" s="1">
        <f t="shared" si="3"/>
        <v>401</v>
      </c>
      <c r="E39" s="1">
        <f t="shared" si="33"/>
        <v>596</v>
      </c>
      <c r="F39" s="1">
        <f t="shared" si="34"/>
        <v>3845</v>
      </c>
      <c r="G39" s="1">
        <f t="shared" si="35"/>
        <v>5635</v>
      </c>
      <c r="H39" s="1">
        <f t="shared" si="19"/>
        <v>4683</v>
      </c>
      <c r="I39" s="1">
        <f t="shared" si="20"/>
        <v>3726</v>
      </c>
      <c r="J39" s="1">
        <f t="shared" si="21"/>
        <v>3216</v>
      </c>
      <c r="K39" s="1">
        <f t="shared" si="22"/>
        <v>3109</v>
      </c>
      <c r="L39" s="1">
        <f t="shared" si="23"/>
        <v>3747</v>
      </c>
      <c r="M39" s="1">
        <f t="shared" si="24"/>
        <v>4804</v>
      </c>
      <c r="N39" s="1">
        <f t="shared" si="25"/>
        <v>5861</v>
      </c>
      <c r="O39" s="1">
        <f t="shared" si="26"/>
        <v>6450</v>
      </c>
      <c r="P39" s="1">
        <f t="shared" si="27"/>
        <v>6414</v>
      </c>
      <c r="Q39" s="1">
        <f t="shared" si="28"/>
        <v>6767</v>
      </c>
      <c r="R39" s="1">
        <f t="shared" si="29"/>
        <v>6805</v>
      </c>
      <c r="S39" s="1">
        <f t="shared" si="30"/>
        <v>6649</v>
      </c>
      <c r="T39" s="1">
        <f t="shared" si="31"/>
        <v>7960</v>
      </c>
      <c r="U39" s="1">
        <f t="shared" si="32"/>
        <v>68</v>
      </c>
      <c r="V39" s="1">
        <f t="shared" si="4"/>
        <v>86504</v>
      </c>
    </row>
    <row r="41" spans="1:22">
      <c r="C41" s="22" t="s">
        <v>21</v>
      </c>
      <c r="D41">
        <v>1995</v>
      </c>
      <c r="E41">
        <v>1996</v>
      </c>
      <c r="F41">
        <v>1997</v>
      </c>
      <c r="G41">
        <v>1998</v>
      </c>
      <c r="H41">
        <v>1999</v>
      </c>
      <c r="I41">
        <v>2000</v>
      </c>
      <c r="J41">
        <v>2001</v>
      </c>
      <c r="K41">
        <v>2002</v>
      </c>
      <c r="L41">
        <v>2003</v>
      </c>
      <c r="M41">
        <v>2004</v>
      </c>
      <c r="N41">
        <v>2005</v>
      </c>
      <c r="O41">
        <v>2006</v>
      </c>
      <c r="P41">
        <v>2007</v>
      </c>
      <c r="Q41">
        <v>2008</v>
      </c>
      <c r="R41">
        <v>2009</v>
      </c>
      <c r="S41">
        <v>2010</v>
      </c>
      <c r="T41">
        <v>2011</v>
      </c>
    </row>
    <row r="42" spans="1:22">
      <c r="C42" s="22">
        <v>-1</v>
      </c>
      <c r="D42" s="1">
        <v>7061</v>
      </c>
      <c r="E42" s="1">
        <v>6830</v>
      </c>
      <c r="F42" s="1">
        <v>6324</v>
      </c>
      <c r="G42" s="1">
        <v>6144</v>
      </c>
      <c r="H42" s="1">
        <v>5835</v>
      </c>
      <c r="I42" s="1">
        <v>5622</v>
      </c>
      <c r="J42" s="1">
        <v>5375</v>
      </c>
      <c r="K42" s="1">
        <v>4976</v>
      </c>
      <c r="L42" s="1">
        <v>5848</v>
      </c>
      <c r="M42" s="1">
        <v>5317</v>
      </c>
      <c r="N42" s="1">
        <v>5204</v>
      </c>
      <c r="O42" s="1">
        <v>4801</v>
      </c>
      <c r="P42" s="1">
        <v>4847</v>
      </c>
      <c r="Q42" s="1">
        <v>4781</v>
      </c>
      <c r="R42" s="1">
        <v>4888</v>
      </c>
      <c r="S42" s="1">
        <v>5102</v>
      </c>
      <c r="T42" s="1">
        <v>5033</v>
      </c>
    </row>
    <row r="43" spans="1:22">
      <c r="C43" s="22">
        <v>1</v>
      </c>
      <c r="D43" s="1">
        <v>700</v>
      </c>
      <c r="E43" s="1">
        <v>829</v>
      </c>
      <c r="F43" s="1">
        <v>640</v>
      </c>
      <c r="G43" s="1">
        <v>765</v>
      </c>
      <c r="H43" s="1">
        <v>641</v>
      </c>
      <c r="I43" s="1">
        <v>639</v>
      </c>
      <c r="J43" s="1">
        <v>662</v>
      </c>
      <c r="K43" s="1">
        <v>599</v>
      </c>
      <c r="L43" s="1">
        <v>825</v>
      </c>
      <c r="M43" s="1">
        <v>553</v>
      </c>
      <c r="N43" s="1">
        <v>476</v>
      </c>
      <c r="O43" s="1">
        <v>430</v>
      </c>
      <c r="P43" s="1">
        <v>436</v>
      </c>
      <c r="Q43" s="1">
        <v>369</v>
      </c>
      <c r="R43" s="1">
        <v>346</v>
      </c>
      <c r="S43" s="1">
        <v>350</v>
      </c>
      <c r="T43" s="1">
        <v>310</v>
      </c>
    </row>
    <row r="44" spans="1:22">
      <c r="C44" s="22">
        <v>2</v>
      </c>
      <c r="D44" s="1">
        <v>276</v>
      </c>
      <c r="E44" s="1">
        <v>359</v>
      </c>
      <c r="F44" s="1">
        <v>293</v>
      </c>
      <c r="G44" s="1">
        <v>305</v>
      </c>
      <c r="H44" s="1">
        <v>298</v>
      </c>
      <c r="I44" s="1">
        <v>273</v>
      </c>
      <c r="J44" s="1">
        <v>298</v>
      </c>
      <c r="K44" s="1">
        <v>251</v>
      </c>
      <c r="L44" s="1">
        <v>308</v>
      </c>
      <c r="M44" s="1">
        <v>267</v>
      </c>
      <c r="N44" s="1">
        <v>208</v>
      </c>
      <c r="O44" s="1">
        <v>231</v>
      </c>
      <c r="P44" s="1">
        <v>206</v>
      </c>
      <c r="Q44" s="1">
        <v>180</v>
      </c>
      <c r="R44" s="1">
        <v>184</v>
      </c>
      <c r="S44" s="1">
        <v>227</v>
      </c>
      <c r="T44" s="1">
        <v>192</v>
      </c>
    </row>
    <row r="45" spans="1:22">
      <c r="C45" s="22">
        <v>3</v>
      </c>
      <c r="D45" s="1">
        <v>190</v>
      </c>
      <c r="E45" s="1">
        <v>220</v>
      </c>
      <c r="F45" s="1">
        <v>187</v>
      </c>
      <c r="G45" s="1">
        <v>199</v>
      </c>
      <c r="H45" s="1">
        <v>183</v>
      </c>
      <c r="I45" s="1">
        <v>174</v>
      </c>
      <c r="J45" s="1">
        <v>185</v>
      </c>
      <c r="K45" s="1">
        <v>143</v>
      </c>
      <c r="L45" s="1">
        <v>179</v>
      </c>
      <c r="M45" s="1">
        <v>163</v>
      </c>
      <c r="N45" s="1">
        <v>123</v>
      </c>
      <c r="O45" s="1">
        <v>136</v>
      </c>
      <c r="P45" s="1">
        <v>137</v>
      </c>
      <c r="Q45" s="1">
        <v>149</v>
      </c>
      <c r="R45" s="1">
        <v>133</v>
      </c>
      <c r="S45" s="1">
        <v>145</v>
      </c>
      <c r="T45" s="1">
        <v>138</v>
      </c>
    </row>
    <row r="46" spans="1:22">
      <c r="C46" s="22">
        <v>4</v>
      </c>
      <c r="D46" s="1">
        <v>140</v>
      </c>
      <c r="E46" s="1">
        <v>178</v>
      </c>
      <c r="F46" s="1">
        <v>145</v>
      </c>
      <c r="G46" s="1">
        <v>164</v>
      </c>
      <c r="H46" s="1">
        <v>156</v>
      </c>
      <c r="I46" s="1">
        <v>138</v>
      </c>
      <c r="J46" s="1">
        <v>138</v>
      </c>
      <c r="K46" s="1">
        <v>139</v>
      </c>
      <c r="L46" s="1">
        <v>121</v>
      </c>
      <c r="M46" s="1">
        <v>125</v>
      </c>
      <c r="N46" s="1">
        <v>126</v>
      </c>
      <c r="O46" s="1">
        <v>114</v>
      </c>
      <c r="P46" s="1">
        <v>123</v>
      </c>
      <c r="Q46" s="1">
        <v>88</v>
      </c>
      <c r="R46" s="1">
        <v>125</v>
      </c>
      <c r="S46" s="1">
        <v>111</v>
      </c>
      <c r="T46" s="1">
        <v>95</v>
      </c>
    </row>
  </sheetData>
  <autoFilter ref="A2:Z19">
    <sortState ref="A3:Z19">
      <sortCondition ref="A2:A19"/>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C00000"/>
  </sheetPr>
  <dimension ref="A1:AA46"/>
  <sheetViews>
    <sheetView workbookViewId="0">
      <selection activeCell="D8" sqref="D8"/>
    </sheetView>
  </sheetViews>
  <sheetFormatPr baseColWidth="10" defaultColWidth="2" defaultRowHeight="15"/>
  <cols>
    <col min="1" max="1" width="6.7109375" customWidth="1"/>
    <col min="2" max="2" width="4.42578125" bestFit="1" customWidth="1"/>
    <col min="3" max="3" width="8" bestFit="1" customWidth="1"/>
    <col min="4" max="4" width="7" bestFit="1" customWidth="1"/>
    <col min="5" max="5" width="7.5703125" bestFit="1" customWidth="1"/>
    <col min="6" max="6" width="7.140625" bestFit="1" customWidth="1"/>
    <col min="7" max="7" width="7.5703125" bestFit="1" customWidth="1"/>
    <col min="8" max="8" width="8" bestFit="1" customWidth="1"/>
    <col min="9" max="9" width="7.5703125" bestFit="1" customWidth="1"/>
    <col min="10" max="24" width="9.140625" bestFit="1" customWidth="1"/>
    <col min="25" max="25" width="8.140625" bestFit="1" customWidth="1"/>
    <col min="26" max="26" width="4.7109375" bestFit="1" customWidth="1"/>
    <col min="27" max="27" width="4.85546875" customWidth="1"/>
  </cols>
  <sheetData>
    <row r="1" spans="1:27">
      <c r="A1" s="70" t="s">
        <v>106</v>
      </c>
    </row>
    <row r="2" spans="1:27" s="20" customFormat="1">
      <c r="A2" s="20" t="s">
        <v>21</v>
      </c>
      <c r="B2" s="20" t="s">
        <v>22</v>
      </c>
      <c r="C2" s="20" t="s">
        <v>20</v>
      </c>
      <c r="D2" s="20">
        <v>-1</v>
      </c>
      <c r="E2" s="20">
        <v>1</v>
      </c>
      <c r="F2" s="20">
        <v>2</v>
      </c>
      <c r="G2" s="20">
        <v>3</v>
      </c>
      <c r="H2" s="20">
        <v>4</v>
      </c>
      <c r="I2" s="21" t="s">
        <v>3</v>
      </c>
      <c r="J2" s="20" t="s">
        <v>4</v>
      </c>
      <c r="K2" s="20" t="s">
        <v>5</v>
      </c>
      <c r="L2" s="20" t="s">
        <v>6</v>
      </c>
      <c r="M2" s="20" t="s">
        <v>7</v>
      </c>
      <c r="N2" s="20" t="s">
        <v>8</v>
      </c>
      <c r="O2" s="20" t="s">
        <v>9</v>
      </c>
      <c r="P2" s="20" t="s">
        <v>10</v>
      </c>
      <c r="Q2" s="20" t="s">
        <v>11</v>
      </c>
      <c r="R2" s="20" t="s">
        <v>12</v>
      </c>
      <c r="S2" s="20" t="s">
        <v>13</v>
      </c>
      <c r="T2" s="20" t="s">
        <v>14</v>
      </c>
      <c r="U2" s="20" t="s">
        <v>15</v>
      </c>
      <c r="V2" s="20" t="s">
        <v>16</v>
      </c>
      <c r="W2" s="20" t="s">
        <v>17</v>
      </c>
      <c r="X2" s="20" t="s">
        <v>18</v>
      </c>
      <c r="Y2" s="20" t="s">
        <v>19</v>
      </c>
      <c r="Z2" s="20" t="s">
        <v>23</v>
      </c>
    </row>
    <row r="3" spans="1:27">
      <c r="A3">
        <v>1995</v>
      </c>
      <c r="B3" t="s">
        <v>2</v>
      </c>
      <c r="C3" s="1">
        <v>40996</v>
      </c>
      <c r="D3" s="1">
        <v>5291</v>
      </c>
      <c r="E3" s="1">
        <v>637</v>
      </c>
      <c r="F3" s="1">
        <v>249</v>
      </c>
      <c r="G3" s="1">
        <v>157</v>
      </c>
      <c r="H3" s="1">
        <v>98</v>
      </c>
      <c r="I3" s="1">
        <v>419</v>
      </c>
      <c r="J3" s="1">
        <v>416</v>
      </c>
      <c r="K3" s="1">
        <v>647</v>
      </c>
      <c r="L3" s="1">
        <v>671</v>
      </c>
      <c r="M3" s="1">
        <v>708</v>
      </c>
      <c r="N3" s="1">
        <v>836</v>
      </c>
      <c r="O3" s="1">
        <v>1035</v>
      </c>
      <c r="P3" s="1">
        <v>1288</v>
      </c>
      <c r="Q3" s="1">
        <v>1476</v>
      </c>
      <c r="R3" s="1">
        <v>1564</v>
      </c>
      <c r="S3" s="1">
        <v>2120</v>
      </c>
      <c r="T3" s="1">
        <v>2581</v>
      </c>
      <c r="U3" s="1">
        <v>3306</v>
      </c>
      <c r="V3" s="1">
        <v>3673</v>
      </c>
      <c r="W3" s="1">
        <v>3813</v>
      </c>
      <c r="X3" s="1">
        <v>4085</v>
      </c>
      <c r="Y3" s="1">
        <v>5856</v>
      </c>
      <c r="Z3" s="1">
        <v>70</v>
      </c>
      <c r="AA3" s="20"/>
    </row>
    <row r="4" spans="1:27">
      <c r="A4">
        <v>1996</v>
      </c>
      <c r="B4" t="s">
        <v>2</v>
      </c>
      <c r="C4" s="1">
        <v>41838</v>
      </c>
      <c r="D4" s="1">
        <v>5083</v>
      </c>
      <c r="E4" s="1">
        <v>740</v>
      </c>
      <c r="F4" s="1">
        <v>279</v>
      </c>
      <c r="G4" s="1">
        <v>162</v>
      </c>
      <c r="H4" s="1">
        <v>129</v>
      </c>
      <c r="I4" s="1">
        <v>426</v>
      </c>
      <c r="J4" s="1">
        <v>414</v>
      </c>
      <c r="K4" s="1">
        <v>674</v>
      </c>
      <c r="L4" s="1">
        <v>676</v>
      </c>
      <c r="M4" s="1">
        <v>767</v>
      </c>
      <c r="N4" s="1">
        <v>919</v>
      </c>
      <c r="O4" s="1">
        <v>1098</v>
      </c>
      <c r="P4" s="1">
        <v>1295</v>
      </c>
      <c r="Q4" s="1">
        <v>1484</v>
      </c>
      <c r="R4" s="1">
        <v>1701</v>
      </c>
      <c r="S4" s="1">
        <v>2110</v>
      </c>
      <c r="T4" s="1">
        <v>2593</v>
      </c>
      <c r="U4" s="1">
        <v>3399</v>
      </c>
      <c r="V4" s="1">
        <v>3620</v>
      </c>
      <c r="W4" s="1">
        <v>4131</v>
      </c>
      <c r="X4" s="1">
        <v>4144</v>
      </c>
      <c r="Y4" s="1">
        <v>5962</v>
      </c>
      <c r="Z4" s="1">
        <v>32</v>
      </c>
      <c r="AA4" s="20"/>
    </row>
    <row r="5" spans="1:27">
      <c r="A5">
        <v>1997</v>
      </c>
      <c r="B5" t="s">
        <v>2</v>
      </c>
      <c r="C5" s="1">
        <v>41413</v>
      </c>
      <c r="D5" s="1">
        <v>4745</v>
      </c>
      <c r="E5" s="1">
        <v>582</v>
      </c>
      <c r="F5" s="1">
        <v>256</v>
      </c>
      <c r="G5" s="1">
        <v>158</v>
      </c>
      <c r="H5" s="1">
        <v>130</v>
      </c>
      <c r="I5" s="1">
        <v>399</v>
      </c>
      <c r="J5" s="1">
        <v>405</v>
      </c>
      <c r="K5" s="1">
        <v>619</v>
      </c>
      <c r="L5" s="1">
        <v>694</v>
      </c>
      <c r="M5" s="1">
        <v>748</v>
      </c>
      <c r="N5" s="1">
        <v>853</v>
      </c>
      <c r="O5" s="1">
        <v>1147</v>
      </c>
      <c r="P5" s="1">
        <v>1432</v>
      </c>
      <c r="Q5" s="1">
        <v>1550</v>
      </c>
      <c r="R5" s="1">
        <v>1719</v>
      </c>
      <c r="S5" s="1">
        <v>2046</v>
      </c>
      <c r="T5" s="1">
        <v>2679</v>
      </c>
      <c r="U5" s="1">
        <v>3319</v>
      </c>
      <c r="V5" s="1">
        <v>3719</v>
      </c>
      <c r="W5" s="1">
        <v>3974</v>
      </c>
      <c r="X5" s="1">
        <v>4035</v>
      </c>
      <c r="Y5" s="1">
        <v>6170</v>
      </c>
      <c r="Z5" s="1">
        <v>34</v>
      </c>
      <c r="AA5" s="20"/>
    </row>
    <row r="6" spans="1:27">
      <c r="A6">
        <v>1998</v>
      </c>
      <c r="B6" t="s">
        <v>2</v>
      </c>
      <c r="C6" s="1">
        <v>41514</v>
      </c>
      <c r="D6" s="1">
        <v>4577</v>
      </c>
      <c r="E6" s="1">
        <v>608</v>
      </c>
      <c r="F6" s="1">
        <v>255</v>
      </c>
      <c r="G6" s="1">
        <v>162</v>
      </c>
      <c r="H6" s="1">
        <v>108</v>
      </c>
      <c r="I6" s="1">
        <v>406</v>
      </c>
      <c r="J6" s="1">
        <v>407</v>
      </c>
      <c r="K6" s="1">
        <v>591</v>
      </c>
      <c r="L6" s="1">
        <v>667</v>
      </c>
      <c r="M6" s="1">
        <v>750</v>
      </c>
      <c r="N6" s="1">
        <v>816</v>
      </c>
      <c r="O6" s="1">
        <v>1103</v>
      </c>
      <c r="P6" s="1">
        <v>1312</v>
      </c>
      <c r="Q6" s="1">
        <v>1649</v>
      </c>
      <c r="R6" s="1">
        <v>1770</v>
      </c>
      <c r="S6" s="1">
        <v>2070</v>
      </c>
      <c r="T6" s="1">
        <v>2611</v>
      </c>
      <c r="U6" s="1">
        <v>3475</v>
      </c>
      <c r="V6" s="1">
        <v>3898</v>
      </c>
      <c r="W6" s="1">
        <v>4171</v>
      </c>
      <c r="X6" s="1">
        <v>3974</v>
      </c>
      <c r="Y6" s="1">
        <v>6078</v>
      </c>
      <c r="Z6" s="1">
        <v>56</v>
      </c>
      <c r="AA6" s="20"/>
    </row>
    <row r="7" spans="1:27">
      <c r="A7">
        <v>1999</v>
      </c>
      <c r="B7" t="s">
        <v>2</v>
      </c>
      <c r="C7" s="1">
        <v>43122</v>
      </c>
      <c r="D7" s="1">
        <v>4273</v>
      </c>
      <c r="E7" s="1">
        <v>564</v>
      </c>
      <c r="F7" s="1">
        <v>229</v>
      </c>
      <c r="G7" s="1">
        <v>163</v>
      </c>
      <c r="H7" s="1">
        <v>119</v>
      </c>
      <c r="I7" s="1">
        <v>416</v>
      </c>
      <c r="J7" s="1">
        <v>387</v>
      </c>
      <c r="K7" s="1">
        <v>642</v>
      </c>
      <c r="L7" s="1">
        <v>734</v>
      </c>
      <c r="M7" s="1">
        <v>745</v>
      </c>
      <c r="N7" s="1">
        <v>863</v>
      </c>
      <c r="O7" s="1">
        <v>1086</v>
      </c>
      <c r="P7" s="1">
        <v>1386</v>
      </c>
      <c r="Q7" s="1">
        <v>1727</v>
      </c>
      <c r="R7" s="1">
        <v>1853</v>
      </c>
      <c r="S7" s="1">
        <v>2187</v>
      </c>
      <c r="T7" s="1">
        <v>2785</v>
      </c>
      <c r="U7" s="1">
        <v>3451</v>
      </c>
      <c r="V7" s="1">
        <v>4116</v>
      </c>
      <c r="W7" s="1">
        <v>4401</v>
      </c>
      <c r="X7" s="1">
        <v>4351</v>
      </c>
      <c r="Y7" s="1">
        <v>6617</v>
      </c>
      <c r="Z7" s="1">
        <v>27</v>
      </c>
      <c r="AA7" s="20"/>
    </row>
    <row r="8" spans="1:27">
      <c r="A8">
        <v>2000</v>
      </c>
      <c r="B8" t="s">
        <v>2</v>
      </c>
      <c r="C8" s="1">
        <v>41847</v>
      </c>
      <c r="D8" s="1">
        <v>4027</v>
      </c>
      <c r="E8" s="1">
        <v>568</v>
      </c>
      <c r="F8" s="1">
        <v>220</v>
      </c>
      <c r="G8" s="1">
        <v>144</v>
      </c>
      <c r="H8" s="1">
        <v>102</v>
      </c>
      <c r="I8" s="1">
        <v>398</v>
      </c>
      <c r="J8" s="1">
        <v>363</v>
      </c>
      <c r="K8" s="1">
        <v>655</v>
      </c>
      <c r="L8" s="1">
        <v>701</v>
      </c>
      <c r="M8" s="1">
        <v>742</v>
      </c>
      <c r="N8" s="1">
        <v>864</v>
      </c>
      <c r="O8" s="1">
        <v>1083</v>
      </c>
      <c r="P8" s="1">
        <v>1374</v>
      </c>
      <c r="Q8" s="1">
        <v>1687</v>
      </c>
      <c r="R8" s="1">
        <v>1948</v>
      </c>
      <c r="S8" s="1">
        <v>2043</v>
      </c>
      <c r="T8" s="1">
        <v>2793</v>
      </c>
      <c r="U8" s="1">
        <v>3317</v>
      </c>
      <c r="V8" s="1">
        <v>4041</v>
      </c>
      <c r="W8" s="1">
        <v>4205</v>
      </c>
      <c r="X8" s="1">
        <v>4260</v>
      </c>
      <c r="Y8" s="1">
        <v>6293</v>
      </c>
      <c r="Z8" s="1">
        <v>19</v>
      </c>
      <c r="AA8" s="20"/>
    </row>
    <row r="9" spans="1:27">
      <c r="A9">
        <v>2001</v>
      </c>
      <c r="B9" t="s">
        <v>2</v>
      </c>
      <c r="C9" s="1">
        <v>44056</v>
      </c>
      <c r="D9" s="1">
        <v>3978</v>
      </c>
      <c r="E9" s="1">
        <v>581</v>
      </c>
      <c r="F9" s="1">
        <v>235</v>
      </c>
      <c r="G9" s="1">
        <v>127</v>
      </c>
      <c r="H9" s="1">
        <v>112</v>
      </c>
      <c r="I9" s="1">
        <v>438</v>
      </c>
      <c r="J9" s="1">
        <v>422</v>
      </c>
      <c r="K9" s="1">
        <v>651</v>
      </c>
      <c r="L9" s="1">
        <v>728</v>
      </c>
      <c r="M9" s="1">
        <v>796</v>
      </c>
      <c r="N9" s="1">
        <v>898</v>
      </c>
      <c r="O9" s="1">
        <v>1103</v>
      </c>
      <c r="P9" s="1">
        <v>1467</v>
      </c>
      <c r="Q9" s="1">
        <v>1779</v>
      </c>
      <c r="R9" s="1">
        <v>2029</v>
      </c>
      <c r="S9" s="1">
        <v>2104</v>
      </c>
      <c r="T9" s="1">
        <v>2796</v>
      </c>
      <c r="U9" s="1">
        <v>3391</v>
      </c>
      <c r="V9" s="1">
        <v>4308</v>
      </c>
      <c r="W9" s="1">
        <v>4531</v>
      </c>
      <c r="X9" s="1">
        <v>4535</v>
      </c>
      <c r="Y9" s="1">
        <v>7044</v>
      </c>
      <c r="Z9" s="1">
        <v>3</v>
      </c>
      <c r="AA9" s="20"/>
    </row>
    <row r="10" spans="1:27">
      <c r="A10">
        <v>2002</v>
      </c>
      <c r="B10" t="s">
        <v>2</v>
      </c>
      <c r="C10" s="1">
        <v>44720</v>
      </c>
      <c r="D10" s="1">
        <v>3973</v>
      </c>
      <c r="E10" s="1">
        <v>545</v>
      </c>
      <c r="F10" s="1">
        <v>187</v>
      </c>
      <c r="G10" s="1">
        <v>139</v>
      </c>
      <c r="H10" s="1">
        <v>111</v>
      </c>
      <c r="I10" s="1">
        <v>368</v>
      </c>
      <c r="J10" s="1">
        <v>422</v>
      </c>
      <c r="K10" s="1">
        <v>762</v>
      </c>
      <c r="L10" s="1">
        <v>921</v>
      </c>
      <c r="M10" s="1">
        <v>950</v>
      </c>
      <c r="N10" s="1">
        <v>974</v>
      </c>
      <c r="O10" s="1">
        <v>1180</v>
      </c>
      <c r="P10" s="1">
        <v>1519</v>
      </c>
      <c r="Q10" s="1">
        <v>1921</v>
      </c>
      <c r="R10" s="1">
        <v>2200</v>
      </c>
      <c r="S10" s="1">
        <v>2351</v>
      </c>
      <c r="T10" s="1">
        <v>2738</v>
      </c>
      <c r="U10" s="1">
        <v>3546</v>
      </c>
      <c r="V10" s="1">
        <v>4135</v>
      </c>
      <c r="W10" s="1">
        <v>4575</v>
      </c>
      <c r="X10" s="1">
        <v>4301</v>
      </c>
      <c r="Y10" s="1">
        <v>6890</v>
      </c>
      <c r="Z10" s="1">
        <v>12</v>
      </c>
      <c r="AA10" s="20"/>
    </row>
    <row r="11" spans="1:27">
      <c r="A11">
        <v>2003</v>
      </c>
      <c r="B11" t="s">
        <v>2</v>
      </c>
      <c r="C11" s="1">
        <v>48038</v>
      </c>
      <c r="D11" s="1">
        <v>4428</v>
      </c>
      <c r="E11" s="1">
        <v>714</v>
      </c>
      <c r="F11" s="1">
        <v>282</v>
      </c>
      <c r="G11" s="1">
        <v>176</v>
      </c>
      <c r="H11" s="1">
        <v>108</v>
      </c>
      <c r="I11" s="1">
        <v>378</v>
      </c>
      <c r="J11" s="1">
        <v>423</v>
      </c>
      <c r="K11" s="1">
        <v>702</v>
      </c>
      <c r="L11" s="1">
        <v>876</v>
      </c>
      <c r="M11" s="1">
        <v>896</v>
      </c>
      <c r="N11" s="1">
        <v>957</v>
      </c>
      <c r="O11" s="1">
        <v>1144</v>
      </c>
      <c r="P11" s="1">
        <v>1492</v>
      </c>
      <c r="Q11" s="1">
        <v>1877</v>
      </c>
      <c r="R11" s="1">
        <v>2345</v>
      </c>
      <c r="S11" s="1">
        <v>2474</v>
      </c>
      <c r="T11" s="1">
        <v>2828</v>
      </c>
      <c r="U11" s="1">
        <v>3662</v>
      </c>
      <c r="V11" s="1">
        <v>4429</v>
      </c>
      <c r="W11" s="1">
        <v>4997</v>
      </c>
      <c r="X11" s="1">
        <v>4832</v>
      </c>
      <c r="Y11" s="1">
        <v>8014</v>
      </c>
      <c r="Z11" s="1">
        <v>4</v>
      </c>
      <c r="AA11" s="20"/>
    </row>
    <row r="12" spans="1:27">
      <c r="A12">
        <v>2004</v>
      </c>
      <c r="B12" t="s">
        <v>2</v>
      </c>
      <c r="C12" s="1">
        <v>46392</v>
      </c>
      <c r="D12" s="1">
        <v>3955</v>
      </c>
      <c r="E12" s="1">
        <v>501</v>
      </c>
      <c r="F12" s="1">
        <v>208</v>
      </c>
      <c r="G12" s="1">
        <v>144</v>
      </c>
      <c r="H12" s="1">
        <v>124</v>
      </c>
      <c r="I12" s="1">
        <v>370</v>
      </c>
      <c r="J12" s="1">
        <v>425</v>
      </c>
      <c r="K12" s="1">
        <v>712</v>
      </c>
      <c r="L12" s="1">
        <v>821</v>
      </c>
      <c r="M12" s="1">
        <v>846</v>
      </c>
      <c r="N12" s="1">
        <v>899</v>
      </c>
      <c r="O12" s="1">
        <v>1077</v>
      </c>
      <c r="P12" s="1">
        <v>1427</v>
      </c>
      <c r="Q12" s="1">
        <v>1875</v>
      </c>
      <c r="R12" s="1">
        <v>2259</v>
      </c>
      <c r="S12" s="1">
        <v>2473</v>
      </c>
      <c r="T12" s="1">
        <v>2719</v>
      </c>
      <c r="U12" s="1">
        <v>3548</v>
      </c>
      <c r="V12" s="1">
        <v>4311</v>
      </c>
      <c r="W12" s="1">
        <v>4980</v>
      </c>
      <c r="X12" s="1">
        <v>4884</v>
      </c>
      <c r="Y12" s="1">
        <v>7824</v>
      </c>
      <c r="Z12" s="1">
        <v>10</v>
      </c>
      <c r="AA12" s="20"/>
    </row>
    <row r="13" spans="1:27">
      <c r="A13">
        <v>2005</v>
      </c>
      <c r="B13" t="s">
        <v>2</v>
      </c>
      <c r="C13" s="1">
        <v>46676</v>
      </c>
      <c r="D13" s="1">
        <v>3889</v>
      </c>
      <c r="E13" s="1">
        <v>402</v>
      </c>
      <c r="F13" s="1">
        <v>171</v>
      </c>
      <c r="G13" s="1">
        <v>107</v>
      </c>
      <c r="H13" s="1">
        <v>82</v>
      </c>
      <c r="I13" s="1">
        <v>339</v>
      </c>
      <c r="J13" s="1">
        <v>347</v>
      </c>
      <c r="K13" s="1">
        <v>645</v>
      </c>
      <c r="L13" s="1">
        <v>814</v>
      </c>
      <c r="M13" s="1">
        <v>835</v>
      </c>
      <c r="N13" s="1">
        <v>872</v>
      </c>
      <c r="O13" s="1">
        <v>1109</v>
      </c>
      <c r="P13" s="1">
        <v>1420</v>
      </c>
      <c r="Q13" s="1">
        <v>1851</v>
      </c>
      <c r="R13" s="1">
        <v>2358</v>
      </c>
      <c r="S13" s="1">
        <v>2676</v>
      </c>
      <c r="T13" s="1">
        <v>2881</v>
      </c>
      <c r="U13" s="1">
        <v>3567</v>
      </c>
      <c r="V13" s="1">
        <v>4182</v>
      </c>
      <c r="W13" s="1">
        <v>5117</v>
      </c>
      <c r="X13" s="1">
        <v>4897</v>
      </c>
      <c r="Y13" s="1">
        <v>8102</v>
      </c>
      <c r="Z13" s="1">
        <v>13</v>
      </c>
      <c r="AA13" s="20"/>
    </row>
    <row r="14" spans="1:27">
      <c r="A14">
        <v>2006</v>
      </c>
      <c r="B14" t="s">
        <v>2</v>
      </c>
      <c r="C14" s="1">
        <v>47208</v>
      </c>
      <c r="D14" s="1">
        <v>3570</v>
      </c>
      <c r="E14" s="1">
        <v>391</v>
      </c>
      <c r="F14" s="1">
        <v>148</v>
      </c>
      <c r="G14" s="1">
        <v>101</v>
      </c>
      <c r="H14" s="1">
        <v>99</v>
      </c>
      <c r="I14" s="1">
        <v>351</v>
      </c>
      <c r="J14" s="1">
        <v>413</v>
      </c>
      <c r="K14" s="1">
        <v>710</v>
      </c>
      <c r="L14" s="1">
        <v>760</v>
      </c>
      <c r="M14" s="1">
        <v>900</v>
      </c>
      <c r="N14" s="1">
        <v>952</v>
      </c>
      <c r="O14" s="1">
        <v>1084</v>
      </c>
      <c r="P14" s="1">
        <v>1504</v>
      </c>
      <c r="Q14" s="1">
        <v>1965</v>
      </c>
      <c r="R14" s="1">
        <v>2459</v>
      </c>
      <c r="S14" s="1">
        <v>2697</v>
      </c>
      <c r="T14" s="1">
        <v>2935</v>
      </c>
      <c r="U14" s="1">
        <v>3522</v>
      </c>
      <c r="V14" s="1">
        <v>4198</v>
      </c>
      <c r="W14" s="1">
        <v>4963</v>
      </c>
      <c r="X14" s="1">
        <v>5114</v>
      </c>
      <c r="Y14" s="1">
        <v>8365</v>
      </c>
      <c r="Z14" s="1">
        <v>7</v>
      </c>
      <c r="AA14" s="20"/>
    </row>
    <row r="15" spans="1:27">
      <c r="A15">
        <v>2007</v>
      </c>
      <c r="B15" t="s">
        <v>2</v>
      </c>
      <c r="C15" s="1">
        <v>48307</v>
      </c>
      <c r="D15" s="1">
        <v>3476</v>
      </c>
      <c r="E15" s="1">
        <v>364</v>
      </c>
      <c r="F15" s="1">
        <v>165</v>
      </c>
      <c r="G15" s="1">
        <v>115</v>
      </c>
      <c r="H15" s="1">
        <v>80</v>
      </c>
      <c r="I15" s="1">
        <v>309</v>
      </c>
      <c r="J15" s="1">
        <v>391</v>
      </c>
      <c r="K15" s="1">
        <v>690</v>
      </c>
      <c r="L15" s="1">
        <v>792</v>
      </c>
      <c r="M15" s="1">
        <v>876</v>
      </c>
      <c r="N15" s="1">
        <v>982</v>
      </c>
      <c r="O15" s="1">
        <v>1152</v>
      </c>
      <c r="P15" s="1">
        <v>1433</v>
      </c>
      <c r="Q15" s="1">
        <v>2007</v>
      </c>
      <c r="R15" s="1">
        <v>2458</v>
      </c>
      <c r="S15" s="1">
        <v>2779</v>
      </c>
      <c r="T15" s="1">
        <v>3060</v>
      </c>
      <c r="U15" s="1">
        <v>3574</v>
      </c>
      <c r="V15" s="1">
        <v>4391</v>
      </c>
      <c r="W15" s="1">
        <v>5200</v>
      </c>
      <c r="X15" s="1">
        <v>5196</v>
      </c>
      <c r="Y15" s="1">
        <v>8781</v>
      </c>
      <c r="Z15" s="1">
        <v>36</v>
      </c>
      <c r="AA15" s="20"/>
    </row>
    <row r="16" spans="1:27">
      <c r="A16">
        <v>2008</v>
      </c>
      <c r="B16" t="s">
        <v>2</v>
      </c>
      <c r="C16" s="1">
        <v>50545</v>
      </c>
      <c r="D16" s="1">
        <v>3526</v>
      </c>
      <c r="E16" s="1">
        <v>293</v>
      </c>
      <c r="F16" s="1">
        <v>149</v>
      </c>
      <c r="G16" s="1">
        <v>105</v>
      </c>
      <c r="H16" s="1">
        <v>80</v>
      </c>
      <c r="I16" s="1">
        <v>301</v>
      </c>
      <c r="J16" s="1">
        <v>389</v>
      </c>
      <c r="K16" s="1">
        <v>753</v>
      </c>
      <c r="L16" s="1">
        <v>869</v>
      </c>
      <c r="M16" s="1">
        <v>916</v>
      </c>
      <c r="N16" s="1">
        <v>990</v>
      </c>
      <c r="O16" s="1">
        <v>1158</v>
      </c>
      <c r="P16" s="1">
        <v>1487</v>
      </c>
      <c r="Q16" s="1">
        <v>2010</v>
      </c>
      <c r="R16" s="1">
        <v>2461</v>
      </c>
      <c r="S16" s="1">
        <v>3113</v>
      </c>
      <c r="T16" s="1">
        <v>3226</v>
      </c>
      <c r="U16" s="1">
        <v>3743</v>
      </c>
      <c r="V16" s="1">
        <v>4446</v>
      </c>
      <c r="W16" s="1">
        <v>5338</v>
      </c>
      <c r="X16" s="1">
        <v>5631</v>
      </c>
      <c r="Y16" s="1">
        <v>9543</v>
      </c>
      <c r="Z16" s="1">
        <v>18</v>
      </c>
      <c r="AA16" s="20"/>
    </row>
    <row r="17" spans="1:27">
      <c r="A17">
        <v>2009</v>
      </c>
      <c r="B17" t="s">
        <v>2</v>
      </c>
      <c r="C17" s="1">
        <v>51406</v>
      </c>
      <c r="D17" s="1">
        <v>3689</v>
      </c>
      <c r="E17" s="1">
        <v>308</v>
      </c>
      <c r="F17" s="1">
        <v>176</v>
      </c>
      <c r="G17" s="1">
        <v>113</v>
      </c>
      <c r="H17" s="1">
        <v>79</v>
      </c>
      <c r="I17" s="1">
        <v>327</v>
      </c>
      <c r="J17" s="1">
        <v>354</v>
      </c>
      <c r="K17" s="1">
        <v>762</v>
      </c>
      <c r="L17" s="1">
        <v>855</v>
      </c>
      <c r="M17" s="1">
        <v>1023</v>
      </c>
      <c r="N17" s="1">
        <v>1026</v>
      </c>
      <c r="O17" s="1">
        <v>1170</v>
      </c>
      <c r="P17" s="1">
        <v>1542</v>
      </c>
      <c r="Q17" s="1">
        <v>2079</v>
      </c>
      <c r="R17" s="1">
        <v>2537</v>
      </c>
      <c r="S17" s="1">
        <v>3139</v>
      </c>
      <c r="T17" s="1">
        <v>3421</v>
      </c>
      <c r="U17" s="1">
        <v>3726</v>
      </c>
      <c r="V17" s="1">
        <v>4516</v>
      </c>
      <c r="W17" s="1">
        <v>5256</v>
      </c>
      <c r="X17" s="1">
        <v>5821</v>
      </c>
      <c r="Y17" s="1">
        <v>9478</v>
      </c>
      <c r="Z17" s="1">
        <v>9</v>
      </c>
      <c r="AA17" s="20"/>
    </row>
    <row r="18" spans="1:27">
      <c r="A18">
        <v>2010</v>
      </c>
      <c r="B18" t="s">
        <v>2</v>
      </c>
      <c r="C18" s="1">
        <v>54308</v>
      </c>
      <c r="D18" s="1">
        <v>3863</v>
      </c>
      <c r="E18" s="1">
        <v>290</v>
      </c>
      <c r="F18" s="1">
        <v>138</v>
      </c>
      <c r="G18" s="1">
        <v>88</v>
      </c>
      <c r="H18" s="1">
        <v>104</v>
      </c>
      <c r="I18" s="1">
        <v>335</v>
      </c>
      <c r="J18" s="1">
        <v>341</v>
      </c>
      <c r="K18" s="1">
        <v>762</v>
      </c>
      <c r="L18" s="1">
        <v>853</v>
      </c>
      <c r="M18" s="1">
        <v>952</v>
      </c>
      <c r="N18" s="1">
        <v>1087</v>
      </c>
      <c r="O18" s="1">
        <v>1225</v>
      </c>
      <c r="P18" s="1">
        <v>1548</v>
      </c>
      <c r="Q18" s="1">
        <v>2000</v>
      </c>
      <c r="R18" s="1">
        <v>2600</v>
      </c>
      <c r="S18" s="1">
        <v>3282</v>
      </c>
      <c r="T18" s="1">
        <v>3612</v>
      </c>
      <c r="U18" s="1">
        <v>3953</v>
      </c>
      <c r="V18" s="1">
        <v>4909</v>
      </c>
      <c r="W18" s="1">
        <v>5494</v>
      </c>
      <c r="X18" s="1">
        <v>6326</v>
      </c>
      <c r="Y18" s="1">
        <v>10543</v>
      </c>
      <c r="Z18" s="1">
        <v>3</v>
      </c>
      <c r="AA18" s="20"/>
    </row>
    <row r="19" spans="1:27">
      <c r="A19">
        <v>2011</v>
      </c>
      <c r="B19" t="s">
        <v>2</v>
      </c>
      <c r="C19" s="1">
        <v>56516</v>
      </c>
      <c r="D19" s="1">
        <v>3867</v>
      </c>
      <c r="E19" s="1">
        <v>297</v>
      </c>
      <c r="F19" s="1">
        <v>164</v>
      </c>
      <c r="G19" s="1">
        <v>106</v>
      </c>
      <c r="H19" s="1">
        <v>93</v>
      </c>
      <c r="I19" s="1">
        <v>286</v>
      </c>
      <c r="J19" s="1">
        <v>373</v>
      </c>
      <c r="K19" s="1">
        <v>681</v>
      </c>
      <c r="L19" s="1">
        <v>790</v>
      </c>
      <c r="M19" s="1">
        <v>944</v>
      </c>
      <c r="N19" s="1">
        <v>1141</v>
      </c>
      <c r="O19" s="1">
        <v>1266</v>
      </c>
      <c r="P19" s="1">
        <v>1596</v>
      </c>
      <c r="Q19" s="1">
        <v>2024</v>
      </c>
      <c r="R19" s="1">
        <v>2808</v>
      </c>
      <c r="S19" s="1">
        <v>3354</v>
      </c>
      <c r="T19" s="1">
        <v>3955</v>
      </c>
      <c r="U19" s="1">
        <v>4067</v>
      </c>
      <c r="V19" s="1">
        <v>4840</v>
      </c>
      <c r="W19" s="1">
        <v>5797</v>
      </c>
      <c r="X19" s="1">
        <v>6685</v>
      </c>
      <c r="Y19" s="1">
        <v>11376</v>
      </c>
      <c r="Z19" s="1">
        <v>6</v>
      </c>
      <c r="AA19" s="20"/>
    </row>
    <row r="20" spans="1:27">
      <c r="AA20" s="20"/>
    </row>
    <row r="21" spans="1:27">
      <c r="AA21" s="20"/>
    </row>
    <row r="22" spans="1:27">
      <c r="A22" s="3" t="s">
        <v>21</v>
      </c>
      <c r="B22" s="3" t="s">
        <v>22</v>
      </c>
      <c r="C22" t="s">
        <v>90</v>
      </c>
      <c r="D22" s="6" t="str">
        <f>+I2</f>
        <v>5 a 9</v>
      </c>
      <c r="E22" s="6" t="str">
        <f t="shared" ref="E22:U36" si="0">+J2</f>
        <v>10 a 14</v>
      </c>
      <c r="F22" s="6" t="str">
        <f t="shared" si="0"/>
        <v>15 a 19</v>
      </c>
      <c r="G22" s="6" t="str">
        <f t="shared" si="0"/>
        <v>20 a 24</v>
      </c>
      <c r="H22" s="6" t="str">
        <f t="shared" si="0"/>
        <v>25 a 29</v>
      </c>
      <c r="I22" s="6" t="str">
        <f t="shared" si="0"/>
        <v>30 a 34</v>
      </c>
      <c r="J22" s="6" t="str">
        <f t="shared" si="0"/>
        <v>35 a 39</v>
      </c>
      <c r="K22" s="6" t="str">
        <f t="shared" si="0"/>
        <v>40 a 44</v>
      </c>
      <c r="L22" s="6" t="str">
        <f t="shared" si="0"/>
        <v>45 a 49</v>
      </c>
      <c r="M22" s="6" t="str">
        <f t="shared" si="0"/>
        <v>50 a 54</v>
      </c>
      <c r="N22" s="6" t="str">
        <f t="shared" si="0"/>
        <v>55 a 59</v>
      </c>
      <c r="O22" s="6" t="str">
        <f t="shared" si="0"/>
        <v>60 a 64</v>
      </c>
      <c r="P22" s="6" t="str">
        <f t="shared" si="0"/>
        <v>65 a 69</v>
      </c>
      <c r="Q22" s="6" t="str">
        <f t="shared" si="0"/>
        <v>70 a 74</v>
      </c>
      <c r="R22" s="6" t="str">
        <f t="shared" si="0"/>
        <v>75 a 79</v>
      </c>
      <c r="S22" s="6" t="str">
        <f t="shared" si="0"/>
        <v>80 a 84</v>
      </c>
      <c r="T22" s="6" t="str">
        <f t="shared" si="0"/>
        <v>85 y +</v>
      </c>
      <c r="U22" s="6" t="str">
        <f t="shared" si="0"/>
        <v>O</v>
      </c>
      <c r="V22" s="3" t="s">
        <v>20</v>
      </c>
    </row>
    <row r="23" spans="1:27">
      <c r="A23">
        <v>1995</v>
      </c>
      <c r="B23" t="s">
        <v>2</v>
      </c>
      <c r="C23" s="1">
        <f>+SUM(D3:H3)</f>
        <v>6432</v>
      </c>
      <c r="D23" s="1">
        <f>+I3</f>
        <v>419</v>
      </c>
      <c r="E23" s="1">
        <f t="shared" si="0"/>
        <v>416</v>
      </c>
      <c r="F23" s="1">
        <f t="shared" si="0"/>
        <v>647</v>
      </c>
      <c r="G23" s="1">
        <f t="shared" si="0"/>
        <v>671</v>
      </c>
      <c r="H23" s="1">
        <f t="shared" si="0"/>
        <v>708</v>
      </c>
      <c r="I23" s="1">
        <f t="shared" si="0"/>
        <v>836</v>
      </c>
      <c r="J23" s="1">
        <f t="shared" si="0"/>
        <v>1035</v>
      </c>
      <c r="K23" s="1">
        <f t="shared" si="0"/>
        <v>1288</v>
      </c>
      <c r="L23" s="1">
        <f t="shared" si="0"/>
        <v>1476</v>
      </c>
      <c r="M23" s="1">
        <f t="shared" si="0"/>
        <v>1564</v>
      </c>
      <c r="N23" s="1">
        <f t="shared" si="0"/>
        <v>2120</v>
      </c>
      <c r="O23" s="1">
        <f t="shared" si="0"/>
        <v>2581</v>
      </c>
      <c r="P23" s="1">
        <f t="shared" si="0"/>
        <v>3306</v>
      </c>
      <c r="Q23" s="1">
        <f t="shared" si="0"/>
        <v>3673</v>
      </c>
      <c r="R23" s="1">
        <f t="shared" si="0"/>
        <v>3813</v>
      </c>
      <c r="S23" s="1">
        <f t="shared" si="0"/>
        <v>4085</v>
      </c>
      <c r="T23" s="1">
        <f t="shared" si="0"/>
        <v>5856</v>
      </c>
      <c r="U23" s="1">
        <f t="shared" si="0"/>
        <v>70</v>
      </c>
      <c r="V23" s="1">
        <v>143020</v>
      </c>
    </row>
    <row r="24" spans="1:27">
      <c r="A24">
        <v>1996</v>
      </c>
      <c r="B24" t="s">
        <v>2</v>
      </c>
      <c r="C24" s="1">
        <f>+SUM(D4:H4)</f>
        <v>6393</v>
      </c>
      <c r="D24" s="1">
        <f t="shared" ref="D24:S39" si="1">+I4</f>
        <v>426</v>
      </c>
      <c r="E24" s="1">
        <f t="shared" si="0"/>
        <v>414</v>
      </c>
      <c r="F24" s="1">
        <f t="shared" si="0"/>
        <v>674</v>
      </c>
      <c r="G24" s="1">
        <f t="shared" si="0"/>
        <v>676</v>
      </c>
      <c r="H24" s="1">
        <f t="shared" si="0"/>
        <v>767</v>
      </c>
      <c r="I24" s="1">
        <f t="shared" si="0"/>
        <v>919</v>
      </c>
      <c r="J24" s="1">
        <f t="shared" si="0"/>
        <v>1098</v>
      </c>
      <c r="K24" s="1">
        <f t="shared" si="0"/>
        <v>1295</v>
      </c>
      <c r="L24" s="1">
        <f t="shared" si="0"/>
        <v>1484</v>
      </c>
      <c r="M24" s="1">
        <f t="shared" si="0"/>
        <v>1701</v>
      </c>
      <c r="N24" s="1">
        <f t="shared" si="0"/>
        <v>2110</v>
      </c>
      <c r="O24" s="1">
        <f t="shared" si="0"/>
        <v>2593</v>
      </c>
      <c r="P24" s="1">
        <f t="shared" si="0"/>
        <v>3399</v>
      </c>
      <c r="Q24" s="1">
        <f t="shared" si="0"/>
        <v>3620</v>
      </c>
      <c r="R24" s="1">
        <f t="shared" si="0"/>
        <v>4131</v>
      </c>
      <c r="S24" s="1">
        <f t="shared" si="0"/>
        <v>4144</v>
      </c>
      <c r="T24" s="1">
        <f t="shared" si="0"/>
        <v>5962</v>
      </c>
      <c r="U24" s="1">
        <f t="shared" si="0"/>
        <v>32</v>
      </c>
      <c r="V24" s="1">
        <v>138504</v>
      </c>
    </row>
    <row r="25" spans="1:27">
      <c r="A25">
        <v>1997</v>
      </c>
      <c r="B25" t="s">
        <v>2</v>
      </c>
      <c r="C25" s="1">
        <f>+SUM(D5:H5)</f>
        <v>5871</v>
      </c>
      <c r="D25" s="1">
        <f t="shared" si="1"/>
        <v>399</v>
      </c>
      <c r="E25" s="1">
        <f t="shared" si="0"/>
        <v>405</v>
      </c>
      <c r="F25" s="1">
        <f t="shared" si="0"/>
        <v>619</v>
      </c>
      <c r="G25" s="1">
        <f t="shared" si="0"/>
        <v>694</v>
      </c>
      <c r="H25" s="1">
        <f t="shared" si="0"/>
        <v>748</v>
      </c>
      <c r="I25" s="1">
        <f t="shared" si="0"/>
        <v>853</v>
      </c>
      <c r="J25" s="1">
        <f t="shared" si="0"/>
        <v>1147</v>
      </c>
      <c r="K25" s="1">
        <f t="shared" si="0"/>
        <v>1432</v>
      </c>
      <c r="L25" s="1">
        <f t="shared" si="0"/>
        <v>1550</v>
      </c>
      <c r="M25" s="1">
        <f t="shared" si="0"/>
        <v>1719</v>
      </c>
      <c r="N25" s="1">
        <f t="shared" si="0"/>
        <v>2046</v>
      </c>
      <c r="O25" s="1">
        <f t="shared" si="0"/>
        <v>2679</v>
      </c>
      <c r="P25" s="1">
        <f t="shared" si="0"/>
        <v>3319</v>
      </c>
      <c r="Q25" s="1">
        <f t="shared" si="0"/>
        <v>3719</v>
      </c>
      <c r="R25" s="1">
        <f t="shared" si="0"/>
        <v>3974</v>
      </c>
      <c r="S25" s="1">
        <f t="shared" si="0"/>
        <v>4035</v>
      </c>
      <c r="T25" s="1">
        <f t="shared" si="0"/>
        <v>6170</v>
      </c>
      <c r="U25" s="1">
        <f t="shared" si="0"/>
        <v>34</v>
      </c>
      <c r="V25" s="1">
        <v>134731</v>
      </c>
    </row>
    <row r="26" spans="1:27">
      <c r="A26">
        <v>1998</v>
      </c>
      <c r="B26" t="s">
        <v>2</v>
      </c>
      <c r="C26" s="1">
        <f t="shared" ref="C26:C38" si="2">+SUM(D6:H6)</f>
        <v>5710</v>
      </c>
      <c r="D26" s="1">
        <f t="shared" si="1"/>
        <v>406</v>
      </c>
      <c r="E26" s="1">
        <f t="shared" si="0"/>
        <v>407</v>
      </c>
      <c r="F26" s="1">
        <f t="shared" si="0"/>
        <v>591</v>
      </c>
      <c r="G26" s="1">
        <f t="shared" si="0"/>
        <v>667</v>
      </c>
      <c r="H26" s="1">
        <f t="shared" si="0"/>
        <v>750</v>
      </c>
      <c r="I26" s="1">
        <f t="shared" si="0"/>
        <v>816</v>
      </c>
      <c r="J26" s="1">
        <f t="shared" si="0"/>
        <v>1103</v>
      </c>
      <c r="K26" s="1">
        <f t="shared" si="0"/>
        <v>1312</v>
      </c>
      <c r="L26" s="1">
        <f t="shared" si="0"/>
        <v>1649</v>
      </c>
      <c r="M26" s="1">
        <f t="shared" si="0"/>
        <v>1770</v>
      </c>
      <c r="N26" s="1">
        <f t="shared" si="0"/>
        <v>2070</v>
      </c>
      <c r="O26" s="1">
        <f t="shared" si="0"/>
        <v>2611</v>
      </c>
      <c r="P26" s="1">
        <f t="shared" si="0"/>
        <v>3475</v>
      </c>
      <c r="Q26" s="1">
        <f t="shared" si="0"/>
        <v>3898</v>
      </c>
      <c r="R26" s="1">
        <f t="shared" si="0"/>
        <v>4171</v>
      </c>
      <c r="S26" s="1">
        <f t="shared" si="0"/>
        <v>3974</v>
      </c>
      <c r="T26" s="1">
        <f t="shared" si="0"/>
        <v>6078</v>
      </c>
      <c r="U26" s="1">
        <f t="shared" si="0"/>
        <v>56</v>
      </c>
      <c r="V26" s="1">
        <v>133651</v>
      </c>
    </row>
    <row r="27" spans="1:27">
      <c r="A27">
        <v>1999</v>
      </c>
      <c r="B27" t="s">
        <v>2</v>
      </c>
      <c r="C27" s="1">
        <f t="shared" si="2"/>
        <v>5348</v>
      </c>
      <c r="D27" s="1">
        <f t="shared" si="1"/>
        <v>416</v>
      </c>
      <c r="E27" s="1">
        <f t="shared" si="0"/>
        <v>387</v>
      </c>
      <c r="F27" s="1">
        <f t="shared" si="0"/>
        <v>642</v>
      </c>
      <c r="G27" s="1">
        <f t="shared" si="0"/>
        <v>734</v>
      </c>
      <c r="H27" s="1">
        <f t="shared" si="0"/>
        <v>745</v>
      </c>
      <c r="I27" s="1">
        <f t="shared" si="0"/>
        <v>863</v>
      </c>
      <c r="J27" s="1">
        <f t="shared" si="0"/>
        <v>1086</v>
      </c>
      <c r="K27" s="1">
        <f t="shared" si="0"/>
        <v>1386</v>
      </c>
      <c r="L27" s="1">
        <f t="shared" si="0"/>
        <v>1727</v>
      </c>
      <c r="M27" s="1">
        <f t="shared" si="0"/>
        <v>1853</v>
      </c>
      <c r="N27" s="1">
        <f t="shared" si="0"/>
        <v>2187</v>
      </c>
      <c r="O27" s="1">
        <f t="shared" si="0"/>
        <v>2785</v>
      </c>
      <c r="P27" s="1">
        <f t="shared" si="0"/>
        <v>3451</v>
      </c>
      <c r="Q27" s="1">
        <f t="shared" si="0"/>
        <v>4116</v>
      </c>
      <c r="R27" s="1">
        <f t="shared" si="0"/>
        <v>4401</v>
      </c>
      <c r="S27" s="1">
        <f t="shared" si="0"/>
        <v>4351</v>
      </c>
      <c r="T27" s="1">
        <f t="shared" si="0"/>
        <v>6617</v>
      </c>
      <c r="U27" s="1">
        <f t="shared" si="0"/>
        <v>27</v>
      </c>
      <c r="V27" s="1">
        <v>127463</v>
      </c>
    </row>
    <row r="28" spans="1:27">
      <c r="A28">
        <v>2000</v>
      </c>
      <c r="B28" t="s">
        <v>2</v>
      </c>
      <c r="C28" s="1">
        <f t="shared" si="2"/>
        <v>5061</v>
      </c>
      <c r="D28" s="1">
        <f t="shared" si="1"/>
        <v>398</v>
      </c>
      <c r="E28" s="1">
        <f t="shared" si="0"/>
        <v>363</v>
      </c>
      <c r="F28" s="1">
        <f t="shared" si="0"/>
        <v>655</v>
      </c>
      <c r="G28" s="1">
        <f t="shared" si="0"/>
        <v>701</v>
      </c>
      <c r="H28" s="1">
        <f t="shared" si="0"/>
        <v>742</v>
      </c>
      <c r="I28" s="1">
        <f t="shared" si="0"/>
        <v>864</v>
      </c>
      <c r="J28" s="1">
        <f t="shared" si="0"/>
        <v>1083</v>
      </c>
      <c r="K28" s="1">
        <f t="shared" si="0"/>
        <v>1374</v>
      </c>
      <c r="L28" s="1">
        <f t="shared" si="0"/>
        <v>1687</v>
      </c>
      <c r="M28" s="1">
        <f t="shared" si="0"/>
        <v>1948</v>
      </c>
      <c r="N28" s="1">
        <f t="shared" si="0"/>
        <v>2043</v>
      </c>
      <c r="O28" s="1">
        <f t="shared" si="0"/>
        <v>2793</v>
      </c>
      <c r="P28" s="1">
        <f t="shared" si="0"/>
        <v>3317</v>
      </c>
      <c r="Q28" s="1">
        <f t="shared" si="0"/>
        <v>4041</v>
      </c>
      <c r="R28" s="1">
        <f t="shared" si="0"/>
        <v>4205</v>
      </c>
      <c r="S28" s="1">
        <f t="shared" si="0"/>
        <v>4260</v>
      </c>
      <c r="T28" s="1">
        <f t="shared" si="0"/>
        <v>6293</v>
      </c>
      <c r="U28" s="1">
        <f t="shared" si="0"/>
        <v>19</v>
      </c>
      <c r="V28" s="1">
        <v>121586</v>
      </c>
    </row>
    <row r="29" spans="1:27">
      <c r="A29">
        <v>2001</v>
      </c>
      <c r="B29" t="s">
        <v>2</v>
      </c>
      <c r="C29" s="1">
        <f t="shared" si="2"/>
        <v>5033</v>
      </c>
      <c r="D29" s="1">
        <f t="shared" si="1"/>
        <v>438</v>
      </c>
      <c r="E29" s="1">
        <f t="shared" si="0"/>
        <v>422</v>
      </c>
      <c r="F29" s="1">
        <f t="shared" si="0"/>
        <v>651</v>
      </c>
      <c r="G29" s="1">
        <f t="shared" si="0"/>
        <v>728</v>
      </c>
      <c r="H29" s="1">
        <f t="shared" si="0"/>
        <v>796</v>
      </c>
      <c r="I29" s="1">
        <f t="shared" si="0"/>
        <v>898</v>
      </c>
      <c r="J29" s="1">
        <f t="shared" si="0"/>
        <v>1103</v>
      </c>
      <c r="K29" s="1">
        <f t="shared" si="0"/>
        <v>1467</v>
      </c>
      <c r="L29" s="1">
        <f t="shared" si="0"/>
        <v>1779</v>
      </c>
      <c r="M29" s="1">
        <f t="shared" si="0"/>
        <v>2029</v>
      </c>
      <c r="N29" s="1">
        <f t="shared" si="0"/>
        <v>2104</v>
      </c>
      <c r="O29" s="1">
        <f t="shared" si="0"/>
        <v>2796</v>
      </c>
      <c r="P29" s="1">
        <f t="shared" si="0"/>
        <v>3391</v>
      </c>
      <c r="Q29" s="1">
        <f t="shared" si="0"/>
        <v>4308</v>
      </c>
      <c r="R29" s="1">
        <f t="shared" si="0"/>
        <v>4531</v>
      </c>
      <c r="S29" s="1">
        <f t="shared" si="0"/>
        <v>4535</v>
      </c>
      <c r="T29" s="1">
        <f t="shared" si="0"/>
        <v>7044</v>
      </c>
      <c r="U29" s="1">
        <f t="shared" si="0"/>
        <v>3</v>
      </c>
      <c r="V29" s="1">
        <v>117831</v>
      </c>
    </row>
    <row r="30" spans="1:27">
      <c r="A30">
        <v>2002</v>
      </c>
      <c r="B30" t="s">
        <v>2</v>
      </c>
      <c r="C30" s="1">
        <f t="shared" si="2"/>
        <v>4955</v>
      </c>
      <c r="D30" s="1">
        <f t="shared" si="1"/>
        <v>368</v>
      </c>
      <c r="E30" s="1">
        <f t="shared" si="0"/>
        <v>422</v>
      </c>
      <c r="F30" s="1">
        <f t="shared" si="0"/>
        <v>762</v>
      </c>
      <c r="G30" s="1">
        <f t="shared" si="0"/>
        <v>921</v>
      </c>
      <c r="H30" s="1">
        <f t="shared" si="0"/>
        <v>950</v>
      </c>
      <c r="I30" s="1">
        <f t="shared" si="0"/>
        <v>974</v>
      </c>
      <c r="J30" s="1">
        <f t="shared" si="0"/>
        <v>1180</v>
      </c>
      <c r="K30" s="1">
        <f t="shared" si="0"/>
        <v>1519</v>
      </c>
      <c r="L30" s="1">
        <f t="shared" si="0"/>
        <v>1921</v>
      </c>
      <c r="M30" s="1">
        <f t="shared" si="0"/>
        <v>2200</v>
      </c>
      <c r="N30" s="1">
        <f t="shared" si="0"/>
        <v>2351</v>
      </c>
      <c r="O30" s="1">
        <f t="shared" si="0"/>
        <v>2738</v>
      </c>
      <c r="P30" s="1">
        <f t="shared" si="0"/>
        <v>3546</v>
      </c>
      <c r="Q30" s="1">
        <f t="shared" si="0"/>
        <v>4135</v>
      </c>
      <c r="R30" s="1">
        <f t="shared" si="0"/>
        <v>4575</v>
      </c>
      <c r="S30" s="1">
        <f t="shared" si="0"/>
        <v>4301</v>
      </c>
      <c r="T30" s="1">
        <f t="shared" si="0"/>
        <v>6890</v>
      </c>
      <c r="U30" s="1">
        <f t="shared" si="0"/>
        <v>12</v>
      </c>
      <c r="V30" s="1">
        <v>117227</v>
      </c>
    </row>
    <row r="31" spans="1:27">
      <c r="A31">
        <v>2003</v>
      </c>
      <c r="B31" t="s">
        <v>2</v>
      </c>
      <c r="C31" s="1">
        <f t="shared" si="2"/>
        <v>5708</v>
      </c>
      <c r="D31" s="1">
        <f t="shared" si="1"/>
        <v>378</v>
      </c>
      <c r="E31" s="1">
        <f t="shared" si="0"/>
        <v>423</v>
      </c>
      <c r="F31" s="1">
        <f t="shared" si="0"/>
        <v>702</v>
      </c>
      <c r="G31" s="1">
        <f t="shared" si="0"/>
        <v>876</v>
      </c>
      <c r="H31" s="1">
        <f t="shared" si="0"/>
        <v>896</v>
      </c>
      <c r="I31" s="1">
        <f t="shared" si="0"/>
        <v>957</v>
      </c>
      <c r="J31" s="1">
        <f t="shared" si="0"/>
        <v>1144</v>
      </c>
      <c r="K31" s="1">
        <f t="shared" si="0"/>
        <v>1492</v>
      </c>
      <c r="L31" s="1">
        <f t="shared" si="0"/>
        <v>1877</v>
      </c>
      <c r="M31" s="1">
        <f t="shared" si="0"/>
        <v>2345</v>
      </c>
      <c r="N31" s="1">
        <f t="shared" si="0"/>
        <v>2474</v>
      </c>
      <c r="O31" s="1">
        <f t="shared" si="0"/>
        <v>2828</v>
      </c>
      <c r="P31" s="1">
        <f t="shared" si="0"/>
        <v>3662</v>
      </c>
      <c r="Q31" s="1">
        <f t="shared" si="0"/>
        <v>4429</v>
      </c>
      <c r="R31" s="1">
        <f t="shared" si="0"/>
        <v>4997</v>
      </c>
      <c r="S31" s="1">
        <f t="shared" si="0"/>
        <v>4832</v>
      </c>
      <c r="T31" s="1">
        <f t="shared" si="0"/>
        <v>8014</v>
      </c>
      <c r="U31" s="1">
        <f t="shared" si="0"/>
        <v>4</v>
      </c>
      <c r="V31" s="1">
        <v>121864</v>
      </c>
    </row>
    <row r="32" spans="1:27">
      <c r="A32">
        <v>2004</v>
      </c>
      <c r="B32" t="s">
        <v>2</v>
      </c>
      <c r="C32" s="1">
        <f>+SUM(D12:H12)</f>
        <v>4932</v>
      </c>
      <c r="D32" s="1">
        <f t="shared" si="1"/>
        <v>370</v>
      </c>
      <c r="E32" s="1">
        <f t="shared" si="0"/>
        <v>425</v>
      </c>
      <c r="F32" s="1">
        <f t="shared" si="0"/>
        <v>712</v>
      </c>
      <c r="G32" s="1">
        <f t="shared" si="0"/>
        <v>821</v>
      </c>
      <c r="H32" s="1">
        <f t="shared" si="0"/>
        <v>846</v>
      </c>
      <c r="I32" s="1">
        <f t="shared" si="0"/>
        <v>899</v>
      </c>
      <c r="J32" s="1">
        <f t="shared" si="0"/>
        <v>1077</v>
      </c>
      <c r="K32" s="1">
        <f t="shared" si="0"/>
        <v>1427</v>
      </c>
      <c r="L32" s="1">
        <f t="shared" si="0"/>
        <v>1875</v>
      </c>
      <c r="M32" s="1">
        <f t="shared" si="0"/>
        <v>2259</v>
      </c>
      <c r="N32" s="1">
        <f t="shared" si="0"/>
        <v>2473</v>
      </c>
      <c r="O32" s="1">
        <f t="shared" si="0"/>
        <v>2719</v>
      </c>
      <c r="P32" s="1">
        <f t="shared" si="0"/>
        <v>3548</v>
      </c>
      <c r="Q32" s="1">
        <f t="shared" si="0"/>
        <v>4311</v>
      </c>
      <c r="R32" s="1">
        <f t="shared" si="0"/>
        <v>4980</v>
      </c>
      <c r="S32" s="1">
        <f t="shared" si="0"/>
        <v>4884</v>
      </c>
      <c r="T32" s="1">
        <f t="shared" si="0"/>
        <v>7824</v>
      </c>
      <c r="U32" s="1">
        <f t="shared" si="0"/>
        <v>10</v>
      </c>
      <c r="V32" s="1">
        <v>110293</v>
      </c>
    </row>
    <row r="33" spans="1:22">
      <c r="A33">
        <v>2005</v>
      </c>
      <c r="B33" t="s">
        <v>2</v>
      </c>
      <c r="C33" s="1">
        <f t="shared" si="2"/>
        <v>4651</v>
      </c>
      <c r="D33" s="1">
        <f t="shared" si="1"/>
        <v>339</v>
      </c>
      <c r="E33" s="1">
        <f t="shared" si="0"/>
        <v>347</v>
      </c>
      <c r="F33" s="1">
        <f t="shared" si="0"/>
        <v>645</v>
      </c>
      <c r="G33" s="1">
        <f t="shared" si="0"/>
        <v>814</v>
      </c>
      <c r="H33" s="1">
        <f t="shared" si="0"/>
        <v>835</v>
      </c>
      <c r="I33" s="1">
        <f t="shared" si="0"/>
        <v>872</v>
      </c>
      <c r="J33" s="1">
        <f t="shared" si="0"/>
        <v>1109</v>
      </c>
      <c r="K33" s="1">
        <f t="shared" si="0"/>
        <v>1420</v>
      </c>
      <c r="L33" s="1">
        <f t="shared" si="0"/>
        <v>1851</v>
      </c>
      <c r="M33" s="1">
        <f t="shared" si="0"/>
        <v>2358</v>
      </c>
      <c r="N33" s="1">
        <f t="shared" si="0"/>
        <v>2676</v>
      </c>
      <c r="O33" s="1">
        <f t="shared" si="0"/>
        <v>2881</v>
      </c>
      <c r="P33" s="1">
        <f t="shared" si="0"/>
        <v>3567</v>
      </c>
      <c r="Q33" s="1">
        <f t="shared" si="0"/>
        <v>4182</v>
      </c>
      <c r="R33" s="1">
        <f t="shared" si="0"/>
        <v>5117</v>
      </c>
      <c r="S33" s="1">
        <f t="shared" si="0"/>
        <v>4897</v>
      </c>
      <c r="T33" s="1">
        <f t="shared" si="0"/>
        <v>8102</v>
      </c>
      <c r="U33" s="1">
        <f t="shared" si="0"/>
        <v>13</v>
      </c>
      <c r="V33" s="1">
        <v>110672</v>
      </c>
    </row>
    <row r="34" spans="1:22">
      <c r="A34">
        <v>2006</v>
      </c>
      <c r="B34" t="s">
        <v>2</v>
      </c>
      <c r="C34" s="1">
        <f t="shared" si="2"/>
        <v>4309</v>
      </c>
      <c r="D34" s="1">
        <f t="shared" si="1"/>
        <v>351</v>
      </c>
      <c r="E34" s="1">
        <f t="shared" si="0"/>
        <v>413</v>
      </c>
      <c r="F34" s="1">
        <f t="shared" si="0"/>
        <v>710</v>
      </c>
      <c r="G34" s="1">
        <f t="shared" si="0"/>
        <v>760</v>
      </c>
      <c r="H34" s="1">
        <f t="shared" si="0"/>
        <v>900</v>
      </c>
      <c r="I34" s="1">
        <f t="shared" si="0"/>
        <v>952</v>
      </c>
      <c r="J34" s="1">
        <f t="shared" si="0"/>
        <v>1084</v>
      </c>
      <c r="K34" s="1">
        <f t="shared" si="0"/>
        <v>1504</v>
      </c>
      <c r="L34" s="1">
        <f t="shared" si="0"/>
        <v>1965</v>
      </c>
      <c r="M34" s="1">
        <f t="shared" si="0"/>
        <v>2459</v>
      </c>
      <c r="N34" s="1">
        <f t="shared" si="0"/>
        <v>2697</v>
      </c>
      <c r="O34" s="1">
        <f t="shared" si="0"/>
        <v>2935</v>
      </c>
      <c r="P34" s="1">
        <f t="shared" si="0"/>
        <v>3522</v>
      </c>
      <c r="Q34" s="1">
        <f t="shared" si="0"/>
        <v>4198</v>
      </c>
      <c r="R34" s="1">
        <f t="shared" si="0"/>
        <v>4963</v>
      </c>
      <c r="S34" s="1">
        <f t="shared" si="0"/>
        <v>5114</v>
      </c>
      <c r="T34" s="1">
        <f t="shared" si="0"/>
        <v>8365</v>
      </c>
      <c r="U34" s="1">
        <f t="shared" si="0"/>
        <v>7</v>
      </c>
      <c r="V34" s="1">
        <v>105948</v>
      </c>
    </row>
    <row r="35" spans="1:22">
      <c r="A35">
        <v>2007</v>
      </c>
      <c r="B35" t="s">
        <v>2</v>
      </c>
      <c r="C35" s="1">
        <f t="shared" si="2"/>
        <v>4200</v>
      </c>
      <c r="D35" s="1">
        <f t="shared" si="1"/>
        <v>309</v>
      </c>
      <c r="E35" s="1">
        <f t="shared" si="0"/>
        <v>391</v>
      </c>
      <c r="F35" s="1">
        <f t="shared" si="0"/>
        <v>690</v>
      </c>
      <c r="G35" s="1">
        <f t="shared" si="0"/>
        <v>792</v>
      </c>
      <c r="H35" s="1">
        <f t="shared" si="0"/>
        <v>876</v>
      </c>
      <c r="I35" s="1">
        <f t="shared" si="0"/>
        <v>982</v>
      </c>
      <c r="J35" s="1">
        <f t="shared" si="0"/>
        <v>1152</v>
      </c>
      <c r="K35" s="1">
        <f t="shared" si="0"/>
        <v>1433</v>
      </c>
      <c r="L35" s="1">
        <f t="shared" si="0"/>
        <v>2007</v>
      </c>
      <c r="M35" s="1">
        <f t="shared" si="0"/>
        <v>2458</v>
      </c>
      <c r="N35" s="1">
        <f t="shared" si="0"/>
        <v>2779</v>
      </c>
      <c r="O35" s="1">
        <f t="shared" si="0"/>
        <v>3060</v>
      </c>
      <c r="P35" s="1">
        <f t="shared" si="0"/>
        <v>3574</v>
      </c>
      <c r="Q35" s="1">
        <f t="shared" si="0"/>
        <v>4391</v>
      </c>
      <c r="R35" s="1">
        <f t="shared" si="0"/>
        <v>5200</v>
      </c>
      <c r="S35" s="1">
        <f t="shared" si="0"/>
        <v>5196</v>
      </c>
      <c r="T35" s="1">
        <f t="shared" si="0"/>
        <v>8781</v>
      </c>
      <c r="U35" s="1">
        <f t="shared" si="0"/>
        <v>36</v>
      </c>
      <c r="V35" s="1">
        <v>104.625</v>
      </c>
    </row>
    <row r="36" spans="1:22">
      <c r="A36">
        <v>2008</v>
      </c>
      <c r="B36" t="s">
        <v>2</v>
      </c>
      <c r="C36" s="1">
        <f t="shared" si="2"/>
        <v>4153</v>
      </c>
      <c r="D36" s="1">
        <f t="shared" si="1"/>
        <v>301</v>
      </c>
      <c r="E36" s="1">
        <f t="shared" si="0"/>
        <v>389</v>
      </c>
      <c r="F36" s="1">
        <f t="shared" si="0"/>
        <v>753</v>
      </c>
      <c r="G36" s="1">
        <f t="shared" si="0"/>
        <v>869</v>
      </c>
      <c r="H36" s="1">
        <f t="shared" si="0"/>
        <v>916</v>
      </c>
      <c r="I36" s="1">
        <f t="shared" si="0"/>
        <v>990</v>
      </c>
      <c r="J36" s="1">
        <f t="shared" si="0"/>
        <v>1158</v>
      </c>
      <c r="K36" s="1">
        <f t="shared" si="0"/>
        <v>1487</v>
      </c>
      <c r="L36" s="1">
        <f t="shared" si="0"/>
        <v>2010</v>
      </c>
      <c r="M36" s="1">
        <f t="shared" si="0"/>
        <v>2461</v>
      </c>
      <c r="N36" s="1">
        <f t="shared" si="0"/>
        <v>3113</v>
      </c>
      <c r="O36" s="1">
        <f t="shared" si="0"/>
        <v>3226</v>
      </c>
      <c r="P36" s="1">
        <f t="shared" si="0"/>
        <v>3743</v>
      </c>
      <c r="Q36" s="1">
        <f t="shared" si="0"/>
        <v>4446</v>
      </c>
      <c r="R36" s="1">
        <f t="shared" si="0"/>
        <v>5338</v>
      </c>
      <c r="S36" s="1">
        <f t="shared" si="0"/>
        <v>5631</v>
      </c>
      <c r="T36" s="1">
        <f t="shared" si="0"/>
        <v>9543</v>
      </c>
      <c r="U36" s="1">
        <f t="shared" si="0"/>
        <v>18</v>
      </c>
      <c r="V36" s="1">
        <v>100963</v>
      </c>
    </row>
    <row r="37" spans="1:22">
      <c r="A37">
        <v>2009</v>
      </c>
      <c r="B37" t="s">
        <v>2</v>
      </c>
      <c r="C37" s="1">
        <f t="shared" si="2"/>
        <v>4365</v>
      </c>
      <c r="D37" s="1">
        <f t="shared" si="1"/>
        <v>327</v>
      </c>
      <c r="E37" s="1">
        <f t="shared" si="1"/>
        <v>354</v>
      </c>
      <c r="F37" s="1">
        <f t="shared" si="1"/>
        <v>762</v>
      </c>
      <c r="G37" s="1">
        <f t="shared" si="1"/>
        <v>855</v>
      </c>
      <c r="H37" s="1">
        <f t="shared" si="1"/>
        <v>1023</v>
      </c>
      <c r="I37" s="1">
        <f t="shared" si="1"/>
        <v>1026</v>
      </c>
      <c r="J37" s="1">
        <f t="shared" si="1"/>
        <v>1170</v>
      </c>
      <c r="K37" s="1">
        <f t="shared" si="1"/>
        <v>1542</v>
      </c>
      <c r="L37" s="1">
        <f t="shared" si="1"/>
        <v>2079</v>
      </c>
      <c r="M37" s="1">
        <f t="shared" si="1"/>
        <v>2537</v>
      </c>
      <c r="N37" s="1">
        <f t="shared" si="1"/>
        <v>3139</v>
      </c>
      <c r="O37" s="1">
        <f t="shared" si="1"/>
        <v>3421</v>
      </c>
      <c r="P37" s="1">
        <f t="shared" si="1"/>
        <v>3726</v>
      </c>
      <c r="Q37" s="1">
        <f t="shared" si="1"/>
        <v>4516</v>
      </c>
      <c r="R37" s="1">
        <f t="shared" si="1"/>
        <v>5256</v>
      </c>
      <c r="S37" s="1">
        <f t="shared" si="1"/>
        <v>5821</v>
      </c>
      <c r="T37" s="1">
        <f t="shared" ref="T37:U39" si="3">+Y17</f>
        <v>9478</v>
      </c>
      <c r="U37" s="1">
        <f t="shared" si="3"/>
        <v>9</v>
      </c>
      <c r="V37" s="1">
        <v>98011</v>
      </c>
    </row>
    <row r="38" spans="1:22">
      <c r="A38">
        <v>2010</v>
      </c>
      <c r="B38" t="s">
        <v>2</v>
      </c>
      <c r="C38" s="1">
        <f t="shared" si="2"/>
        <v>4483</v>
      </c>
      <c r="D38" s="1">
        <f t="shared" si="1"/>
        <v>335</v>
      </c>
      <c r="E38" s="1">
        <f t="shared" si="1"/>
        <v>341</v>
      </c>
      <c r="F38" s="1">
        <f t="shared" si="1"/>
        <v>762</v>
      </c>
      <c r="G38" s="1">
        <f t="shared" si="1"/>
        <v>853</v>
      </c>
      <c r="H38" s="1">
        <f t="shared" si="1"/>
        <v>952</v>
      </c>
      <c r="I38" s="1">
        <f t="shared" si="1"/>
        <v>1087</v>
      </c>
      <c r="J38" s="1">
        <f t="shared" si="1"/>
        <v>1225</v>
      </c>
      <c r="K38" s="1">
        <f t="shared" si="1"/>
        <v>1548</v>
      </c>
      <c r="L38" s="1">
        <f t="shared" si="1"/>
        <v>2000</v>
      </c>
      <c r="M38" s="1">
        <f t="shared" si="1"/>
        <v>2600</v>
      </c>
      <c r="N38" s="1">
        <f t="shared" si="1"/>
        <v>3282</v>
      </c>
      <c r="O38" s="1">
        <f t="shared" si="1"/>
        <v>3612</v>
      </c>
      <c r="P38" s="1">
        <f t="shared" si="1"/>
        <v>3953</v>
      </c>
      <c r="Q38" s="1">
        <f t="shared" si="1"/>
        <v>4909</v>
      </c>
      <c r="R38" s="1">
        <f t="shared" si="1"/>
        <v>5494</v>
      </c>
      <c r="S38" s="1">
        <f t="shared" si="1"/>
        <v>6326</v>
      </c>
      <c r="T38" s="1">
        <f t="shared" si="3"/>
        <v>10543</v>
      </c>
      <c r="U38" s="1">
        <f t="shared" si="3"/>
        <v>3</v>
      </c>
      <c r="V38" s="1">
        <v>100045</v>
      </c>
    </row>
    <row r="39" spans="1:22">
      <c r="A39">
        <v>2011</v>
      </c>
      <c r="B39" t="s">
        <v>2</v>
      </c>
      <c r="C39" s="1">
        <f>+SUM(D19:H19)</f>
        <v>4527</v>
      </c>
      <c r="D39" s="1">
        <f t="shared" si="1"/>
        <v>286</v>
      </c>
      <c r="E39" s="1">
        <f t="shared" si="1"/>
        <v>373</v>
      </c>
      <c r="F39" s="1">
        <f t="shared" si="1"/>
        <v>681</v>
      </c>
      <c r="G39" s="1">
        <f t="shared" si="1"/>
        <v>790</v>
      </c>
      <c r="H39" s="1">
        <f t="shared" si="1"/>
        <v>944</v>
      </c>
      <c r="I39" s="1">
        <f t="shared" si="1"/>
        <v>1141</v>
      </c>
      <c r="J39" s="1">
        <f t="shared" si="1"/>
        <v>1266</v>
      </c>
      <c r="K39" s="1">
        <f t="shared" si="1"/>
        <v>1596</v>
      </c>
      <c r="L39" s="1">
        <f t="shared" si="1"/>
        <v>2024</v>
      </c>
      <c r="M39" s="1">
        <f t="shared" si="1"/>
        <v>2808</v>
      </c>
      <c r="N39" s="1">
        <f t="shared" si="1"/>
        <v>3354</v>
      </c>
      <c r="O39" s="1">
        <f t="shared" si="1"/>
        <v>3955</v>
      </c>
      <c r="P39" s="1">
        <f t="shared" si="1"/>
        <v>4067</v>
      </c>
      <c r="Q39" s="1">
        <f t="shared" si="1"/>
        <v>4840</v>
      </c>
      <c r="R39" s="1">
        <f t="shared" si="1"/>
        <v>5797</v>
      </c>
      <c r="S39" s="1">
        <f t="shared" si="1"/>
        <v>6685</v>
      </c>
      <c r="T39" s="1">
        <f t="shared" si="3"/>
        <v>11376</v>
      </c>
      <c r="U39" s="1">
        <f t="shared" si="3"/>
        <v>6</v>
      </c>
      <c r="V39" s="1">
        <v>98136</v>
      </c>
    </row>
    <row r="41" spans="1:22">
      <c r="C41" s="22" t="s">
        <v>21</v>
      </c>
      <c r="D41">
        <v>1995</v>
      </c>
      <c r="E41">
        <v>1996</v>
      </c>
      <c r="F41">
        <v>1997</v>
      </c>
      <c r="G41">
        <v>1998</v>
      </c>
      <c r="H41">
        <v>1999</v>
      </c>
      <c r="I41">
        <v>2000</v>
      </c>
      <c r="J41">
        <v>2001</v>
      </c>
      <c r="K41">
        <v>2002</v>
      </c>
      <c r="L41">
        <v>2003</v>
      </c>
      <c r="M41">
        <v>2004</v>
      </c>
      <c r="N41">
        <v>2005</v>
      </c>
      <c r="O41">
        <v>2006</v>
      </c>
      <c r="P41">
        <v>2007</v>
      </c>
      <c r="Q41">
        <v>2008</v>
      </c>
      <c r="R41">
        <v>2009</v>
      </c>
      <c r="S41">
        <v>2010</v>
      </c>
      <c r="T41">
        <v>2011</v>
      </c>
    </row>
    <row r="42" spans="1:22">
      <c r="C42" s="22">
        <v>-1</v>
      </c>
      <c r="D42">
        <v>5291</v>
      </c>
      <c r="E42" s="1">
        <v>5083</v>
      </c>
      <c r="F42" s="1">
        <v>4745</v>
      </c>
      <c r="G42" s="1">
        <v>4577</v>
      </c>
      <c r="H42">
        <v>4273</v>
      </c>
      <c r="I42" s="1">
        <v>4027</v>
      </c>
      <c r="J42" s="1">
        <v>3978</v>
      </c>
      <c r="K42" s="1">
        <v>3973</v>
      </c>
      <c r="L42" s="1">
        <v>4428</v>
      </c>
      <c r="M42" s="1">
        <v>3955</v>
      </c>
      <c r="N42" s="1">
        <v>3889</v>
      </c>
      <c r="O42" s="1">
        <v>3570</v>
      </c>
      <c r="P42" s="1">
        <v>3476</v>
      </c>
      <c r="Q42" s="1">
        <v>3526</v>
      </c>
      <c r="R42" s="1">
        <v>3689</v>
      </c>
      <c r="S42" s="1">
        <v>3863</v>
      </c>
      <c r="T42" s="1">
        <v>3867</v>
      </c>
    </row>
    <row r="43" spans="1:22">
      <c r="C43" s="22">
        <v>1</v>
      </c>
      <c r="D43">
        <v>637</v>
      </c>
      <c r="E43" s="1">
        <v>740</v>
      </c>
      <c r="F43" s="1">
        <v>582</v>
      </c>
      <c r="G43" s="1">
        <v>608</v>
      </c>
      <c r="H43">
        <v>564</v>
      </c>
      <c r="I43" s="1">
        <v>568</v>
      </c>
      <c r="J43" s="1">
        <v>581</v>
      </c>
      <c r="K43" s="1">
        <v>545</v>
      </c>
      <c r="L43" s="1">
        <v>714</v>
      </c>
      <c r="M43" s="1">
        <v>501</v>
      </c>
      <c r="N43">
        <v>402</v>
      </c>
      <c r="O43">
        <v>391</v>
      </c>
      <c r="P43">
        <v>364</v>
      </c>
      <c r="Q43">
        <v>293</v>
      </c>
      <c r="R43">
        <v>308</v>
      </c>
      <c r="S43">
        <v>290</v>
      </c>
      <c r="T43">
        <v>297</v>
      </c>
    </row>
    <row r="44" spans="1:22">
      <c r="C44" s="22">
        <v>2</v>
      </c>
      <c r="D44">
        <v>249</v>
      </c>
      <c r="E44">
        <v>279</v>
      </c>
      <c r="F44">
        <v>256</v>
      </c>
      <c r="G44">
        <v>255</v>
      </c>
      <c r="H44">
        <v>229</v>
      </c>
      <c r="I44">
        <v>220</v>
      </c>
      <c r="J44">
        <v>235</v>
      </c>
      <c r="K44">
        <v>187</v>
      </c>
      <c r="L44">
        <v>282</v>
      </c>
      <c r="M44">
        <v>208</v>
      </c>
      <c r="N44">
        <v>171</v>
      </c>
      <c r="O44">
        <v>148</v>
      </c>
      <c r="P44">
        <v>165</v>
      </c>
      <c r="Q44">
        <v>149</v>
      </c>
      <c r="R44">
        <v>176</v>
      </c>
      <c r="S44">
        <v>138</v>
      </c>
      <c r="T44">
        <v>164</v>
      </c>
    </row>
    <row r="45" spans="1:22">
      <c r="C45" s="22">
        <v>3</v>
      </c>
      <c r="D45">
        <v>157</v>
      </c>
      <c r="E45">
        <v>162</v>
      </c>
      <c r="F45">
        <v>158</v>
      </c>
      <c r="G45">
        <v>162</v>
      </c>
      <c r="H45">
        <v>163</v>
      </c>
      <c r="I45">
        <v>144</v>
      </c>
      <c r="J45">
        <v>127</v>
      </c>
      <c r="K45">
        <v>139</v>
      </c>
      <c r="L45">
        <v>176</v>
      </c>
      <c r="M45">
        <v>144</v>
      </c>
      <c r="N45">
        <v>107</v>
      </c>
      <c r="O45">
        <v>101</v>
      </c>
      <c r="P45">
        <v>115</v>
      </c>
      <c r="Q45">
        <v>105</v>
      </c>
      <c r="R45">
        <v>113</v>
      </c>
      <c r="S45">
        <v>88</v>
      </c>
      <c r="T45">
        <v>106</v>
      </c>
    </row>
    <row r="46" spans="1:22">
      <c r="C46" s="22">
        <v>4</v>
      </c>
      <c r="D46">
        <v>98</v>
      </c>
      <c r="E46">
        <v>129</v>
      </c>
      <c r="F46">
        <v>130</v>
      </c>
      <c r="G46">
        <v>108</v>
      </c>
      <c r="H46">
        <v>119</v>
      </c>
      <c r="I46">
        <v>102</v>
      </c>
      <c r="J46">
        <v>112</v>
      </c>
      <c r="K46">
        <v>111</v>
      </c>
      <c r="L46">
        <v>108</v>
      </c>
      <c r="M46">
        <v>124</v>
      </c>
      <c r="N46">
        <v>82</v>
      </c>
      <c r="O46">
        <v>99</v>
      </c>
      <c r="P46">
        <v>80</v>
      </c>
      <c r="Q46">
        <v>80</v>
      </c>
      <c r="R46">
        <v>79</v>
      </c>
      <c r="S46">
        <v>104</v>
      </c>
      <c r="T46">
        <v>93</v>
      </c>
    </row>
  </sheetData>
  <autoFilter ref="A2:Z19">
    <sortState ref="A3:Z19">
      <sortCondition ref="A2:A19"/>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0070C0"/>
  </sheetPr>
  <dimension ref="B1:AK211"/>
  <sheetViews>
    <sheetView workbookViewId="0">
      <pane ySplit="14" topLeftCell="A172" activePane="bottomLeft" state="frozen"/>
      <selection activeCell="G1" sqref="G1"/>
      <selection pane="bottomLeft" activeCell="K6" sqref="K6"/>
    </sheetView>
  </sheetViews>
  <sheetFormatPr baseColWidth="10" defaultRowHeight="15"/>
  <cols>
    <col min="2" max="2" width="8.5703125" style="2" bestFit="1" customWidth="1"/>
    <col min="3" max="3" width="10.140625" bestFit="1" customWidth="1"/>
    <col min="4" max="4" width="18.5703125" bestFit="1" customWidth="1"/>
    <col min="5" max="5" width="12.7109375" bestFit="1" customWidth="1"/>
    <col min="6" max="6" width="11.85546875" bestFit="1" customWidth="1"/>
    <col min="8" max="8" width="17.140625" customWidth="1"/>
    <col min="9" max="9" width="21.7109375" style="2" customWidth="1"/>
    <col min="10" max="10" width="10" style="2" customWidth="1"/>
    <col min="11" max="11" width="16.140625" style="2" bestFit="1" customWidth="1"/>
    <col min="12" max="21" width="10" style="2" customWidth="1"/>
    <col min="22" max="22" width="8.42578125" style="2" customWidth="1"/>
    <col min="23" max="23" width="17.140625" style="2" bestFit="1" customWidth="1"/>
    <col min="24" max="25" width="8.42578125" style="2" customWidth="1"/>
    <col min="26" max="26" width="7.42578125" style="2" customWidth="1"/>
    <col min="27" max="27" width="9.28515625" style="2" bestFit="1" customWidth="1"/>
    <col min="28" max="28" width="7.85546875" style="2" bestFit="1" customWidth="1"/>
    <col min="29" max="30" width="9.28515625" style="2" bestFit="1" customWidth="1"/>
    <col min="31" max="31" width="11" style="2" customWidth="1"/>
    <col min="32" max="32" width="13.42578125" style="2" bestFit="1" customWidth="1"/>
    <col min="34" max="34" width="11.85546875" bestFit="1" customWidth="1"/>
  </cols>
  <sheetData>
    <row r="1" spans="2:37">
      <c r="B1" t="s">
        <v>26</v>
      </c>
    </row>
    <row r="2" spans="2:37">
      <c r="B2" s="10" t="s">
        <v>21</v>
      </c>
      <c r="C2" s="10" t="s">
        <v>20</v>
      </c>
      <c r="D2" s="10" t="s">
        <v>60</v>
      </c>
      <c r="E2" s="10" t="s">
        <v>24</v>
      </c>
      <c r="F2" s="10" t="s">
        <v>25</v>
      </c>
      <c r="H2" s="50" t="s">
        <v>125</v>
      </c>
      <c r="I2" s="84" t="s">
        <v>93</v>
      </c>
      <c r="J2" s="56"/>
      <c r="K2" s="56"/>
      <c r="L2" s="56"/>
      <c r="M2" s="56"/>
      <c r="N2" s="56"/>
      <c r="O2" s="56"/>
      <c r="P2" s="56"/>
      <c r="Q2" s="56"/>
      <c r="R2" s="56"/>
      <c r="S2" s="56"/>
      <c r="T2" s="56"/>
      <c r="U2" s="56"/>
      <c r="V2" s="56"/>
      <c r="W2" s="56"/>
      <c r="X2" s="56"/>
      <c r="Y2" s="56"/>
      <c r="Z2" s="56"/>
      <c r="AA2" s="56"/>
      <c r="AB2" s="56"/>
      <c r="AC2" s="56"/>
      <c r="AD2" s="56"/>
      <c r="AE2" s="56"/>
      <c r="AF2" s="56"/>
    </row>
    <row r="3" spans="2:37">
      <c r="B3" s="2">
        <v>2011</v>
      </c>
      <c r="C3" s="5">
        <v>27227930</v>
      </c>
      <c r="D3" s="4" t="s">
        <v>20</v>
      </c>
      <c r="E3" s="5">
        <v>13549752</v>
      </c>
      <c r="F3" s="5">
        <v>13678178</v>
      </c>
      <c r="H3" s="50" t="s">
        <v>91</v>
      </c>
      <c r="I3" s="56" t="s">
        <v>27</v>
      </c>
      <c r="J3" s="56" t="s">
        <v>28</v>
      </c>
      <c r="K3" s="56" t="s">
        <v>29</v>
      </c>
      <c r="L3" s="56" t="s">
        <v>30</v>
      </c>
      <c r="M3" s="56" t="s">
        <v>31</v>
      </c>
      <c r="N3" s="56" t="s">
        <v>32</v>
      </c>
      <c r="O3" s="56" t="s">
        <v>33</v>
      </c>
      <c r="P3" s="56" t="s">
        <v>34</v>
      </c>
      <c r="Q3" s="56" t="s">
        <v>35</v>
      </c>
      <c r="R3" s="56" t="s">
        <v>36</v>
      </c>
      <c r="S3" s="56" t="s">
        <v>37</v>
      </c>
      <c r="T3" s="56" t="s">
        <v>38</v>
      </c>
      <c r="U3" s="56" t="s">
        <v>39</v>
      </c>
      <c r="V3" s="56" t="s">
        <v>40</v>
      </c>
      <c r="W3" s="56" t="s">
        <v>41</v>
      </c>
      <c r="X3" s="56" t="s">
        <v>42</v>
      </c>
      <c r="Y3" s="56" t="s">
        <v>43</v>
      </c>
      <c r="Z3" s="56" t="s">
        <v>62</v>
      </c>
      <c r="AA3" s="56" t="s">
        <v>44</v>
      </c>
      <c r="AB3" s="56" t="s">
        <v>61</v>
      </c>
      <c r="AC3" s="56" t="s">
        <v>59</v>
      </c>
      <c r="AD3" s="56" t="s">
        <v>63</v>
      </c>
      <c r="AE3" s="56" t="s">
        <v>20</v>
      </c>
      <c r="AF3" s="56" t="s">
        <v>92</v>
      </c>
    </row>
    <row r="4" spans="2:37">
      <c r="B4" s="2">
        <v>2011</v>
      </c>
      <c r="C4" s="19">
        <v>2437631</v>
      </c>
      <c r="D4" s="6" t="s">
        <v>27</v>
      </c>
      <c r="E4" s="19">
        <v>1254208</v>
      </c>
      <c r="F4" s="19">
        <v>1183423</v>
      </c>
      <c r="H4" s="51">
        <v>1926</v>
      </c>
      <c r="I4" s="56">
        <v>192264</v>
      </c>
      <c r="J4" s="56">
        <v>172610</v>
      </c>
      <c r="K4" s="56">
        <v>168508</v>
      </c>
      <c r="L4" s="56">
        <v>148420</v>
      </c>
      <c r="M4" s="56">
        <v>130616</v>
      </c>
      <c r="N4" s="56">
        <v>119159</v>
      </c>
      <c r="O4" s="56">
        <v>102748</v>
      </c>
      <c r="P4" s="56">
        <v>80202</v>
      </c>
      <c r="Q4" s="56">
        <v>71605</v>
      </c>
      <c r="R4" s="56">
        <v>54991</v>
      </c>
      <c r="S4" s="56">
        <v>47993</v>
      </c>
      <c r="T4" s="56">
        <v>23661</v>
      </c>
      <c r="U4" s="56">
        <v>21794</v>
      </c>
      <c r="V4" s="56">
        <v>11530</v>
      </c>
      <c r="W4" s="56">
        <v>8712</v>
      </c>
      <c r="X4" s="56">
        <v>5228</v>
      </c>
      <c r="Y4" s="56">
        <v>3869</v>
      </c>
      <c r="Z4" s="56"/>
      <c r="AA4" s="56">
        <v>50680</v>
      </c>
      <c r="AB4" s="56"/>
      <c r="AC4" s="56"/>
      <c r="AD4" s="56"/>
      <c r="AE4" s="56">
        <v>1414590</v>
      </c>
      <c r="AF4" s="56">
        <v>2829180</v>
      </c>
      <c r="AG4" s="56">
        <f>+SUM(Z4:AD4)</f>
        <v>50680</v>
      </c>
      <c r="AH4" s="56">
        <f>+Y4</f>
        <v>3869</v>
      </c>
      <c r="AI4" s="57"/>
      <c r="AK4" s="56"/>
    </row>
    <row r="5" spans="2:37">
      <c r="B5" s="2">
        <v>2011</v>
      </c>
      <c r="C5" s="19">
        <v>2402364</v>
      </c>
      <c r="D5" s="6" t="s">
        <v>28</v>
      </c>
      <c r="E5" s="19">
        <v>1236217</v>
      </c>
      <c r="F5" s="19">
        <v>1166147</v>
      </c>
      <c r="H5" s="51">
        <v>1936</v>
      </c>
      <c r="I5" s="56">
        <v>240120</v>
      </c>
      <c r="J5" s="56">
        <v>241375</v>
      </c>
      <c r="K5" s="56">
        <v>214908</v>
      </c>
      <c r="L5" s="56">
        <v>164434</v>
      </c>
      <c r="M5" s="56">
        <v>158839</v>
      </c>
      <c r="N5" s="56">
        <v>135653</v>
      </c>
      <c r="O5" s="56">
        <v>104115</v>
      </c>
      <c r="P5" s="56">
        <v>98195</v>
      </c>
      <c r="Q5" s="56">
        <v>80264</v>
      </c>
      <c r="R5" s="56">
        <v>65393</v>
      </c>
      <c r="S5" s="56">
        <v>52251</v>
      </c>
      <c r="T5" s="56">
        <v>32890</v>
      </c>
      <c r="U5" s="56">
        <v>28734</v>
      </c>
      <c r="V5" s="56">
        <v>13591</v>
      </c>
      <c r="W5" s="56">
        <v>9200</v>
      </c>
      <c r="X5" s="56">
        <v>4498</v>
      </c>
      <c r="Y5" s="56">
        <v>3407</v>
      </c>
      <c r="Z5" s="56"/>
      <c r="AA5" s="56">
        <v>4263</v>
      </c>
      <c r="AB5" s="56"/>
      <c r="AC5" s="56"/>
      <c r="AD5" s="56"/>
      <c r="AE5" s="56">
        <v>1652130</v>
      </c>
      <c r="AF5" s="56">
        <v>3304260</v>
      </c>
      <c r="AG5" s="56">
        <f t="shared" ref="AG5:AG13" si="0">+SUM(Z5:AD5)</f>
        <v>4263</v>
      </c>
      <c r="AH5" s="56">
        <f t="shared" ref="AH5:AH13" si="1">+Y5</f>
        <v>3407</v>
      </c>
      <c r="AI5" s="57">
        <f t="shared" ref="AI5:AI13" si="2">+AG5/(AG5+AH5)</f>
        <v>0.55580182529335076</v>
      </c>
    </row>
    <row r="6" spans="2:37">
      <c r="B6" s="2">
        <v>2011</v>
      </c>
      <c r="C6" s="19">
        <v>2516779</v>
      </c>
      <c r="D6" s="6" t="s">
        <v>29</v>
      </c>
      <c r="E6" s="19">
        <v>1298191</v>
      </c>
      <c r="F6" s="19">
        <v>1218588</v>
      </c>
      <c r="H6" s="51">
        <v>1941</v>
      </c>
      <c r="I6" s="56">
        <v>292473</v>
      </c>
      <c r="J6" s="56">
        <v>266753</v>
      </c>
      <c r="K6" s="56">
        <v>246333</v>
      </c>
      <c r="L6" s="56">
        <v>190892</v>
      </c>
      <c r="M6" s="56">
        <v>182714</v>
      </c>
      <c r="N6" s="56">
        <v>154307</v>
      </c>
      <c r="O6" s="56">
        <v>124440</v>
      </c>
      <c r="P6" s="56">
        <v>106042</v>
      </c>
      <c r="Q6" s="56">
        <v>93873</v>
      </c>
      <c r="R6" s="56">
        <v>79815</v>
      </c>
      <c r="S6" s="56">
        <v>57600</v>
      </c>
      <c r="T6" s="56">
        <v>38303</v>
      </c>
      <c r="U6" s="56">
        <v>31757</v>
      </c>
      <c r="V6" s="56">
        <v>16089</v>
      </c>
      <c r="W6" s="56">
        <v>10478</v>
      </c>
      <c r="X6" s="56">
        <v>5521</v>
      </c>
      <c r="Y6" s="56">
        <v>4079</v>
      </c>
      <c r="Z6" s="56"/>
      <c r="AA6" s="56">
        <v>7076</v>
      </c>
      <c r="AB6" s="56"/>
      <c r="AC6" s="56"/>
      <c r="AD6" s="56"/>
      <c r="AE6" s="56">
        <v>1908545</v>
      </c>
      <c r="AF6" s="56">
        <v>3817090</v>
      </c>
      <c r="AG6" s="56">
        <f t="shared" si="0"/>
        <v>7076</v>
      </c>
      <c r="AH6" s="56">
        <f t="shared" si="1"/>
        <v>4079</v>
      </c>
      <c r="AI6" s="57">
        <f t="shared" si="2"/>
        <v>0.63433437920215152</v>
      </c>
    </row>
    <row r="7" spans="2:37">
      <c r="B7" s="2">
        <v>2011</v>
      </c>
      <c r="C7" s="19">
        <v>2641320</v>
      </c>
      <c r="D7" s="6" t="s">
        <v>30</v>
      </c>
      <c r="E7" s="19">
        <v>1336159</v>
      </c>
      <c r="F7" s="19">
        <v>1305161</v>
      </c>
      <c r="H7" s="51">
        <v>1950</v>
      </c>
      <c r="I7" s="56">
        <v>432681</v>
      </c>
      <c r="J7" s="56">
        <v>352758</v>
      </c>
      <c r="K7" s="56">
        <v>298518</v>
      </c>
      <c r="L7" s="56">
        <v>244191</v>
      </c>
      <c r="M7" s="56">
        <v>236133</v>
      </c>
      <c r="N7" s="56">
        <v>202418</v>
      </c>
      <c r="O7" s="56">
        <v>170176</v>
      </c>
      <c r="P7" s="56">
        <v>156330</v>
      </c>
      <c r="Q7" s="56">
        <v>124964</v>
      </c>
      <c r="R7" s="56">
        <v>97832</v>
      </c>
      <c r="S7" s="56">
        <v>82619</v>
      </c>
      <c r="T7" s="56">
        <v>52359</v>
      </c>
      <c r="U7" s="56">
        <v>41518</v>
      </c>
      <c r="V7" s="56">
        <v>22025</v>
      </c>
      <c r="W7" s="56">
        <v>15491</v>
      </c>
      <c r="X7" s="56">
        <v>7802</v>
      </c>
      <c r="Y7" s="56">
        <v>5873</v>
      </c>
      <c r="Z7" s="56"/>
      <c r="AA7" s="56">
        <v>4125</v>
      </c>
      <c r="AB7" s="56"/>
      <c r="AC7" s="56">
        <v>4678</v>
      </c>
      <c r="AD7" s="56"/>
      <c r="AE7" s="56">
        <v>2552491</v>
      </c>
      <c r="AF7" s="56">
        <v>5104982</v>
      </c>
      <c r="AG7" s="56">
        <f t="shared" si="0"/>
        <v>8803</v>
      </c>
      <c r="AH7" s="56">
        <f t="shared" si="1"/>
        <v>5873</v>
      </c>
      <c r="AI7" s="57">
        <f t="shared" si="2"/>
        <v>0.59982284001090214</v>
      </c>
    </row>
    <row r="8" spans="2:37">
      <c r="B8" s="2">
        <v>2011</v>
      </c>
      <c r="C8" s="19">
        <v>2560649</v>
      </c>
      <c r="D8" s="6" t="s">
        <v>31</v>
      </c>
      <c r="E8" s="19">
        <v>1280125</v>
      </c>
      <c r="F8" s="19">
        <v>1280524</v>
      </c>
      <c r="H8" s="51">
        <v>1961</v>
      </c>
      <c r="I8" s="56">
        <v>698316</v>
      </c>
      <c r="J8" s="56">
        <v>591273</v>
      </c>
      <c r="K8" s="56">
        <v>458372</v>
      </c>
      <c r="L8" s="56">
        <v>340465</v>
      </c>
      <c r="M8" s="56">
        <v>311678</v>
      </c>
      <c r="N8" s="56">
        <v>283008</v>
      </c>
      <c r="O8" s="56">
        <v>264861</v>
      </c>
      <c r="P8" s="56">
        <v>210638</v>
      </c>
      <c r="Q8" s="56">
        <v>174323</v>
      </c>
      <c r="R8" s="56">
        <v>146041</v>
      </c>
      <c r="S8" s="56">
        <v>112531</v>
      </c>
      <c r="T8" s="56">
        <v>84211</v>
      </c>
      <c r="U8" s="56">
        <v>62356</v>
      </c>
      <c r="V8" s="56">
        <v>36152</v>
      </c>
      <c r="W8" s="56">
        <v>21657</v>
      </c>
      <c r="X8" s="56">
        <v>12601</v>
      </c>
      <c r="Y8" s="56">
        <v>7431</v>
      </c>
      <c r="Z8" s="56"/>
      <c r="AA8" s="56">
        <v>5808</v>
      </c>
      <c r="AB8" s="56"/>
      <c r="AC8" s="56"/>
      <c r="AD8" s="56"/>
      <c r="AE8" s="56">
        <v>3821722</v>
      </c>
      <c r="AF8" s="56">
        <v>7643444</v>
      </c>
      <c r="AG8" s="56">
        <f t="shared" si="0"/>
        <v>5808</v>
      </c>
      <c r="AH8" s="56">
        <f t="shared" si="1"/>
        <v>7431</v>
      </c>
      <c r="AI8" s="57">
        <f t="shared" si="2"/>
        <v>0.43870382959438026</v>
      </c>
    </row>
    <row r="9" spans="2:37">
      <c r="B9" s="2">
        <v>2011</v>
      </c>
      <c r="C9" s="19">
        <v>2344332</v>
      </c>
      <c r="D9" s="6" t="s">
        <v>32</v>
      </c>
      <c r="E9" s="19">
        <v>1159400</v>
      </c>
      <c r="F9" s="19">
        <v>1184932</v>
      </c>
      <c r="H9" s="51">
        <v>1971</v>
      </c>
      <c r="I9" s="56">
        <v>878007</v>
      </c>
      <c r="J9" s="56">
        <v>851071</v>
      </c>
      <c r="K9" s="56">
        <v>728788</v>
      </c>
      <c r="L9" s="56">
        <v>601038</v>
      </c>
      <c r="M9" s="56">
        <v>464191</v>
      </c>
      <c r="N9" s="56">
        <v>336538</v>
      </c>
      <c r="O9" s="56">
        <v>290210</v>
      </c>
      <c r="P9" s="56">
        <v>269941</v>
      </c>
      <c r="Q9" s="56">
        <v>242951</v>
      </c>
      <c r="R9" s="56">
        <v>191292</v>
      </c>
      <c r="S9" s="56">
        <v>153806</v>
      </c>
      <c r="T9" s="56">
        <v>115284</v>
      </c>
      <c r="U9" s="56">
        <v>93197</v>
      </c>
      <c r="V9" s="56">
        <v>57256</v>
      </c>
      <c r="W9" s="56">
        <v>40723</v>
      </c>
      <c r="X9" s="56">
        <v>19900</v>
      </c>
      <c r="Y9" s="56">
        <v>12470</v>
      </c>
      <c r="Z9" s="56"/>
      <c r="AA9" s="56">
        <v>10494</v>
      </c>
      <c r="AB9" s="56"/>
      <c r="AC9" s="56"/>
      <c r="AD9" s="56"/>
      <c r="AE9" s="56">
        <v>5357157</v>
      </c>
      <c r="AF9" s="56">
        <v>10714314</v>
      </c>
      <c r="AG9" s="56">
        <f t="shared" si="0"/>
        <v>10494</v>
      </c>
      <c r="AH9" s="56">
        <f t="shared" si="1"/>
        <v>12470</v>
      </c>
      <c r="AI9" s="57">
        <f t="shared" si="2"/>
        <v>0.45697613656157465</v>
      </c>
    </row>
    <row r="10" spans="2:37">
      <c r="B10" s="2">
        <v>2011</v>
      </c>
      <c r="C10" s="19">
        <v>2219741</v>
      </c>
      <c r="D10" s="6" t="s">
        <v>33</v>
      </c>
      <c r="E10" s="19">
        <v>1105617</v>
      </c>
      <c r="F10" s="19">
        <v>1114124</v>
      </c>
      <c r="H10" s="51">
        <v>1981</v>
      </c>
      <c r="I10" s="56">
        <v>1066796</v>
      </c>
      <c r="J10" s="56">
        <v>966393</v>
      </c>
      <c r="K10" s="56">
        <v>903908</v>
      </c>
      <c r="L10" s="56">
        <v>822575</v>
      </c>
      <c r="M10" s="56">
        <v>716784</v>
      </c>
      <c r="N10" s="56">
        <v>610993</v>
      </c>
      <c r="O10" s="56">
        <v>492405</v>
      </c>
      <c r="P10" s="56">
        <v>363267</v>
      </c>
      <c r="Q10" s="56">
        <v>303292</v>
      </c>
      <c r="R10" s="56">
        <v>258065</v>
      </c>
      <c r="S10" s="56">
        <v>225406</v>
      </c>
      <c r="T10" s="56">
        <v>170190</v>
      </c>
      <c r="U10" s="56">
        <v>127759</v>
      </c>
      <c r="V10" s="56">
        <v>92020</v>
      </c>
      <c r="W10" s="56">
        <v>63663</v>
      </c>
      <c r="X10" s="56">
        <v>38076</v>
      </c>
      <c r="Y10" s="56">
        <v>38220</v>
      </c>
      <c r="Z10" s="56"/>
      <c r="AA10" s="56"/>
      <c r="AB10" s="56"/>
      <c r="AC10" s="56"/>
      <c r="AD10" s="56"/>
      <c r="AE10" s="56">
        <v>7259812</v>
      </c>
      <c r="AF10" s="56">
        <v>14519624</v>
      </c>
      <c r="AG10" s="56">
        <f t="shared" si="0"/>
        <v>0</v>
      </c>
      <c r="AH10" s="56">
        <f t="shared" si="1"/>
        <v>38220</v>
      </c>
      <c r="AI10" s="57"/>
      <c r="AJ10" s="58">
        <f>+AVERAGE(AI5:AI13)</f>
        <v>0.49264189234585654</v>
      </c>
    </row>
    <row r="11" spans="2:37">
      <c r="B11" s="2">
        <v>2011</v>
      </c>
      <c r="C11" s="19">
        <v>1905253</v>
      </c>
      <c r="D11" s="6" t="s">
        <v>34</v>
      </c>
      <c r="E11" s="19">
        <v>942311</v>
      </c>
      <c r="F11" s="19">
        <v>962942</v>
      </c>
      <c r="H11" s="51">
        <v>1990</v>
      </c>
      <c r="I11" s="56">
        <v>1194896</v>
      </c>
      <c r="J11" s="56">
        <v>1146087</v>
      </c>
      <c r="K11" s="56">
        <v>1087702</v>
      </c>
      <c r="L11" s="56">
        <v>968497</v>
      </c>
      <c r="M11" s="56">
        <v>858225</v>
      </c>
      <c r="N11" s="56">
        <v>772081</v>
      </c>
      <c r="O11" s="56">
        <v>671020</v>
      </c>
      <c r="P11" s="56">
        <v>570519</v>
      </c>
      <c r="Q11" s="56">
        <v>437768</v>
      </c>
      <c r="R11" s="56">
        <v>318990</v>
      </c>
      <c r="S11" s="56">
        <v>268059</v>
      </c>
      <c r="T11" s="56">
        <v>213658</v>
      </c>
      <c r="U11" s="56">
        <v>182223</v>
      </c>
      <c r="V11" s="56">
        <v>122834</v>
      </c>
      <c r="W11" s="56">
        <v>88974</v>
      </c>
      <c r="X11" s="56">
        <v>57796</v>
      </c>
      <c r="Y11" s="56">
        <v>37974</v>
      </c>
      <c r="Z11" s="56"/>
      <c r="AA11" s="56">
        <v>22454</v>
      </c>
      <c r="AB11" s="56"/>
      <c r="AC11" s="56"/>
      <c r="AD11" s="56"/>
      <c r="AE11" s="56">
        <v>9019757</v>
      </c>
      <c r="AF11" s="56">
        <v>18039514</v>
      </c>
      <c r="AG11" s="56">
        <f t="shared" si="0"/>
        <v>22454</v>
      </c>
      <c r="AH11" s="56">
        <f t="shared" si="1"/>
        <v>37974</v>
      </c>
      <c r="AI11" s="57">
        <f t="shared" si="2"/>
        <v>0.37158271000198584</v>
      </c>
    </row>
    <row r="12" spans="2:37">
      <c r="B12" s="2">
        <v>2011</v>
      </c>
      <c r="C12" s="19">
        <v>1755490</v>
      </c>
      <c r="D12" s="6" t="s">
        <v>35</v>
      </c>
      <c r="E12" s="19">
        <v>873509</v>
      </c>
      <c r="F12" s="19">
        <v>881981</v>
      </c>
      <c r="H12" s="51">
        <v>2001</v>
      </c>
      <c r="I12" s="56">
        <v>1282639</v>
      </c>
      <c r="J12" s="56">
        <v>1367727</v>
      </c>
      <c r="K12" s="56">
        <v>1281342</v>
      </c>
      <c r="L12" s="56">
        <v>1164429</v>
      </c>
      <c r="M12" s="56">
        <v>1080653</v>
      </c>
      <c r="N12" s="56">
        <v>924446</v>
      </c>
      <c r="O12" s="56">
        <v>863034</v>
      </c>
      <c r="P12" s="56">
        <v>772881</v>
      </c>
      <c r="Q12" s="56">
        <v>695516</v>
      </c>
      <c r="R12" s="56">
        <v>564987</v>
      </c>
      <c r="S12" s="56">
        <v>452112</v>
      </c>
      <c r="T12" s="56">
        <v>297806</v>
      </c>
      <c r="U12" s="56">
        <v>240296</v>
      </c>
      <c r="V12" s="56">
        <v>178264</v>
      </c>
      <c r="W12" s="56">
        <v>140060</v>
      </c>
      <c r="X12" s="56">
        <v>93302</v>
      </c>
      <c r="Y12" s="56">
        <v>52605</v>
      </c>
      <c r="Z12" s="56"/>
      <c r="AA12" s="56">
        <v>43171</v>
      </c>
      <c r="AB12" s="56"/>
      <c r="AC12" s="56"/>
      <c r="AD12" s="56"/>
      <c r="AE12" s="56">
        <v>11495270</v>
      </c>
      <c r="AF12" s="56">
        <v>22990540</v>
      </c>
      <c r="AG12" s="56">
        <f t="shared" si="0"/>
        <v>43171</v>
      </c>
      <c r="AH12" s="56">
        <f t="shared" si="1"/>
        <v>52605</v>
      </c>
      <c r="AI12" s="57">
        <f t="shared" si="2"/>
        <v>0.45074966588706983</v>
      </c>
    </row>
    <row r="13" spans="2:37">
      <c r="B13" s="2">
        <v>2011</v>
      </c>
      <c r="C13" s="19">
        <v>1528781</v>
      </c>
      <c r="D13" s="6" t="s">
        <v>36</v>
      </c>
      <c r="E13" s="19">
        <v>747704</v>
      </c>
      <c r="F13" s="19">
        <v>781077</v>
      </c>
      <c r="H13" s="51">
        <v>2011</v>
      </c>
      <c r="I13" s="56">
        <v>1254208</v>
      </c>
      <c r="J13" s="56">
        <v>1236217</v>
      </c>
      <c r="K13" s="56">
        <v>1298191</v>
      </c>
      <c r="L13" s="56">
        <v>1336159</v>
      </c>
      <c r="M13" s="56">
        <v>1280125</v>
      </c>
      <c r="N13" s="56">
        <v>1159400</v>
      </c>
      <c r="O13" s="56">
        <v>1105617</v>
      </c>
      <c r="P13" s="56">
        <v>942311</v>
      </c>
      <c r="Q13" s="56">
        <v>873509</v>
      </c>
      <c r="R13" s="56">
        <v>747704</v>
      </c>
      <c r="S13" s="56">
        <v>651255</v>
      </c>
      <c r="T13" s="56">
        <v>530935</v>
      </c>
      <c r="U13" s="56">
        <v>407656</v>
      </c>
      <c r="V13" s="56">
        <v>267691</v>
      </c>
      <c r="W13" s="56">
        <v>189285</v>
      </c>
      <c r="X13" s="56">
        <v>130126</v>
      </c>
      <c r="Y13" s="56">
        <v>78996</v>
      </c>
      <c r="Z13" s="56">
        <v>40560</v>
      </c>
      <c r="AA13" s="56"/>
      <c r="AB13" s="56">
        <v>14875</v>
      </c>
      <c r="AC13" s="56"/>
      <c r="AD13" s="56">
        <v>4932</v>
      </c>
      <c r="AE13" s="56">
        <v>13549752</v>
      </c>
      <c r="AF13" s="56">
        <v>27099504</v>
      </c>
      <c r="AG13" s="56">
        <f t="shared" si="0"/>
        <v>60367</v>
      </c>
      <c r="AH13" s="56">
        <f t="shared" si="1"/>
        <v>78996</v>
      </c>
      <c r="AI13" s="57">
        <f t="shared" si="2"/>
        <v>0.4331637522154374</v>
      </c>
    </row>
    <row r="14" spans="2:37">
      <c r="B14" s="2">
        <v>2011</v>
      </c>
      <c r="C14" s="19">
        <v>1337934</v>
      </c>
      <c r="D14" s="6" t="s">
        <v>37</v>
      </c>
      <c r="E14" s="19">
        <v>651255</v>
      </c>
      <c r="F14" s="19">
        <v>686679</v>
      </c>
      <c r="H14" s="51" t="s">
        <v>92</v>
      </c>
      <c r="I14" s="56">
        <v>7532400</v>
      </c>
      <c r="J14" s="56">
        <v>7192264</v>
      </c>
      <c r="K14" s="56">
        <v>6686570</v>
      </c>
      <c r="L14" s="56">
        <v>5981100</v>
      </c>
      <c r="M14" s="56">
        <v>5419958</v>
      </c>
      <c r="N14" s="56">
        <v>4698003</v>
      </c>
      <c r="O14" s="56">
        <v>4188626</v>
      </c>
      <c r="P14" s="56">
        <v>3570326</v>
      </c>
      <c r="Q14" s="56">
        <v>3098065</v>
      </c>
      <c r="R14" s="56">
        <v>2525110</v>
      </c>
      <c r="S14" s="56">
        <v>2103632</v>
      </c>
      <c r="T14" s="56">
        <v>1559297</v>
      </c>
      <c r="U14" s="56">
        <v>1237290</v>
      </c>
      <c r="V14" s="56">
        <v>817452</v>
      </c>
      <c r="W14" s="56">
        <v>588243</v>
      </c>
      <c r="X14" s="56">
        <v>374850</v>
      </c>
      <c r="Y14" s="56">
        <v>244924</v>
      </c>
      <c r="Z14" s="56">
        <v>40560</v>
      </c>
      <c r="AA14" s="56">
        <v>148071</v>
      </c>
      <c r="AB14" s="56">
        <v>14875</v>
      </c>
      <c r="AC14" s="56">
        <v>4678</v>
      </c>
      <c r="AD14" s="56">
        <v>4932</v>
      </c>
      <c r="AE14" s="56">
        <v>58031226</v>
      </c>
      <c r="AF14" s="56">
        <v>116062452</v>
      </c>
    </row>
    <row r="15" spans="2:37">
      <c r="B15" s="2">
        <v>2011</v>
      </c>
      <c r="C15" s="19">
        <v>1108799</v>
      </c>
      <c r="D15" s="6" t="s">
        <v>38</v>
      </c>
      <c r="E15" s="19">
        <v>530935</v>
      </c>
      <c r="F15" s="19">
        <v>577864</v>
      </c>
      <c r="K15" s="90">
        <f xml:space="preserve"> -515.2255</f>
        <v>-515.22550000000001</v>
      </c>
      <c r="T15"/>
      <c r="W15" s="54">
        <v>-1585.7185999999999</v>
      </c>
    </row>
    <row r="16" spans="2:37">
      <c r="B16" s="2">
        <v>2011</v>
      </c>
      <c r="C16" s="19">
        <v>848358</v>
      </c>
      <c r="D16" s="6" t="s">
        <v>39</v>
      </c>
      <c r="E16" s="1">
        <v>407656</v>
      </c>
      <c r="F16" s="19">
        <v>440702</v>
      </c>
      <c r="K16" s="54">
        <v>2064241.7709999999</v>
      </c>
      <c r="T16"/>
      <c r="W16" s="54">
        <v>6348752.0822999999</v>
      </c>
    </row>
    <row r="17" spans="2:23">
      <c r="B17" s="2">
        <v>2011</v>
      </c>
      <c r="C17" s="1">
        <v>568688</v>
      </c>
      <c r="D17" s="6" t="s">
        <v>40</v>
      </c>
      <c r="E17" s="19">
        <v>267691</v>
      </c>
      <c r="F17" s="19">
        <v>300997</v>
      </c>
      <c r="K17" s="54">
        <v>-2066301562.8701999</v>
      </c>
      <c r="T17"/>
      <c r="W17" s="54">
        <v>-6353266270.5326004</v>
      </c>
    </row>
    <row r="18" spans="2:23">
      <c r="B18" s="2">
        <v>2011</v>
      </c>
      <c r="C18" s="19">
        <v>410455</v>
      </c>
      <c r="D18" s="6" t="s">
        <v>41</v>
      </c>
      <c r="E18" s="19">
        <v>189285</v>
      </c>
      <c r="F18" s="19">
        <v>221170</v>
      </c>
      <c r="H18" s="52" t="s">
        <v>91</v>
      </c>
      <c r="I18" s="53" t="s">
        <v>27</v>
      </c>
      <c r="K18" s="2" t="s">
        <v>94</v>
      </c>
      <c r="T18" s="52" t="s">
        <v>91</v>
      </c>
      <c r="U18" s="53" t="s">
        <v>28</v>
      </c>
      <c r="W18" s="2" t="s">
        <v>94</v>
      </c>
    </row>
    <row r="19" spans="2:23">
      <c r="B19" s="2">
        <v>2011</v>
      </c>
      <c r="C19" s="1">
        <v>292992</v>
      </c>
      <c r="D19" s="6" t="s">
        <v>42</v>
      </c>
      <c r="E19" s="1">
        <v>130126</v>
      </c>
      <c r="F19" s="19">
        <v>162866</v>
      </c>
      <c r="H19" s="51">
        <v>1990</v>
      </c>
      <c r="I19" s="56">
        <v>1194896</v>
      </c>
      <c r="J19" s="2">
        <v>1995</v>
      </c>
      <c r="K19" s="2">
        <f>+J19^2*$K$15+J19*$K$16+$K$17</f>
        <v>1250399.6373000145</v>
      </c>
      <c r="T19" s="51">
        <v>1990</v>
      </c>
      <c r="U19" s="56">
        <v>1146087</v>
      </c>
      <c r="V19" s="2">
        <v>1995</v>
      </c>
      <c r="W19" s="2">
        <f>+V19^2*$W$15+V19*$W$16+$W$17</f>
        <v>1294462.6908988953</v>
      </c>
    </row>
    <row r="20" spans="2:23">
      <c r="B20" s="2">
        <v>2011</v>
      </c>
      <c r="C20" s="19">
        <v>188895</v>
      </c>
      <c r="D20" s="6" t="s">
        <v>43</v>
      </c>
      <c r="E20" s="1">
        <v>78996</v>
      </c>
      <c r="F20" s="19">
        <v>109899</v>
      </c>
      <c r="H20" s="51">
        <v>2001</v>
      </c>
      <c r="I20" s="92">
        <v>1282639</v>
      </c>
      <c r="J20" s="2">
        <v>1996</v>
      </c>
      <c r="K20" s="2">
        <f t="shared" ref="K20:K35" si="3">+J20^2*$K$15+J20*$K$16+$K$17</f>
        <v>1258376.4377999306</v>
      </c>
      <c r="T20" s="51">
        <v>2001</v>
      </c>
      <c r="U20" s="92">
        <v>1367727</v>
      </c>
      <c r="V20" s="2">
        <v>1996</v>
      </c>
      <c r="W20" s="2">
        <f t="shared" ref="W20:W35" si="4">+V20^2*$W$15+V20*$W$16+$W$17</f>
        <v>1314611.8405990601</v>
      </c>
    </row>
    <row r="21" spans="2:23">
      <c r="B21" s="2">
        <v>2011</v>
      </c>
      <c r="C21" s="19">
        <v>104141</v>
      </c>
      <c r="D21" s="8" t="s">
        <v>62</v>
      </c>
      <c r="E21" s="1">
        <v>40560</v>
      </c>
      <c r="F21" s="1">
        <v>63581</v>
      </c>
      <c r="H21" s="51">
        <v>2011</v>
      </c>
      <c r="I21" s="92">
        <v>1254208</v>
      </c>
      <c r="J21" s="2">
        <v>1997</v>
      </c>
      <c r="K21" s="2">
        <f t="shared" si="3"/>
        <v>1265322.7872998714</v>
      </c>
      <c r="T21" s="51">
        <v>2011</v>
      </c>
      <c r="U21" s="92">
        <v>1236217</v>
      </c>
      <c r="V21" s="2">
        <v>1997</v>
      </c>
      <c r="W21" s="2">
        <f t="shared" si="4"/>
        <v>1331589.5530996323</v>
      </c>
    </row>
    <row r="22" spans="2:23">
      <c r="B22" s="2">
        <v>2011</v>
      </c>
      <c r="C22" s="1">
        <v>40370</v>
      </c>
      <c r="D22" s="8" t="s">
        <v>61</v>
      </c>
      <c r="E22" s="1">
        <v>14875</v>
      </c>
      <c r="F22" s="1">
        <v>25495</v>
      </c>
      <c r="J22" s="2">
        <v>1998</v>
      </c>
      <c r="K22" s="2">
        <f t="shared" si="3"/>
        <v>1271238.6857998371</v>
      </c>
      <c r="T22"/>
      <c r="V22" s="2">
        <v>1998</v>
      </c>
      <c r="W22" s="2">
        <f t="shared" si="4"/>
        <v>1345395.8283996582</v>
      </c>
    </row>
    <row r="23" spans="2:23">
      <c r="B23" s="2">
        <v>2011</v>
      </c>
      <c r="C23" s="1">
        <v>14958</v>
      </c>
      <c r="D23" s="8" t="s">
        <v>63</v>
      </c>
      <c r="E23" s="1">
        <v>4932</v>
      </c>
      <c r="F23" s="1">
        <v>10026</v>
      </c>
      <c r="J23" s="2">
        <v>1999</v>
      </c>
      <c r="K23" s="2">
        <f t="shared" si="3"/>
        <v>1276124.133300066</v>
      </c>
      <c r="T23"/>
      <c r="V23" s="2">
        <v>1999</v>
      </c>
      <c r="W23" s="2">
        <f t="shared" si="4"/>
        <v>1356030.6665000916</v>
      </c>
    </row>
    <row r="24" spans="2:23">
      <c r="B24" s="2">
        <v>2001</v>
      </c>
      <c r="C24" s="5">
        <v>23232553</v>
      </c>
      <c r="D24" s="4" t="s">
        <v>20</v>
      </c>
      <c r="E24" s="5">
        <v>11495270</v>
      </c>
      <c r="F24" s="5">
        <v>11737283</v>
      </c>
      <c r="J24" s="2">
        <v>2000</v>
      </c>
      <c r="K24" s="2">
        <f t="shared" si="3"/>
        <v>1279979.1298000813</v>
      </c>
      <c r="T24"/>
      <c r="V24" s="2">
        <v>2000</v>
      </c>
      <c r="W24" s="2">
        <f t="shared" si="4"/>
        <v>1363494.0673999786</v>
      </c>
    </row>
    <row r="25" spans="2:23">
      <c r="B25" s="2">
        <v>2001</v>
      </c>
      <c r="C25" s="7">
        <v>2501894</v>
      </c>
      <c r="D25" s="6" t="s">
        <v>27</v>
      </c>
      <c r="E25" s="7">
        <v>1282639</v>
      </c>
      <c r="F25" s="7">
        <v>1219255</v>
      </c>
      <c r="J25" s="91">
        <v>2001</v>
      </c>
      <c r="K25" s="91">
        <f t="shared" si="3"/>
        <v>1282803.6752998829</v>
      </c>
      <c r="T25"/>
      <c r="V25" s="91">
        <v>2001</v>
      </c>
      <c r="W25" s="91">
        <f t="shared" si="4"/>
        <v>1367786.0311002731</v>
      </c>
    </row>
    <row r="26" spans="2:23">
      <c r="B26" s="2">
        <v>2001</v>
      </c>
      <c r="C26" s="7">
        <v>2680308</v>
      </c>
      <c r="D26" s="6" t="s">
        <v>28</v>
      </c>
      <c r="E26" s="7">
        <v>1367727</v>
      </c>
      <c r="F26" s="7">
        <v>1312581</v>
      </c>
      <c r="J26" s="2">
        <v>2002</v>
      </c>
      <c r="K26" s="2">
        <f t="shared" si="3"/>
        <v>1284597.7697999477</v>
      </c>
      <c r="T26"/>
      <c r="V26" s="2">
        <v>2002</v>
      </c>
      <c r="W26" s="2">
        <f t="shared" si="4"/>
        <v>1368906.5575990677</v>
      </c>
    </row>
    <row r="27" spans="2:23">
      <c r="B27" s="2">
        <v>2001</v>
      </c>
      <c r="C27" s="7">
        <v>2535766</v>
      </c>
      <c r="D27" s="6" t="s">
        <v>29</v>
      </c>
      <c r="E27" s="7">
        <v>1281342</v>
      </c>
      <c r="F27" s="7">
        <v>1254424</v>
      </c>
      <c r="J27" s="2">
        <v>2003</v>
      </c>
      <c r="K27" s="2">
        <f t="shared" si="3"/>
        <v>1285361.413299799</v>
      </c>
      <c r="T27"/>
      <c r="V27" s="2">
        <v>2003</v>
      </c>
      <c r="W27" s="2">
        <f t="shared" si="4"/>
        <v>1366855.6468992233</v>
      </c>
    </row>
    <row r="28" spans="2:23">
      <c r="B28" s="2">
        <v>2001</v>
      </c>
      <c r="C28" s="7">
        <v>2319853</v>
      </c>
      <c r="D28" s="6" t="s">
        <v>30</v>
      </c>
      <c r="E28" s="7">
        <v>1164429</v>
      </c>
      <c r="F28" s="7">
        <v>1155424</v>
      </c>
      <c r="J28" s="2">
        <v>2004</v>
      </c>
      <c r="K28" s="2">
        <f t="shared" si="3"/>
        <v>1285094.6058001518</v>
      </c>
      <c r="T28"/>
      <c r="V28" s="2">
        <v>2004</v>
      </c>
      <c r="W28" s="2">
        <f t="shared" si="4"/>
        <v>1361633.2989988327</v>
      </c>
    </row>
    <row r="29" spans="2:23">
      <c r="B29" s="2">
        <v>2001</v>
      </c>
      <c r="C29" s="7">
        <v>2185621</v>
      </c>
      <c r="D29" s="6" t="s">
        <v>31</v>
      </c>
      <c r="E29" s="7">
        <v>1080653</v>
      </c>
      <c r="F29" s="7">
        <v>1104968</v>
      </c>
      <c r="J29" s="2">
        <v>2005</v>
      </c>
      <c r="K29" s="2">
        <f t="shared" si="3"/>
        <v>1283797.3473000526</v>
      </c>
      <c r="T29"/>
      <c r="V29" s="2">
        <v>2005</v>
      </c>
      <c r="W29" s="2">
        <f t="shared" si="4"/>
        <v>1353239.5138988495</v>
      </c>
    </row>
    <row r="30" spans="2:23">
      <c r="B30" s="2">
        <v>2001</v>
      </c>
      <c r="C30" s="7">
        <v>1888838</v>
      </c>
      <c r="D30" s="6" t="s">
        <v>32</v>
      </c>
      <c r="E30" s="7">
        <v>924446</v>
      </c>
      <c r="F30" s="7">
        <v>964392</v>
      </c>
      <c r="J30" s="2">
        <v>2006</v>
      </c>
      <c r="K30" s="2">
        <f t="shared" si="3"/>
        <v>1281469.6377999783</v>
      </c>
      <c r="T30"/>
      <c r="V30" s="2">
        <v>2006</v>
      </c>
      <c r="W30" s="2">
        <f t="shared" si="4"/>
        <v>1341674.2915992737</v>
      </c>
    </row>
    <row r="31" spans="2:23">
      <c r="B31" s="2">
        <v>2001</v>
      </c>
      <c r="C31" s="7">
        <v>1762621</v>
      </c>
      <c r="D31" s="6" t="s">
        <v>33</v>
      </c>
      <c r="E31" s="7">
        <v>863034</v>
      </c>
      <c r="F31" s="7">
        <v>899587</v>
      </c>
      <c r="J31" s="2">
        <v>2007</v>
      </c>
      <c r="K31" s="2">
        <f t="shared" si="3"/>
        <v>1278111.4772999287</v>
      </c>
      <c r="T31"/>
      <c r="V31" s="2">
        <v>2007</v>
      </c>
      <c r="W31" s="2">
        <f t="shared" si="4"/>
        <v>1326937.6321001053</v>
      </c>
    </row>
    <row r="32" spans="2:23">
      <c r="B32" s="2">
        <v>2001</v>
      </c>
      <c r="C32" s="7">
        <v>1593742</v>
      </c>
      <c r="D32" s="6" t="s">
        <v>34</v>
      </c>
      <c r="E32" s="7">
        <v>772881</v>
      </c>
      <c r="F32" s="7">
        <v>820861</v>
      </c>
      <c r="J32" s="2">
        <v>2008</v>
      </c>
      <c r="K32" s="2">
        <f t="shared" si="3"/>
        <v>1273722.8657996655</v>
      </c>
      <c r="T32"/>
      <c r="V32" s="2">
        <v>2008</v>
      </c>
      <c r="W32" s="2">
        <f t="shared" si="4"/>
        <v>1309029.535399437</v>
      </c>
    </row>
    <row r="33" spans="2:23">
      <c r="B33" s="2">
        <v>2001</v>
      </c>
      <c r="C33" s="7">
        <v>1428506</v>
      </c>
      <c r="D33" s="6" t="s">
        <v>35</v>
      </c>
      <c r="E33" s="7">
        <v>695516</v>
      </c>
      <c r="F33" s="7">
        <v>732990</v>
      </c>
      <c r="J33" s="2">
        <v>2009</v>
      </c>
      <c r="K33" s="2">
        <f t="shared" si="3"/>
        <v>1268303.8033001423</v>
      </c>
      <c r="T33"/>
      <c r="V33" s="2">
        <v>2009</v>
      </c>
      <c r="W33" s="2">
        <f t="shared" si="4"/>
        <v>1287950.0015001297</v>
      </c>
    </row>
    <row r="34" spans="2:23">
      <c r="B34" s="2">
        <v>2001</v>
      </c>
      <c r="C34" s="7">
        <v>1159743</v>
      </c>
      <c r="D34" s="6" t="s">
        <v>36</v>
      </c>
      <c r="E34" s="7">
        <v>564987</v>
      </c>
      <c r="F34" s="7">
        <v>594756</v>
      </c>
      <c r="J34" s="2">
        <v>2010</v>
      </c>
      <c r="K34" s="2">
        <f t="shared" si="3"/>
        <v>1261854.2898001671</v>
      </c>
      <c r="T34"/>
      <c r="V34" s="2">
        <v>2010</v>
      </c>
      <c r="W34" s="2">
        <f t="shared" si="4"/>
        <v>1263699.0304002762</v>
      </c>
    </row>
    <row r="35" spans="2:23">
      <c r="B35" s="2">
        <v>2001</v>
      </c>
      <c r="C35" s="7">
        <v>925449</v>
      </c>
      <c r="D35" s="6" t="s">
        <v>37</v>
      </c>
      <c r="E35" s="7">
        <v>452112</v>
      </c>
      <c r="F35" s="7">
        <v>473337</v>
      </c>
      <c r="J35" s="91">
        <v>2011</v>
      </c>
      <c r="K35" s="91">
        <f t="shared" si="3"/>
        <v>1254374.3252999783</v>
      </c>
      <c r="T35"/>
      <c r="V35" s="91">
        <v>2011</v>
      </c>
      <c r="W35" s="91">
        <f t="shared" si="4"/>
        <v>1236276.6221008301</v>
      </c>
    </row>
    <row r="36" spans="2:23">
      <c r="B36" s="2">
        <v>2001</v>
      </c>
      <c r="C36" s="7">
        <v>619029</v>
      </c>
      <c r="D36" s="6" t="s">
        <v>38</v>
      </c>
      <c r="E36" s="7">
        <v>297806</v>
      </c>
      <c r="F36" s="7">
        <v>321223</v>
      </c>
    </row>
    <row r="37" spans="2:23">
      <c r="B37" s="2">
        <v>2001</v>
      </c>
      <c r="C37" s="7">
        <v>503568</v>
      </c>
      <c r="D37" s="6" t="s">
        <v>39</v>
      </c>
      <c r="E37" s="7">
        <v>240296</v>
      </c>
      <c r="F37" s="7">
        <v>263272</v>
      </c>
      <c r="K37">
        <f xml:space="preserve"> -758.0351</f>
        <v>-758.03510000000006</v>
      </c>
      <c r="T37"/>
      <c r="W37">
        <f xml:space="preserve"> -13.0251</f>
        <v>-13.0251</v>
      </c>
    </row>
    <row r="38" spans="2:23">
      <c r="B38" s="2">
        <v>2001</v>
      </c>
      <c r="C38" s="7">
        <v>383306</v>
      </c>
      <c r="D38" s="6" t="s">
        <v>40</v>
      </c>
      <c r="E38" s="7">
        <v>178264</v>
      </c>
      <c r="F38" s="7">
        <v>205042</v>
      </c>
      <c r="K38" s="54">
        <v>3042921.5805000002</v>
      </c>
      <c r="T38"/>
      <c r="W38" s="54">
        <v>72203.934200000003</v>
      </c>
    </row>
    <row r="39" spans="2:23">
      <c r="B39" s="2">
        <v>2001</v>
      </c>
      <c r="C39" s="7">
        <v>304303</v>
      </c>
      <c r="D39" s="6" t="s">
        <v>41</v>
      </c>
      <c r="E39" s="7">
        <v>140060</v>
      </c>
      <c r="F39" s="7">
        <v>164243</v>
      </c>
      <c r="K39" s="54">
        <v>-3052431582.5844998</v>
      </c>
      <c r="T39"/>
      <c r="W39" s="54">
        <v>-91246872.974099994</v>
      </c>
    </row>
    <row r="40" spans="2:23">
      <c r="B40" s="2">
        <v>2001</v>
      </c>
      <c r="C40" s="7">
        <v>206737</v>
      </c>
      <c r="D40" s="6" t="s">
        <v>42</v>
      </c>
      <c r="E40" s="7">
        <v>93302</v>
      </c>
      <c r="F40" s="7">
        <v>113435</v>
      </c>
      <c r="H40" s="52" t="s">
        <v>91</v>
      </c>
      <c r="I40" s="53" t="s">
        <v>29</v>
      </c>
      <c r="K40" s="2" t="s">
        <v>94</v>
      </c>
      <c r="T40" s="52" t="s">
        <v>91</v>
      </c>
      <c r="U40" s="53" t="s">
        <v>31</v>
      </c>
      <c r="W40" s="2" t="s">
        <v>94</v>
      </c>
    </row>
    <row r="41" spans="2:23">
      <c r="B41" s="2">
        <v>2001</v>
      </c>
      <c r="C41" s="7">
        <v>124442</v>
      </c>
      <c r="D41" s="6" t="s">
        <v>43</v>
      </c>
      <c r="E41" s="7">
        <v>52605</v>
      </c>
      <c r="F41" s="7">
        <v>71837</v>
      </c>
      <c r="H41" s="51">
        <v>1990</v>
      </c>
      <c r="I41" s="56">
        <v>1087702</v>
      </c>
      <c r="J41" s="2">
        <v>1995</v>
      </c>
      <c r="K41" s="2">
        <f>+J41^2*$K$37+J41*$K$38+$K$39</f>
        <v>1198321.6354999542</v>
      </c>
      <c r="T41" s="51">
        <v>1990</v>
      </c>
      <c r="U41" s="56">
        <v>858225</v>
      </c>
      <c r="V41" s="2">
        <v>1995</v>
      </c>
      <c r="W41" s="2">
        <f>+V41^2*$W$37+V41*$W$38+$W$39</f>
        <v>959752.12740001082</v>
      </c>
    </row>
    <row r="42" spans="2:23">
      <c r="B42" s="2">
        <v>2001</v>
      </c>
      <c r="C42" s="7">
        <v>108827</v>
      </c>
      <c r="D42" s="8" t="s">
        <v>44</v>
      </c>
      <c r="E42" s="9">
        <v>43171</v>
      </c>
      <c r="F42" s="9">
        <v>65656</v>
      </c>
      <c r="H42" s="51">
        <v>2001</v>
      </c>
      <c r="I42" s="92">
        <v>1281342</v>
      </c>
      <c r="J42" s="2">
        <v>1996</v>
      </c>
      <c r="K42" s="2">
        <f t="shared" ref="K42:K57" si="5">+J42^2*$K$37+J42*$K$38+$K$39</f>
        <v>1215925.1319003105</v>
      </c>
      <c r="T42" s="51">
        <v>2001</v>
      </c>
      <c r="U42" s="92">
        <v>1080653</v>
      </c>
      <c r="V42" s="2">
        <v>1996</v>
      </c>
      <c r="W42" s="2">
        <f t="shared" ref="W42:W57" si="6">+V42^2*$W$37+V42*$W$38+$W$39</f>
        <v>979972.88750001788</v>
      </c>
    </row>
    <row r="43" spans="2:23">
      <c r="B43" s="2">
        <v>1990</v>
      </c>
      <c r="C43" s="5">
        <v>18105265</v>
      </c>
      <c r="D43" s="4" t="s">
        <v>20</v>
      </c>
      <c r="E43" s="5">
        <v>9019757</v>
      </c>
      <c r="F43" s="5">
        <v>9085508</v>
      </c>
      <c r="H43" s="51">
        <v>2011</v>
      </c>
      <c r="I43" s="92">
        <v>1298191</v>
      </c>
      <c r="J43" s="2">
        <v>1997</v>
      </c>
      <c r="K43" s="2">
        <f t="shared" si="5"/>
        <v>1232012.5581002235</v>
      </c>
      <c r="T43" s="51">
        <v>2011</v>
      </c>
      <c r="U43" s="92">
        <v>1280125</v>
      </c>
      <c r="V43" s="2">
        <v>1997</v>
      </c>
      <c r="W43" s="2">
        <f t="shared" si="6"/>
        <v>1000167.5974000096</v>
      </c>
    </row>
    <row r="44" spans="2:23">
      <c r="B44" s="2">
        <v>1990</v>
      </c>
      <c r="C44" s="7">
        <v>2343059</v>
      </c>
      <c r="D44" s="6" t="s">
        <v>27</v>
      </c>
      <c r="E44" s="7">
        <v>1194896</v>
      </c>
      <c r="F44" s="7">
        <v>1148163</v>
      </c>
      <c r="J44" s="2">
        <v>1998</v>
      </c>
      <c r="K44" s="2">
        <f t="shared" si="5"/>
        <v>1246583.914100647</v>
      </c>
      <c r="T44"/>
      <c r="V44" s="2">
        <v>1998</v>
      </c>
      <c r="W44" s="2">
        <f t="shared" si="6"/>
        <v>1020336.257100001</v>
      </c>
    </row>
    <row r="45" spans="2:23">
      <c r="B45" s="2">
        <v>1990</v>
      </c>
      <c r="C45" s="7">
        <v>2253798</v>
      </c>
      <c r="D45" s="6" t="s">
        <v>28</v>
      </c>
      <c r="E45" s="7">
        <v>1146087</v>
      </c>
      <c r="F45" s="7">
        <v>1107711</v>
      </c>
      <c r="J45" s="2">
        <v>1999</v>
      </c>
      <c r="K45" s="2">
        <f t="shared" si="5"/>
        <v>1259639.1999001503</v>
      </c>
      <c r="T45"/>
      <c r="V45" s="2">
        <v>1999</v>
      </c>
      <c r="W45" s="2">
        <f t="shared" si="6"/>
        <v>1040478.8666000217</v>
      </c>
    </row>
    <row r="46" spans="2:23">
      <c r="B46" s="2">
        <v>1990</v>
      </c>
      <c r="C46" s="7">
        <v>2146994</v>
      </c>
      <c r="D46" s="6" t="s">
        <v>29</v>
      </c>
      <c r="E46" s="7">
        <v>1087702</v>
      </c>
      <c r="F46" s="7">
        <v>1059292</v>
      </c>
      <c r="J46" s="2">
        <v>2000</v>
      </c>
      <c r="K46" s="2">
        <f t="shared" si="5"/>
        <v>1271178.415500164</v>
      </c>
      <c r="T46"/>
      <c r="V46" s="2">
        <v>2000</v>
      </c>
      <c r="W46" s="2">
        <f t="shared" si="6"/>
        <v>1060595.4259000123</v>
      </c>
    </row>
    <row r="47" spans="2:23">
      <c r="B47" s="2">
        <v>1990</v>
      </c>
      <c r="C47" s="7">
        <v>1922514</v>
      </c>
      <c r="D47" s="6" t="s">
        <v>30</v>
      </c>
      <c r="E47" s="7">
        <v>968497</v>
      </c>
      <c r="F47" s="7">
        <v>954017</v>
      </c>
      <c r="J47" s="91">
        <v>2001</v>
      </c>
      <c r="K47" s="91">
        <f t="shared" si="5"/>
        <v>1281201.5609006882</v>
      </c>
      <c r="T47"/>
      <c r="V47" s="91">
        <v>2001</v>
      </c>
      <c r="W47" s="91">
        <f t="shared" si="6"/>
        <v>1080685.9350000024</v>
      </c>
    </row>
    <row r="48" spans="2:23">
      <c r="B48" s="2">
        <v>1990</v>
      </c>
      <c r="C48" s="7">
        <v>1725187</v>
      </c>
      <c r="D48" s="6" t="s">
        <v>31</v>
      </c>
      <c r="E48" s="7">
        <v>858225</v>
      </c>
      <c r="F48" s="7">
        <v>866962</v>
      </c>
      <c r="J48" s="2">
        <v>2002</v>
      </c>
      <c r="K48" s="2">
        <f t="shared" si="5"/>
        <v>1289708.6361002922</v>
      </c>
      <c r="T48"/>
      <c r="V48" s="2">
        <v>2002</v>
      </c>
      <c r="W48" s="2">
        <f t="shared" si="6"/>
        <v>1100750.3939000219</v>
      </c>
    </row>
    <row r="49" spans="2:23">
      <c r="B49" s="2">
        <v>1990</v>
      </c>
      <c r="C49" s="7">
        <v>1569542</v>
      </c>
      <c r="D49" s="6" t="s">
        <v>32</v>
      </c>
      <c r="E49" s="7">
        <v>772081</v>
      </c>
      <c r="F49" s="7">
        <v>797461</v>
      </c>
      <c r="J49" s="2">
        <v>2003</v>
      </c>
      <c r="K49" s="2">
        <f t="shared" si="5"/>
        <v>1296699.6410999298</v>
      </c>
      <c r="T49"/>
      <c r="V49" s="2">
        <v>2003</v>
      </c>
      <c r="W49" s="2">
        <f t="shared" si="6"/>
        <v>1120788.8026000112</v>
      </c>
    </row>
    <row r="50" spans="2:23">
      <c r="B50" s="2">
        <v>1990</v>
      </c>
      <c r="C50" s="7">
        <v>1366694</v>
      </c>
      <c r="D50" s="6" t="s">
        <v>33</v>
      </c>
      <c r="E50" s="7">
        <v>671020</v>
      </c>
      <c r="F50" s="7">
        <v>695674</v>
      </c>
      <c r="J50" s="2">
        <v>2004</v>
      </c>
      <c r="K50" s="2">
        <f t="shared" si="5"/>
        <v>1302174.5759005547</v>
      </c>
      <c r="T50"/>
      <c r="V50" s="2">
        <v>2004</v>
      </c>
      <c r="W50" s="2">
        <f t="shared" si="6"/>
        <v>1140801.1611000299</v>
      </c>
    </row>
    <row r="51" spans="2:23">
      <c r="B51" s="2">
        <v>1990</v>
      </c>
      <c r="C51" s="7">
        <v>1163580</v>
      </c>
      <c r="D51" s="6" t="s">
        <v>34</v>
      </c>
      <c r="E51" s="7">
        <v>570519</v>
      </c>
      <c r="F51" s="7">
        <v>593061</v>
      </c>
      <c r="J51" s="2">
        <v>2005</v>
      </c>
      <c r="K51" s="2">
        <f t="shared" si="5"/>
        <v>1306133.4405002594</v>
      </c>
      <c r="T51"/>
      <c r="V51" s="2">
        <v>2005</v>
      </c>
      <c r="W51" s="2">
        <f t="shared" si="6"/>
        <v>1160787.4694000185</v>
      </c>
    </row>
    <row r="52" spans="2:23">
      <c r="B52" s="2">
        <v>1990</v>
      </c>
      <c r="C52" s="7">
        <v>887884</v>
      </c>
      <c r="D52" s="6" t="s">
        <v>35</v>
      </c>
      <c r="E52" s="7">
        <v>437768</v>
      </c>
      <c r="F52" s="7">
        <v>450116</v>
      </c>
      <c r="J52" s="2">
        <v>2006</v>
      </c>
      <c r="K52" s="2">
        <f t="shared" si="5"/>
        <v>1308576.2349004745</v>
      </c>
      <c r="T52"/>
      <c r="V52" s="2">
        <v>2006</v>
      </c>
      <c r="W52" s="2">
        <f t="shared" si="6"/>
        <v>1180747.7275000066</v>
      </c>
    </row>
    <row r="53" spans="2:23">
      <c r="B53" s="2">
        <v>1990</v>
      </c>
      <c r="C53" s="7">
        <v>644217</v>
      </c>
      <c r="D53" s="6" t="s">
        <v>36</v>
      </c>
      <c r="E53" s="7">
        <v>318990</v>
      </c>
      <c r="F53" s="7">
        <v>325227</v>
      </c>
      <c r="J53" s="2">
        <v>2007</v>
      </c>
      <c r="K53" s="2">
        <f t="shared" si="5"/>
        <v>1309502.9591002464</v>
      </c>
      <c r="T53"/>
      <c r="V53" s="2">
        <v>2007</v>
      </c>
      <c r="W53" s="2">
        <f t="shared" si="6"/>
        <v>1200681.9354000241</v>
      </c>
    </row>
    <row r="54" spans="2:23">
      <c r="B54" s="2">
        <v>1990</v>
      </c>
      <c r="C54" s="7">
        <v>544860</v>
      </c>
      <c r="D54" s="6" t="s">
        <v>37</v>
      </c>
      <c r="E54" s="7">
        <v>268059</v>
      </c>
      <c r="F54" s="7">
        <v>276801</v>
      </c>
      <c r="J54" s="2">
        <v>2008</v>
      </c>
      <c r="K54" s="2">
        <f t="shared" si="5"/>
        <v>1308913.6131000519</v>
      </c>
      <c r="T54"/>
      <c r="V54" s="2">
        <v>2008</v>
      </c>
      <c r="W54" s="2">
        <f t="shared" si="6"/>
        <v>1220590.0931000113</v>
      </c>
    </row>
    <row r="55" spans="2:23">
      <c r="B55" s="2">
        <v>1990</v>
      </c>
      <c r="C55" s="7">
        <v>435339</v>
      </c>
      <c r="D55" s="6" t="s">
        <v>38</v>
      </c>
      <c r="E55" s="7">
        <v>213658</v>
      </c>
      <c r="F55" s="7">
        <v>221681</v>
      </c>
      <c r="J55" s="2">
        <v>2009</v>
      </c>
      <c r="K55" s="2">
        <f t="shared" si="5"/>
        <v>1306808.1969003677</v>
      </c>
      <c r="T55"/>
      <c r="V55" s="2">
        <v>2009</v>
      </c>
      <c r="W55" s="2">
        <f t="shared" si="6"/>
        <v>1240472.2005999982</v>
      </c>
    </row>
    <row r="56" spans="2:23">
      <c r="B56" s="2">
        <v>1990</v>
      </c>
      <c r="C56" s="7">
        <v>375538</v>
      </c>
      <c r="D56" s="6" t="s">
        <v>39</v>
      </c>
      <c r="E56" s="7">
        <v>182223</v>
      </c>
      <c r="F56" s="7">
        <v>193315</v>
      </c>
      <c r="J56" s="2">
        <v>2010</v>
      </c>
      <c r="K56" s="2">
        <f t="shared" si="5"/>
        <v>1303186.7105002403</v>
      </c>
      <c r="T56"/>
      <c r="V56" s="2">
        <v>2010</v>
      </c>
      <c r="W56" s="2">
        <f t="shared" si="6"/>
        <v>1260328.2579000294</v>
      </c>
    </row>
    <row r="57" spans="2:23">
      <c r="B57" s="2">
        <v>1990</v>
      </c>
      <c r="C57" s="7">
        <v>258785</v>
      </c>
      <c r="D57" s="6" t="s">
        <v>40</v>
      </c>
      <c r="E57" s="7">
        <v>122834</v>
      </c>
      <c r="F57" s="7">
        <v>135951</v>
      </c>
      <c r="J57" s="91">
        <v>2011</v>
      </c>
      <c r="K57" s="91">
        <f t="shared" si="5"/>
        <v>1298049.1538996696</v>
      </c>
      <c r="T57"/>
      <c r="V57" s="91">
        <v>2011</v>
      </c>
      <c r="W57" s="91">
        <f t="shared" si="6"/>
        <v>1280158.2650000155</v>
      </c>
    </row>
    <row r="58" spans="2:23">
      <c r="B58" s="2">
        <v>1990</v>
      </c>
      <c r="C58" s="7">
        <v>191662</v>
      </c>
      <c r="D58" s="6" t="s">
        <v>41</v>
      </c>
      <c r="E58" s="7">
        <v>88974</v>
      </c>
      <c r="F58" s="7">
        <v>102688</v>
      </c>
    </row>
    <row r="59" spans="2:23">
      <c r="B59" s="2">
        <v>1990</v>
      </c>
      <c r="C59" s="7">
        <v>130782</v>
      </c>
      <c r="D59" s="6" t="s">
        <v>42</v>
      </c>
      <c r="E59" s="7">
        <v>57796</v>
      </c>
      <c r="F59" s="7">
        <v>72986</v>
      </c>
      <c r="K59">
        <f xml:space="preserve"> 459.2398</f>
        <v>459.2398</v>
      </c>
      <c r="T59"/>
      <c r="W59">
        <v>323.92770000000002</v>
      </c>
    </row>
    <row r="60" spans="2:23">
      <c r="B60" s="2">
        <v>1990</v>
      </c>
      <c r="C60" s="7">
        <v>87978</v>
      </c>
      <c r="D60" s="6" t="s">
        <v>43</v>
      </c>
      <c r="E60" s="7">
        <v>37974</v>
      </c>
      <c r="F60" s="7">
        <v>50004</v>
      </c>
      <c r="K60" s="54">
        <v>-1818974.7853000001</v>
      </c>
      <c r="T60"/>
      <c r="W60" s="54">
        <v>-1275339.655</v>
      </c>
    </row>
    <row r="61" spans="2:23">
      <c r="B61" s="2">
        <v>1990</v>
      </c>
      <c r="C61" s="7">
        <v>56852</v>
      </c>
      <c r="D61" s="8" t="s">
        <v>44</v>
      </c>
      <c r="E61" s="9">
        <v>22454</v>
      </c>
      <c r="F61" s="9">
        <v>34398</v>
      </c>
      <c r="K61" s="54">
        <v>1801896265.4414999</v>
      </c>
      <c r="T61"/>
      <c r="W61" s="54">
        <v>1255810826.3506</v>
      </c>
    </row>
    <row r="62" spans="2:23">
      <c r="B62" s="2">
        <v>1981</v>
      </c>
      <c r="C62" s="5">
        <v>14516735</v>
      </c>
      <c r="D62" s="11" t="s">
        <v>20</v>
      </c>
      <c r="E62" s="5">
        <v>7259812</v>
      </c>
      <c r="F62" s="5">
        <v>7256923</v>
      </c>
      <c r="H62" s="52" t="s">
        <v>91</v>
      </c>
      <c r="I62" s="53" t="s">
        <v>32</v>
      </c>
      <c r="K62" s="2" t="s">
        <v>94</v>
      </c>
      <c r="T62" s="52" t="s">
        <v>91</v>
      </c>
      <c r="U62" s="53" t="s">
        <v>33</v>
      </c>
      <c r="W62" s="2" t="s">
        <v>94</v>
      </c>
    </row>
    <row r="63" spans="2:23">
      <c r="B63" s="2">
        <v>1981</v>
      </c>
      <c r="C63" s="12">
        <v>2098639</v>
      </c>
      <c r="D63" s="6" t="s">
        <v>27</v>
      </c>
      <c r="E63" s="18">
        <v>1066796</v>
      </c>
      <c r="F63" s="18">
        <v>1031843</v>
      </c>
      <c r="H63" s="51">
        <v>1990</v>
      </c>
      <c r="I63" s="56">
        <v>772081</v>
      </c>
      <c r="J63" s="2">
        <v>1995</v>
      </c>
      <c r="K63" s="2">
        <f>+J63^2*$K$59+J63*$K$60+$K$61</f>
        <v>827453.76300001144</v>
      </c>
      <c r="T63" s="51">
        <v>1990</v>
      </c>
      <c r="U63" s="56">
        <v>671020</v>
      </c>
      <c r="V63" s="2">
        <v>1995</v>
      </c>
      <c r="W63" s="2">
        <f>+V63^2*$W$59+V63*$W$60+$W$61</f>
        <v>748558.818100214</v>
      </c>
    </row>
    <row r="64" spans="2:23">
      <c r="B64" s="2">
        <v>1981</v>
      </c>
      <c r="C64" s="12">
        <v>1906047</v>
      </c>
      <c r="D64" s="6" t="s">
        <v>28</v>
      </c>
      <c r="E64" s="18">
        <v>966393</v>
      </c>
      <c r="F64" s="18">
        <v>939654</v>
      </c>
      <c r="H64" s="51">
        <v>2001</v>
      </c>
      <c r="I64" s="92">
        <v>924446</v>
      </c>
      <c r="J64" s="2">
        <v>1996</v>
      </c>
      <c r="K64" s="2">
        <f t="shared" ref="K64:K79" si="7">+J64^2*$K$59+J64*$K$60+$K$61</f>
        <v>841305.01949954033</v>
      </c>
      <c r="T64" s="51">
        <v>2001</v>
      </c>
      <c r="U64" s="92">
        <v>863034</v>
      </c>
      <c r="V64" s="2">
        <v>1996</v>
      </c>
      <c r="W64" s="2">
        <f t="shared" ref="W64:W79" si="8">+V64^2*$W$59+V64*$W$60+$W$61</f>
        <v>766014.61380004883</v>
      </c>
    </row>
    <row r="65" spans="2:23">
      <c r="B65" s="2">
        <v>1981</v>
      </c>
      <c r="C65" s="12">
        <v>1792583</v>
      </c>
      <c r="D65" s="6" t="s">
        <v>29</v>
      </c>
      <c r="E65" s="18">
        <v>903908</v>
      </c>
      <c r="F65" s="18">
        <v>888675</v>
      </c>
      <c r="H65" s="51">
        <v>2011</v>
      </c>
      <c r="I65" s="92">
        <v>1159400</v>
      </c>
      <c r="J65" s="2">
        <v>1997</v>
      </c>
      <c r="K65" s="2">
        <f t="shared" si="7"/>
        <v>856074.75559997559</v>
      </c>
      <c r="T65" s="51">
        <v>2011</v>
      </c>
      <c r="U65" s="92">
        <v>1105617</v>
      </c>
      <c r="V65" s="2">
        <v>1997</v>
      </c>
      <c r="W65" s="2">
        <f t="shared" si="8"/>
        <v>784118.26490020752</v>
      </c>
    </row>
    <row r="66" spans="2:23">
      <c r="B66" s="2">
        <v>1981</v>
      </c>
      <c r="C66" s="12">
        <v>1646343</v>
      </c>
      <c r="D66" s="6" t="s">
        <v>30</v>
      </c>
      <c r="E66" s="18">
        <v>822575</v>
      </c>
      <c r="F66" s="18">
        <v>823768</v>
      </c>
      <c r="J66" s="2">
        <v>1998</v>
      </c>
      <c r="K66" s="2">
        <f t="shared" si="7"/>
        <v>871762.97129964828</v>
      </c>
      <c r="T66"/>
      <c r="V66" s="2">
        <v>1998</v>
      </c>
      <c r="W66" s="2">
        <f t="shared" si="8"/>
        <v>802869.77139997482</v>
      </c>
    </row>
    <row r="67" spans="2:23">
      <c r="B67" s="2">
        <v>1981</v>
      </c>
      <c r="C67" s="12">
        <v>1449072</v>
      </c>
      <c r="D67" s="6" t="s">
        <v>31</v>
      </c>
      <c r="E67" s="18">
        <v>716784</v>
      </c>
      <c r="F67" s="18">
        <v>732288</v>
      </c>
      <c r="J67" s="2">
        <v>1999</v>
      </c>
      <c r="K67" s="2">
        <f t="shared" si="7"/>
        <v>888369.66659975052</v>
      </c>
      <c r="T67"/>
      <c r="V67" s="2">
        <v>1999</v>
      </c>
      <c r="W67" s="2">
        <f t="shared" si="8"/>
        <v>822269.13329982758</v>
      </c>
    </row>
    <row r="68" spans="2:23">
      <c r="B68" s="2">
        <v>1981</v>
      </c>
      <c r="C68" s="12">
        <v>1236929</v>
      </c>
      <c r="D68" s="6" t="s">
        <v>32</v>
      </c>
      <c r="E68" s="18">
        <v>610993</v>
      </c>
      <c r="F68" s="18">
        <v>625936</v>
      </c>
      <c r="J68" s="2">
        <v>2000</v>
      </c>
      <c r="K68" s="2">
        <f t="shared" si="7"/>
        <v>905894.84149956703</v>
      </c>
      <c r="T68"/>
      <c r="V68" s="2">
        <v>2000</v>
      </c>
      <c r="W68" s="2">
        <f t="shared" si="8"/>
        <v>842316.3506000042</v>
      </c>
    </row>
    <row r="69" spans="2:23">
      <c r="B69" s="2">
        <v>1981</v>
      </c>
      <c r="C69" s="12">
        <v>986766</v>
      </c>
      <c r="D69" s="6" t="s">
        <v>33</v>
      </c>
      <c r="E69" s="18">
        <v>492405</v>
      </c>
      <c r="F69" s="18">
        <v>494361</v>
      </c>
      <c r="J69" s="91">
        <v>2001</v>
      </c>
      <c r="K69" s="91">
        <f t="shared" si="7"/>
        <v>924338.49599981308</v>
      </c>
      <c r="T69"/>
      <c r="V69" s="91">
        <v>2001</v>
      </c>
      <c r="W69" s="91">
        <f t="shared" si="8"/>
        <v>863011.42329978943</v>
      </c>
    </row>
    <row r="70" spans="2:23">
      <c r="B70" s="2">
        <v>1981</v>
      </c>
      <c r="C70" s="12">
        <v>727764</v>
      </c>
      <c r="D70" s="6" t="s">
        <v>34</v>
      </c>
      <c r="E70" s="18">
        <v>363267</v>
      </c>
      <c r="F70" s="18">
        <v>364497</v>
      </c>
      <c r="J70" s="2">
        <v>2002</v>
      </c>
      <c r="K70" s="2">
        <f t="shared" si="7"/>
        <v>943700.63009953499</v>
      </c>
      <c r="T70"/>
      <c r="V70" s="2">
        <v>2002</v>
      </c>
      <c r="W70" s="2">
        <f t="shared" si="8"/>
        <v>884354.35140013695</v>
      </c>
    </row>
    <row r="71" spans="2:23">
      <c r="B71" s="2">
        <v>1981</v>
      </c>
      <c r="C71" s="12">
        <v>601705</v>
      </c>
      <c r="D71" s="6" t="s">
        <v>35</v>
      </c>
      <c r="E71" s="18">
        <v>303292</v>
      </c>
      <c r="F71" s="18">
        <v>298413</v>
      </c>
      <c r="J71" s="2">
        <v>2003</v>
      </c>
      <c r="K71" s="2">
        <f t="shared" si="7"/>
        <v>963981.24379968643</v>
      </c>
      <c r="T71"/>
      <c r="V71" s="2">
        <v>2003</v>
      </c>
      <c r="W71" s="2">
        <f t="shared" si="8"/>
        <v>906345.13489985466</v>
      </c>
    </row>
    <row r="72" spans="2:23">
      <c r="B72" s="2">
        <v>1981</v>
      </c>
      <c r="C72" s="12">
        <v>512503</v>
      </c>
      <c r="D72" s="6" t="s">
        <v>36</v>
      </c>
      <c r="E72" s="18">
        <v>258065</v>
      </c>
      <c r="F72" s="18">
        <v>254438</v>
      </c>
      <c r="J72" s="2">
        <v>2004</v>
      </c>
      <c r="K72" s="2">
        <f t="shared" si="7"/>
        <v>985180.33709955215</v>
      </c>
      <c r="T72"/>
      <c r="V72" s="2">
        <v>2004</v>
      </c>
      <c r="W72" s="2">
        <f t="shared" si="8"/>
        <v>928983.77380013466</v>
      </c>
    </row>
    <row r="73" spans="2:23">
      <c r="B73" s="2">
        <v>1981</v>
      </c>
      <c r="C73" s="12">
        <v>445765</v>
      </c>
      <c r="D73" s="6" t="s">
        <v>37</v>
      </c>
      <c r="E73" s="18">
        <v>225406</v>
      </c>
      <c r="F73" s="18">
        <v>220359</v>
      </c>
      <c r="J73" s="2">
        <v>2005</v>
      </c>
      <c r="K73" s="2">
        <f t="shared" si="7"/>
        <v>1007297.9099998474</v>
      </c>
      <c r="T73"/>
      <c r="V73" s="2">
        <v>2005</v>
      </c>
      <c r="W73" s="2">
        <f t="shared" si="8"/>
        <v>952270.26810002327</v>
      </c>
    </row>
    <row r="74" spans="2:23">
      <c r="B74" s="2">
        <v>1981</v>
      </c>
      <c r="C74" s="12">
        <v>340139</v>
      </c>
      <c r="D74" s="6" t="s">
        <v>38</v>
      </c>
      <c r="E74" s="18">
        <v>170190</v>
      </c>
      <c r="F74" s="18">
        <v>169949</v>
      </c>
      <c r="J74" s="2">
        <v>2006</v>
      </c>
      <c r="K74" s="2">
        <f t="shared" si="7"/>
        <v>1030333.9624998569</v>
      </c>
      <c r="T74"/>
      <c r="V74" s="2">
        <v>2006</v>
      </c>
      <c r="W74" s="2">
        <f t="shared" si="8"/>
        <v>976204.61780023575</v>
      </c>
    </row>
    <row r="75" spans="2:23">
      <c r="B75" s="2">
        <v>1981</v>
      </c>
      <c r="C75" s="12">
        <v>260896</v>
      </c>
      <c r="D75" s="6" t="s">
        <v>39</v>
      </c>
      <c r="E75" s="18">
        <v>127759</v>
      </c>
      <c r="F75" s="18">
        <v>133137</v>
      </c>
      <c r="J75" s="2">
        <v>2007</v>
      </c>
      <c r="K75" s="2">
        <f t="shared" si="7"/>
        <v>1054288.4945998192</v>
      </c>
      <c r="T75"/>
      <c r="V75" s="2">
        <v>2007</v>
      </c>
      <c r="W75" s="2">
        <f t="shared" si="8"/>
        <v>1000786.8229000568</v>
      </c>
    </row>
    <row r="76" spans="2:23">
      <c r="B76" s="2">
        <v>1981</v>
      </c>
      <c r="C76" s="12">
        <v>194759</v>
      </c>
      <c r="D76" s="6" t="s">
        <v>40</v>
      </c>
      <c r="E76" s="18">
        <v>92020</v>
      </c>
      <c r="F76" s="18">
        <v>102739</v>
      </c>
      <c r="J76" s="2">
        <v>2008</v>
      </c>
      <c r="K76" s="2">
        <f t="shared" si="7"/>
        <v>1079161.5062999725</v>
      </c>
      <c r="T76"/>
      <c r="V76" s="2">
        <v>2008</v>
      </c>
      <c r="W76" s="2">
        <f t="shared" si="8"/>
        <v>1026016.883399725</v>
      </c>
    </row>
    <row r="77" spans="2:23">
      <c r="B77" s="2">
        <v>1981</v>
      </c>
      <c r="C77" s="12">
        <v>138384</v>
      </c>
      <c r="D77" s="6" t="s">
        <v>41</v>
      </c>
      <c r="E77" s="18">
        <v>63663</v>
      </c>
      <c r="F77" s="18">
        <v>74721</v>
      </c>
      <c r="J77" s="2">
        <v>2009</v>
      </c>
      <c r="K77" s="2">
        <f t="shared" si="7"/>
        <v>1104952.9975996017</v>
      </c>
      <c r="T77"/>
      <c r="V77" s="2">
        <v>2009</v>
      </c>
      <c r="W77" s="2">
        <f t="shared" si="8"/>
        <v>1051894.7993001938</v>
      </c>
    </row>
    <row r="78" spans="2:23">
      <c r="B78" s="2">
        <v>1981</v>
      </c>
      <c r="C78" s="12">
        <v>85354</v>
      </c>
      <c r="D78" s="6" t="s">
        <v>42</v>
      </c>
      <c r="E78" s="18">
        <v>38076</v>
      </c>
      <c r="F78" s="18">
        <v>47278</v>
      </c>
      <c r="J78" s="2">
        <v>2010</v>
      </c>
      <c r="K78" s="2">
        <f t="shared" si="7"/>
        <v>1131662.9684998989</v>
      </c>
      <c r="T78"/>
      <c r="V78" s="2">
        <v>2010</v>
      </c>
      <c r="W78" s="2">
        <f t="shared" si="8"/>
        <v>1078420.5705997944</v>
      </c>
    </row>
    <row r="79" spans="2:23">
      <c r="B79" s="2">
        <v>1981</v>
      </c>
      <c r="C79" s="12">
        <v>93087</v>
      </c>
      <c r="D79" s="6" t="s">
        <v>43</v>
      </c>
      <c r="E79" s="12">
        <v>38220</v>
      </c>
      <c r="F79" s="12">
        <v>54867</v>
      </c>
      <c r="J79" s="91">
        <v>2011</v>
      </c>
      <c r="K79" s="91">
        <f t="shared" si="7"/>
        <v>1159291.4189996719</v>
      </c>
      <c r="T79"/>
      <c r="V79" s="91">
        <v>2011</v>
      </c>
      <c r="W79" s="91">
        <f t="shared" si="8"/>
        <v>1105594.1973001957</v>
      </c>
    </row>
    <row r="80" spans="2:23">
      <c r="B80" s="2">
        <v>1971</v>
      </c>
      <c r="C80" s="5">
        <v>10721522</v>
      </c>
      <c r="D80" s="11" t="s">
        <v>20</v>
      </c>
      <c r="E80" s="5">
        <v>5357157</v>
      </c>
      <c r="F80" s="5">
        <v>5364365</v>
      </c>
    </row>
    <row r="81" spans="2:23">
      <c r="B81" s="2">
        <v>1971</v>
      </c>
      <c r="C81" s="7">
        <v>1734538</v>
      </c>
      <c r="D81" s="6" t="s">
        <v>27</v>
      </c>
      <c r="E81" s="7">
        <v>878007</v>
      </c>
      <c r="F81" s="7">
        <v>856531</v>
      </c>
      <c r="K81">
        <v>-69.216499999999996</v>
      </c>
      <c r="T81"/>
      <c r="W81">
        <v>-268.20650000000001</v>
      </c>
    </row>
    <row r="82" spans="2:23">
      <c r="B82" s="2">
        <v>1971</v>
      </c>
      <c r="C82" s="7">
        <v>1655032</v>
      </c>
      <c r="D82" s="6" t="s">
        <v>28</v>
      </c>
      <c r="E82" s="7">
        <v>851071</v>
      </c>
      <c r="F82" s="7">
        <v>803961</v>
      </c>
      <c r="K82" s="54">
        <v>294639.3983</v>
      </c>
      <c r="T82"/>
      <c r="W82" s="54">
        <v>1093843.7519</v>
      </c>
    </row>
    <row r="83" spans="2:23">
      <c r="B83" s="2">
        <v>1971</v>
      </c>
      <c r="C83" s="7">
        <v>1455861</v>
      </c>
      <c r="D83" s="6" t="s">
        <v>29</v>
      </c>
      <c r="E83" s="7">
        <v>728788</v>
      </c>
      <c r="F83" s="7">
        <v>727073</v>
      </c>
      <c r="K83" s="54">
        <v>-311657819.05199999</v>
      </c>
      <c r="T83"/>
      <c r="W83" s="54">
        <v>-1114186763.4416001</v>
      </c>
    </row>
    <row r="84" spans="2:23">
      <c r="B84" s="2">
        <v>1971</v>
      </c>
      <c r="C84" s="7">
        <v>1227697</v>
      </c>
      <c r="D84" s="6" t="s">
        <v>30</v>
      </c>
      <c r="E84" s="7">
        <v>601038</v>
      </c>
      <c r="F84" s="7">
        <v>626659</v>
      </c>
      <c r="H84" s="52" t="s">
        <v>91</v>
      </c>
      <c r="I84" s="53" t="s">
        <v>34</v>
      </c>
      <c r="K84" s="2" t="s">
        <v>94</v>
      </c>
      <c r="T84" s="52" t="s">
        <v>91</v>
      </c>
      <c r="U84" s="53" t="s">
        <v>35</v>
      </c>
      <c r="W84" s="2" t="s">
        <v>94</v>
      </c>
    </row>
    <row r="85" spans="2:23">
      <c r="B85" s="2">
        <v>1971</v>
      </c>
      <c r="C85" s="7">
        <v>954413</v>
      </c>
      <c r="D85" s="6" t="s">
        <v>31</v>
      </c>
      <c r="E85" s="7">
        <v>464191</v>
      </c>
      <c r="F85" s="7">
        <v>490222</v>
      </c>
      <c r="H85" s="51">
        <v>1990</v>
      </c>
      <c r="I85" s="56">
        <v>570519</v>
      </c>
      <c r="J85" s="2">
        <v>1995</v>
      </c>
      <c r="K85" s="2">
        <f>+J85^2*$K$81+J85*$K$82+$K$83</f>
        <v>664380.14400005341</v>
      </c>
      <c r="T85" s="51">
        <v>1990</v>
      </c>
      <c r="U85" s="56">
        <v>437768</v>
      </c>
      <c r="V85" s="2">
        <v>1995</v>
      </c>
      <c r="W85" s="2">
        <f>+V85^2*$W$81+V85*$W$82+$W$83</f>
        <v>562946.43640017509</v>
      </c>
    </row>
    <row r="86" spans="2:23">
      <c r="B86" s="2">
        <v>1971</v>
      </c>
      <c r="C86" s="7">
        <v>693185</v>
      </c>
      <c r="D86" s="6" t="s">
        <v>32</v>
      </c>
      <c r="E86" s="7">
        <v>336538</v>
      </c>
      <c r="F86" s="7">
        <v>356647</v>
      </c>
      <c r="H86" s="51">
        <v>2001</v>
      </c>
      <c r="I86" s="92">
        <v>772881</v>
      </c>
      <c r="J86" s="2">
        <v>1996</v>
      </c>
      <c r="K86" s="2">
        <f t="shared" ref="K86:K101" si="9">+J86^2*$K$81+J86*$K$82+$K$83</f>
        <v>682776.49080008268</v>
      </c>
      <c r="T86" s="51">
        <v>2001</v>
      </c>
      <c r="U86" s="92">
        <v>695516</v>
      </c>
      <c r="V86" s="2">
        <v>1996</v>
      </c>
      <c r="W86" s="2">
        <f t="shared" ref="W86:W101" si="10">+V86^2*$W$81+V86*$W$82+$W$83</f>
        <v>586378.04679989815</v>
      </c>
    </row>
    <row r="87" spans="2:23">
      <c r="B87" s="2">
        <v>1971</v>
      </c>
      <c r="C87" s="7">
        <v>582976</v>
      </c>
      <c r="D87" s="6" t="s">
        <v>33</v>
      </c>
      <c r="E87" s="7">
        <v>290210</v>
      </c>
      <c r="F87" s="7">
        <v>292766</v>
      </c>
      <c r="H87" s="51">
        <v>2011</v>
      </c>
      <c r="I87" s="92">
        <v>942311</v>
      </c>
      <c r="J87" s="2">
        <v>1997</v>
      </c>
      <c r="K87" s="2">
        <f t="shared" si="9"/>
        <v>701034.40460002422</v>
      </c>
      <c r="T87" s="51">
        <v>2011</v>
      </c>
      <c r="U87" s="92">
        <v>873509</v>
      </c>
      <c r="V87" s="2">
        <v>1997</v>
      </c>
      <c r="W87" s="2">
        <f t="shared" si="10"/>
        <v>609273.24419999123</v>
      </c>
    </row>
    <row r="88" spans="2:23">
      <c r="B88" s="2">
        <v>1971</v>
      </c>
      <c r="C88" s="7">
        <v>537496</v>
      </c>
      <c r="D88" s="6" t="s">
        <v>34</v>
      </c>
      <c r="E88" s="7">
        <v>269941</v>
      </c>
      <c r="F88" s="7">
        <v>267555</v>
      </c>
      <c r="J88" s="2">
        <v>1998</v>
      </c>
      <c r="K88" s="2">
        <f t="shared" si="9"/>
        <v>719153.88540005684</v>
      </c>
      <c r="T88"/>
      <c r="V88" s="2">
        <v>1998</v>
      </c>
      <c r="W88" s="2">
        <f t="shared" si="10"/>
        <v>631632.02860021591</v>
      </c>
    </row>
    <row r="89" spans="2:23">
      <c r="B89" s="2">
        <v>1971</v>
      </c>
      <c r="C89" s="7">
        <v>468590</v>
      </c>
      <c r="D89" s="6" t="s">
        <v>35</v>
      </c>
      <c r="E89" s="7">
        <v>242951</v>
      </c>
      <c r="F89" s="7">
        <v>225639</v>
      </c>
      <c r="J89" s="2">
        <v>1999</v>
      </c>
      <c r="K89" s="2">
        <f t="shared" si="9"/>
        <v>737134.93320000172</v>
      </c>
      <c r="T89"/>
      <c r="V89" s="2">
        <v>1999</v>
      </c>
      <c r="W89" s="2">
        <f t="shared" si="10"/>
        <v>653454.39999985695</v>
      </c>
    </row>
    <row r="90" spans="2:23">
      <c r="B90" s="2">
        <v>1971</v>
      </c>
      <c r="C90" s="7">
        <v>371042</v>
      </c>
      <c r="D90" s="6" t="s">
        <v>36</v>
      </c>
      <c r="E90" s="7">
        <v>191292</v>
      </c>
      <c r="F90" s="7">
        <v>179750</v>
      </c>
      <c r="J90" s="2">
        <v>2000</v>
      </c>
      <c r="K90" s="2">
        <f t="shared" si="9"/>
        <v>754977.54800003767</v>
      </c>
      <c r="T90"/>
      <c r="V90" s="2">
        <v>2000</v>
      </c>
      <c r="W90" s="2">
        <f t="shared" si="10"/>
        <v>674740.35840010643</v>
      </c>
    </row>
    <row r="91" spans="2:23">
      <c r="B91" s="2">
        <v>1971</v>
      </c>
      <c r="C91" s="7">
        <v>303520</v>
      </c>
      <c r="D91" s="6" t="s">
        <v>37</v>
      </c>
      <c r="E91" s="7">
        <v>153806</v>
      </c>
      <c r="F91" s="7">
        <v>149714</v>
      </c>
      <c r="J91" s="91">
        <v>2001</v>
      </c>
      <c r="K91" s="91">
        <f t="shared" si="9"/>
        <v>772681.72979998589</v>
      </c>
      <c r="T91"/>
      <c r="V91" s="91">
        <v>2001</v>
      </c>
      <c r="W91" s="91">
        <f t="shared" si="10"/>
        <v>695489.90379977226</v>
      </c>
    </row>
    <row r="92" spans="2:23">
      <c r="B92" s="2">
        <v>1971</v>
      </c>
      <c r="C92" s="7">
        <v>231769</v>
      </c>
      <c r="D92" s="6" t="s">
        <v>38</v>
      </c>
      <c r="E92" s="7">
        <v>115284</v>
      </c>
      <c r="F92" s="7">
        <v>116485</v>
      </c>
      <c r="J92" s="2">
        <v>2002</v>
      </c>
      <c r="K92" s="2">
        <f t="shared" si="9"/>
        <v>790247.47860002518</v>
      </c>
      <c r="T92"/>
      <c r="V92" s="2">
        <v>2002</v>
      </c>
      <c r="W92" s="2">
        <f t="shared" si="10"/>
        <v>715703.03620004654</v>
      </c>
    </row>
    <row r="93" spans="2:23">
      <c r="B93" s="2">
        <v>1971</v>
      </c>
      <c r="C93" s="7">
        <v>189970</v>
      </c>
      <c r="D93" s="6" t="s">
        <v>39</v>
      </c>
      <c r="E93" s="7">
        <v>93197</v>
      </c>
      <c r="F93" s="7">
        <v>96773</v>
      </c>
      <c r="J93" s="2">
        <v>2003</v>
      </c>
      <c r="K93" s="2">
        <f t="shared" si="9"/>
        <v>807674.79440009594</v>
      </c>
      <c r="T93"/>
      <c r="V93" s="2">
        <v>2003</v>
      </c>
      <c r="W93" s="2">
        <f t="shared" si="10"/>
        <v>735379.755600214</v>
      </c>
    </row>
    <row r="94" spans="2:23">
      <c r="B94" s="2">
        <v>1971</v>
      </c>
      <c r="C94" s="7">
        <v>119823</v>
      </c>
      <c r="D94" s="6" t="s">
        <v>40</v>
      </c>
      <c r="E94" s="7">
        <v>57256</v>
      </c>
      <c r="F94" s="7">
        <v>62567</v>
      </c>
      <c r="J94" s="2">
        <v>2004</v>
      </c>
      <c r="K94" s="2">
        <f t="shared" si="9"/>
        <v>824963.67720001936</v>
      </c>
      <c r="T94"/>
      <c r="V94" s="2">
        <v>2004</v>
      </c>
      <c r="W94" s="2">
        <f t="shared" si="10"/>
        <v>754520.06199979782</v>
      </c>
    </row>
    <row r="95" spans="2:23">
      <c r="B95" s="2">
        <v>1971</v>
      </c>
      <c r="C95" s="7">
        <v>88397</v>
      </c>
      <c r="D95" s="6" t="s">
        <v>41</v>
      </c>
      <c r="E95" s="7">
        <v>40723</v>
      </c>
      <c r="F95" s="7">
        <v>47674</v>
      </c>
      <c r="J95" s="2">
        <v>2005</v>
      </c>
      <c r="K95" s="2">
        <f t="shared" si="9"/>
        <v>842114.12700009346</v>
      </c>
      <c r="T95"/>
      <c r="V95" s="2">
        <v>2005</v>
      </c>
      <c r="W95" s="2">
        <f t="shared" si="10"/>
        <v>773123.9554002285</v>
      </c>
    </row>
    <row r="96" spans="2:23">
      <c r="B96" s="2">
        <v>1971</v>
      </c>
      <c r="C96" s="7">
        <v>45799</v>
      </c>
      <c r="D96" s="6" t="s">
        <v>42</v>
      </c>
      <c r="E96" s="7">
        <v>19900</v>
      </c>
      <c r="F96" s="7">
        <v>25899</v>
      </c>
      <c r="J96" s="2">
        <v>2006</v>
      </c>
      <c r="K96" s="2">
        <f t="shared" si="9"/>
        <v>859126.14380002022</v>
      </c>
      <c r="T96"/>
      <c r="V96" s="2">
        <v>2006</v>
      </c>
      <c r="W96" s="2">
        <f t="shared" si="10"/>
        <v>791191.43579983711</v>
      </c>
    </row>
    <row r="97" spans="2:23">
      <c r="B97" s="2">
        <v>1971</v>
      </c>
      <c r="C97" s="7">
        <v>31850</v>
      </c>
      <c r="D97" s="6" t="s">
        <v>43</v>
      </c>
      <c r="E97" s="7">
        <v>12470</v>
      </c>
      <c r="F97" s="7">
        <v>19380</v>
      </c>
      <c r="J97" s="2">
        <v>2007</v>
      </c>
      <c r="K97" s="2">
        <f t="shared" si="9"/>
        <v>875999.72760003805</v>
      </c>
      <c r="T97"/>
      <c r="V97" s="2">
        <v>2007</v>
      </c>
      <c r="W97" s="2">
        <f t="shared" si="10"/>
        <v>808722.50320005417</v>
      </c>
    </row>
    <row r="98" spans="2:23">
      <c r="B98" s="2">
        <v>1971</v>
      </c>
      <c r="C98" s="7">
        <v>29564</v>
      </c>
      <c r="D98" s="8" t="s">
        <v>44</v>
      </c>
      <c r="E98" s="7">
        <v>10494</v>
      </c>
      <c r="F98" s="7">
        <v>19070</v>
      </c>
      <c r="J98" s="2">
        <v>2008</v>
      </c>
      <c r="K98" s="2">
        <f t="shared" si="9"/>
        <v>892734.87839996815</v>
      </c>
      <c r="T98"/>
      <c r="V98" s="2">
        <v>2008</v>
      </c>
      <c r="W98" s="2">
        <f t="shared" si="10"/>
        <v>825717.15759968758</v>
      </c>
    </row>
    <row r="99" spans="2:23">
      <c r="B99" s="2">
        <v>1961</v>
      </c>
      <c r="C99" s="16">
        <v>7523999</v>
      </c>
      <c r="D99" s="11" t="s">
        <v>20</v>
      </c>
      <c r="E99" s="16">
        <v>3821722</v>
      </c>
      <c r="F99" s="16">
        <v>3702277</v>
      </c>
      <c r="J99" s="2">
        <v>2009</v>
      </c>
      <c r="K99" s="2">
        <f t="shared" si="9"/>
        <v>909331.59620004892</v>
      </c>
      <c r="T99"/>
      <c r="V99" s="2">
        <v>2009</v>
      </c>
      <c r="W99" s="2">
        <f t="shared" si="10"/>
        <v>842175.39899992943</v>
      </c>
    </row>
    <row r="100" spans="2:23">
      <c r="B100" s="2">
        <v>1961</v>
      </c>
      <c r="C100" s="17">
        <v>1374096</v>
      </c>
      <c r="D100" s="6" t="s">
        <v>27</v>
      </c>
      <c r="E100" s="17">
        <v>698316</v>
      </c>
      <c r="F100" s="17">
        <v>675780</v>
      </c>
      <c r="J100" s="2">
        <v>2010</v>
      </c>
      <c r="K100" s="2">
        <f t="shared" si="9"/>
        <v>925789.88099998236</v>
      </c>
      <c r="T100"/>
      <c r="V100" s="2">
        <v>2010</v>
      </c>
      <c r="W100" s="2">
        <f t="shared" si="10"/>
        <v>858097.22740006447</v>
      </c>
    </row>
    <row r="101" spans="2:23">
      <c r="B101" s="2">
        <v>1961</v>
      </c>
      <c r="C101" s="17">
        <v>1163320</v>
      </c>
      <c r="D101" s="6" t="s">
        <v>28</v>
      </c>
      <c r="E101" s="17">
        <v>591273</v>
      </c>
      <c r="F101" s="17">
        <v>572047</v>
      </c>
      <c r="J101" s="91">
        <v>2011</v>
      </c>
      <c r="K101" s="91">
        <f t="shared" si="9"/>
        <v>942109.73280000687</v>
      </c>
      <c r="T101"/>
      <c r="V101" s="91">
        <v>2011</v>
      </c>
      <c r="W101" s="91">
        <f t="shared" si="10"/>
        <v>873482.64279985428</v>
      </c>
    </row>
    <row r="102" spans="2:23">
      <c r="B102" s="2">
        <v>1961</v>
      </c>
      <c r="C102" s="17">
        <v>901881</v>
      </c>
      <c r="D102" s="6" t="s">
        <v>29</v>
      </c>
      <c r="E102" s="17">
        <v>458372</v>
      </c>
      <c r="F102" s="17">
        <v>443509</v>
      </c>
    </row>
    <row r="103" spans="2:23">
      <c r="B103" s="2">
        <v>1961</v>
      </c>
      <c r="C103" s="17">
        <v>679636</v>
      </c>
      <c r="D103" s="6" t="s">
        <v>30</v>
      </c>
      <c r="E103" s="17">
        <v>340465</v>
      </c>
      <c r="F103" s="17">
        <v>339171</v>
      </c>
      <c r="K103">
        <f xml:space="preserve"> -194.8411</f>
        <v>-194.84110000000001</v>
      </c>
      <c r="T103"/>
      <c r="W103">
        <f xml:space="preserve"> 151.5338</f>
        <v>151.53380000000001</v>
      </c>
    </row>
    <row r="104" spans="2:23">
      <c r="B104" s="2">
        <v>1961</v>
      </c>
      <c r="C104" s="17">
        <v>618411</v>
      </c>
      <c r="D104" s="6" t="s">
        <v>31</v>
      </c>
      <c r="E104" s="17">
        <v>311678</v>
      </c>
      <c r="F104" s="17">
        <v>306733</v>
      </c>
      <c r="K104" s="54">
        <v>799974.29570000002</v>
      </c>
      <c r="T104"/>
      <c r="W104" s="54">
        <v>-588039.17009999999</v>
      </c>
    </row>
    <row r="105" spans="2:23">
      <c r="B105" s="2">
        <v>1961</v>
      </c>
      <c r="C105" s="17">
        <v>550882</v>
      </c>
      <c r="D105" s="6" t="s">
        <v>32</v>
      </c>
      <c r="E105" s="17">
        <v>283008</v>
      </c>
      <c r="F105" s="17">
        <v>267874</v>
      </c>
      <c r="K105" s="54">
        <v>-820039517.12989998</v>
      </c>
      <c r="T105"/>
      <c r="W105" s="54">
        <v>570377139.89610004</v>
      </c>
    </row>
    <row r="106" spans="2:23">
      <c r="B106" s="2">
        <v>1961</v>
      </c>
      <c r="C106" s="17">
        <v>502697</v>
      </c>
      <c r="D106" s="6" t="s">
        <v>33</v>
      </c>
      <c r="E106" s="17">
        <v>264861</v>
      </c>
      <c r="F106" s="17">
        <v>237836</v>
      </c>
      <c r="H106" s="52" t="s">
        <v>91</v>
      </c>
      <c r="I106" s="53" t="s">
        <v>36</v>
      </c>
      <c r="K106" s="2" t="s">
        <v>94</v>
      </c>
      <c r="T106" s="52" t="s">
        <v>91</v>
      </c>
      <c r="U106" s="53" t="s">
        <v>37</v>
      </c>
      <c r="W106" s="2" t="s">
        <v>94</v>
      </c>
    </row>
    <row r="107" spans="2:23">
      <c r="B107" s="2">
        <v>1961</v>
      </c>
      <c r="C107" s="17">
        <v>405172</v>
      </c>
      <c r="D107" s="6" t="s">
        <v>34</v>
      </c>
      <c r="E107" s="17">
        <v>210638</v>
      </c>
      <c r="F107" s="17">
        <v>194534</v>
      </c>
      <c r="H107" s="51">
        <v>1990</v>
      </c>
      <c r="I107" s="56">
        <v>318990</v>
      </c>
      <c r="J107" s="2">
        <v>1995</v>
      </c>
      <c r="K107" s="2">
        <f>+J107^2*$K$103+J107*$K$104+$K$105</f>
        <v>436753.76409995556</v>
      </c>
      <c r="T107" s="51">
        <v>1990</v>
      </c>
      <c r="U107" s="56">
        <v>268059</v>
      </c>
      <c r="V107" s="2">
        <v>1995</v>
      </c>
      <c r="W107" s="2">
        <f>+V107^2*$W$103+V107*$W$104+$W$105</f>
        <v>347307.89160013199</v>
      </c>
    </row>
    <row r="108" spans="2:23">
      <c r="B108" s="2">
        <v>1961</v>
      </c>
      <c r="C108" s="17">
        <v>331587</v>
      </c>
      <c r="D108" s="6" t="s">
        <v>35</v>
      </c>
      <c r="E108" s="17">
        <v>174323</v>
      </c>
      <c r="F108" s="17">
        <v>157264</v>
      </c>
      <c r="H108" s="51">
        <v>2001</v>
      </c>
      <c r="I108" s="92">
        <v>564987</v>
      </c>
      <c r="J108" s="2">
        <v>1996</v>
      </c>
      <c r="K108" s="2">
        <f t="shared" ref="K108:K123" si="11">+J108^2*$K$103+J108*$K$104+$K$105</f>
        <v>459117.22969996929</v>
      </c>
      <c r="T108" s="51">
        <v>2001</v>
      </c>
      <c r="U108" s="92">
        <v>452112</v>
      </c>
      <c r="V108" s="2">
        <v>1996</v>
      </c>
      <c r="W108" s="2">
        <f t="shared" ref="W108:W123" si="12">+V108^2*$W$103+V108*$W$104+$W$105</f>
        <v>364040.11730015278</v>
      </c>
    </row>
    <row r="109" spans="2:23">
      <c r="B109" s="2">
        <v>1961</v>
      </c>
      <c r="C109" s="17">
        <v>280801</v>
      </c>
      <c r="D109" s="6" t="s">
        <v>36</v>
      </c>
      <c r="E109" s="17">
        <v>146041</v>
      </c>
      <c r="F109" s="17">
        <v>134760</v>
      </c>
      <c r="H109" s="51">
        <v>2011</v>
      </c>
      <c r="I109" s="92">
        <v>747704</v>
      </c>
      <c r="J109" s="2">
        <v>1997</v>
      </c>
      <c r="K109" s="2">
        <f t="shared" si="11"/>
        <v>481091.01310014725</v>
      </c>
      <c r="T109" s="51">
        <v>2011</v>
      </c>
      <c r="U109" s="92">
        <v>651255</v>
      </c>
      <c r="V109" s="2">
        <v>1997</v>
      </c>
      <c r="W109" s="2">
        <f t="shared" si="12"/>
        <v>381075.41060018539</v>
      </c>
    </row>
    <row r="110" spans="2:23">
      <c r="B110" s="2">
        <v>1961</v>
      </c>
      <c r="C110" s="17">
        <v>218773</v>
      </c>
      <c r="D110" s="6" t="s">
        <v>37</v>
      </c>
      <c r="E110" s="17">
        <v>112531</v>
      </c>
      <c r="F110" s="17">
        <v>106242</v>
      </c>
      <c r="J110" s="2">
        <v>1998</v>
      </c>
      <c r="K110" s="2">
        <f t="shared" si="11"/>
        <v>502675.11429989338</v>
      </c>
      <c r="T110"/>
      <c r="V110" s="2">
        <v>1998</v>
      </c>
      <c r="W110" s="2">
        <f t="shared" si="12"/>
        <v>398413.77150022984</v>
      </c>
    </row>
    <row r="111" spans="2:23">
      <c r="B111" s="2">
        <v>1961</v>
      </c>
      <c r="C111" s="17">
        <v>167309</v>
      </c>
      <c r="D111" s="6" t="s">
        <v>38</v>
      </c>
      <c r="E111" s="17">
        <v>84211</v>
      </c>
      <c r="F111" s="17">
        <v>83098</v>
      </c>
      <c r="J111" s="2">
        <v>1999</v>
      </c>
      <c r="K111" s="2">
        <f t="shared" si="11"/>
        <v>523869.53330004215</v>
      </c>
      <c r="T111"/>
      <c r="V111" s="2">
        <v>1999</v>
      </c>
      <c r="W111" s="2">
        <f t="shared" si="12"/>
        <v>416055.20000004768</v>
      </c>
    </row>
    <row r="112" spans="2:23">
      <c r="B112" s="2">
        <v>1961</v>
      </c>
      <c r="C112" s="17">
        <v>131714</v>
      </c>
      <c r="D112" s="6" t="s">
        <v>39</v>
      </c>
      <c r="E112" s="17">
        <v>62356</v>
      </c>
      <c r="F112" s="17">
        <v>69358</v>
      </c>
      <c r="J112" s="2">
        <v>2000</v>
      </c>
      <c r="K112" s="2">
        <f t="shared" si="11"/>
        <v>544674.27010011673</v>
      </c>
      <c r="T112"/>
      <c r="V112" s="2">
        <v>2000</v>
      </c>
      <c r="W112" s="2">
        <f t="shared" si="12"/>
        <v>433999.69609999657</v>
      </c>
    </row>
    <row r="113" spans="2:23">
      <c r="B113" s="2">
        <v>1961</v>
      </c>
      <c r="C113" s="17">
        <v>77722</v>
      </c>
      <c r="D113" s="6" t="s">
        <v>40</v>
      </c>
      <c r="E113" s="17">
        <v>36152</v>
      </c>
      <c r="F113" s="17">
        <v>41570</v>
      </c>
      <c r="J113" s="91">
        <v>2001</v>
      </c>
      <c r="K113" s="91">
        <f t="shared" si="11"/>
        <v>565089.32469987869</v>
      </c>
      <c r="T113"/>
      <c r="V113" s="91">
        <v>2001</v>
      </c>
      <c r="W113" s="91">
        <f t="shared" si="12"/>
        <v>452247.25980007648</v>
      </c>
    </row>
    <row r="114" spans="2:23">
      <c r="B114" s="2">
        <v>1961</v>
      </c>
      <c r="C114" s="17">
        <v>51015</v>
      </c>
      <c r="D114" s="6" t="s">
        <v>41</v>
      </c>
      <c r="E114" s="17">
        <v>21657</v>
      </c>
      <c r="F114" s="17">
        <v>29358</v>
      </c>
      <c r="J114" s="2">
        <v>2002</v>
      </c>
      <c r="K114" s="2">
        <f t="shared" si="11"/>
        <v>585114.69709992409</v>
      </c>
      <c r="T114"/>
      <c r="V114" s="2">
        <v>2002</v>
      </c>
      <c r="W114" s="2">
        <f t="shared" si="12"/>
        <v>470797.89110004902</v>
      </c>
    </row>
    <row r="115" spans="2:23">
      <c r="B115" s="2">
        <v>1961</v>
      </c>
      <c r="C115" s="17">
        <v>30949</v>
      </c>
      <c r="D115" s="6" t="s">
        <v>42</v>
      </c>
      <c r="E115" s="17">
        <v>12601</v>
      </c>
      <c r="F115" s="17">
        <v>18348</v>
      </c>
      <c r="J115" s="2">
        <v>2003</v>
      </c>
      <c r="K115" s="2">
        <f t="shared" si="11"/>
        <v>604750.3873000145</v>
      </c>
      <c r="T115"/>
      <c r="V115" s="2">
        <v>2003</v>
      </c>
      <c r="W115" s="2">
        <f t="shared" si="12"/>
        <v>489651.59000015259</v>
      </c>
    </row>
    <row r="116" spans="2:23">
      <c r="B116" s="2">
        <v>1961</v>
      </c>
      <c r="C116" s="17">
        <v>20732</v>
      </c>
      <c r="D116" s="6" t="s">
        <v>43</v>
      </c>
      <c r="E116" s="17">
        <v>7431</v>
      </c>
      <c r="F116" s="17">
        <v>13301</v>
      </c>
      <c r="J116" s="2">
        <v>2004</v>
      </c>
      <c r="K116" s="2">
        <f t="shared" si="11"/>
        <v>623996.39530014992</v>
      </c>
      <c r="T116"/>
      <c r="V116" s="2">
        <v>2004</v>
      </c>
      <c r="W116" s="2">
        <f t="shared" si="12"/>
        <v>508808.35650014877</v>
      </c>
    </row>
    <row r="117" spans="2:23">
      <c r="B117" s="2">
        <v>1961</v>
      </c>
      <c r="C117" s="17">
        <v>17302</v>
      </c>
      <c r="D117" s="8" t="s">
        <v>44</v>
      </c>
      <c r="E117" s="17">
        <v>5808</v>
      </c>
      <c r="F117" s="17">
        <v>11494</v>
      </c>
      <c r="J117" s="2">
        <v>2005</v>
      </c>
      <c r="K117" s="2">
        <f t="shared" si="11"/>
        <v>642852.72109997272</v>
      </c>
      <c r="T117"/>
      <c r="V117" s="2">
        <v>2005</v>
      </c>
      <c r="W117" s="2">
        <f t="shared" si="12"/>
        <v>528268.19060015678</v>
      </c>
    </row>
    <row r="118" spans="2:23">
      <c r="B118" s="2">
        <v>1950</v>
      </c>
      <c r="C118" s="5">
        <v>5034838</v>
      </c>
      <c r="D118" s="11" t="s">
        <v>20</v>
      </c>
      <c r="E118" s="5">
        <v>2552491</v>
      </c>
      <c r="F118" s="5">
        <v>2482347</v>
      </c>
      <c r="J118" s="2">
        <v>2006</v>
      </c>
      <c r="K118" s="2">
        <f t="shared" si="11"/>
        <v>661319.36470007896</v>
      </c>
      <c r="T118"/>
      <c r="V118" s="2">
        <v>2006</v>
      </c>
      <c r="W118" s="2">
        <f t="shared" si="12"/>
        <v>548031.09230017662</v>
      </c>
    </row>
    <row r="119" spans="2:23">
      <c r="B119" s="2">
        <v>1950</v>
      </c>
      <c r="C119" s="12">
        <v>847748</v>
      </c>
      <c r="D119" s="6" t="s">
        <v>27</v>
      </c>
      <c r="E119" s="13">
        <v>432681</v>
      </c>
      <c r="F119" s="13">
        <v>415067</v>
      </c>
      <c r="J119" s="2">
        <v>2007</v>
      </c>
      <c r="K119" s="2">
        <f t="shared" si="11"/>
        <v>679396.32610011101</v>
      </c>
      <c r="T119"/>
      <c r="V119" s="2">
        <v>2007</v>
      </c>
      <c r="W119" s="2">
        <f t="shared" si="12"/>
        <v>568097.06160020828</v>
      </c>
    </row>
    <row r="120" spans="2:23">
      <c r="B120" s="2">
        <v>1950</v>
      </c>
      <c r="C120" s="12">
        <v>687318</v>
      </c>
      <c r="D120" s="6" t="s">
        <v>28</v>
      </c>
      <c r="E120" s="13">
        <v>352758</v>
      </c>
      <c r="F120" s="13">
        <v>334560</v>
      </c>
      <c r="J120" s="2">
        <v>2008</v>
      </c>
      <c r="K120" s="2">
        <f t="shared" si="11"/>
        <v>697083.60529994965</v>
      </c>
      <c r="T120"/>
      <c r="V120" s="2">
        <v>2008</v>
      </c>
      <c r="W120" s="2">
        <f t="shared" si="12"/>
        <v>588466.09850001335</v>
      </c>
    </row>
    <row r="121" spans="2:23">
      <c r="B121" s="2">
        <v>1950</v>
      </c>
      <c r="C121" s="12">
        <v>574722</v>
      </c>
      <c r="D121" s="6" t="s">
        <v>29</v>
      </c>
      <c r="E121" s="13">
        <v>298518</v>
      </c>
      <c r="F121" s="13">
        <v>276204</v>
      </c>
      <c r="J121" s="2">
        <v>2009</v>
      </c>
      <c r="K121" s="2">
        <f t="shared" si="11"/>
        <v>714381.20230007172</v>
      </c>
      <c r="T121"/>
      <c r="V121" s="2">
        <v>2009</v>
      </c>
      <c r="W121" s="2">
        <f t="shared" si="12"/>
        <v>609138.20300006866</v>
      </c>
    </row>
    <row r="122" spans="2:23">
      <c r="B122" s="2">
        <v>1950</v>
      </c>
      <c r="C122" s="12">
        <v>496566</v>
      </c>
      <c r="D122" s="6" t="s">
        <v>30</v>
      </c>
      <c r="E122" s="13">
        <v>244191</v>
      </c>
      <c r="F122" s="13">
        <v>252375</v>
      </c>
      <c r="J122" s="2">
        <v>2010</v>
      </c>
      <c r="K122" s="2">
        <f t="shared" si="11"/>
        <v>731289.11710011959</v>
      </c>
      <c r="T122"/>
      <c r="V122" s="2">
        <v>2010</v>
      </c>
      <c r="W122" s="2">
        <f t="shared" si="12"/>
        <v>630113.3751001358</v>
      </c>
    </row>
    <row r="123" spans="2:23">
      <c r="B123" s="2">
        <v>1950</v>
      </c>
      <c r="C123" s="12">
        <v>473748</v>
      </c>
      <c r="D123" s="6" t="s">
        <v>31</v>
      </c>
      <c r="E123" s="13">
        <v>236133</v>
      </c>
      <c r="F123" s="13">
        <v>237615</v>
      </c>
      <c r="J123" s="91">
        <v>2011</v>
      </c>
      <c r="K123" s="91">
        <f t="shared" si="11"/>
        <v>747807.34969997406</v>
      </c>
      <c r="T123"/>
      <c r="V123" s="91">
        <v>2011</v>
      </c>
      <c r="W123" s="91">
        <f t="shared" si="12"/>
        <v>651391.61480009556</v>
      </c>
    </row>
    <row r="124" spans="2:23">
      <c r="B124" s="2">
        <v>1950</v>
      </c>
      <c r="C124" s="12">
        <v>400614</v>
      </c>
      <c r="D124" s="6" t="s">
        <v>32</v>
      </c>
      <c r="E124" s="13">
        <v>202418</v>
      </c>
      <c r="F124" s="13">
        <v>198196</v>
      </c>
    </row>
    <row r="125" spans="2:23">
      <c r="B125" s="2">
        <v>1950</v>
      </c>
      <c r="C125" s="12">
        <v>327613</v>
      </c>
      <c r="D125" s="6" t="s">
        <v>33</v>
      </c>
      <c r="E125" s="13">
        <v>170176</v>
      </c>
      <c r="F125" s="13">
        <v>157437</v>
      </c>
      <c r="K125">
        <v>745.86099999999999</v>
      </c>
      <c r="T125"/>
      <c r="W125">
        <v>545.55409999999995</v>
      </c>
    </row>
    <row r="126" spans="2:23">
      <c r="B126" s="2">
        <v>1950</v>
      </c>
      <c r="C126" s="12">
        <v>301543</v>
      </c>
      <c r="D126" s="6" t="s">
        <v>34</v>
      </c>
      <c r="E126" s="13">
        <v>156330</v>
      </c>
      <c r="F126" s="13">
        <v>145213</v>
      </c>
      <c r="K126" s="54">
        <v>-2969081.5882999999</v>
      </c>
      <c r="T126"/>
      <c r="W126" s="54">
        <v>-2172027.0995999998</v>
      </c>
    </row>
    <row r="127" spans="2:23">
      <c r="B127" s="2">
        <v>1950</v>
      </c>
      <c r="C127" s="12">
        <v>239608</v>
      </c>
      <c r="D127" s="6" t="s">
        <v>35</v>
      </c>
      <c r="E127" s="13">
        <v>124964</v>
      </c>
      <c r="F127" s="13">
        <v>114644</v>
      </c>
      <c r="K127" s="54">
        <v>2955001718.3505998</v>
      </c>
      <c r="T127"/>
      <c r="W127" s="54">
        <v>2162067310.013</v>
      </c>
    </row>
    <row r="128" spans="2:23">
      <c r="B128" s="2">
        <v>1950</v>
      </c>
      <c r="C128" s="12">
        <v>184768</v>
      </c>
      <c r="D128" s="6" t="s">
        <v>36</v>
      </c>
      <c r="E128" s="13">
        <v>97832</v>
      </c>
      <c r="F128" s="13">
        <v>86936</v>
      </c>
      <c r="H128" s="52" t="s">
        <v>91</v>
      </c>
      <c r="I128" s="53" t="s">
        <v>38</v>
      </c>
      <c r="K128" s="2" t="s">
        <v>94</v>
      </c>
      <c r="T128" s="52" t="s">
        <v>91</v>
      </c>
      <c r="U128" s="53" t="s">
        <v>39</v>
      </c>
      <c r="W128" s="2" t="s">
        <v>94</v>
      </c>
    </row>
    <row r="129" spans="2:23">
      <c r="B129" s="2">
        <v>1950</v>
      </c>
      <c r="C129" s="12">
        <v>164736</v>
      </c>
      <c r="D129" s="6" t="s">
        <v>37</v>
      </c>
      <c r="E129" s="13">
        <v>82619</v>
      </c>
      <c r="F129" s="13">
        <v>82117</v>
      </c>
      <c r="H129" s="51">
        <v>1990</v>
      </c>
      <c r="I129" s="56">
        <v>213658</v>
      </c>
      <c r="J129" s="2">
        <v>1995</v>
      </c>
      <c r="K129" s="2">
        <f>+J129^2*$K$125+J129*$K$126+$K$127</f>
        <v>229376.21710014343</v>
      </c>
      <c r="T129" s="51">
        <v>1990</v>
      </c>
      <c r="U129" s="56">
        <v>182223</v>
      </c>
      <c r="V129" s="2">
        <v>1995</v>
      </c>
      <c r="W129" s="2">
        <f>+V129^2*$W$125+V129*$W$126+$W$127</f>
        <v>192203.16350030899</v>
      </c>
    </row>
    <row r="130" spans="2:23">
      <c r="B130" s="2">
        <v>1950</v>
      </c>
      <c r="C130" s="12">
        <v>101879</v>
      </c>
      <c r="D130" s="6" t="s">
        <v>38</v>
      </c>
      <c r="E130" s="13">
        <v>52359</v>
      </c>
      <c r="F130" s="13">
        <v>49520</v>
      </c>
      <c r="H130" s="51">
        <v>2001</v>
      </c>
      <c r="I130" s="92">
        <v>297806</v>
      </c>
      <c r="J130" s="2">
        <v>1996</v>
      </c>
      <c r="K130" s="2">
        <f t="shared" ref="K130:K145" si="13">+J130^2*$K$125+J130*$K$126+$K$127</f>
        <v>237025.87980031967</v>
      </c>
      <c r="T130" s="51">
        <v>2001</v>
      </c>
      <c r="U130" s="92">
        <v>240296</v>
      </c>
      <c r="V130" s="2">
        <v>1996</v>
      </c>
      <c r="W130" s="2">
        <f t="shared" ref="W130:W145" si="14">+V130^2*$W$125+V130*$W$126+$W$127</f>
        <v>197482.47700023651</v>
      </c>
    </row>
    <row r="131" spans="2:23">
      <c r="B131" s="2">
        <v>1950</v>
      </c>
      <c r="C131" s="12">
        <v>92466</v>
      </c>
      <c r="D131" s="6" t="s">
        <v>39</v>
      </c>
      <c r="E131" s="13">
        <v>41518</v>
      </c>
      <c r="F131" s="13">
        <v>50948</v>
      </c>
      <c r="H131" s="51">
        <v>2011</v>
      </c>
      <c r="I131" s="92">
        <v>530935</v>
      </c>
      <c r="J131" s="2">
        <v>1997</v>
      </c>
      <c r="K131" s="2">
        <f t="shared" si="13"/>
        <v>246167.26449966431</v>
      </c>
      <c r="T131" s="51">
        <v>2011</v>
      </c>
      <c r="U131" s="92">
        <v>407656</v>
      </c>
      <c r="V131" s="2">
        <v>1997</v>
      </c>
      <c r="W131" s="2">
        <f t="shared" si="14"/>
        <v>203852.89870023727</v>
      </c>
    </row>
    <row r="132" spans="2:23">
      <c r="B132" s="2">
        <v>1950</v>
      </c>
      <c r="C132" s="12">
        <v>47919</v>
      </c>
      <c r="D132" s="6" t="s">
        <v>40</v>
      </c>
      <c r="E132" s="13">
        <v>22025</v>
      </c>
      <c r="F132" s="13">
        <v>25894</v>
      </c>
      <c r="J132" s="2">
        <v>1998</v>
      </c>
      <c r="K132" s="2">
        <f t="shared" si="13"/>
        <v>256800.37119960785</v>
      </c>
      <c r="T132"/>
      <c r="V132" s="2">
        <v>1998</v>
      </c>
      <c r="W132" s="2">
        <f t="shared" si="14"/>
        <v>211314.42859983444</v>
      </c>
    </row>
    <row r="133" spans="2:23">
      <c r="B133" s="2">
        <v>1950</v>
      </c>
      <c r="C133" s="12">
        <v>38280</v>
      </c>
      <c r="D133" s="6" t="s">
        <v>41</v>
      </c>
      <c r="E133" s="13">
        <v>15491</v>
      </c>
      <c r="F133" s="13">
        <v>22789</v>
      </c>
      <c r="J133" s="2">
        <v>1999</v>
      </c>
      <c r="K133" s="2">
        <f t="shared" si="13"/>
        <v>268925.1999001503</v>
      </c>
      <c r="T133"/>
      <c r="V133" s="2">
        <v>1999</v>
      </c>
      <c r="W133" s="2">
        <f t="shared" si="14"/>
        <v>219867.06669998169</v>
      </c>
    </row>
    <row r="134" spans="2:23">
      <c r="B134" s="2">
        <v>1950</v>
      </c>
      <c r="C134" s="12">
        <v>18798</v>
      </c>
      <c r="D134" s="6" t="s">
        <v>42</v>
      </c>
      <c r="E134" s="13">
        <v>7802</v>
      </c>
      <c r="F134" s="13">
        <v>10996</v>
      </c>
      <c r="J134" s="2">
        <v>2000</v>
      </c>
      <c r="K134" s="2">
        <f t="shared" si="13"/>
        <v>282541.75060033798</v>
      </c>
      <c r="T134"/>
      <c r="V134" s="2">
        <v>2000</v>
      </c>
      <c r="W134" s="2">
        <f t="shared" si="14"/>
        <v>229510.81300020218</v>
      </c>
    </row>
    <row r="135" spans="2:23">
      <c r="B135" s="2">
        <v>1950</v>
      </c>
      <c r="C135" s="12">
        <v>16560</v>
      </c>
      <c r="D135" s="6" t="s">
        <v>43</v>
      </c>
      <c r="E135" s="13">
        <v>5873</v>
      </c>
      <c r="F135" s="13">
        <v>10687</v>
      </c>
      <c r="J135" s="91">
        <v>2001</v>
      </c>
      <c r="K135" s="91">
        <f t="shared" si="13"/>
        <v>297650.02329969406</v>
      </c>
      <c r="T135"/>
      <c r="V135" s="91">
        <v>2001</v>
      </c>
      <c r="W135" s="91">
        <f t="shared" si="14"/>
        <v>240245.66750001907</v>
      </c>
    </row>
    <row r="136" spans="2:23">
      <c r="B136" s="2">
        <v>1950</v>
      </c>
      <c r="C136" s="12">
        <v>11873</v>
      </c>
      <c r="D136" s="8" t="s">
        <v>44</v>
      </c>
      <c r="E136" s="13">
        <v>4125</v>
      </c>
      <c r="F136" s="13">
        <v>7748</v>
      </c>
      <c r="J136" s="2">
        <v>2002</v>
      </c>
      <c r="K136" s="2">
        <f t="shared" si="13"/>
        <v>314250.01799964905</v>
      </c>
      <c r="T136"/>
      <c r="V136" s="2">
        <v>2002</v>
      </c>
      <c r="W136" s="2">
        <f t="shared" si="14"/>
        <v>252071.63020038605</v>
      </c>
    </row>
    <row r="137" spans="2:23">
      <c r="B137" s="2">
        <v>1950</v>
      </c>
      <c r="C137" s="12">
        <v>8079</v>
      </c>
      <c r="D137" s="14" t="s">
        <v>59</v>
      </c>
      <c r="E137" s="15">
        <v>4678</v>
      </c>
      <c r="F137" s="15">
        <v>3401</v>
      </c>
      <c r="J137" s="2">
        <v>2003</v>
      </c>
      <c r="K137" s="2">
        <f t="shared" si="13"/>
        <v>332341.73470020294</v>
      </c>
      <c r="T137"/>
      <c r="V137" s="2">
        <v>2003</v>
      </c>
      <c r="W137" s="2">
        <f t="shared" si="14"/>
        <v>264988.70110034943</v>
      </c>
    </row>
    <row r="138" spans="2:23">
      <c r="B138" s="2">
        <v>1941</v>
      </c>
      <c r="C138" s="5">
        <v>3850771</v>
      </c>
      <c r="D138" s="4" t="s">
        <v>20</v>
      </c>
      <c r="E138" s="5">
        <v>1908545</v>
      </c>
      <c r="F138" s="5">
        <v>1942226</v>
      </c>
      <c r="J138" s="2">
        <v>2004</v>
      </c>
      <c r="K138" s="2">
        <f t="shared" si="13"/>
        <v>351925.17339944839</v>
      </c>
      <c r="T138"/>
      <c r="V138" s="2">
        <v>2004</v>
      </c>
      <c r="W138" s="2">
        <f t="shared" si="14"/>
        <v>278996.88019990921</v>
      </c>
    </row>
    <row r="139" spans="2:23">
      <c r="B139" s="2">
        <v>1941</v>
      </c>
      <c r="C139" s="7">
        <v>577993</v>
      </c>
      <c r="D139" s="6" t="s">
        <v>27</v>
      </c>
      <c r="E139" s="7">
        <v>292473</v>
      </c>
      <c r="F139" s="7">
        <v>285520</v>
      </c>
      <c r="J139" s="2">
        <v>2005</v>
      </c>
      <c r="K139" s="2">
        <f t="shared" si="13"/>
        <v>373000.33409976959</v>
      </c>
      <c r="T139"/>
      <c r="V139" s="2">
        <v>2005</v>
      </c>
      <c r="W139" s="2">
        <f t="shared" si="14"/>
        <v>294096.16750001907</v>
      </c>
    </row>
    <row r="140" spans="2:23">
      <c r="B140" s="2">
        <v>1941</v>
      </c>
      <c r="C140" s="7">
        <v>522646</v>
      </c>
      <c r="D140" s="6" t="s">
        <v>28</v>
      </c>
      <c r="E140" s="7">
        <v>266753</v>
      </c>
      <c r="F140" s="7">
        <v>255893</v>
      </c>
      <c r="J140" s="2">
        <v>2006</v>
      </c>
      <c r="K140" s="2">
        <f t="shared" si="13"/>
        <v>395567.21679973602</v>
      </c>
      <c r="T140"/>
      <c r="V140" s="2">
        <v>2006</v>
      </c>
      <c r="W140" s="2">
        <f t="shared" si="14"/>
        <v>310286.56300020218</v>
      </c>
    </row>
    <row r="141" spans="2:23">
      <c r="B141" s="2">
        <v>1941</v>
      </c>
      <c r="C141" s="7">
        <v>473152</v>
      </c>
      <c r="D141" s="6" t="s">
        <v>29</v>
      </c>
      <c r="E141" s="7">
        <v>246333</v>
      </c>
      <c r="F141" s="7">
        <v>226819</v>
      </c>
      <c r="J141" s="2">
        <v>2007</v>
      </c>
      <c r="K141" s="2">
        <f t="shared" si="13"/>
        <v>419625.82150030136</v>
      </c>
      <c r="T141"/>
      <c r="V141" s="2">
        <v>2007</v>
      </c>
      <c r="W141" s="2">
        <f t="shared" si="14"/>
        <v>327568.06669998169</v>
      </c>
    </row>
    <row r="142" spans="2:23">
      <c r="B142" s="2">
        <v>1941</v>
      </c>
      <c r="C142" s="7">
        <v>402521</v>
      </c>
      <c r="D142" s="6" t="s">
        <v>30</v>
      </c>
      <c r="E142" s="7">
        <v>190892</v>
      </c>
      <c r="F142" s="7">
        <v>211629</v>
      </c>
      <c r="J142" s="2">
        <v>2008</v>
      </c>
      <c r="K142" s="2">
        <f t="shared" si="13"/>
        <v>445176.14819955826</v>
      </c>
      <c r="T142"/>
      <c r="V142" s="2">
        <v>2008</v>
      </c>
      <c r="W142" s="2">
        <f t="shared" si="14"/>
        <v>345940.67860031128</v>
      </c>
    </row>
    <row r="143" spans="2:23">
      <c r="B143" s="2">
        <v>1941</v>
      </c>
      <c r="C143" s="7">
        <v>373287</v>
      </c>
      <c r="D143" s="6" t="s">
        <v>31</v>
      </c>
      <c r="E143" s="7">
        <v>182714</v>
      </c>
      <c r="F143" s="7">
        <v>190573</v>
      </c>
      <c r="J143" s="2">
        <v>2009</v>
      </c>
      <c r="K143" s="2">
        <f t="shared" si="13"/>
        <v>472218.1968998909</v>
      </c>
      <c r="T143"/>
      <c r="V143" s="2">
        <v>2009</v>
      </c>
      <c r="W143" s="2">
        <f t="shared" si="14"/>
        <v>365404.39870071411</v>
      </c>
    </row>
    <row r="144" spans="2:23">
      <c r="B144" s="2">
        <v>1941</v>
      </c>
      <c r="C144" s="7">
        <v>321653</v>
      </c>
      <c r="D144" s="6" t="s">
        <v>32</v>
      </c>
      <c r="E144" s="7">
        <v>154307</v>
      </c>
      <c r="F144" s="7">
        <v>167346</v>
      </c>
      <c r="J144" s="2">
        <v>2010</v>
      </c>
      <c r="K144" s="2">
        <f t="shared" si="13"/>
        <v>500751.96759986877</v>
      </c>
      <c r="T144"/>
      <c r="V144" s="2">
        <v>2010</v>
      </c>
      <c r="W144" s="2">
        <f t="shared" si="14"/>
        <v>385959.22699975967</v>
      </c>
    </row>
    <row r="145" spans="2:23">
      <c r="B145" s="2">
        <v>1941</v>
      </c>
      <c r="C145" s="7">
        <v>251468</v>
      </c>
      <c r="D145" s="6" t="s">
        <v>33</v>
      </c>
      <c r="E145" s="7">
        <v>124440</v>
      </c>
      <c r="F145" s="7">
        <v>127028</v>
      </c>
      <c r="J145" s="91">
        <v>2011</v>
      </c>
      <c r="K145" s="91">
        <f t="shared" si="13"/>
        <v>530777.46029996872</v>
      </c>
      <c r="T145"/>
      <c r="V145" s="91">
        <v>2011</v>
      </c>
      <c r="W145" s="91">
        <f t="shared" si="14"/>
        <v>407605.16349983215</v>
      </c>
    </row>
    <row r="146" spans="2:23">
      <c r="B146" s="2">
        <v>1941</v>
      </c>
      <c r="C146" s="7">
        <v>215279</v>
      </c>
      <c r="D146" s="6" t="s">
        <v>34</v>
      </c>
      <c r="E146" s="7">
        <v>106042</v>
      </c>
      <c r="F146" s="7">
        <v>109237</v>
      </c>
    </row>
    <row r="147" spans="2:23">
      <c r="B147" s="2">
        <v>1941</v>
      </c>
      <c r="C147" s="7">
        <v>190461</v>
      </c>
      <c r="D147" s="6" t="s">
        <v>35</v>
      </c>
      <c r="E147" s="7">
        <v>93873</v>
      </c>
      <c r="F147" s="7">
        <v>96588</v>
      </c>
      <c r="K147">
        <f xml:space="preserve"> 185.8861</f>
        <v>185.8861</v>
      </c>
      <c r="T147"/>
      <c r="W147">
        <f xml:space="preserve"> 13.2532</f>
        <v>13.2532</v>
      </c>
    </row>
    <row r="148" spans="2:23">
      <c r="B148" s="2">
        <v>1941</v>
      </c>
      <c r="C148" s="7">
        <v>152074</v>
      </c>
      <c r="D148" s="6" t="s">
        <v>36</v>
      </c>
      <c r="E148" s="7">
        <v>79815</v>
      </c>
      <c r="F148" s="7">
        <v>72259</v>
      </c>
      <c r="K148" s="54">
        <v>-736832.52249999996</v>
      </c>
      <c r="T148"/>
      <c r="W148" s="54">
        <v>-48249.525999999998</v>
      </c>
    </row>
    <row r="149" spans="2:23">
      <c r="B149" s="2">
        <v>1941</v>
      </c>
      <c r="C149" s="7">
        <v>118307</v>
      </c>
      <c r="D149" s="6" t="s">
        <v>37</v>
      </c>
      <c r="E149" s="7">
        <v>57600</v>
      </c>
      <c r="F149" s="7">
        <v>60707</v>
      </c>
      <c r="K149" s="54">
        <v>730291822.3247</v>
      </c>
      <c r="T149"/>
      <c r="W149" s="54">
        <v>43621348.220799997</v>
      </c>
    </row>
    <row r="150" spans="2:23">
      <c r="B150" s="2">
        <v>1941</v>
      </c>
      <c r="C150" s="7">
        <v>76601</v>
      </c>
      <c r="D150" s="6" t="s">
        <v>38</v>
      </c>
      <c r="E150" s="7">
        <v>38303</v>
      </c>
      <c r="F150" s="7">
        <v>38298</v>
      </c>
      <c r="H150" s="52" t="s">
        <v>91</v>
      </c>
      <c r="I150" s="53" t="s">
        <v>40</v>
      </c>
      <c r="K150" s="2" t="s">
        <v>94</v>
      </c>
      <c r="T150" s="52" t="s">
        <v>91</v>
      </c>
      <c r="U150" s="53" t="s">
        <v>41</v>
      </c>
      <c r="W150" s="2" t="s">
        <v>94</v>
      </c>
    </row>
    <row r="151" spans="2:23">
      <c r="B151" s="2">
        <v>1941</v>
      </c>
      <c r="C151" s="7">
        <v>72612</v>
      </c>
      <c r="D151" s="6" t="s">
        <v>39</v>
      </c>
      <c r="E151" s="7">
        <v>31757</v>
      </c>
      <c r="F151" s="7">
        <v>40855</v>
      </c>
      <c r="H151" s="51">
        <v>1990</v>
      </c>
      <c r="I151" s="56">
        <v>122834</v>
      </c>
      <c r="J151" s="2">
        <v>1995</v>
      </c>
      <c r="K151" s="2">
        <f>+J151^2*$K$147+J151*$K$148+$K$149</f>
        <v>142265.08970022202</v>
      </c>
      <c r="T151" s="51">
        <v>1990</v>
      </c>
      <c r="U151" s="56">
        <v>88974</v>
      </c>
      <c r="V151" s="2">
        <v>1995</v>
      </c>
      <c r="W151" s="2">
        <f>+V151^2*$W$147+V151*$W$148+$W$149</f>
        <v>111611.18080000579</v>
      </c>
    </row>
    <row r="152" spans="2:23">
      <c r="B152" s="2">
        <v>1941</v>
      </c>
      <c r="C152" s="7">
        <v>35252</v>
      </c>
      <c r="D152" s="6" t="s">
        <v>40</v>
      </c>
      <c r="E152" s="7">
        <v>16089</v>
      </c>
      <c r="F152" s="7">
        <v>19163</v>
      </c>
      <c r="H152" s="51">
        <v>2001</v>
      </c>
      <c r="I152" s="92">
        <v>178264</v>
      </c>
      <c r="J152" s="2">
        <v>1996</v>
      </c>
      <c r="K152" s="2">
        <f t="shared" ref="K152:K167" si="15">+J152^2*$K$147+J152*$K$148+$K$149</f>
        <v>147303.99230015278</v>
      </c>
      <c r="T152" s="51">
        <v>2001</v>
      </c>
      <c r="U152" s="92">
        <v>140060</v>
      </c>
      <c r="V152" s="2">
        <v>1996</v>
      </c>
      <c r="W152" s="2">
        <f t="shared" ref="W152:W167" si="16">+V152^2*$W$147+V152*$W$148+$W$149</f>
        <v>116255.17599999905</v>
      </c>
    </row>
    <row r="153" spans="2:23">
      <c r="B153" s="2">
        <v>1941</v>
      </c>
      <c r="C153" s="7">
        <v>26920</v>
      </c>
      <c r="D153" s="6" t="s">
        <v>41</v>
      </c>
      <c r="E153" s="7">
        <v>10478</v>
      </c>
      <c r="F153" s="7">
        <v>16442</v>
      </c>
      <c r="H153" s="51">
        <v>2011</v>
      </c>
      <c r="I153" s="92">
        <v>267691</v>
      </c>
      <c r="J153" s="2">
        <v>1997</v>
      </c>
      <c r="K153" s="2">
        <f t="shared" si="15"/>
        <v>152714.66710007191</v>
      </c>
      <c r="T153" s="51">
        <v>2011</v>
      </c>
      <c r="U153" s="92">
        <v>189285</v>
      </c>
      <c r="V153" s="2">
        <v>1997</v>
      </c>
      <c r="W153" s="2">
        <f t="shared" si="16"/>
        <v>120925.67760000378</v>
      </c>
    </row>
    <row r="154" spans="2:23">
      <c r="B154" s="2">
        <v>1941</v>
      </c>
      <c r="C154" s="7">
        <v>13459</v>
      </c>
      <c r="D154" s="6" t="s">
        <v>42</v>
      </c>
      <c r="E154" s="7">
        <v>5521</v>
      </c>
      <c r="F154" s="7">
        <v>7938</v>
      </c>
      <c r="J154" s="2">
        <v>1998</v>
      </c>
      <c r="K154" s="2">
        <f t="shared" si="15"/>
        <v>158497.11410009861</v>
      </c>
      <c r="T154"/>
      <c r="V154" s="2">
        <v>1998</v>
      </c>
      <c r="W154" s="2">
        <f t="shared" si="16"/>
        <v>125622.68559999764</v>
      </c>
    </row>
    <row r="155" spans="2:23">
      <c r="B155" s="2">
        <v>1941</v>
      </c>
      <c r="C155" s="7">
        <v>11503</v>
      </c>
      <c r="D155" s="6" t="s">
        <v>43</v>
      </c>
      <c r="E155" s="7">
        <v>4079</v>
      </c>
      <c r="F155" s="7">
        <v>7424</v>
      </c>
      <c r="J155" s="2">
        <v>1999</v>
      </c>
      <c r="K155" s="2">
        <f t="shared" si="15"/>
        <v>164651.33329999447</v>
      </c>
      <c r="T155"/>
      <c r="V155" s="2">
        <v>1999</v>
      </c>
      <c r="W155" s="2">
        <f t="shared" si="16"/>
        <v>130346.20000000298</v>
      </c>
    </row>
    <row r="156" spans="2:23">
      <c r="B156" s="2">
        <v>1941</v>
      </c>
      <c r="C156" s="7">
        <v>15583</v>
      </c>
      <c r="D156" s="8" t="s">
        <v>44</v>
      </c>
      <c r="E156" s="9">
        <v>7076</v>
      </c>
      <c r="F156" s="9">
        <v>8507</v>
      </c>
      <c r="J156" s="2">
        <v>2000</v>
      </c>
      <c r="K156" s="2">
        <f t="shared" si="15"/>
        <v>171177.3246999979</v>
      </c>
      <c r="T156"/>
      <c r="V156" s="2">
        <v>2000</v>
      </c>
      <c r="W156" s="2">
        <f t="shared" si="16"/>
        <v>135096.22079999745</v>
      </c>
    </row>
    <row r="157" spans="2:23">
      <c r="B157" s="2">
        <v>1936</v>
      </c>
      <c r="C157" s="5">
        <v>3364347</v>
      </c>
      <c r="D157" s="4" t="s">
        <v>20</v>
      </c>
      <c r="E157" s="5">
        <v>1652130</v>
      </c>
      <c r="F157" s="5">
        <v>1712217</v>
      </c>
      <c r="J157" s="91">
        <v>2001</v>
      </c>
      <c r="K157" s="91">
        <f t="shared" si="15"/>
        <v>178075.0882999897</v>
      </c>
      <c r="T157"/>
      <c r="V157" s="91">
        <v>2001</v>
      </c>
      <c r="W157" s="91">
        <f t="shared" si="16"/>
        <v>139872.7480000034</v>
      </c>
    </row>
    <row r="158" spans="2:23">
      <c r="B158" s="2">
        <v>1936</v>
      </c>
      <c r="C158" s="7">
        <v>473628</v>
      </c>
      <c r="D158" s="6" t="s">
        <v>27</v>
      </c>
      <c r="E158" s="7">
        <v>240120</v>
      </c>
      <c r="F158" s="7">
        <v>233508</v>
      </c>
      <c r="J158" s="2">
        <v>2002</v>
      </c>
      <c r="K158" s="2">
        <f t="shared" si="15"/>
        <v>185344.62410020828</v>
      </c>
      <c r="T158"/>
      <c r="V158" s="2">
        <v>2002</v>
      </c>
      <c r="W158" s="2">
        <f t="shared" si="16"/>
        <v>144675.78159999847</v>
      </c>
    </row>
    <row r="159" spans="2:23">
      <c r="B159" s="2">
        <v>1936</v>
      </c>
      <c r="C159" s="7">
        <v>471508</v>
      </c>
      <c r="D159" s="6" t="s">
        <v>28</v>
      </c>
      <c r="E159" s="7">
        <v>241375</v>
      </c>
      <c r="F159" s="7">
        <v>230133</v>
      </c>
      <c r="J159" s="2">
        <v>2003</v>
      </c>
      <c r="K159" s="2">
        <f t="shared" si="15"/>
        <v>192985.93210017681</v>
      </c>
      <c r="T159"/>
      <c r="V159" s="2">
        <v>2003</v>
      </c>
      <c r="W159" s="2">
        <f t="shared" si="16"/>
        <v>149505.32160000503</v>
      </c>
    </row>
    <row r="160" spans="2:23">
      <c r="B160" s="2">
        <v>1936</v>
      </c>
      <c r="C160" s="7">
        <v>412115</v>
      </c>
      <c r="D160" s="6" t="s">
        <v>29</v>
      </c>
      <c r="E160" s="7">
        <v>214908</v>
      </c>
      <c r="F160" s="7">
        <v>197207</v>
      </c>
      <c r="J160" s="2">
        <v>2004</v>
      </c>
      <c r="K160" s="2">
        <f t="shared" si="15"/>
        <v>200999.01230013371</v>
      </c>
      <c r="T160"/>
      <c r="V160" s="2">
        <v>2004</v>
      </c>
      <c r="W160" s="2">
        <f t="shared" si="16"/>
        <v>154361.36799999326</v>
      </c>
    </row>
    <row r="161" spans="2:23">
      <c r="B161" s="2">
        <v>1936</v>
      </c>
      <c r="C161" s="7">
        <v>349040</v>
      </c>
      <c r="D161" s="6" t="s">
        <v>30</v>
      </c>
      <c r="E161" s="7">
        <v>164434</v>
      </c>
      <c r="F161" s="7">
        <v>184606</v>
      </c>
      <c r="J161" s="2">
        <v>2005</v>
      </c>
      <c r="K161" s="2">
        <f t="shared" si="15"/>
        <v>209383.86470007896</v>
      </c>
      <c r="T161"/>
      <c r="V161" s="2">
        <v>2005</v>
      </c>
      <c r="W161" s="2">
        <f t="shared" si="16"/>
        <v>159243.92080000043</v>
      </c>
    </row>
    <row r="162" spans="2:23">
      <c r="B162" s="2">
        <v>1936</v>
      </c>
      <c r="C162" s="7">
        <v>333070</v>
      </c>
      <c r="D162" s="6" t="s">
        <v>31</v>
      </c>
      <c r="E162" s="7">
        <v>158839</v>
      </c>
      <c r="F162" s="7">
        <v>174231</v>
      </c>
      <c r="J162" s="2">
        <v>2006</v>
      </c>
      <c r="K162" s="2">
        <f t="shared" si="15"/>
        <v>218140.48930001259</v>
      </c>
      <c r="T162"/>
      <c r="V162" s="2">
        <v>2006</v>
      </c>
      <c r="W162" s="2">
        <f t="shared" si="16"/>
        <v>164152.97999998927</v>
      </c>
    </row>
    <row r="163" spans="2:23">
      <c r="B163" s="2">
        <v>1936</v>
      </c>
      <c r="C163" s="7">
        <v>285065</v>
      </c>
      <c r="D163" s="6" t="s">
        <v>32</v>
      </c>
      <c r="E163" s="7">
        <v>135653</v>
      </c>
      <c r="F163" s="7">
        <v>149412</v>
      </c>
      <c r="J163" s="2">
        <v>2007</v>
      </c>
      <c r="K163" s="2">
        <f t="shared" si="15"/>
        <v>227268.88609993458</v>
      </c>
      <c r="T163"/>
      <c r="V163" s="2">
        <v>2007</v>
      </c>
      <c r="W163" s="2">
        <f t="shared" si="16"/>
        <v>169088.54559999704</v>
      </c>
    </row>
    <row r="164" spans="2:23">
      <c r="B164" s="2">
        <v>1936</v>
      </c>
      <c r="C164" s="7">
        <v>217779</v>
      </c>
      <c r="D164" s="6" t="s">
        <v>33</v>
      </c>
      <c r="E164" s="7">
        <v>104115</v>
      </c>
      <c r="F164" s="7">
        <v>113664</v>
      </c>
      <c r="J164" s="2">
        <v>2008</v>
      </c>
      <c r="K164" s="2">
        <f t="shared" si="15"/>
        <v>236769.05510020256</v>
      </c>
      <c r="T164"/>
      <c r="V164" s="2">
        <v>2008</v>
      </c>
      <c r="W164" s="2">
        <f t="shared" si="16"/>
        <v>174050.61760000885</v>
      </c>
    </row>
    <row r="165" spans="2:23">
      <c r="B165" s="2">
        <v>1936</v>
      </c>
      <c r="C165" s="7">
        <v>200191</v>
      </c>
      <c r="D165" s="6" t="s">
        <v>34</v>
      </c>
      <c r="E165" s="7">
        <v>98195</v>
      </c>
      <c r="F165" s="7">
        <v>101996</v>
      </c>
      <c r="J165" s="2">
        <v>2009</v>
      </c>
      <c r="K165" s="2">
        <f t="shared" si="15"/>
        <v>246640.99630010128</v>
      </c>
      <c r="T165"/>
      <c r="V165" s="2">
        <v>2009</v>
      </c>
      <c r="W165" s="2">
        <f t="shared" si="16"/>
        <v>179039.19600000232</v>
      </c>
    </row>
    <row r="166" spans="2:23">
      <c r="B166" s="2">
        <v>1936</v>
      </c>
      <c r="C166" s="7">
        <v>168589</v>
      </c>
      <c r="D166" s="6" t="s">
        <v>35</v>
      </c>
      <c r="E166" s="7">
        <v>80264</v>
      </c>
      <c r="F166" s="7">
        <v>88325</v>
      </c>
      <c r="J166" s="2">
        <v>2010</v>
      </c>
      <c r="K166" s="2">
        <f t="shared" si="15"/>
        <v>256884.70970010757</v>
      </c>
      <c r="T166"/>
      <c r="V166" s="2">
        <v>2010</v>
      </c>
      <c r="W166" s="2">
        <f t="shared" si="16"/>
        <v>184054.28080000728</v>
      </c>
    </row>
    <row r="167" spans="2:23">
      <c r="B167" s="2">
        <v>1936</v>
      </c>
      <c r="C167" s="7">
        <v>125202</v>
      </c>
      <c r="D167" s="6" t="s">
        <v>36</v>
      </c>
      <c r="E167" s="7">
        <v>65393</v>
      </c>
      <c r="F167" s="7">
        <v>59809</v>
      </c>
      <c r="J167" s="91">
        <v>2011</v>
      </c>
      <c r="K167" s="91">
        <f t="shared" si="15"/>
        <v>267500.19530010223</v>
      </c>
      <c r="T167"/>
      <c r="V167" s="91">
        <v>2011</v>
      </c>
      <c r="W167" s="91">
        <f t="shared" si="16"/>
        <v>189095.87199999392</v>
      </c>
    </row>
    <row r="168" spans="2:23">
      <c r="B168" s="2">
        <v>1936</v>
      </c>
      <c r="C168" s="7">
        <v>111159</v>
      </c>
      <c r="D168" s="6" t="s">
        <v>37</v>
      </c>
      <c r="E168" s="7">
        <v>52251</v>
      </c>
      <c r="F168" s="7">
        <v>58908</v>
      </c>
    </row>
    <row r="169" spans="2:23">
      <c r="B169" s="2">
        <v>1936</v>
      </c>
      <c r="C169" s="7">
        <v>65039</v>
      </c>
      <c r="D169" s="6" t="s">
        <v>38</v>
      </c>
      <c r="E169" s="7">
        <v>32890</v>
      </c>
      <c r="F169" s="7">
        <v>32149</v>
      </c>
      <c r="K169">
        <f xml:space="preserve"> 21.6468</f>
        <v>21.646799999999999</v>
      </c>
      <c r="T169"/>
      <c r="W169">
        <f xml:space="preserve"> 62.3338</f>
        <v>62.333799999999997</v>
      </c>
    </row>
    <row r="170" spans="2:23">
      <c r="B170" s="2">
        <v>1936</v>
      </c>
      <c r="C170" s="7">
        <v>66708</v>
      </c>
      <c r="D170" s="6" t="s">
        <v>39</v>
      </c>
      <c r="E170" s="7">
        <v>28734</v>
      </c>
      <c r="F170" s="7">
        <v>37974</v>
      </c>
      <c r="K170" s="54">
        <v>-83164.373999999996</v>
      </c>
      <c r="T170"/>
      <c r="W170" s="54">
        <v>-247443.97010000001</v>
      </c>
    </row>
    <row r="171" spans="2:23">
      <c r="B171" s="2">
        <v>1936</v>
      </c>
      <c r="C171" s="7">
        <v>29652</v>
      </c>
      <c r="D171" s="6" t="s">
        <v>40</v>
      </c>
      <c r="E171" s="7">
        <v>13591</v>
      </c>
      <c r="F171" s="7">
        <v>16061</v>
      </c>
      <c r="K171" s="54">
        <v>79831592.779200003</v>
      </c>
      <c r="T171"/>
      <c r="W171" s="54">
        <v>245603526.89610001</v>
      </c>
    </row>
    <row r="172" spans="2:23">
      <c r="B172" s="2">
        <v>1936</v>
      </c>
      <c r="C172" s="7">
        <v>23248</v>
      </c>
      <c r="D172" s="6" t="s">
        <v>41</v>
      </c>
      <c r="E172" s="7">
        <v>9200</v>
      </c>
      <c r="F172" s="7">
        <v>14048</v>
      </c>
      <c r="H172" s="52" t="s">
        <v>91</v>
      </c>
      <c r="I172" s="53" t="s">
        <v>42</v>
      </c>
      <c r="K172" s="2" t="s">
        <v>94</v>
      </c>
      <c r="T172" s="52" t="s">
        <v>91</v>
      </c>
      <c r="U172" s="53" t="s">
        <v>43</v>
      </c>
      <c r="W172" s="2" t="s">
        <v>94</v>
      </c>
    </row>
    <row r="173" spans="2:23">
      <c r="B173" s="2">
        <v>1936</v>
      </c>
      <c r="C173" s="7">
        <v>10926</v>
      </c>
      <c r="D173" s="6" t="s">
        <v>42</v>
      </c>
      <c r="E173" s="7">
        <v>4498</v>
      </c>
      <c r="F173" s="7">
        <v>6428</v>
      </c>
      <c r="H173" s="51">
        <v>1990</v>
      </c>
      <c r="I173" s="56">
        <v>57796</v>
      </c>
      <c r="J173" s="2">
        <v>1995</v>
      </c>
      <c r="K173" s="2">
        <f>+J173^2*$K$169+J173*$K$170+$K$171</f>
        <v>73471.819200009108</v>
      </c>
      <c r="T173" s="51">
        <v>1990</v>
      </c>
      <c r="U173" s="56">
        <v>37974</v>
      </c>
      <c r="V173" s="2">
        <v>1995</v>
      </c>
      <c r="W173" s="2">
        <f>+V173^2*$W$169+V173*$W$170+$W$171</f>
        <v>42888.891600012779</v>
      </c>
    </row>
    <row r="174" spans="2:23">
      <c r="B174" s="2">
        <v>1936</v>
      </c>
      <c r="C174" s="7">
        <v>10202</v>
      </c>
      <c r="D174" s="6" t="s">
        <v>43</v>
      </c>
      <c r="E174" s="7">
        <v>3407</v>
      </c>
      <c r="F174" s="7">
        <v>6795</v>
      </c>
      <c r="H174" s="51">
        <v>2001</v>
      </c>
      <c r="I174" s="92">
        <v>93302</v>
      </c>
      <c r="J174" s="2">
        <v>1996</v>
      </c>
      <c r="K174" s="2">
        <f t="shared" ref="K174:K189" si="17">+J174^2*$K$169+J174*$K$170+$K$171</f>
        <v>76699.824000015855</v>
      </c>
      <c r="T174" s="51">
        <v>2001</v>
      </c>
      <c r="U174" s="92">
        <v>52605</v>
      </c>
      <c r="V174" s="2">
        <v>1996</v>
      </c>
      <c r="W174" s="2">
        <f t="shared" ref="W174:W189" si="18">+V174^2*$W$169+V174*$W$170+$W$171</f>
        <v>44219.117300003767</v>
      </c>
    </row>
    <row r="175" spans="2:23">
      <c r="B175" s="2">
        <v>1936</v>
      </c>
      <c r="C175" s="7">
        <v>11226</v>
      </c>
      <c r="D175" s="8" t="s">
        <v>44</v>
      </c>
      <c r="E175" s="9">
        <v>4263</v>
      </c>
      <c r="F175" s="9">
        <v>6963</v>
      </c>
      <c r="H175" s="51">
        <v>2011</v>
      </c>
      <c r="I175" s="92">
        <v>130126</v>
      </c>
      <c r="J175" s="2">
        <v>1997</v>
      </c>
      <c r="K175" s="2">
        <f t="shared" si="17"/>
        <v>79971.122400000691</v>
      </c>
      <c r="T175" s="51">
        <v>2011</v>
      </c>
      <c r="U175" s="92">
        <v>78996</v>
      </c>
      <c r="V175" s="2">
        <v>1997</v>
      </c>
      <c r="W175" s="2">
        <f t="shared" si="18"/>
        <v>45674.010599970818</v>
      </c>
    </row>
    <row r="176" spans="2:23">
      <c r="B176" s="2">
        <v>1926</v>
      </c>
      <c r="C176" s="5">
        <v>2890720</v>
      </c>
      <c r="D176" s="4" t="s">
        <v>20</v>
      </c>
      <c r="E176" s="5">
        <v>1414590</v>
      </c>
      <c r="F176" s="5">
        <v>1476130</v>
      </c>
      <c r="J176" s="2">
        <v>1998</v>
      </c>
      <c r="K176" s="2">
        <f t="shared" si="17"/>
        <v>83285.71439999342</v>
      </c>
      <c r="T176"/>
      <c r="V176" s="2">
        <v>1998</v>
      </c>
      <c r="W176" s="2">
        <f t="shared" si="18"/>
        <v>47253.571499973536</v>
      </c>
    </row>
    <row r="177" spans="2:23">
      <c r="B177" s="2">
        <v>1926</v>
      </c>
      <c r="C177" s="7">
        <v>383236</v>
      </c>
      <c r="D177" s="6" t="s">
        <v>27</v>
      </c>
      <c r="E177" s="7">
        <v>192264</v>
      </c>
      <c r="F177" s="7">
        <v>190972</v>
      </c>
      <c r="J177" s="2">
        <v>1999</v>
      </c>
      <c r="K177" s="2">
        <f t="shared" si="17"/>
        <v>86643.600000008941</v>
      </c>
      <c r="T177"/>
      <c r="V177" s="2">
        <v>1999</v>
      </c>
      <c r="W177" s="2">
        <f t="shared" si="18"/>
        <v>48957.800000011921</v>
      </c>
    </row>
    <row r="178" spans="2:23">
      <c r="B178" s="2">
        <v>1926</v>
      </c>
      <c r="C178" s="7">
        <v>338372</v>
      </c>
      <c r="D178" s="6" t="s">
        <v>28</v>
      </c>
      <c r="E178" s="7">
        <v>172610</v>
      </c>
      <c r="F178" s="7">
        <v>165762</v>
      </c>
      <c r="J178" s="2">
        <v>2000</v>
      </c>
      <c r="K178" s="2">
        <f t="shared" si="17"/>
        <v>90044.779200002551</v>
      </c>
      <c r="T178"/>
      <c r="V178" s="2">
        <v>2000</v>
      </c>
      <c r="W178" s="2">
        <f t="shared" si="18"/>
        <v>50786.696100026369</v>
      </c>
    </row>
    <row r="179" spans="2:23">
      <c r="B179" s="2">
        <v>1926</v>
      </c>
      <c r="C179" s="7">
        <v>326781</v>
      </c>
      <c r="D179" s="6" t="s">
        <v>29</v>
      </c>
      <c r="E179" s="7">
        <v>168508</v>
      </c>
      <c r="F179" s="7">
        <v>158273</v>
      </c>
      <c r="J179" s="91">
        <v>2001</v>
      </c>
      <c r="K179" s="91">
        <f t="shared" si="17"/>
        <v>93489.252000018954</v>
      </c>
      <c r="T179"/>
      <c r="V179" s="91">
        <v>2001</v>
      </c>
      <c r="W179" s="91">
        <f t="shared" si="18"/>
        <v>52740.259799957275</v>
      </c>
    </row>
    <row r="180" spans="2:23">
      <c r="B180" s="2">
        <v>1926</v>
      </c>
      <c r="C180" s="7">
        <v>309247</v>
      </c>
      <c r="D180" s="6" t="s">
        <v>30</v>
      </c>
      <c r="E180" s="7">
        <v>148420</v>
      </c>
      <c r="F180" s="7">
        <v>160827</v>
      </c>
      <c r="J180" s="2">
        <v>2002</v>
      </c>
      <c r="K180" s="2">
        <f t="shared" si="17"/>
        <v>96977.018399998546</v>
      </c>
      <c r="T180"/>
      <c r="V180" s="2">
        <v>2002</v>
      </c>
      <c r="W180" s="2">
        <f t="shared" si="18"/>
        <v>54818.491099983454</v>
      </c>
    </row>
    <row r="181" spans="2:23">
      <c r="B181" s="2">
        <v>1926</v>
      </c>
      <c r="C181" s="7">
        <v>273599</v>
      </c>
      <c r="D181" s="6" t="s">
        <v>31</v>
      </c>
      <c r="E181" s="7">
        <v>130616</v>
      </c>
      <c r="F181" s="7">
        <v>142983</v>
      </c>
      <c r="J181" s="2">
        <v>2003</v>
      </c>
      <c r="K181" s="2">
        <f t="shared" si="17"/>
        <v>100508.07840001583</v>
      </c>
      <c r="T181"/>
      <c r="V181" s="2">
        <v>2003</v>
      </c>
      <c r="W181" s="2">
        <f t="shared" si="18"/>
        <v>57021.389999985695</v>
      </c>
    </row>
    <row r="182" spans="2:23">
      <c r="B182" s="2">
        <v>1926</v>
      </c>
      <c r="C182" s="7">
        <v>252367</v>
      </c>
      <c r="D182" s="6" t="s">
        <v>32</v>
      </c>
      <c r="E182" s="7">
        <v>119159</v>
      </c>
      <c r="F182" s="7">
        <v>133208</v>
      </c>
      <c r="J182" s="2">
        <v>2004</v>
      </c>
      <c r="K182" s="2">
        <f t="shared" si="17"/>
        <v>104082.43200001121</v>
      </c>
      <c r="T182"/>
      <c r="V182" s="2">
        <v>2004</v>
      </c>
      <c r="W182" s="2">
        <f t="shared" si="18"/>
        <v>59348.956500023603</v>
      </c>
    </row>
    <row r="183" spans="2:23">
      <c r="B183" s="2">
        <v>1926</v>
      </c>
      <c r="C183" s="7">
        <v>216612</v>
      </c>
      <c r="D183" s="6" t="s">
        <v>33</v>
      </c>
      <c r="E183" s="7">
        <v>102748</v>
      </c>
      <c r="F183" s="7">
        <v>113864</v>
      </c>
      <c r="J183" s="2">
        <v>2005</v>
      </c>
      <c r="K183" s="2">
        <f t="shared" si="17"/>
        <v>107700.07919999957</v>
      </c>
      <c r="T183"/>
      <c r="V183" s="2">
        <v>2005</v>
      </c>
      <c r="W183" s="2">
        <f t="shared" si="18"/>
        <v>61801.19059997797</v>
      </c>
    </row>
    <row r="184" spans="2:23">
      <c r="B184" s="2">
        <v>1926</v>
      </c>
      <c r="C184" s="7">
        <v>167592</v>
      </c>
      <c r="D184" s="6" t="s">
        <v>34</v>
      </c>
      <c r="E184" s="7">
        <v>80202</v>
      </c>
      <c r="F184" s="7">
        <v>87390</v>
      </c>
      <c r="J184" s="2">
        <v>2006</v>
      </c>
      <c r="K184" s="2">
        <f t="shared" si="17"/>
        <v>111361.02000001073</v>
      </c>
      <c r="T184"/>
      <c r="V184" s="2">
        <v>2006</v>
      </c>
      <c r="W184" s="2">
        <f t="shared" si="18"/>
        <v>64378.092299968004</v>
      </c>
    </row>
    <row r="185" spans="2:23">
      <c r="B185" s="2">
        <v>1926</v>
      </c>
      <c r="C185" s="7">
        <v>150735</v>
      </c>
      <c r="D185" s="6" t="s">
        <v>35</v>
      </c>
      <c r="E185" s="7">
        <v>71605</v>
      </c>
      <c r="F185" s="7">
        <v>79130</v>
      </c>
      <c r="J185" s="2">
        <v>2007</v>
      </c>
      <c r="K185" s="2">
        <f t="shared" si="17"/>
        <v>115065.25439999998</v>
      </c>
      <c r="T185"/>
      <c r="V185" s="2">
        <v>2007</v>
      </c>
      <c r="W185" s="2">
        <f t="shared" si="18"/>
        <v>67079.661599993706</v>
      </c>
    </row>
    <row r="186" spans="2:23">
      <c r="B186" s="2">
        <v>1926</v>
      </c>
      <c r="C186" s="7">
        <v>106915</v>
      </c>
      <c r="D186" s="6" t="s">
        <v>36</v>
      </c>
      <c r="E186" s="7">
        <v>54991</v>
      </c>
      <c r="F186" s="7">
        <v>51924</v>
      </c>
      <c r="J186" s="2">
        <v>2008</v>
      </c>
      <c r="K186" s="2">
        <f t="shared" si="17"/>
        <v>118812.78240001202</v>
      </c>
      <c r="T186"/>
      <c r="V186" s="2">
        <v>2008</v>
      </c>
      <c r="W186" s="2">
        <f t="shared" si="18"/>
        <v>69905.89849999547</v>
      </c>
    </row>
    <row r="187" spans="2:23">
      <c r="B187" s="2">
        <v>1926</v>
      </c>
      <c r="C187" s="7">
        <v>98705</v>
      </c>
      <c r="D187" s="6" t="s">
        <v>37</v>
      </c>
      <c r="E187" s="7">
        <v>47993</v>
      </c>
      <c r="F187" s="7">
        <v>50712</v>
      </c>
      <c r="J187" s="2">
        <v>2009</v>
      </c>
      <c r="K187" s="2">
        <f t="shared" si="17"/>
        <v>122603.60400000215</v>
      </c>
      <c r="T187"/>
      <c r="V187" s="2">
        <v>2009</v>
      </c>
      <c r="W187" s="2">
        <f t="shared" si="18"/>
        <v>72856.802999973297</v>
      </c>
    </row>
    <row r="188" spans="2:23">
      <c r="B188" s="2">
        <v>1926</v>
      </c>
      <c r="C188" s="7">
        <v>46357</v>
      </c>
      <c r="D188" s="6" t="s">
        <v>38</v>
      </c>
      <c r="E188" s="7">
        <v>23661</v>
      </c>
      <c r="F188" s="7">
        <v>22696</v>
      </c>
      <c r="J188" s="2">
        <v>2010</v>
      </c>
      <c r="K188" s="2">
        <f t="shared" si="17"/>
        <v>126437.71920001507</v>
      </c>
      <c r="T188"/>
      <c r="V188" s="2">
        <v>2010</v>
      </c>
      <c r="W188" s="2">
        <f t="shared" si="18"/>
        <v>75932.375099986792</v>
      </c>
    </row>
    <row r="189" spans="2:23">
      <c r="B189" s="2">
        <v>1926</v>
      </c>
      <c r="C189" s="7">
        <v>47801</v>
      </c>
      <c r="D189" s="6" t="s">
        <v>39</v>
      </c>
      <c r="E189" s="7">
        <v>21794</v>
      </c>
      <c r="F189" s="7">
        <v>26007</v>
      </c>
      <c r="J189" s="91">
        <v>2011</v>
      </c>
      <c r="K189" s="91">
        <f t="shared" si="17"/>
        <v>130315.12800000608</v>
      </c>
      <c r="T189"/>
      <c r="V189" s="91">
        <v>2011</v>
      </c>
      <c r="W189" s="91">
        <f t="shared" si="18"/>
        <v>79132.614800006151</v>
      </c>
    </row>
    <row r="190" spans="2:23">
      <c r="B190" s="2">
        <v>1926</v>
      </c>
      <c r="C190" s="7">
        <v>24676</v>
      </c>
      <c r="D190" s="6" t="s">
        <v>40</v>
      </c>
      <c r="E190" s="7">
        <v>11530</v>
      </c>
      <c r="F190" s="7">
        <v>13146</v>
      </c>
    </row>
    <row r="191" spans="2:23">
      <c r="B191" s="2">
        <v>1926</v>
      </c>
      <c r="C191" s="7">
        <v>20515</v>
      </c>
      <c r="D191" s="6" t="s">
        <v>41</v>
      </c>
      <c r="E191" s="7">
        <v>8712</v>
      </c>
      <c r="F191" s="7">
        <v>11803</v>
      </c>
      <c r="K191">
        <f xml:space="preserve"> -30.4286</f>
        <v>-30.428599999999999</v>
      </c>
      <c r="T191"/>
      <c r="W191">
        <f xml:space="preserve"> -7.7983</f>
        <v>-7.7983000000000002</v>
      </c>
    </row>
    <row r="192" spans="2:23">
      <c r="B192" s="2">
        <v>1926</v>
      </c>
      <c r="C192" s="7">
        <v>11516</v>
      </c>
      <c r="D192" s="6" t="s">
        <v>42</v>
      </c>
      <c r="E192" s="7">
        <v>5228</v>
      </c>
      <c r="F192" s="7">
        <v>6288</v>
      </c>
      <c r="K192" s="54">
        <v>139252.42860000001</v>
      </c>
      <c r="T192"/>
      <c r="W192" s="54">
        <v>33006.252800000002</v>
      </c>
    </row>
    <row r="193" spans="2:23">
      <c r="B193" s="2">
        <v>1926</v>
      </c>
      <c r="C193" s="7">
        <v>9880</v>
      </c>
      <c r="D193" s="6" t="s">
        <v>43</v>
      </c>
      <c r="E193" s="7">
        <v>3869</v>
      </c>
      <c r="F193" s="7">
        <v>6011</v>
      </c>
      <c r="K193" s="54">
        <v>-155643650.14289999</v>
      </c>
      <c r="T193"/>
      <c r="W193" s="54">
        <v>-34778066.415600002</v>
      </c>
    </row>
    <row r="194" spans="2:23">
      <c r="B194" s="2">
        <v>1926</v>
      </c>
      <c r="C194" s="7">
        <v>105814</v>
      </c>
      <c r="D194" s="8" t="s">
        <v>44</v>
      </c>
      <c r="E194" s="9">
        <v>50680</v>
      </c>
      <c r="F194" s="9">
        <v>55134</v>
      </c>
      <c r="H194" s="52" t="s">
        <v>91</v>
      </c>
      <c r="I194" s="53" t="s">
        <v>30</v>
      </c>
      <c r="K194" s="2" t="s">
        <v>94</v>
      </c>
      <c r="T194" s="52" t="s">
        <v>91</v>
      </c>
      <c r="U194" s="53" t="s">
        <v>19</v>
      </c>
      <c r="W194" s="2" t="s">
        <v>94</v>
      </c>
    </row>
    <row r="195" spans="2:23">
      <c r="C195" s="7"/>
      <c r="D195" s="6"/>
      <c r="E195" s="7"/>
      <c r="F195" s="7"/>
      <c r="H195" s="51">
        <v>1990</v>
      </c>
      <c r="I195" s="56">
        <v>968497</v>
      </c>
      <c r="J195" s="2">
        <v>1995</v>
      </c>
      <c r="K195" s="2">
        <f>+J195^2*$K$191+J195*$K$192+$K$193</f>
        <v>1058356.1991000473</v>
      </c>
      <c r="T195" s="51">
        <v>1990</v>
      </c>
      <c r="U195" s="56">
        <v>22454</v>
      </c>
      <c r="V195" s="2">
        <v>1995</v>
      </c>
      <c r="W195" s="2">
        <f>+V195^2*$W$191+V195*$W$192+$W$193</f>
        <v>31978.96289999783</v>
      </c>
    </row>
    <row r="196" spans="2:23">
      <c r="C196" s="7"/>
      <c r="D196" s="6"/>
      <c r="E196" s="7"/>
      <c r="F196" s="7"/>
      <c r="H196" s="51">
        <v>2001</v>
      </c>
      <c r="I196" s="92">
        <v>1164429</v>
      </c>
      <c r="J196" s="2">
        <v>1996</v>
      </c>
      <c r="K196" s="2">
        <f t="shared" ref="K196:K211" si="19">+J196^2*$K$191+J196*$K$192+$K$193</f>
        <v>1076168.0851000547</v>
      </c>
      <c r="T196" s="51">
        <v>2001</v>
      </c>
      <c r="U196" s="56">
        <v>43171</v>
      </c>
      <c r="V196" s="2">
        <v>1996</v>
      </c>
      <c r="W196" s="2">
        <f t="shared" ref="W196:W211" si="20">+V196^2*$W$191+V196*$W$192+$W$193</f>
        <v>33862.200400002301</v>
      </c>
    </row>
    <row r="197" spans="2:23">
      <c r="C197" s="7"/>
      <c r="D197" s="6"/>
      <c r="E197" s="7"/>
      <c r="F197" s="7"/>
      <c r="H197" s="51">
        <v>2011</v>
      </c>
      <c r="I197" s="92">
        <v>1336159</v>
      </c>
      <c r="J197" s="2">
        <v>1997</v>
      </c>
      <c r="K197" s="2">
        <f t="shared" si="19"/>
        <v>1093919.1139000058</v>
      </c>
      <c r="T197" s="51">
        <v>2011</v>
      </c>
      <c r="U197" s="2">
        <v>60367</v>
      </c>
      <c r="V197" s="2">
        <v>1997</v>
      </c>
      <c r="W197" s="2">
        <f t="shared" si="20"/>
        <v>35729.84129999578</v>
      </c>
    </row>
    <row r="198" spans="2:23">
      <c r="J198" s="2">
        <v>1998</v>
      </c>
      <c r="K198" s="2">
        <f t="shared" si="19"/>
        <v>1111609.2855000496</v>
      </c>
      <c r="T198"/>
      <c r="V198" s="2">
        <v>1998</v>
      </c>
      <c r="W198" s="2">
        <f t="shared" si="20"/>
        <v>37581.88560000062</v>
      </c>
    </row>
    <row r="199" spans="2:23">
      <c r="J199" s="2">
        <v>1999</v>
      </c>
      <c r="K199" s="2">
        <f t="shared" si="19"/>
        <v>1129238.5999000669</v>
      </c>
      <c r="T199"/>
      <c r="V199" s="2">
        <v>1999</v>
      </c>
      <c r="W199" s="2">
        <f t="shared" si="20"/>
        <v>39418.333300001919</v>
      </c>
    </row>
    <row r="200" spans="2:23">
      <c r="J200" s="2">
        <v>2000</v>
      </c>
      <c r="K200" s="2">
        <f t="shared" si="19"/>
        <v>1146807.0571000576</v>
      </c>
      <c r="T200"/>
      <c r="V200" s="2">
        <v>2000</v>
      </c>
      <c r="W200" s="2">
        <f t="shared" si="20"/>
        <v>41239.184399999678</v>
      </c>
    </row>
    <row r="201" spans="2:23">
      <c r="J201" s="91">
        <v>2001</v>
      </c>
      <c r="K201" s="91">
        <f t="shared" si="19"/>
        <v>1164314.6571000218</v>
      </c>
      <c r="T201"/>
      <c r="V201" s="91">
        <v>2001</v>
      </c>
      <c r="W201" s="91">
        <f t="shared" si="20"/>
        <v>43044.438900001347</v>
      </c>
    </row>
    <row r="202" spans="2:23">
      <c r="J202" s="2">
        <v>2002</v>
      </c>
      <c r="K202" s="2">
        <f t="shared" si="19"/>
        <v>1181761.3999000192</v>
      </c>
      <c r="T202"/>
      <c r="V202" s="2">
        <v>2002</v>
      </c>
      <c r="W202" s="2">
        <f t="shared" si="20"/>
        <v>44834.096799999475</v>
      </c>
    </row>
    <row r="203" spans="2:23">
      <c r="J203" s="2">
        <v>2003</v>
      </c>
      <c r="K203" s="2">
        <f t="shared" si="19"/>
        <v>1199147.2855000496</v>
      </c>
      <c r="T203"/>
      <c r="V203" s="2">
        <v>2003</v>
      </c>
      <c r="W203" s="2">
        <f t="shared" si="20"/>
        <v>46608.158099994063</v>
      </c>
    </row>
    <row r="204" spans="2:23">
      <c r="J204" s="2">
        <v>2004</v>
      </c>
      <c r="K204" s="2">
        <f t="shared" si="19"/>
        <v>1216472.3139000535</v>
      </c>
      <c r="T204"/>
      <c r="V204" s="2">
        <v>2004</v>
      </c>
      <c r="W204" s="2">
        <f t="shared" si="20"/>
        <v>48366.622800007463</v>
      </c>
    </row>
    <row r="205" spans="2:23">
      <c r="J205" s="2">
        <v>2005</v>
      </c>
      <c r="K205" s="2">
        <f t="shared" si="19"/>
        <v>1233736.4851000607</v>
      </c>
      <c r="T205"/>
      <c r="V205" s="2">
        <v>2005</v>
      </c>
      <c r="W205" s="2">
        <f t="shared" si="20"/>
        <v>50109.490900009871</v>
      </c>
    </row>
    <row r="206" spans="2:23">
      <c r="J206" s="2">
        <v>2006</v>
      </c>
      <c r="K206" s="2">
        <f t="shared" si="19"/>
        <v>1250939.7991000414</v>
      </c>
      <c r="T206"/>
      <c r="V206" s="2">
        <v>2006</v>
      </c>
      <c r="W206" s="2">
        <f t="shared" si="20"/>
        <v>51836.762400001287</v>
      </c>
    </row>
    <row r="207" spans="2:23">
      <c r="J207" s="2">
        <v>2007</v>
      </c>
      <c r="K207" s="2">
        <f t="shared" si="19"/>
        <v>1268082.2559000254</v>
      </c>
      <c r="T207"/>
      <c r="V207" s="2">
        <v>2007</v>
      </c>
      <c r="W207" s="2">
        <f t="shared" si="20"/>
        <v>53548.437300004065</v>
      </c>
    </row>
    <row r="208" spans="2:23">
      <c r="J208" s="2">
        <v>2008</v>
      </c>
      <c r="K208" s="2">
        <f t="shared" si="19"/>
        <v>1285163.8555000424</v>
      </c>
      <c r="T208"/>
      <c r="V208" s="2">
        <v>2008</v>
      </c>
      <c r="W208" s="2">
        <f t="shared" si="20"/>
        <v>55244.515599995852</v>
      </c>
    </row>
    <row r="209" spans="10:23">
      <c r="J209" s="2">
        <v>2009</v>
      </c>
      <c r="K209" s="2">
        <f t="shared" si="19"/>
        <v>1302184.5979000628</v>
      </c>
      <c r="T209"/>
      <c r="V209" s="2">
        <v>2009</v>
      </c>
      <c r="W209" s="2">
        <f t="shared" si="20"/>
        <v>56924.997299998999</v>
      </c>
    </row>
    <row r="210" spans="10:23">
      <c r="J210" s="2">
        <v>2010</v>
      </c>
      <c r="K210" s="2">
        <f t="shared" si="19"/>
        <v>1319144.483099997</v>
      </c>
      <c r="T210"/>
      <c r="V210" s="2">
        <v>2010</v>
      </c>
      <c r="W210" s="2">
        <f t="shared" si="20"/>
        <v>58589.882400006056</v>
      </c>
    </row>
    <row r="211" spans="10:23">
      <c r="J211" s="91">
        <v>2011</v>
      </c>
      <c r="K211" s="91">
        <f t="shared" si="19"/>
        <v>1336043.511100024</v>
      </c>
      <c r="T211"/>
      <c r="V211" s="91">
        <v>2011</v>
      </c>
      <c r="W211" s="91">
        <f t="shared" si="20"/>
        <v>60239.170900002122</v>
      </c>
    </row>
  </sheetData>
  <autoFilter ref="B2:F197">
    <filterColumn colId="2"/>
    <sortState ref="B3:F197">
      <sortCondition descending="1" ref="B2:B197"/>
    </sortState>
  </autoFilter>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sheetPr>
    <tabColor rgb="FFC00000"/>
  </sheetPr>
  <dimension ref="B1:AK211"/>
  <sheetViews>
    <sheetView topLeftCell="G1" zoomScale="96" zoomScaleNormal="96" workbookViewId="0">
      <pane ySplit="14" topLeftCell="A185" activePane="bottomLeft" state="frozen"/>
      <selection activeCell="G1" sqref="G1"/>
      <selection pane="bottomLeft" activeCell="I5" sqref="I5"/>
    </sheetView>
  </sheetViews>
  <sheetFormatPr baseColWidth="10" defaultRowHeight="15"/>
  <cols>
    <col min="2" max="2" width="8.5703125" style="2" bestFit="1" customWidth="1"/>
    <col min="3" max="3" width="10.140625" bestFit="1" customWidth="1"/>
    <col min="4" max="4" width="18.5703125" bestFit="1" customWidth="1"/>
    <col min="5" max="5" width="12.7109375" bestFit="1" customWidth="1"/>
    <col min="6" max="6" width="11.85546875" bestFit="1" customWidth="1"/>
    <col min="8" max="8" width="16.5703125" customWidth="1"/>
    <col min="9" max="9" width="21.85546875" style="2" customWidth="1"/>
    <col min="10" max="21" width="10.42578125" style="2" customWidth="1"/>
    <col min="22" max="25" width="8.7109375" style="2" customWidth="1"/>
    <col min="26" max="26" width="7.7109375" style="2" customWidth="1"/>
    <col min="27" max="27" width="9.5703125" style="2" bestFit="1" customWidth="1"/>
    <col min="28" max="28" width="8" style="2" bestFit="1" customWidth="1"/>
    <col min="29" max="30" width="9.5703125" style="2" bestFit="1" customWidth="1"/>
    <col min="31" max="31" width="11.42578125" style="2" customWidth="1"/>
    <col min="32" max="32" width="13.42578125" style="2" bestFit="1" customWidth="1"/>
    <col min="34" max="34" width="11.85546875" bestFit="1" customWidth="1"/>
  </cols>
  <sheetData>
    <row r="1" spans="2:37">
      <c r="B1" t="s">
        <v>26</v>
      </c>
    </row>
    <row r="2" spans="2:37">
      <c r="B2" s="10" t="s">
        <v>21</v>
      </c>
      <c r="C2" s="10" t="s">
        <v>20</v>
      </c>
      <c r="D2" s="10" t="s">
        <v>60</v>
      </c>
      <c r="E2" s="10" t="s">
        <v>24</v>
      </c>
      <c r="F2" s="10" t="s">
        <v>25</v>
      </c>
      <c r="H2" s="50" t="s">
        <v>146</v>
      </c>
      <c r="I2" s="84" t="s">
        <v>93</v>
      </c>
      <c r="J2" s="56"/>
      <c r="K2" s="56"/>
      <c r="L2" s="56"/>
      <c r="M2" s="56"/>
      <c r="N2" s="56"/>
      <c r="O2" s="56"/>
      <c r="P2" s="56"/>
      <c r="Q2" s="56"/>
      <c r="R2" s="56"/>
      <c r="S2" s="56"/>
      <c r="T2" s="56"/>
      <c r="U2" s="56"/>
      <c r="V2" s="56"/>
      <c r="W2" s="56"/>
      <c r="X2" s="56"/>
      <c r="Y2" s="56"/>
      <c r="Z2" s="56"/>
      <c r="AA2" s="56"/>
      <c r="AB2" s="56"/>
      <c r="AC2" s="56"/>
      <c r="AD2" s="56"/>
      <c r="AE2" s="56"/>
      <c r="AF2" s="56"/>
    </row>
    <row r="3" spans="2:37">
      <c r="B3" s="2">
        <v>2011</v>
      </c>
      <c r="C3" s="5">
        <v>27227930</v>
      </c>
      <c r="D3" s="4" t="s">
        <v>20</v>
      </c>
      <c r="E3" s="5">
        <v>13549752</v>
      </c>
      <c r="F3" s="5">
        <v>13678178</v>
      </c>
      <c r="H3" s="50" t="s">
        <v>91</v>
      </c>
      <c r="I3" s="56" t="s">
        <v>27</v>
      </c>
      <c r="J3" s="56" t="s">
        <v>28</v>
      </c>
      <c r="K3" s="56" t="s">
        <v>29</v>
      </c>
      <c r="L3" s="56" t="s">
        <v>30</v>
      </c>
      <c r="M3" s="56" t="s">
        <v>31</v>
      </c>
      <c r="N3" s="56" t="s">
        <v>32</v>
      </c>
      <c r="O3" s="56" t="s">
        <v>33</v>
      </c>
      <c r="P3" s="56" t="s">
        <v>34</v>
      </c>
      <c r="Q3" s="56" t="s">
        <v>35</v>
      </c>
      <c r="R3" s="56" t="s">
        <v>36</v>
      </c>
      <c r="S3" s="56" t="s">
        <v>37</v>
      </c>
      <c r="T3" s="56" t="s">
        <v>38</v>
      </c>
      <c r="U3" s="56" t="s">
        <v>39</v>
      </c>
      <c r="V3" s="56" t="s">
        <v>40</v>
      </c>
      <c r="W3" s="56" t="s">
        <v>41</v>
      </c>
      <c r="X3" s="56" t="s">
        <v>42</v>
      </c>
      <c r="Y3" s="56" t="s">
        <v>43</v>
      </c>
      <c r="Z3" s="56" t="s">
        <v>62</v>
      </c>
      <c r="AA3" s="56" t="s">
        <v>44</v>
      </c>
      <c r="AB3" s="56" t="s">
        <v>61</v>
      </c>
      <c r="AC3" s="56" t="s">
        <v>59</v>
      </c>
      <c r="AD3" s="56" t="s">
        <v>63</v>
      </c>
      <c r="AE3" s="56" t="s">
        <v>20</v>
      </c>
      <c r="AF3" s="56" t="s">
        <v>92</v>
      </c>
    </row>
    <row r="4" spans="2:37">
      <c r="B4" s="2">
        <v>2011</v>
      </c>
      <c r="C4" s="19">
        <v>2437631</v>
      </c>
      <c r="D4" s="6" t="s">
        <v>27</v>
      </c>
      <c r="E4" s="19">
        <v>1254208</v>
      </c>
      <c r="F4" s="19">
        <v>1183423</v>
      </c>
      <c r="H4" s="51">
        <v>1926</v>
      </c>
      <c r="I4" s="56">
        <v>190972</v>
      </c>
      <c r="J4" s="56">
        <v>165762</v>
      </c>
      <c r="K4" s="56">
        <v>158273</v>
      </c>
      <c r="L4" s="56">
        <v>160827</v>
      </c>
      <c r="M4" s="56">
        <v>142983</v>
      </c>
      <c r="N4" s="56">
        <v>133208</v>
      </c>
      <c r="O4" s="56">
        <v>113864</v>
      </c>
      <c r="P4" s="56">
        <v>87390</v>
      </c>
      <c r="Q4" s="56">
        <v>79130</v>
      </c>
      <c r="R4" s="56">
        <v>51924</v>
      </c>
      <c r="S4" s="56">
        <v>50712</v>
      </c>
      <c r="T4" s="56">
        <v>22696</v>
      </c>
      <c r="U4" s="56">
        <v>26007</v>
      </c>
      <c r="V4" s="56">
        <v>13146</v>
      </c>
      <c r="W4" s="56">
        <v>11803</v>
      </c>
      <c r="X4" s="56">
        <v>6288</v>
      </c>
      <c r="Y4" s="56">
        <v>6011</v>
      </c>
      <c r="Z4" s="56"/>
      <c r="AA4" s="56">
        <v>55134</v>
      </c>
      <c r="AB4" s="56"/>
      <c r="AC4" s="56"/>
      <c r="AD4" s="56"/>
      <c r="AE4" s="56">
        <v>1476130</v>
      </c>
      <c r="AF4" s="56">
        <v>2952260</v>
      </c>
      <c r="AG4" s="56">
        <f>+SUM(Z4:AD4)</f>
        <v>55134</v>
      </c>
      <c r="AH4" s="56">
        <f>+Y4</f>
        <v>6011</v>
      </c>
      <c r="AI4" s="57"/>
      <c r="AK4" s="56"/>
    </row>
    <row r="5" spans="2:37">
      <c r="B5" s="2">
        <v>2011</v>
      </c>
      <c r="C5" s="19">
        <v>2402364</v>
      </c>
      <c r="D5" s="6" t="s">
        <v>28</v>
      </c>
      <c r="E5" s="19">
        <v>1236217</v>
      </c>
      <c r="F5" s="19">
        <v>1166147</v>
      </c>
      <c r="H5" s="51">
        <v>1936</v>
      </c>
      <c r="I5" s="56">
        <v>233508</v>
      </c>
      <c r="J5" s="56">
        <v>230133</v>
      </c>
      <c r="K5" s="56">
        <v>197207</v>
      </c>
      <c r="L5" s="56">
        <v>184606</v>
      </c>
      <c r="M5" s="56">
        <v>174231</v>
      </c>
      <c r="N5" s="56">
        <v>149412</v>
      </c>
      <c r="O5" s="56">
        <v>113664</v>
      </c>
      <c r="P5" s="56">
        <v>101996</v>
      </c>
      <c r="Q5" s="56">
        <v>88325</v>
      </c>
      <c r="R5" s="56">
        <v>59809</v>
      </c>
      <c r="S5" s="56">
        <v>58908</v>
      </c>
      <c r="T5" s="56">
        <v>32149</v>
      </c>
      <c r="U5" s="56">
        <v>37974</v>
      </c>
      <c r="V5" s="56">
        <v>16061</v>
      </c>
      <c r="W5" s="56">
        <v>14048</v>
      </c>
      <c r="X5" s="56">
        <v>6428</v>
      </c>
      <c r="Y5" s="56">
        <v>6795</v>
      </c>
      <c r="Z5" s="56"/>
      <c r="AA5" s="56">
        <v>6963</v>
      </c>
      <c r="AB5" s="56"/>
      <c r="AC5" s="56"/>
      <c r="AD5" s="56"/>
      <c r="AE5" s="56">
        <v>1712217</v>
      </c>
      <c r="AF5" s="56">
        <v>3424434</v>
      </c>
      <c r="AG5" s="56">
        <f t="shared" ref="AG5:AG13" si="0">+SUM(Z5:AD5)</f>
        <v>6963</v>
      </c>
      <c r="AH5" s="56">
        <f t="shared" ref="AH5:AH13" si="1">+Y5</f>
        <v>6795</v>
      </c>
      <c r="AI5" s="57">
        <f t="shared" ref="AI5:AI13" si="2">+AG5/(AG5+AH5)</f>
        <v>0.50610553859572616</v>
      </c>
    </row>
    <row r="6" spans="2:37">
      <c r="B6" s="2">
        <v>2011</v>
      </c>
      <c r="C6" s="19">
        <v>2516779</v>
      </c>
      <c r="D6" s="6" t="s">
        <v>29</v>
      </c>
      <c r="E6" s="19">
        <v>1298191</v>
      </c>
      <c r="F6" s="19">
        <v>1218588</v>
      </c>
      <c r="H6" s="51">
        <v>1941</v>
      </c>
      <c r="I6" s="56">
        <v>285520</v>
      </c>
      <c r="J6" s="56">
        <v>255893</v>
      </c>
      <c r="K6" s="56">
        <v>226819</v>
      </c>
      <c r="L6" s="56">
        <v>211629</v>
      </c>
      <c r="M6" s="56">
        <v>190573</v>
      </c>
      <c r="N6" s="56">
        <v>167346</v>
      </c>
      <c r="O6" s="56">
        <v>127028</v>
      </c>
      <c r="P6" s="56">
        <v>109237</v>
      </c>
      <c r="Q6" s="56">
        <v>96588</v>
      </c>
      <c r="R6" s="56">
        <v>72259</v>
      </c>
      <c r="S6" s="56">
        <v>60707</v>
      </c>
      <c r="T6" s="56">
        <v>38298</v>
      </c>
      <c r="U6" s="56">
        <v>40855</v>
      </c>
      <c r="V6" s="56">
        <v>19163</v>
      </c>
      <c r="W6" s="56">
        <v>16442</v>
      </c>
      <c r="X6" s="56">
        <v>7938</v>
      </c>
      <c r="Y6" s="56">
        <v>7424</v>
      </c>
      <c r="Z6" s="56"/>
      <c r="AA6" s="56">
        <v>8507</v>
      </c>
      <c r="AB6" s="56"/>
      <c r="AC6" s="56"/>
      <c r="AD6" s="56"/>
      <c r="AE6" s="56">
        <v>1942226</v>
      </c>
      <c r="AF6" s="56">
        <v>3884452</v>
      </c>
      <c r="AG6" s="56">
        <f t="shared" si="0"/>
        <v>8507</v>
      </c>
      <c r="AH6" s="56">
        <f t="shared" si="1"/>
        <v>7424</v>
      </c>
      <c r="AI6" s="57">
        <f t="shared" si="2"/>
        <v>0.53399033331240975</v>
      </c>
    </row>
    <row r="7" spans="2:37">
      <c r="B7" s="2">
        <v>2011</v>
      </c>
      <c r="C7" s="19">
        <v>2641320</v>
      </c>
      <c r="D7" s="6" t="s">
        <v>30</v>
      </c>
      <c r="E7" s="19">
        <v>1336159</v>
      </c>
      <c r="F7" s="19">
        <v>1305161</v>
      </c>
      <c r="H7" s="51">
        <v>1950</v>
      </c>
      <c r="I7" s="56">
        <v>415067</v>
      </c>
      <c r="J7" s="56">
        <v>334560</v>
      </c>
      <c r="K7" s="56">
        <v>276204</v>
      </c>
      <c r="L7" s="56">
        <v>252375</v>
      </c>
      <c r="M7" s="56">
        <v>237615</v>
      </c>
      <c r="N7" s="56">
        <v>198196</v>
      </c>
      <c r="O7" s="56">
        <v>157437</v>
      </c>
      <c r="P7" s="56">
        <v>145213</v>
      </c>
      <c r="Q7" s="56">
        <v>114644</v>
      </c>
      <c r="R7" s="56">
        <v>86936</v>
      </c>
      <c r="S7" s="56">
        <v>82117</v>
      </c>
      <c r="T7" s="56">
        <v>49520</v>
      </c>
      <c r="U7" s="56">
        <v>50948</v>
      </c>
      <c r="V7" s="56">
        <v>25894</v>
      </c>
      <c r="W7" s="56">
        <v>22789</v>
      </c>
      <c r="X7" s="56">
        <v>10996</v>
      </c>
      <c r="Y7" s="56">
        <v>10687</v>
      </c>
      <c r="Z7" s="56"/>
      <c r="AA7" s="56">
        <v>7748</v>
      </c>
      <c r="AB7" s="56"/>
      <c r="AC7" s="56">
        <v>3401</v>
      </c>
      <c r="AD7" s="56"/>
      <c r="AE7" s="56">
        <v>2482347</v>
      </c>
      <c r="AF7" s="56">
        <v>4964694</v>
      </c>
      <c r="AG7" s="56">
        <f t="shared" si="0"/>
        <v>11149</v>
      </c>
      <c r="AH7" s="56">
        <f t="shared" si="1"/>
        <v>10687</v>
      </c>
      <c r="AI7" s="57">
        <f t="shared" si="2"/>
        <v>0.51057886059717894</v>
      </c>
    </row>
    <row r="8" spans="2:37">
      <c r="B8" s="2">
        <v>2011</v>
      </c>
      <c r="C8" s="19">
        <v>2560649</v>
      </c>
      <c r="D8" s="6" t="s">
        <v>31</v>
      </c>
      <c r="E8" s="19">
        <v>1280125</v>
      </c>
      <c r="F8" s="19">
        <v>1280524</v>
      </c>
      <c r="H8" s="51">
        <v>1961</v>
      </c>
      <c r="I8" s="56">
        <v>675780</v>
      </c>
      <c r="J8" s="56">
        <v>572047</v>
      </c>
      <c r="K8" s="56">
        <v>443509</v>
      </c>
      <c r="L8" s="56">
        <v>339171</v>
      </c>
      <c r="M8" s="56">
        <v>306733</v>
      </c>
      <c r="N8" s="56">
        <v>267874</v>
      </c>
      <c r="O8" s="56">
        <v>237836</v>
      </c>
      <c r="P8" s="56">
        <v>194534</v>
      </c>
      <c r="Q8" s="56">
        <v>157264</v>
      </c>
      <c r="R8" s="56">
        <v>134760</v>
      </c>
      <c r="S8" s="56">
        <v>106242</v>
      </c>
      <c r="T8" s="56">
        <v>83098</v>
      </c>
      <c r="U8" s="56">
        <v>69358</v>
      </c>
      <c r="V8" s="56">
        <v>41570</v>
      </c>
      <c r="W8" s="56">
        <v>29358</v>
      </c>
      <c r="X8" s="56">
        <v>18348</v>
      </c>
      <c r="Y8" s="56">
        <v>13301</v>
      </c>
      <c r="Z8" s="56"/>
      <c r="AA8" s="56">
        <v>11494</v>
      </c>
      <c r="AB8" s="56"/>
      <c r="AC8" s="56"/>
      <c r="AD8" s="56"/>
      <c r="AE8" s="56">
        <v>3702277</v>
      </c>
      <c r="AF8" s="56">
        <v>7404554</v>
      </c>
      <c r="AG8" s="56">
        <f t="shared" si="0"/>
        <v>11494</v>
      </c>
      <c r="AH8" s="56">
        <f t="shared" si="1"/>
        <v>13301</v>
      </c>
      <c r="AI8" s="57">
        <f t="shared" si="2"/>
        <v>0.46356120185521277</v>
      </c>
    </row>
    <row r="9" spans="2:37">
      <c r="B9" s="2">
        <v>2011</v>
      </c>
      <c r="C9" s="19">
        <v>2344332</v>
      </c>
      <c r="D9" s="6" t="s">
        <v>32</v>
      </c>
      <c r="E9" s="19">
        <v>1159400</v>
      </c>
      <c r="F9" s="19">
        <v>1184932</v>
      </c>
      <c r="H9" s="51">
        <v>1971</v>
      </c>
      <c r="I9" s="56">
        <v>856531</v>
      </c>
      <c r="J9" s="56">
        <v>803961</v>
      </c>
      <c r="K9" s="56">
        <v>727073</v>
      </c>
      <c r="L9" s="56">
        <v>626659</v>
      </c>
      <c r="M9" s="56">
        <v>490222</v>
      </c>
      <c r="N9" s="56">
        <v>356647</v>
      </c>
      <c r="O9" s="56">
        <v>292766</v>
      </c>
      <c r="P9" s="56">
        <v>267555</v>
      </c>
      <c r="Q9" s="56">
        <v>225639</v>
      </c>
      <c r="R9" s="56">
        <v>179750</v>
      </c>
      <c r="S9" s="56">
        <v>149714</v>
      </c>
      <c r="T9" s="56">
        <v>116485</v>
      </c>
      <c r="U9" s="56">
        <v>96773</v>
      </c>
      <c r="V9" s="56">
        <v>62567</v>
      </c>
      <c r="W9" s="56">
        <v>47674</v>
      </c>
      <c r="X9" s="56">
        <v>25899</v>
      </c>
      <c r="Y9" s="56">
        <v>19380</v>
      </c>
      <c r="Z9" s="56"/>
      <c r="AA9" s="56">
        <v>19070</v>
      </c>
      <c r="AB9" s="56"/>
      <c r="AC9" s="56"/>
      <c r="AD9" s="56"/>
      <c r="AE9" s="56">
        <v>5364365</v>
      </c>
      <c r="AF9" s="56">
        <v>10728730</v>
      </c>
      <c r="AG9" s="56">
        <f t="shared" si="0"/>
        <v>19070</v>
      </c>
      <c r="AH9" s="56">
        <f t="shared" si="1"/>
        <v>19380</v>
      </c>
      <c r="AI9" s="57">
        <f t="shared" si="2"/>
        <v>0.49596879063719118</v>
      </c>
    </row>
    <row r="10" spans="2:37">
      <c r="B10" s="2">
        <v>2011</v>
      </c>
      <c r="C10" s="19">
        <v>2219741</v>
      </c>
      <c r="D10" s="6" t="s">
        <v>33</v>
      </c>
      <c r="E10" s="19">
        <v>1105617</v>
      </c>
      <c r="F10" s="19">
        <v>1114124</v>
      </c>
      <c r="H10" s="51">
        <v>1981</v>
      </c>
      <c r="I10" s="56">
        <v>1031843</v>
      </c>
      <c r="J10" s="56">
        <v>939654</v>
      </c>
      <c r="K10" s="56">
        <v>888675</v>
      </c>
      <c r="L10" s="56">
        <v>823768</v>
      </c>
      <c r="M10" s="56">
        <v>732288</v>
      </c>
      <c r="N10" s="56">
        <v>625936</v>
      </c>
      <c r="O10" s="56">
        <v>494361</v>
      </c>
      <c r="P10" s="56">
        <v>364497</v>
      </c>
      <c r="Q10" s="56">
        <v>298413</v>
      </c>
      <c r="R10" s="56">
        <v>254438</v>
      </c>
      <c r="S10" s="56">
        <v>220359</v>
      </c>
      <c r="T10" s="56">
        <v>169949</v>
      </c>
      <c r="U10" s="56">
        <v>133137</v>
      </c>
      <c r="V10" s="56">
        <v>102739</v>
      </c>
      <c r="W10" s="56">
        <v>74721</v>
      </c>
      <c r="X10" s="56">
        <v>47278</v>
      </c>
      <c r="Y10" s="56">
        <v>54867</v>
      </c>
      <c r="Z10" s="56"/>
      <c r="AA10" s="56"/>
      <c r="AB10" s="56"/>
      <c r="AC10" s="56"/>
      <c r="AD10" s="56"/>
      <c r="AE10" s="56">
        <v>7256923</v>
      </c>
      <c r="AF10" s="56">
        <v>14513846</v>
      </c>
      <c r="AG10" s="56">
        <f t="shared" si="0"/>
        <v>0</v>
      </c>
      <c r="AH10" s="56">
        <f t="shared" si="1"/>
        <v>54867</v>
      </c>
      <c r="AI10" s="57"/>
      <c r="AJ10" s="58">
        <f>+AVERAGE(AI5:AI13)</f>
        <v>0.48368084765410996</v>
      </c>
    </row>
    <row r="11" spans="2:37">
      <c r="B11" s="2">
        <v>2011</v>
      </c>
      <c r="C11" s="19">
        <v>1905253</v>
      </c>
      <c r="D11" s="6" t="s">
        <v>34</v>
      </c>
      <c r="E11" s="19">
        <v>942311</v>
      </c>
      <c r="F11" s="19">
        <v>962942</v>
      </c>
      <c r="H11" s="51">
        <v>1990</v>
      </c>
      <c r="I11" s="56">
        <v>1148163</v>
      </c>
      <c r="J11" s="56">
        <v>1107711</v>
      </c>
      <c r="K11" s="56">
        <v>1059292</v>
      </c>
      <c r="L11" s="56">
        <v>954017</v>
      </c>
      <c r="M11" s="56">
        <v>866962</v>
      </c>
      <c r="N11" s="56">
        <v>797461</v>
      </c>
      <c r="O11" s="56">
        <v>695674</v>
      </c>
      <c r="P11" s="56">
        <v>593061</v>
      </c>
      <c r="Q11" s="56">
        <v>450116</v>
      </c>
      <c r="R11" s="56">
        <v>325227</v>
      </c>
      <c r="S11" s="56">
        <v>276801</v>
      </c>
      <c r="T11" s="56">
        <v>221681</v>
      </c>
      <c r="U11" s="56">
        <v>193315</v>
      </c>
      <c r="V11" s="56">
        <v>135951</v>
      </c>
      <c r="W11" s="56">
        <v>102688</v>
      </c>
      <c r="X11" s="56">
        <v>72986</v>
      </c>
      <c r="Y11" s="56">
        <v>50004</v>
      </c>
      <c r="Z11" s="56"/>
      <c r="AA11" s="56">
        <v>34398</v>
      </c>
      <c r="AB11" s="56"/>
      <c r="AC11" s="56"/>
      <c r="AD11" s="56"/>
      <c r="AE11" s="56">
        <v>9085508</v>
      </c>
      <c r="AF11" s="56">
        <v>18171016</v>
      </c>
      <c r="AG11" s="56">
        <f t="shared" si="0"/>
        <v>34398</v>
      </c>
      <c r="AH11" s="56">
        <f t="shared" si="1"/>
        <v>50004</v>
      </c>
      <c r="AI11" s="57">
        <f t="shared" si="2"/>
        <v>0.4075495841330774</v>
      </c>
    </row>
    <row r="12" spans="2:37">
      <c r="B12" s="2">
        <v>2011</v>
      </c>
      <c r="C12" s="19">
        <v>1755490</v>
      </c>
      <c r="D12" s="6" t="s">
        <v>35</v>
      </c>
      <c r="E12" s="19">
        <v>873509</v>
      </c>
      <c r="F12" s="19">
        <v>881981</v>
      </c>
      <c r="H12" s="51">
        <v>2001</v>
      </c>
      <c r="I12" s="56">
        <v>1219255</v>
      </c>
      <c r="J12" s="56">
        <v>1312581</v>
      </c>
      <c r="K12" s="56">
        <v>1254424</v>
      </c>
      <c r="L12" s="56">
        <v>1155424</v>
      </c>
      <c r="M12" s="56">
        <v>1104968</v>
      </c>
      <c r="N12" s="56">
        <v>964392</v>
      </c>
      <c r="O12" s="56">
        <v>899587</v>
      </c>
      <c r="P12" s="56">
        <v>820861</v>
      </c>
      <c r="Q12" s="56">
        <v>732990</v>
      </c>
      <c r="R12" s="56">
        <v>594756</v>
      </c>
      <c r="S12" s="56">
        <v>473337</v>
      </c>
      <c r="T12" s="56">
        <v>321223</v>
      </c>
      <c r="U12" s="56">
        <v>263272</v>
      </c>
      <c r="V12" s="56">
        <v>205042</v>
      </c>
      <c r="W12" s="56">
        <v>164243</v>
      </c>
      <c r="X12" s="56">
        <v>113435</v>
      </c>
      <c r="Y12" s="56">
        <v>71837</v>
      </c>
      <c r="Z12" s="56"/>
      <c r="AA12" s="56">
        <v>65656</v>
      </c>
      <c r="AB12" s="56"/>
      <c r="AC12" s="56"/>
      <c r="AD12" s="56"/>
      <c r="AE12" s="56">
        <v>11737283</v>
      </c>
      <c r="AF12" s="56">
        <v>23474566</v>
      </c>
      <c r="AG12" s="56">
        <f t="shared" si="0"/>
        <v>65656</v>
      </c>
      <c r="AH12" s="56">
        <f t="shared" si="1"/>
        <v>71837</v>
      </c>
      <c r="AI12" s="57">
        <f t="shared" si="2"/>
        <v>0.47752249205414093</v>
      </c>
    </row>
    <row r="13" spans="2:37">
      <c r="B13" s="2">
        <v>2011</v>
      </c>
      <c r="C13" s="19">
        <v>1528781</v>
      </c>
      <c r="D13" s="6" t="s">
        <v>36</v>
      </c>
      <c r="E13" s="19">
        <v>747704</v>
      </c>
      <c r="F13" s="19">
        <v>781077</v>
      </c>
      <c r="H13" s="51">
        <v>2011</v>
      </c>
      <c r="I13" s="56">
        <v>1183423</v>
      </c>
      <c r="J13" s="56">
        <v>1166147</v>
      </c>
      <c r="K13" s="56">
        <v>1218588</v>
      </c>
      <c r="L13" s="56">
        <v>1305161</v>
      </c>
      <c r="M13" s="56">
        <v>1280524</v>
      </c>
      <c r="N13" s="56">
        <v>1184932</v>
      </c>
      <c r="O13" s="56">
        <v>1114124</v>
      </c>
      <c r="P13" s="56">
        <v>962942</v>
      </c>
      <c r="Q13" s="56">
        <v>881981</v>
      </c>
      <c r="R13" s="56">
        <v>781077</v>
      </c>
      <c r="S13" s="56">
        <v>686679</v>
      </c>
      <c r="T13" s="56">
        <v>577864</v>
      </c>
      <c r="U13" s="56">
        <v>440702</v>
      </c>
      <c r="V13" s="56">
        <v>300997</v>
      </c>
      <c r="W13" s="56">
        <v>221170</v>
      </c>
      <c r="X13" s="56">
        <v>162866</v>
      </c>
      <c r="Y13" s="56">
        <v>109899</v>
      </c>
      <c r="Z13" s="56">
        <v>63581</v>
      </c>
      <c r="AA13" s="56"/>
      <c r="AB13" s="56">
        <v>25495</v>
      </c>
      <c r="AC13" s="56"/>
      <c r="AD13" s="56">
        <v>10026</v>
      </c>
      <c r="AE13" s="56">
        <v>13678178</v>
      </c>
      <c r="AF13" s="56">
        <v>27356356</v>
      </c>
      <c r="AG13" s="56">
        <f t="shared" si="0"/>
        <v>99102</v>
      </c>
      <c r="AH13" s="56">
        <f t="shared" si="1"/>
        <v>109899</v>
      </c>
      <c r="AI13" s="57">
        <f t="shared" si="2"/>
        <v>0.47416998004794236</v>
      </c>
    </row>
    <row r="14" spans="2:37">
      <c r="B14" s="2">
        <v>2011</v>
      </c>
      <c r="C14" s="19">
        <v>1337934</v>
      </c>
      <c r="D14" s="6" t="s">
        <v>37</v>
      </c>
      <c r="E14" s="19">
        <v>651255</v>
      </c>
      <c r="F14" s="19">
        <v>686679</v>
      </c>
      <c r="H14" s="51" t="s">
        <v>92</v>
      </c>
      <c r="I14" s="56">
        <v>7240062</v>
      </c>
      <c r="J14" s="56">
        <v>6888449</v>
      </c>
      <c r="K14" s="56">
        <v>6450064</v>
      </c>
      <c r="L14" s="56">
        <v>6013637</v>
      </c>
      <c r="M14" s="56">
        <v>5527099</v>
      </c>
      <c r="N14" s="56">
        <v>4845404</v>
      </c>
      <c r="O14" s="56">
        <v>4246341</v>
      </c>
      <c r="P14" s="56">
        <v>3647286</v>
      </c>
      <c r="Q14" s="56">
        <v>3125090</v>
      </c>
      <c r="R14" s="56">
        <v>2540936</v>
      </c>
      <c r="S14" s="56">
        <v>2165576</v>
      </c>
      <c r="T14" s="56">
        <v>1632963</v>
      </c>
      <c r="U14" s="56">
        <v>1352341</v>
      </c>
      <c r="V14" s="56">
        <v>923130</v>
      </c>
      <c r="W14" s="56">
        <v>704936</v>
      </c>
      <c r="X14" s="56">
        <v>472462</v>
      </c>
      <c r="Y14" s="56">
        <v>350205</v>
      </c>
      <c r="Z14" s="56">
        <v>63581</v>
      </c>
      <c r="AA14" s="56">
        <v>208970</v>
      </c>
      <c r="AB14" s="56">
        <v>25495</v>
      </c>
      <c r="AC14" s="56">
        <v>3401</v>
      </c>
      <c r="AD14" s="56">
        <v>10026</v>
      </c>
      <c r="AE14" s="56">
        <v>58437454</v>
      </c>
      <c r="AF14" s="56">
        <v>116874908</v>
      </c>
    </row>
    <row r="15" spans="2:37">
      <c r="B15" s="2">
        <v>2011</v>
      </c>
      <c r="C15" s="19">
        <v>1108799</v>
      </c>
      <c r="D15" s="6" t="s">
        <v>38</v>
      </c>
      <c r="E15" s="19">
        <v>530935</v>
      </c>
      <c r="F15" s="19">
        <v>577864</v>
      </c>
      <c r="K15" s="55">
        <v>-478.3861</v>
      </c>
      <c r="T15"/>
      <c r="W15" s="54">
        <v>-1584.1878999999999</v>
      </c>
    </row>
    <row r="16" spans="2:37">
      <c r="B16" s="2">
        <v>2011</v>
      </c>
      <c r="C16" s="19">
        <v>848358</v>
      </c>
      <c r="D16" s="6" t="s">
        <v>39</v>
      </c>
      <c r="E16" s="1">
        <v>407656</v>
      </c>
      <c r="F16" s="19">
        <v>440702</v>
      </c>
      <c r="K16" s="54">
        <v>1915702.0225</v>
      </c>
      <c r="T16"/>
      <c r="W16" s="54">
        <v>6341118.3696999997</v>
      </c>
    </row>
    <row r="17" spans="2:23">
      <c r="B17" s="2">
        <v>2011</v>
      </c>
      <c r="C17" s="1">
        <v>568688</v>
      </c>
      <c r="D17" s="6" t="s">
        <v>40</v>
      </c>
      <c r="E17" s="19">
        <v>267691</v>
      </c>
      <c r="F17" s="19">
        <v>300997</v>
      </c>
      <c r="K17" s="54">
        <v>-1916641880.3248</v>
      </c>
      <c r="T17"/>
      <c r="W17" s="54">
        <v>-6344175425.9091997</v>
      </c>
    </row>
    <row r="18" spans="2:23">
      <c r="B18" s="2">
        <v>2011</v>
      </c>
      <c r="C18" s="19">
        <v>410455</v>
      </c>
      <c r="D18" s="6" t="s">
        <v>41</v>
      </c>
      <c r="E18" s="19">
        <v>189285</v>
      </c>
      <c r="F18" s="19">
        <v>221170</v>
      </c>
      <c r="H18" s="52" t="s">
        <v>91</v>
      </c>
      <c r="I18" s="53" t="s">
        <v>27</v>
      </c>
      <c r="K18" s="2" t="s">
        <v>94</v>
      </c>
      <c r="T18" s="52" t="s">
        <v>91</v>
      </c>
      <c r="U18" s="53" t="s">
        <v>28</v>
      </c>
      <c r="W18" s="2" t="s">
        <v>94</v>
      </c>
    </row>
    <row r="19" spans="2:23">
      <c r="B19" s="2">
        <v>2011</v>
      </c>
      <c r="C19" s="1">
        <v>292992</v>
      </c>
      <c r="D19" s="6" t="s">
        <v>42</v>
      </c>
      <c r="E19" s="1">
        <v>130126</v>
      </c>
      <c r="F19" s="19">
        <v>162866</v>
      </c>
      <c r="H19" s="51">
        <v>1990</v>
      </c>
      <c r="I19" s="56">
        <v>1148163</v>
      </c>
      <c r="J19" s="2">
        <v>1995</v>
      </c>
      <c r="K19" s="2">
        <f>+J19^2*$K$15+J19*$K$16+$K$17</f>
        <v>1195016.9101998806</v>
      </c>
      <c r="T19" s="51">
        <v>1990</v>
      </c>
      <c r="U19" s="56">
        <v>1107711</v>
      </c>
      <c r="V19" s="2">
        <v>1995</v>
      </c>
      <c r="W19" s="2">
        <f>+V19^2*$W$15+V19*$W$16+$W$17</f>
        <v>1248274.9448013306</v>
      </c>
    </row>
    <row r="20" spans="2:23">
      <c r="B20" s="2">
        <v>2011</v>
      </c>
      <c r="C20" s="19">
        <v>188895</v>
      </c>
      <c r="D20" s="6" t="s">
        <v>43</v>
      </c>
      <c r="E20" s="1">
        <v>78996</v>
      </c>
      <c r="F20" s="19">
        <v>109899</v>
      </c>
      <c r="H20" s="51">
        <v>2001</v>
      </c>
      <c r="I20" s="56">
        <v>1219255</v>
      </c>
      <c r="J20" s="2">
        <v>1996</v>
      </c>
      <c r="K20" s="2">
        <f t="shared" ref="K20:K35" si="3">+J20^2*$K$15+J20*$K$16+$K$17</f>
        <v>1201480.0075998306</v>
      </c>
      <c r="T20" s="51">
        <v>2001</v>
      </c>
      <c r="U20" s="56">
        <v>1312581</v>
      </c>
      <c r="V20" s="2">
        <v>1996</v>
      </c>
      <c r="W20" s="2">
        <f t="shared" ref="W20:W35" si="4">+V20^2*$W$15+V20*$W$16+$W$17</f>
        <v>1266899.4056005478</v>
      </c>
    </row>
    <row r="21" spans="2:23">
      <c r="B21" s="2">
        <v>2011</v>
      </c>
      <c r="C21" s="19">
        <v>104141</v>
      </c>
      <c r="D21" s="8" t="s">
        <v>62</v>
      </c>
      <c r="E21" s="1">
        <v>40560</v>
      </c>
      <c r="F21" s="1">
        <v>63581</v>
      </c>
      <c r="H21" s="51">
        <v>2011</v>
      </c>
      <c r="I21" s="56">
        <v>1183423</v>
      </c>
      <c r="J21" s="2">
        <v>1997</v>
      </c>
      <c r="K21" s="2">
        <f t="shared" si="3"/>
        <v>1206986.3327999115</v>
      </c>
      <c r="T21" s="51">
        <v>2011</v>
      </c>
      <c r="U21" s="56">
        <v>1166147</v>
      </c>
      <c r="V21" s="2">
        <v>1997</v>
      </c>
      <c r="W21" s="2">
        <f t="shared" si="4"/>
        <v>1282355.4905996323</v>
      </c>
    </row>
    <row r="22" spans="2:23">
      <c r="B22" s="2">
        <v>2011</v>
      </c>
      <c r="C22" s="1">
        <v>40370</v>
      </c>
      <c r="D22" s="8" t="s">
        <v>61</v>
      </c>
      <c r="E22" s="1">
        <v>14875</v>
      </c>
      <c r="F22" s="1">
        <v>25495</v>
      </c>
      <c r="J22" s="2">
        <v>1998</v>
      </c>
      <c r="K22" s="2">
        <f t="shared" si="3"/>
        <v>1211535.8857998848</v>
      </c>
      <c r="T22"/>
      <c r="V22" s="2">
        <v>1998</v>
      </c>
      <c r="W22" s="2">
        <f t="shared" si="4"/>
        <v>1294643.1997995377</v>
      </c>
    </row>
    <row r="23" spans="2:23">
      <c r="B23" s="2">
        <v>2011</v>
      </c>
      <c r="C23" s="1">
        <v>14958</v>
      </c>
      <c r="D23" s="8" t="s">
        <v>63</v>
      </c>
      <c r="E23" s="1">
        <v>4932</v>
      </c>
      <c r="F23" s="1">
        <v>10026</v>
      </c>
      <c r="J23" s="2">
        <v>1999</v>
      </c>
      <c r="K23" s="2">
        <f t="shared" si="3"/>
        <v>1215128.6665999889</v>
      </c>
      <c r="T23"/>
      <c r="V23" s="2">
        <v>1999</v>
      </c>
      <c r="W23" s="2">
        <f t="shared" si="4"/>
        <v>1303762.5332012177</v>
      </c>
    </row>
    <row r="24" spans="2:23">
      <c r="B24" s="2">
        <v>2001</v>
      </c>
      <c r="C24" s="5">
        <v>23232553</v>
      </c>
      <c r="D24" s="4" t="s">
        <v>20</v>
      </c>
      <c r="E24" s="5">
        <v>11495270</v>
      </c>
      <c r="F24" s="5">
        <v>11737283</v>
      </c>
      <c r="J24" s="2">
        <v>2000</v>
      </c>
      <c r="K24" s="2">
        <f t="shared" si="3"/>
        <v>1217764.6751999855</v>
      </c>
      <c r="T24"/>
      <c r="V24" s="2">
        <v>2000</v>
      </c>
      <c r="W24" s="2">
        <f t="shared" si="4"/>
        <v>1309713.4907999039</v>
      </c>
    </row>
    <row r="25" spans="2:23">
      <c r="B25" s="2">
        <v>2001</v>
      </c>
      <c r="C25" s="7">
        <v>2501894</v>
      </c>
      <c r="D25" s="6" t="s">
        <v>27</v>
      </c>
      <c r="E25" s="7">
        <v>1282639</v>
      </c>
      <c r="F25" s="7">
        <v>1219255</v>
      </c>
      <c r="J25" s="2">
        <v>2001</v>
      </c>
      <c r="K25" s="2">
        <f t="shared" si="3"/>
        <v>1219443.9116001129</v>
      </c>
      <c r="T25"/>
      <c r="V25" s="2">
        <v>2001</v>
      </c>
      <c r="W25" s="2">
        <f t="shared" si="4"/>
        <v>1312496.072599411</v>
      </c>
    </row>
    <row r="26" spans="2:23">
      <c r="B26" s="2">
        <v>2001</v>
      </c>
      <c r="C26" s="7">
        <v>2680308</v>
      </c>
      <c r="D26" s="6" t="s">
        <v>28</v>
      </c>
      <c r="E26" s="7">
        <v>1367727</v>
      </c>
      <c r="F26" s="7">
        <v>1312581</v>
      </c>
      <c r="J26" s="2">
        <v>2002</v>
      </c>
      <c r="K26" s="2">
        <f t="shared" si="3"/>
        <v>1220166.3758001328</v>
      </c>
      <c r="T26"/>
      <c r="V26" s="2">
        <v>2002</v>
      </c>
      <c r="W26" s="2">
        <f t="shared" si="4"/>
        <v>1312110.2785997391</v>
      </c>
    </row>
    <row r="27" spans="2:23">
      <c r="B27" s="2">
        <v>2001</v>
      </c>
      <c r="C27" s="7">
        <v>2535766</v>
      </c>
      <c r="D27" s="6" t="s">
        <v>29</v>
      </c>
      <c r="E27" s="7">
        <v>1281342</v>
      </c>
      <c r="F27" s="7">
        <v>1254424</v>
      </c>
      <c r="J27" s="2">
        <v>2003</v>
      </c>
      <c r="K27" s="2">
        <f t="shared" si="3"/>
        <v>1219932.067800045</v>
      </c>
      <c r="T27"/>
      <c r="V27" s="2">
        <v>2003</v>
      </c>
      <c r="W27" s="2">
        <f t="shared" si="4"/>
        <v>1308556.1088008881</v>
      </c>
    </row>
    <row r="28" spans="2:23">
      <c r="B28" s="2">
        <v>2001</v>
      </c>
      <c r="C28" s="7">
        <v>2319853</v>
      </c>
      <c r="D28" s="6" t="s">
        <v>30</v>
      </c>
      <c r="E28" s="7">
        <v>1164429</v>
      </c>
      <c r="F28" s="7">
        <v>1155424</v>
      </c>
      <c r="J28" s="2">
        <v>2004</v>
      </c>
      <c r="K28" s="2">
        <f t="shared" si="3"/>
        <v>1218740.9876000881</v>
      </c>
      <c r="T28"/>
      <c r="V28" s="2">
        <v>2004</v>
      </c>
      <c r="W28" s="2">
        <f t="shared" si="4"/>
        <v>1301833.5631999969</v>
      </c>
    </row>
    <row r="29" spans="2:23">
      <c r="B29" s="2">
        <v>2001</v>
      </c>
      <c r="C29" s="7">
        <v>2185621</v>
      </c>
      <c r="D29" s="6" t="s">
        <v>31</v>
      </c>
      <c r="E29" s="7">
        <v>1080653</v>
      </c>
      <c r="F29" s="7">
        <v>1104968</v>
      </c>
      <c r="J29" s="2">
        <v>2005</v>
      </c>
      <c r="K29" s="2">
        <f t="shared" si="3"/>
        <v>1216593.1351997852</v>
      </c>
      <c r="T29"/>
      <c r="V29" s="2">
        <v>2005</v>
      </c>
      <c r="W29" s="2">
        <f t="shared" si="4"/>
        <v>1291942.6417999268</v>
      </c>
    </row>
    <row r="30" spans="2:23">
      <c r="B30" s="2">
        <v>2001</v>
      </c>
      <c r="C30" s="7">
        <v>1888838</v>
      </c>
      <c r="D30" s="6" t="s">
        <v>32</v>
      </c>
      <c r="E30" s="7">
        <v>924446</v>
      </c>
      <c r="F30" s="7">
        <v>964392</v>
      </c>
      <c r="J30" s="2">
        <v>2006</v>
      </c>
      <c r="K30" s="2">
        <f t="shared" si="3"/>
        <v>1213488.5105998516</v>
      </c>
      <c r="T30"/>
      <c r="V30" s="2">
        <v>2006</v>
      </c>
      <c r="W30" s="2">
        <f t="shared" si="4"/>
        <v>1278883.3446006775</v>
      </c>
    </row>
    <row r="31" spans="2:23">
      <c r="B31" s="2">
        <v>2001</v>
      </c>
      <c r="C31" s="7">
        <v>1762621</v>
      </c>
      <c r="D31" s="6" t="s">
        <v>33</v>
      </c>
      <c r="E31" s="7">
        <v>863034</v>
      </c>
      <c r="F31" s="7">
        <v>899587</v>
      </c>
      <c r="J31" s="2">
        <v>2007</v>
      </c>
      <c r="K31" s="2">
        <f t="shared" si="3"/>
        <v>1209427.1137998104</v>
      </c>
      <c r="T31"/>
      <c r="V31" s="2">
        <v>2007</v>
      </c>
      <c r="W31" s="2">
        <f t="shared" si="4"/>
        <v>1262655.6716003418</v>
      </c>
    </row>
    <row r="32" spans="2:23">
      <c r="B32" s="2">
        <v>2001</v>
      </c>
      <c r="C32" s="7">
        <v>1593742</v>
      </c>
      <c r="D32" s="6" t="s">
        <v>34</v>
      </c>
      <c r="E32" s="7">
        <v>772881</v>
      </c>
      <c r="F32" s="7">
        <v>820861</v>
      </c>
      <c r="J32" s="2">
        <v>2008</v>
      </c>
      <c r="K32" s="2">
        <f t="shared" si="3"/>
        <v>1204408.9447999001</v>
      </c>
      <c r="T32"/>
      <c r="V32" s="2">
        <v>2008</v>
      </c>
      <c r="W32" s="2">
        <f t="shared" si="4"/>
        <v>1243259.6227998734</v>
      </c>
    </row>
    <row r="33" spans="2:23">
      <c r="B33" s="2">
        <v>2001</v>
      </c>
      <c r="C33" s="7">
        <v>1428506</v>
      </c>
      <c r="D33" s="6" t="s">
        <v>35</v>
      </c>
      <c r="E33" s="7">
        <v>695516</v>
      </c>
      <c r="F33" s="7">
        <v>732990</v>
      </c>
      <c r="J33" s="2">
        <v>2009</v>
      </c>
      <c r="K33" s="2">
        <f t="shared" si="3"/>
        <v>1198434.0035998821</v>
      </c>
      <c r="T33"/>
      <c r="V33" s="2">
        <v>2009</v>
      </c>
      <c r="W33" s="2">
        <f t="shared" si="4"/>
        <v>1220695.1981992722</v>
      </c>
    </row>
    <row r="34" spans="2:23">
      <c r="B34" s="2">
        <v>2001</v>
      </c>
      <c r="C34" s="7">
        <v>1159743</v>
      </c>
      <c r="D34" s="6" t="s">
        <v>36</v>
      </c>
      <c r="E34" s="7">
        <v>564987</v>
      </c>
      <c r="F34" s="7">
        <v>594756</v>
      </c>
      <c r="J34" s="2">
        <v>2010</v>
      </c>
      <c r="K34" s="2">
        <f t="shared" si="3"/>
        <v>1191502.290199995</v>
      </c>
      <c r="T34"/>
      <c r="V34" s="2">
        <v>2010</v>
      </c>
      <c r="W34" s="2">
        <f t="shared" si="4"/>
        <v>1194962.3978004456</v>
      </c>
    </row>
    <row r="35" spans="2:23">
      <c r="B35" s="2">
        <v>2001</v>
      </c>
      <c r="C35" s="7">
        <v>925449</v>
      </c>
      <c r="D35" s="6" t="s">
        <v>37</v>
      </c>
      <c r="E35" s="7">
        <v>452112</v>
      </c>
      <c r="F35" s="7">
        <v>473337</v>
      </c>
      <c r="J35" s="2">
        <v>2011</v>
      </c>
      <c r="K35" s="2">
        <f t="shared" si="3"/>
        <v>1183613.8046000004</v>
      </c>
      <c r="T35"/>
      <c r="V35" s="2">
        <v>2011</v>
      </c>
      <c r="W35" s="2">
        <f t="shared" si="4"/>
        <v>1166061.2216005325</v>
      </c>
    </row>
    <row r="36" spans="2:23">
      <c r="B36" s="2">
        <v>2001</v>
      </c>
      <c r="C36" s="7">
        <v>619029</v>
      </c>
      <c r="D36" s="6" t="s">
        <v>38</v>
      </c>
      <c r="E36" s="7">
        <v>297806</v>
      </c>
      <c r="F36" s="7">
        <v>321223</v>
      </c>
    </row>
    <row r="37" spans="2:23">
      <c r="B37" s="2">
        <v>2001</v>
      </c>
      <c r="C37" s="7">
        <v>503568</v>
      </c>
      <c r="D37" s="6" t="s">
        <v>39</v>
      </c>
      <c r="E37" s="7">
        <v>240296</v>
      </c>
      <c r="F37" s="7">
        <v>263272</v>
      </c>
      <c r="K37" s="54">
        <v>-1015.3749</v>
      </c>
      <c r="T37"/>
      <c r="W37">
        <v>-194.34809999999999</v>
      </c>
    </row>
    <row r="38" spans="2:23">
      <c r="B38" s="2">
        <v>2001</v>
      </c>
      <c r="C38" s="7">
        <v>383306</v>
      </c>
      <c r="D38" s="6" t="s">
        <v>40</v>
      </c>
      <c r="E38" s="7">
        <v>178264</v>
      </c>
      <c r="F38" s="7">
        <v>205042</v>
      </c>
      <c r="K38" s="54">
        <v>4070100.4657999999</v>
      </c>
      <c r="T38"/>
      <c r="W38" s="54">
        <v>797279.98439999996</v>
      </c>
    </row>
    <row r="39" spans="2:23">
      <c r="B39" s="2">
        <v>2001</v>
      </c>
      <c r="C39" s="7">
        <v>304303</v>
      </c>
      <c r="D39" s="6" t="s">
        <v>41</v>
      </c>
      <c r="E39" s="7">
        <v>140060</v>
      </c>
      <c r="F39" s="7">
        <v>164243</v>
      </c>
      <c r="K39" s="54">
        <v>-4077454526.0261002</v>
      </c>
      <c r="T39"/>
      <c r="W39" s="54">
        <v>-816082486.46759999</v>
      </c>
    </row>
    <row r="40" spans="2:23">
      <c r="B40" s="2">
        <v>2001</v>
      </c>
      <c r="C40" s="7">
        <v>206737</v>
      </c>
      <c r="D40" s="6" t="s">
        <v>42</v>
      </c>
      <c r="E40" s="7">
        <v>93302</v>
      </c>
      <c r="F40" s="7">
        <v>113435</v>
      </c>
      <c r="H40" s="52" t="s">
        <v>91</v>
      </c>
      <c r="I40" s="53" t="s">
        <v>29</v>
      </c>
      <c r="K40" s="2" t="s">
        <v>94</v>
      </c>
      <c r="T40" s="52" t="s">
        <v>91</v>
      </c>
      <c r="U40" s="53" t="s">
        <v>31</v>
      </c>
      <c r="W40" s="2" t="s">
        <v>94</v>
      </c>
    </row>
    <row r="41" spans="2:23">
      <c r="B41" s="2">
        <v>2001</v>
      </c>
      <c r="C41" s="7">
        <v>124442</v>
      </c>
      <c r="D41" s="6" t="s">
        <v>43</v>
      </c>
      <c r="E41" s="7">
        <v>52605</v>
      </c>
      <c r="F41" s="7">
        <v>71837</v>
      </c>
      <c r="H41" s="51">
        <v>1990</v>
      </c>
      <c r="I41" s="56">
        <v>1059292</v>
      </c>
      <c r="J41" s="2">
        <v>1995</v>
      </c>
      <c r="K41" s="2">
        <f>+J41^2*$K$37+J41*$K$38+$K$39</f>
        <v>1178416.872399807</v>
      </c>
      <c r="T41" s="51">
        <v>1990</v>
      </c>
      <c r="U41" s="56">
        <v>866962</v>
      </c>
      <c r="V41" s="2">
        <v>1995</v>
      </c>
      <c r="W41" s="2">
        <f>+V41^2*$W$37+V41*$W$38+$W$39</f>
        <v>980785.7079000473</v>
      </c>
    </row>
    <row r="42" spans="2:23">
      <c r="B42" s="2">
        <v>2001</v>
      </c>
      <c r="C42" s="7">
        <v>108827</v>
      </c>
      <c r="D42" s="8" t="s">
        <v>44</v>
      </c>
      <c r="E42" s="9">
        <v>43171</v>
      </c>
      <c r="F42" s="9">
        <v>65656</v>
      </c>
      <c r="H42" s="51">
        <v>2001</v>
      </c>
      <c r="I42" s="56">
        <v>1254424</v>
      </c>
      <c r="J42" s="2">
        <v>1996</v>
      </c>
      <c r="K42" s="2">
        <f t="shared" ref="K42:K57" si="5">+J42^2*$K$37+J42*$K$38+$K$39</f>
        <v>1196156.1122999191</v>
      </c>
      <c r="T42" s="51">
        <v>2001</v>
      </c>
      <c r="U42" s="56">
        <v>1104968</v>
      </c>
      <c r="V42" s="2">
        <v>1996</v>
      </c>
      <c r="W42" s="2">
        <f t="shared" ref="W42:W57" si="6">+V42^2*$W$37+V42*$W$38+$W$39</f>
        <v>1002422.4251998663</v>
      </c>
    </row>
    <row r="43" spans="2:23">
      <c r="B43" s="2">
        <v>1990</v>
      </c>
      <c r="C43" s="5">
        <v>18105265</v>
      </c>
      <c r="D43" s="4" t="s">
        <v>20</v>
      </c>
      <c r="E43" s="5">
        <v>9019757</v>
      </c>
      <c r="F43" s="5">
        <v>9085508</v>
      </c>
      <c r="H43" s="51">
        <v>2011</v>
      </c>
      <c r="I43" s="56">
        <v>1218588</v>
      </c>
      <c r="J43" s="2">
        <v>1997</v>
      </c>
      <c r="K43" s="2">
        <f t="shared" si="5"/>
        <v>1211864.6023993492</v>
      </c>
      <c r="T43" s="51">
        <v>2011</v>
      </c>
      <c r="U43" s="56">
        <v>1280524</v>
      </c>
      <c r="V43" s="2">
        <v>1997</v>
      </c>
      <c r="W43" s="2">
        <f t="shared" si="6"/>
        <v>1023670.4462999105</v>
      </c>
    </row>
    <row r="44" spans="2:23">
      <c r="B44" s="2">
        <v>1990</v>
      </c>
      <c r="C44" s="7">
        <v>2343059</v>
      </c>
      <c r="D44" s="6" t="s">
        <v>27</v>
      </c>
      <c r="E44" s="7">
        <v>1194896</v>
      </c>
      <c r="F44" s="7">
        <v>1148163</v>
      </c>
      <c r="J44" s="2">
        <v>1998</v>
      </c>
      <c r="K44" s="2">
        <f t="shared" si="5"/>
        <v>1225542.3426995277</v>
      </c>
      <c r="T44"/>
      <c r="V44" s="2">
        <v>1998</v>
      </c>
      <c r="W44" s="2">
        <f t="shared" si="6"/>
        <v>1044529.7711999416</v>
      </c>
    </row>
    <row r="45" spans="2:23">
      <c r="B45" s="2">
        <v>1990</v>
      </c>
      <c r="C45" s="7">
        <v>2253798</v>
      </c>
      <c r="D45" s="6" t="s">
        <v>28</v>
      </c>
      <c r="E45" s="7">
        <v>1146087</v>
      </c>
      <c r="F45" s="7">
        <v>1107711</v>
      </c>
      <c r="J45" s="2">
        <v>1999</v>
      </c>
      <c r="K45" s="2">
        <f t="shared" si="5"/>
        <v>1237189.3331999779</v>
      </c>
      <c r="T45"/>
      <c r="V45" s="2">
        <v>1999</v>
      </c>
      <c r="W45" s="2">
        <f t="shared" si="6"/>
        <v>1065000.3998999596</v>
      </c>
    </row>
    <row r="46" spans="2:23">
      <c r="B46" s="2">
        <v>1990</v>
      </c>
      <c r="C46" s="7">
        <v>2146994</v>
      </c>
      <c r="D46" s="6" t="s">
        <v>29</v>
      </c>
      <c r="E46" s="7">
        <v>1087702</v>
      </c>
      <c r="F46" s="7">
        <v>1059292</v>
      </c>
      <c r="J46" s="2">
        <v>2000</v>
      </c>
      <c r="K46" s="2">
        <f t="shared" si="5"/>
        <v>1246805.5738992691</v>
      </c>
      <c r="T46"/>
      <c r="V46" s="2">
        <v>2000</v>
      </c>
      <c r="W46" s="2">
        <f t="shared" si="6"/>
        <v>1085082.3323999643</v>
      </c>
    </row>
    <row r="47" spans="2:23">
      <c r="B47" s="2">
        <v>1990</v>
      </c>
      <c r="C47" s="7">
        <v>1922514</v>
      </c>
      <c r="D47" s="6" t="s">
        <v>30</v>
      </c>
      <c r="E47" s="7">
        <v>968497</v>
      </c>
      <c r="F47" s="7">
        <v>954017</v>
      </c>
      <c r="J47" s="2">
        <v>2001</v>
      </c>
      <c r="K47" s="2">
        <f t="shared" si="5"/>
        <v>1254391.0647993088</v>
      </c>
      <c r="T47"/>
      <c r="V47" s="2">
        <v>2001</v>
      </c>
      <c r="W47" s="2">
        <f t="shared" si="6"/>
        <v>1104775.5687000751</v>
      </c>
    </row>
    <row r="48" spans="2:23">
      <c r="B48" s="2">
        <v>1990</v>
      </c>
      <c r="C48" s="7">
        <v>1725187</v>
      </c>
      <c r="D48" s="6" t="s">
        <v>31</v>
      </c>
      <c r="E48" s="7">
        <v>858225</v>
      </c>
      <c r="F48" s="7">
        <v>866962</v>
      </c>
      <c r="J48" s="2">
        <v>2002</v>
      </c>
      <c r="K48" s="2">
        <f t="shared" si="5"/>
        <v>1259945.8058996201</v>
      </c>
      <c r="T48"/>
      <c r="V48" s="2">
        <v>2002</v>
      </c>
      <c r="W48" s="2">
        <f t="shared" si="6"/>
        <v>1124080.1088000536</v>
      </c>
    </row>
    <row r="49" spans="2:23">
      <c r="B49" s="2">
        <v>1990</v>
      </c>
      <c r="C49" s="7">
        <v>1569542</v>
      </c>
      <c r="D49" s="6" t="s">
        <v>32</v>
      </c>
      <c r="E49" s="7">
        <v>772081</v>
      </c>
      <c r="F49" s="7">
        <v>797461</v>
      </c>
      <c r="J49" s="2">
        <v>2003</v>
      </c>
      <c r="K49" s="2">
        <f t="shared" si="5"/>
        <v>1263469.7971992493</v>
      </c>
      <c r="T49"/>
      <c r="V49" s="2">
        <v>2003</v>
      </c>
      <c r="W49" s="2">
        <f t="shared" si="6"/>
        <v>1142995.9526998997</v>
      </c>
    </row>
    <row r="50" spans="2:23">
      <c r="B50" s="2">
        <v>1990</v>
      </c>
      <c r="C50" s="7">
        <v>1366694</v>
      </c>
      <c r="D50" s="6" t="s">
        <v>33</v>
      </c>
      <c r="E50" s="7">
        <v>671020</v>
      </c>
      <c r="F50" s="7">
        <v>695674</v>
      </c>
      <c r="J50" s="2">
        <v>2004</v>
      </c>
      <c r="K50" s="2">
        <f t="shared" si="5"/>
        <v>1264963.0386991501</v>
      </c>
      <c r="T50"/>
      <c r="V50" s="2">
        <v>2004</v>
      </c>
      <c r="W50" s="2">
        <f t="shared" si="6"/>
        <v>1161523.1003998518</v>
      </c>
    </row>
    <row r="51" spans="2:23">
      <c r="B51" s="2">
        <v>1990</v>
      </c>
      <c r="C51" s="7">
        <v>1163580</v>
      </c>
      <c r="D51" s="6" t="s">
        <v>34</v>
      </c>
      <c r="E51" s="7">
        <v>570519</v>
      </c>
      <c r="F51" s="7">
        <v>593061</v>
      </c>
      <c r="J51" s="2">
        <v>2005</v>
      </c>
      <c r="K51" s="2">
        <f t="shared" si="5"/>
        <v>1264425.5303997993</v>
      </c>
      <c r="T51"/>
      <c r="V51" s="2">
        <v>2005</v>
      </c>
      <c r="W51" s="2">
        <f t="shared" si="6"/>
        <v>1179661.55189991</v>
      </c>
    </row>
    <row r="52" spans="2:23">
      <c r="B52" s="2">
        <v>1990</v>
      </c>
      <c r="C52" s="7">
        <v>887884</v>
      </c>
      <c r="D52" s="6" t="s">
        <v>35</v>
      </c>
      <c r="E52" s="7">
        <v>437768</v>
      </c>
      <c r="F52" s="7">
        <v>450116</v>
      </c>
      <c r="J52" s="2">
        <v>2006</v>
      </c>
      <c r="K52" s="2">
        <f t="shared" si="5"/>
        <v>1261857.2722997665</v>
      </c>
      <c r="T52"/>
      <c r="V52" s="2">
        <v>2006</v>
      </c>
      <c r="W52" s="2">
        <f t="shared" si="6"/>
        <v>1197411.307199955</v>
      </c>
    </row>
    <row r="53" spans="2:23">
      <c r="B53" s="2">
        <v>1990</v>
      </c>
      <c r="C53" s="7">
        <v>644217</v>
      </c>
      <c r="D53" s="6" t="s">
        <v>36</v>
      </c>
      <c r="E53" s="7">
        <v>318990</v>
      </c>
      <c r="F53" s="7">
        <v>325227</v>
      </c>
      <c r="J53" s="2">
        <v>2007</v>
      </c>
      <c r="K53" s="2">
        <f t="shared" si="5"/>
        <v>1257258.2643990517</v>
      </c>
      <c r="T53"/>
      <c r="V53" s="2">
        <v>2007</v>
      </c>
      <c r="W53" s="2">
        <f t="shared" si="6"/>
        <v>1214772.3662999868</v>
      </c>
    </row>
    <row r="54" spans="2:23">
      <c r="B54" s="2">
        <v>1990</v>
      </c>
      <c r="C54" s="7">
        <v>544860</v>
      </c>
      <c r="D54" s="6" t="s">
        <v>37</v>
      </c>
      <c r="E54" s="7">
        <v>268059</v>
      </c>
      <c r="F54" s="7">
        <v>276801</v>
      </c>
      <c r="J54" s="2">
        <v>2008</v>
      </c>
      <c r="K54" s="2">
        <f t="shared" si="5"/>
        <v>1250628.5066995621</v>
      </c>
      <c r="T54"/>
      <c r="V54" s="2">
        <v>2008</v>
      </c>
      <c r="W54" s="2">
        <f t="shared" si="6"/>
        <v>1231744.7292000055</v>
      </c>
    </row>
    <row r="55" spans="2:23">
      <c r="B55" s="2">
        <v>1990</v>
      </c>
      <c r="C55" s="7">
        <v>435339</v>
      </c>
      <c r="D55" s="6" t="s">
        <v>38</v>
      </c>
      <c r="E55" s="7">
        <v>213658</v>
      </c>
      <c r="F55" s="7">
        <v>221681</v>
      </c>
      <c r="J55" s="2">
        <v>2009</v>
      </c>
      <c r="K55" s="2">
        <f t="shared" si="5"/>
        <v>1241967.9991998672</v>
      </c>
      <c r="T55"/>
      <c r="V55" s="2">
        <v>2009</v>
      </c>
      <c r="W55" s="2">
        <f t="shared" si="6"/>
        <v>1248328.3959001303</v>
      </c>
    </row>
    <row r="56" spans="2:23">
      <c r="B56" s="2">
        <v>1990</v>
      </c>
      <c r="C56" s="7">
        <v>375538</v>
      </c>
      <c r="D56" s="6" t="s">
        <v>39</v>
      </c>
      <c r="E56" s="7">
        <v>182223</v>
      </c>
      <c r="F56" s="7">
        <v>193315</v>
      </c>
      <c r="J56" s="2">
        <v>2010</v>
      </c>
      <c r="K56" s="2">
        <f t="shared" si="5"/>
        <v>1231276.7418990135</v>
      </c>
      <c r="T56"/>
      <c r="V56" s="2">
        <v>2010</v>
      </c>
      <c r="W56" s="2">
        <f t="shared" si="6"/>
        <v>1264523.3663998842</v>
      </c>
    </row>
    <row r="57" spans="2:23">
      <c r="B57" s="2">
        <v>1990</v>
      </c>
      <c r="C57" s="7">
        <v>258785</v>
      </c>
      <c r="D57" s="6" t="s">
        <v>40</v>
      </c>
      <c r="E57" s="7">
        <v>122834</v>
      </c>
      <c r="F57" s="7">
        <v>135951</v>
      </c>
      <c r="J57" s="2">
        <v>2011</v>
      </c>
      <c r="K57" s="2">
        <f t="shared" si="5"/>
        <v>1218554.7347993851</v>
      </c>
      <c r="T57"/>
      <c r="V57" s="2">
        <v>2011</v>
      </c>
      <c r="W57" s="2">
        <f t="shared" si="6"/>
        <v>1280329.6406998634</v>
      </c>
    </row>
    <row r="58" spans="2:23">
      <c r="B58" s="2">
        <v>1990</v>
      </c>
      <c r="C58" s="7">
        <v>191662</v>
      </c>
      <c r="D58" s="6" t="s">
        <v>41</v>
      </c>
      <c r="E58" s="7">
        <v>88974</v>
      </c>
      <c r="F58" s="7">
        <v>102688</v>
      </c>
    </row>
    <row r="59" spans="2:23">
      <c r="B59" s="2">
        <v>1990</v>
      </c>
      <c r="C59" s="7">
        <v>130782</v>
      </c>
      <c r="D59" s="6" t="s">
        <v>42</v>
      </c>
      <c r="E59" s="7">
        <v>57796</v>
      </c>
      <c r="F59" s="7">
        <v>72986</v>
      </c>
      <c r="K59">
        <v>327.5455</v>
      </c>
      <c r="T59"/>
      <c r="W59" s="105">
        <v>138.86449999999999</v>
      </c>
    </row>
    <row r="60" spans="2:23">
      <c r="B60" s="2">
        <v>1990</v>
      </c>
      <c r="C60" s="7">
        <v>87978</v>
      </c>
      <c r="D60" s="6" t="s">
        <v>43</v>
      </c>
      <c r="E60" s="7">
        <v>37974</v>
      </c>
      <c r="F60" s="7">
        <v>50004</v>
      </c>
      <c r="K60" s="54">
        <v>-1292058.3636</v>
      </c>
      <c r="T60"/>
      <c r="W60" s="54">
        <v>-535670.6827</v>
      </c>
    </row>
    <row r="61" spans="2:23">
      <c r="B61" s="2">
        <v>1990</v>
      </c>
      <c r="C61" s="7">
        <v>56852</v>
      </c>
      <c r="D61" s="8" t="s">
        <v>44</v>
      </c>
      <c r="E61" s="9">
        <v>22454</v>
      </c>
      <c r="F61" s="9">
        <v>34398</v>
      </c>
      <c r="K61" s="54">
        <v>1274880850.0908</v>
      </c>
      <c r="T61"/>
      <c r="W61" s="54">
        <v>516763017.5194</v>
      </c>
    </row>
    <row r="62" spans="2:23">
      <c r="B62" s="2">
        <v>1981</v>
      </c>
      <c r="C62" s="5">
        <v>14516735</v>
      </c>
      <c r="D62" s="11" t="s">
        <v>20</v>
      </c>
      <c r="E62" s="5">
        <v>7259812</v>
      </c>
      <c r="F62" s="5">
        <v>7256923</v>
      </c>
      <c r="H62" s="52" t="s">
        <v>91</v>
      </c>
      <c r="I62" s="53" t="s">
        <v>32</v>
      </c>
      <c r="K62" s="2" t="s">
        <v>94</v>
      </c>
      <c r="T62" s="52" t="s">
        <v>91</v>
      </c>
      <c r="U62" s="53" t="s">
        <v>33</v>
      </c>
      <c r="W62" s="2" t="s">
        <v>94</v>
      </c>
    </row>
    <row r="63" spans="2:23">
      <c r="B63" s="2">
        <v>1981</v>
      </c>
      <c r="C63" s="12">
        <v>2098639</v>
      </c>
      <c r="D63" s="6" t="s">
        <v>27</v>
      </c>
      <c r="E63" s="18">
        <v>1066796</v>
      </c>
      <c r="F63" s="18">
        <v>1031843</v>
      </c>
      <c r="H63" s="51">
        <v>1990</v>
      </c>
      <c r="I63" s="56">
        <v>797461</v>
      </c>
      <c r="J63" s="2">
        <v>1995</v>
      </c>
      <c r="K63" s="2">
        <f>+J63^2*$K$59+J63*$K$60+$K$61</f>
        <v>863693.34630012512</v>
      </c>
      <c r="T63" s="51">
        <v>1990</v>
      </c>
      <c r="U63" s="56">
        <v>695674</v>
      </c>
      <c r="V63" s="2">
        <v>1995</v>
      </c>
      <c r="W63" s="2">
        <f>+V63^2*$W$59+V63*$W$60+$W$61</f>
        <v>784187.14539992809</v>
      </c>
    </row>
    <row r="64" spans="2:23">
      <c r="B64" s="2">
        <v>1981</v>
      </c>
      <c r="C64" s="12">
        <v>1906047</v>
      </c>
      <c r="D64" s="6" t="s">
        <v>28</v>
      </c>
      <c r="E64" s="18">
        <v>966393</v>
      </c>
      <c r="F64" s="18">
        <v>939654</v>
      </c>
      <c r="H64" s="51">
        <v>2001</v>
      </c>
      <c r="I64" s="56">
        <v>964392</v>
      </c>
      <c r="J64" s="2">
        <v>1996</v>
      </c>
      <c r="K64" s="2">
        <f t="shared" ref="K64:K79" si="7">+J64^2*$K$59+J64*$K$60+$K$61</f>
        <v>878869.07319974899</v>
      </c>
      <c r="T64" s="51">
        <v>2001</v>
      </c>
      <c r="U64" s="56">
        <v>899587</v>
      </c>
      <c r="V64" s="2">
        <v>1996</v>
      </c>
      <c r="W64" s="2">
        <f t="shared" ref="W64:W79" si="8">+V64^2*$W$59+V64*$W$60+$W$61</f>
        <v>802724.68219995499</v>
      </c>
    </row>
    <row r="65" spans="2:23">
      <c r="B65" s="2">
        <v>1981</v>
      </c>
      <c r="C65" s="12">
        <v>1792583</v>
      </c>
      <c r="D65" s="6" t="s">
        <v>29</v>
      </c>
      <c r="E65" s="18">
        <v>903908</v>
      </c>
      <c r="F65" s="18">
        <v>888675</v>
      </c>
      <c r="H65" s="51">
        <v>2011</v>
      </c>
      <c r="I65" s="56">
        <v>1184932</v>
      </c>
      <c r="J65" s="2">
        <v>1997</v>
      </c>
      <c r="K65" s="2">
        <f t="shared" si="7"/>
        <v>894699.89110016823</v>
      </c>
      <c r="T65" s="51">
        <v>2011</v>
      </c>
      <c r="U65" s="56">
        <v>1114124</v>
      </c>
      <c r="V65" s="2">
        <v>1997</v>
      </c>
      <c r="W65" s="2">
        <f t="shared" si="8"/>
        <v>821539.94799995422</v>
      </c>
    </row>
    <row r="66" spans="2:23">
      <c r="B66" s="2">
        <v>1981</v>
      </c>
      <c r="C66" s="12">
        <v>1646343</v>
      </c>
      <c r="D66" s="6" t="s">
        <v>30</v>
      </c>
      <c r="E66" s="18">
        <v>822575</v>
      </c>
      <c r="F66" s="18">
        <v>823768</v>
      </c>
      <c r="J66" s="2">
        <v>1998</v>
      </c>
      <c r="K66" s="2">
        <f t="shared" si="7"/>
        <v>911185.7999997139</v>
      </c>
      <c r="T66"/>
      <c r="V66" s="2">
        <v>1998</v>
      </c>
      <c r="W66" s="2">
        <f t="shared" si="8"/>
        <v>840632.9427999258</v>
      </c>
    </row>
    <row r="67" spans="2:23">
      <c r="B67" s="2">
        <v>1981</v>
      </c>
      <c r="C67" s="12">
        <v>1449072</v>
      </c>
      <c r="D67" s="6" t="s">
        <v>31</v>
      </c>
      <c r="E67" s="18">
        <v>716784</v>
      </c>
      <c r="F67" s="18">
        <v>732288</v>
      </c>
      <c r="J67" s="2">
        <v>1999</v>
      </c>
      <c r="K67" s="2">
        <f t="shared" si="7"/>
        <v>928326.79990005493</v>
      </c>
      <c r="T67"/>
      <c r="V67" s="2">
        <v>1999</v>
      </c>
      <c r="W67" s="2">
        <f t="shared" si="8"/>
        <v>860003.66659986973</v>
      </c>
    </row>
    <row r="68" spans="2:23">
      <c r="B68" s="2">
        <v>1981</v>
      </c>
      <c r="C68" s="12">
        <v>1236929</v>
      </c>
      <c r="D68" s="6" t="s">
        <v>32</v>
      </c>
      <c r="E68" s="18">
        <v>610993</v>
      </c>
      <c r="F68" s="18">
        <v>625936</v>
      </c>
      <c r="J68" s="2">
        <v>2000</v>
      </c>
      <c r="K68" s="2">
        <f t="shared" si="7"/>
        <v>946122.89079976082</v>
      </c>
      <c r="T68"/>
      <c r="V68" s="2">
        <v>2000</v>
      </c>
      <c r="W68" s="2">
        <f t="shared" si="8"/>
        <v>879652.11940002441</v>
      </c>
    </row>
    <row r="69" spans="2:23">
      <c r="B69" s="2">
        <v>1981</v>
      </c>
      <c r="C69" s="12">
        <v>986766</v>
      </c>
      <c r="D69" s="6" t="s">
        <v>33</v>
      </c>
      <c r="E69" s="18">
        <v>492405</v>
      </c>
      <c r="F69" s="18">
        <v>494361</v>
      </c>
      <c r="J69" s="2">
        <v>2001</v>
      </c>
      <c r="K69" s="2">
        <f t="shared" si="7"/>
        <v>964574.07270002365</v>
      </c>
      <c r="T69"/>
      <c r="V69" s="2">
        <v>2001</v>
      </c>
      <c r="W69" s="2">
        <f t="shared" si="8"/>
        <v>899578.30119991302</v>
      </c>
    </row>
    <row r="70" spans="2:23">
      <c r="B70" s="2">
        <v>1981</v>
      </c>
      <c r="C70" s="12">
        <v>727764</v>
      </c>
      <c r="D70" s="6" t="s">
        <v>34</v>
      </c>
      <c r="E70" s="18">
        <v>363267</v>
      </c>
      <c r="F70" s="18">
        <v>364497</v>
      </c>
      <c r="J70" s="2">
        <v>2002</v>
      </c>
      <c r="K70" s="2">
        <f t="shared" si="7"/>
        <v>983680.34559965134</v>
      </c>
      <c r="T70"/>
      <c r="V70" s="2">
        <v>2002</v>
      </c>
      <c r="W70" s="2">
        <f t="shared" si="8"/>
        <v>919782.21199989319</v>
      </c>
    </row>
    <row r="71" spans="2:23">
      <c r="B71" s="2">
        <v>1981</v>
      </c>
      <c r="C71" s="12">
        <v>601705</v>
      </c>
      <c r="D71" s="6" t="s">
        <v>35</v>
      </c>
      <c r="E71" s="18">
        <v>303292</v>
      </c>
      <c r="F71" s="18">
        <v>298413</v>
      </c>
      <c r="J71" s="2">
        <v>2003</v>
      </c>
      <c r="K71" s="2">
        <f t="shared" si="7"/>
        <v>1003441.7095000744</v>
      </c>
      <c r="T71"/>
      <c r="V71" s="2">
        <v>2003</v>
      </c>
      <c r="W71" s="2">
        <f t="shared" si="8"/>
        <v>940263.8517999649</v>
      </c>
    </row>
    <row r="72" spans="2:23">
      <c r="B72" s="2">
        <v>1981</v>
      </c>
      <c r="C72" s="12">
        <v>512503</v>
      </c>
      <c r="D72" s="6" t="s">
        <v>36</v>
      </c>
      <c r="E72" s="18">
        <v>258065</v>
      </c>
      <c r="F72" s="18">
        <v>254438</v>
      </c>
      <c r="J72" s="2">
        <v>2004</v>
      </c>
      <c r="K72" s="2">
        <f t="shared" si="7"/>
        <v>1023858.1644001007</v>
      </c>
      <c r="T72"/>
      <c r="V72" s="2">
        <v>2004</v>
      </c>
      <c r="W72" s="2">
        <f t="shared" si="8"/>
        <v>961023.22060000896</v>
      </c>
    </row>
    <row r="73" spans="2:23">
      <c r="B73" s="2">
        <v>1981</v>
      </c>
      <c r="C73" s="12">
        <v>445765</v>
      </c>
      <c r="D73" s="6" t="s">
        <v>37</v>
      </c>
      <c r="E73" s="18">
        <v>225406</v>
      </c>
      <c r="F73" s="18">
        <v>220359</v>
      </c>
      <c r="J73" s="2">
        <v>2005</v>
      </c>
      <c r="K73" s="2">
        <f t="shared" si="7"/>
        <v>1044929.7102999687</v>
      </c>
      <c r="T73"/>
      <c r="V73" s="2">
        <v>2005</v>
      </c>
      <c r="W73" s="2">
        <f t="shared" si="8"/>
        <v>982060.31840002537</v>
      </c>
    </row>
    <row r="74" spans="2:23">
      <c r="B74" s="2">
        <v>1981</v>
      </c>
      <c r="C74" s="12">
        <v>340139</v>
      </c>
      <c r="D74" s="6" t="s">
        <v>38</v>
      </c>
      <c r="E74" s="18">
        <v>170190</v>
      </c>
      <c r="F74" s="18">
        <v>169949</v>
      </c>
      <c r="J74" s="2">
        <v>2006</v>
      </c>
      <c r="K74" s="2">
        <f t="shared" si="7"/>
        <v>1066656.3472001553</v>
      </c>
      <c r="T74"/>
      <c r="V74" s="2">
        <v>2006</v>
      </c>
      <c r="W74" s="2">
        <f t="shared" si="8"/>
        <v>1003375.1451998949</v>
      </c>
    </row>
    <row r="75" spans="2:23">
      <c r="B75" s="2">
        <v>1981</v>
      </c>
      <c r="C75" s="12">
        <v>260896</v>
      </c>
      <c r="D75" s="6" t="s">
        <v>39</v>
      </c>
      <c r="E75" s="18">
        <v>127759</v>
      </c>
      <c r="F75" s="18">
        <v>133137</v>
      </c>
      <c r="J75" s="2">
        <v>2007</v>
      </c>
      <c r="K75" s="2">
        <f t="shared" si="7"/>
        <v>1089038.0750999451</v>
      </c>
      <c r="T75"/>
      <c r="V75" s="2">
        <v>2007</v>
      </c>
      <c r="W75" s="2">
        <f t="shared" si="8"/>
        <v>1024967.7009999752</v>
      </c>
    </row>
    <row r="76" spans="2:23">
      <c r="B76" s="2">
        <v>1981</v>
      </c>
      <c r="C76" s="12">
        <v>194759</v>
      </c>
      <c r="D76" s="6" t="s">
        <v>40</v>
      </c>
      <c r="E76" s="18">
        <v>92020</v>
      </c>
      <c r="F76" s="18">
        <v>102739</v>
      </c>
      <c r="J76" s="2">
        <v>2008</v>
      </c>
      <c r="K76" s="2">
        <f t="shared" si="7"/>
        <v>1112074.8940000534</v>
      </c>
      <c r="T76"/>
      <c r="V76" s="2">
        <v>2008</v>
      </c>
      <c r="W76" s="2">
        <f t="shared" si="8"/>
        <v>1046837.9858000278</v>
      </c>
    </row>
    <row r="77" spans="2:23">
      <c r="B77" s="2">
        <v>1981</v>
      </c>
      <c r="C77" s="12">
        <v>138384</v>
      </c>
      <c r="D77" s="6" t="s">
        <v>41</v>
      </c>
      <c r="E77" s="18">
        <v>63663</v>
      </c>
      <c r="F77" s="18">
        <v>74721</v>
      </c>
      <c r="J77" s="2">
        <v>2009</v>
      </c>
      <c r="K77" s="2">
        <f t="shared" si="7"/>
        <v>1135766.803899765</v>
      </c>
      <c r="T77"/>
      <c r="V77" s="2">
        <v>2009</v>
      </c>
      <c r="W77" s="2">
        <f t="shared" si="8"/>
        <v>1068985.9995999336</v>
      </c>
    </row>
    <row r="78" spans="2:23">
      <c r="B78" s="2">
        <v>1981</v>
      </c>
      <c r="C78" s="12">
        <v>85354</v>
      </c>
      <c r="D78" s="6" t="s">
        <v>42</v>
      </c>
      <c r="E78" s="18">
        <v>38076</v>
      </c>
      <c r="F78" s="18">
        <v>47278</v>
      </c>
      <c r="J78" s="2">
        <v>2010</v>
      </c>
      <c r="K78" s="2">
        <f t="shared" si="7"/>
        <v>1160113.8048000336</v>
      </c>
      <c r="T78"/>
      <c r="V78" s="2">
        <v>2010</v>
      </c>
      <c r="W78" s="2">
        <f t="shared" si="8"/>
        <v>1091411.742399931</v>
      </c>
    </row>
    <row r="79" spans="2:23">
      <c r="B79" s="2">
        <v>1981</v>
      </c>
      <c r="C79" s="12">
        <v>93087</v>
      </c>
      <c r="D79" s="6" t="s">
        <v>43</v>
      </c>
      <c r="E79" s="12">
        <v>38220</v>
      </c>
      <c r="F79" s="12">
        <v>54867</v>
      </c>
      <c r="J79" s="2">
        <v>2011</v>
      </c>
      <c r="K79" s="2">
        <f t="shared" si="7"/>
        <v>1185115.8966999054</v>
      </c>
      <c r="T79"/>
      <c r="V79" s="2">
        <v>2011</v>
      </c>
      <c r="W79" s="2">
        <f t="shared" si="8"/>
        <v>1114115.2142000198</v>
      </c>
    </row>
    <row r="80" spans="2:23">
      <c r="B80" s="2">
        <v>1971</v>
      </c>
      <c r="C80" s="5">
        <v>10721522</v>
      </c>
      <c r="D80" s="11" t="s">
        <v>20</v>
      </c>
      <c r="E80" s="5">
        <v>5357157</v>
      </c>
      <c r="F80" s="5">
        <v>5364365</v>
      </c>
    </row>
    <row r="81" spans="2:23">
      <c r="B81" s="2">
        <v>1971</v>
      </c>
      <c r="C81" s="7">
        <v>1734538</v>
      </c>
      <c r="D81" s="6" t="s">
        <v>27</v>
      </c>
      <c r="E81" s="7">
        <v>878007</v>
      </c>
      <c r="F81" s="7">
        <v>856531</v>
      </c>
      <c r="K81">
        <v>-309.57100000000003</v>
      </c>
      <c r="T81"/>
      <c r="W81">
        <v>-515.08180000000004</v>
      </c>
    </row>
    <row r="82" spans="2:23">
      <c r="B82" s="2">
        <v>1971</v>
      </c>
      <c r="C82" s="7">
        <v>1655032</v>
      </c>
      <c r="D82" s="6" t="s">
        <v>28</v>
      </c>
      <c r="E82" s="7">
        <v>851071</v>
      </c>
      <c r="F82" s="7">
        <v>803961</v>
      </c>
      <c r="K82" s="54">
        <v>1256206.9346</v>
      </c>
      <c r="T82"/>
      <c r="W82" s="54">
        <v>2081407.3544999999</v>
      </c>
    </row>
    <row r="83" spans="2:23">
      <c r="B83" s="2">
        <v>1971</v>
      </c>
      <c r="C83" s="7">
        <v>1455861</v>
      </c>
      <c r="D83" s="6" t="s">
        <v>29</v>
      </c>
      <c r="E83" s="7">
        <v>728788</v>
      </c>
      <c r="F83" s="7">
        <v>727073</v>
      </c>
      <c r="K83" s="54">
        <v>-1273326638.9611001</v>
      </c>
      <c r="T83"/>
      <c r="W83" s="54">
        <v>-2101775011.3636999</v>
      </c>
    </row>
    <row r="84" spans="2:23">
      <c r="B84" s="2">
        <v>1971</v>
      </c>
      <c r="C84" s="7">
        <v>1227697</v>
      </c>
      <c r="D84" s="6" t="s">
        <v>30</v>
      </c>
      <c r="E84" s="7">
        <v>601038</v>
      </c>
      <c r="F84" s="7">
        <v>626659</v>
      </c>
      <c r="H84" s="52" t="s">
        <v>91</v>
      </c>
      <c r="I84" s="53" t="s">
        <v>34</v>
      </c>
      <c r="K84" s="2" t="s">
        <v>94</v>
      </c>
      <c r="T84" s="52" t="s">
        <v>91</v>
      </c>
      <c r="U84" s="53" t="s">
        <v>35</v>
      </c>
      <c r="W84" s="2" t="s">
        <v>94</v>
      </c>
    </row>
    <row r="85" spans="2:23">
      <c r="B85" s="2">
        <v>1971</v>
      </c>
      <c r="C85" s="7">
        <v>954413</v>
      </c>
      <c r="D85" s="6" t="s">
        <v>31</v>
      </c>
      <c r="E85" s="7">
        <v>464191</v>
      </c>
      <c r="F85" s="7">
        <v>490222</v>
      </c>
      <c r="H85" s="51">
        <v>1990</v>
      </c>
      <c r="I85" s="56">
        <v>593061</v>
      </c>
      <c r="J85" s="2">
        <v>1995</v>
      </c>
      <c r="K85" s="2">
        <f>+J85^2*$K$81+J85*$K$82+$K$83</f>
        <v>705876.29089975357</v>
      </c>
      <c r="T85" s="51">
        <v>1990</v>
      </c>
      <c r="U85" s="56">
        <v>450116</v>
      </c>
      <c r="V85" s="2">
        <v>1995</v>
      </c>
      <c r="W85" s="2">
        <f>+V85^2*$W$81+V85*$W$82+$W$83</f>
        <v>594219.81879997253</v>
      </c>
    </row>
    <row r="86" spans="2:23">
      <c r="B86" s="2">
        <v>1971</v>
      </c>
      <c r="C86" s="7">
        <v>693185</v>
      </c>
      <c r="D86" s="6" t="s">
        <v>32</v>
      </c>
      <c r="E86" s="7">
        <v>336538</v>
      </c>
      <c r="F86" s="7">
        <v>356647</v>
      </c>
      <c r="H86" s="51">
        <v>2001</v>
      </c>
      <c r="I86" s="56">
        <v>820861</v>
      </c>
      <c r="J86" s="2">
        <v>1996</v>
      </c>
      <c r="K86" s="2">
        <f t="shared" ref="K86:K101" si="9">+J86^2*$K$81+J86*$K$82+$K$83</f>
        <v>726585.36450004578</v>
      </c>
      <c r="T86" s="51">
        <v>2001</v>
      </c>
      <c r="U86" s="56">
        <v>732990</v>
      </c>
      <c r="V86" s="2">
        <v>1996</v>
      </c>
      <c r="W86" s="2">
        <f t="shared" ref="W86:W101" si="10">+V86^2*$W$81+V86*$W$82+$W$83</f>
        <v>619935.70949959755</v>
      </c>
    </row>
    <row r="87" spans="2:23">
      <c r="B87" s="2">
        <v>1971</v>
      </c>
      <c r="C87" s="7">
        <v>582976</v>
      </c>
      <c r="D87" s="6" t="s">
        <v>33</v>
      </c>
      <c r="E87" s="7">
        <v>290210</v>
      </c>
      <c r="F87" s="7">
        <v>292766</v>
      </c>
      <c r="H87" s="51">
        <v>2011</v>
      </c>
      <c r="I87" s="56">
        <v>962942</v>
      </c>
      <c r="J87" s="2">
        <v>1997</v>
      </c>
      <c r="K87" s="2">
        <f t="shared" si="9"/>
        <v>746675.2960999012</v>
      </c>
      <c r="T87" s="51">
        <v>2011</v>
      </c>
      <c r="U87" s="56">
        <v>881981</v>
      </c>
      <c r="V87" s="2">
        <v>1997</v>
      </c>
      <c r="W87" s="2">
        <f t="shared" si="10"/>
        <v>644621.43659949303</v>
      </c>
    </row>
    <row r="88" spans="2:23">
      <c r="B88" s="2">
        <v>1971</v>
      </c>
      <c r="C88" s="7">
        <v>537496</v>
      </c>
      <c r="D88" s="6" t="s">
        <v>34</v>
      </c>
      <c r="E88" s="7">
        <v>269941</v>
      </c>
      <c r="F88" s="7">
        <v>267555</v>
      </c>
      <c r="J88" s="2">
        <v>1998</v>
      </c>
      <c r="K88" s="2">
        <f t="shared" si="9"/>
        <v>766146.08569979668</v>
      </c>
      <c r="T88"/>
      <c r="V88" s="2">
        <v>1998</v>
      </c>
      <c r="W88" s="2">
        <f t="shared" si="10"/>
        <v>668277.00009989738</v>
      </c>
    </row>
    <row r="89" spans="2:23">
      <c r="B89" s="2">
        <v>1971</v>
      </c>
      <c r="C89" s="7">
        <v>468590</v>
      </c>
      <c r="D89" s="6" t="s">
        <v>35</v>
      </c>
      <c r="E89" s="7">
        <v>242951</v>
      </c>
      <c r="F89" s="7">
        <v>225639</v>
      </c>
      <c r="J89" s="2">
        <v>1999</v>
      </c>
      <c r="K89" s="2">
        <f t="shared" si="9"/>
        <v>784997.73329973221</v>
      </c>
      <c r="T89"/>
      <c r="V89" s="2">
        <v>1999</v>
      </c>
      <c r="W89" s="2">
        <f t="shared" si="10"/>
        <v>690902.39999961853</v>
      </c>
    </row>
    <row r="90" spans="2:23">
      <c r="B90" s="2">
        <v>1971</v>
      </c>
      <c r="C90" s="7">
        <v>371042</v>
      </c>
      <c r="D90" s="6" t="s">
        <v>36</v>
      </c>
      <c r="E90" s="7">
        <v>191292</v>
      </c>
      <c r="F90" s="7">
        <v>179750</v>
      </c>
      <c r="J90" s="2">
        <v>2000</v>
      </c>
      <c r="K90" s="2">
        <f t="shared" si="9"/>
        <v>803230.23890018463</v>
      </c>
      <c r="T90"/>
      <c r="V90" s="2">
        <v>2000</v>
      </c>
      <c r="W90" s="2">
        <f t="shared" si="10"/>
        <v>712497.63629984856</v>
      </c>
    </row>
    <row r="91" spans="2:23">
      <c r="B91" s="2">
        <v>1971</v>
      </c>
      <c r="C91" s="7">
        <v>303520</v>
      </c>
      <c r="D91" s="6" t="s">
        <v>37</v>
      </c>
      <c r="E91" s="7">
        <v>153806</v>
      </c>
      <c r="F91" s="7">
        <v>149714</v>
      </c>
      <c r="J91" s="2">
        <v>2001</v>
      </c>
      <c r="K91" s="2">
        <f t="shared" si="9"/>
        <v>820843.60249996185</v>
      </c>
      <c r="T91"/>
      <c r="V91" s="2">
        <v>2001</v>
      </c>
      <c r="W91" s="2">
        <f t="shared" si="10"/>
        <v>733062.70899963379</v>
      </c>
    </row>
    <row r="92" spans="2:23">
      <c r="B92" s="2">
        <v>1971</v>
      </c>
      <c r="C92" s="7">
        <v>231769</v>
      </c>
      <c r="D92" s="6" t="s">
        <v>38</v>
      </c>
      <c r="E92" s="7">
        <v>115284</v>
      </c>
      <c r="F92" s="7">
        <v>116485</v>
      </c>
      <c r="J92" s="2">
        <v>2002</v>
      </c>
      <c r="K92" s="2">
        <f t="shared" si="9"/>
        <v>837837.82409977913</v>
      </c>
      <c r="T92"/>
      <c r="V92" s="2">
        <v>2002</v>
      </c>
      <c r="W92" s="2">
        <f t="shared" si="10"/>
        <v>752597.61809945107</v>
      </c>
    </row>
    <row r="93" spans="2:23">
      <c r="B93" s="2">
        <v>1971</v>
      </c>
      <c r="C93" s="7">
        <v>189970</v>
      </c>
      <c r="D93" s="6" t="s">
        <v>39</v>
      </c>
      <c r="E93" s="7">
        <v>93197</v>
      </c>
      <c r="F93" s="7">
        <v>96773</v>
      </c>
      <c r="J93" s="2">
        <v>2003</v>
      </c>
      <c r="K93" s="2">
        <f t="shared" si="9"/>
        <v>854212.90369963646</v>
      </c>
      <c r="T93"/>
      <c r="V93" s="2">
        <v>2003</v>
      </c>
      <c r="W93" s="2">
        <f t="shared" si="10"/>
        <v>771102.36359977722</v>
      </c>
    </row>
    <row r="94" spans="2:23">
      <c r="B94" s="2">
        <v>1971</v>
      </c>
      <c r="C94" s="7">
        <v>119823</v>
      </c>
      <c r="D94" s="6" t="s">
        <v>40</v>
      </c>
      <c r="E94" s="7">
        <v>57256</v>
      </c>
      <c r="F94" s="7">
        <v>62567</v>
      </c>
      <c r="J94" s="2">
        <v>2004</v>
      </c>
      <c r="K94" s="2">
        <f t="shared" si="9"/>
        <v>869968.84130001068</v>
      </c>
      <c r="T94"/>
      <c r="V94" s="2">
        <v>2004</v>
      </c>
      <c r="W94" s="2">
        <f t="shared" si="10"/>
        <v>788576.94549965858</v>
      </c>
    </row>
    <row r="95" spans="2:23">
      <c r="B95" s="2">
        <v>1971</v>
      </c>
      <c r="C95" s="7">
        <v>88397</v>
      </c>
      <c r="D95" s="6" t="s">
        <v>41</v>
      </c>
      <c r="E95" s="7">
        <v>40723</v>
      </c>
      <c r="F95" s="7">
        <v>47674</v>
      </c>
      <c r="J95" s="2">
        <v>2005</v>
      </c>
      <c r="K95" s="2">
        <f t="shared" si="9"/>
        <v>885105.63689994812</v>
      </c>
      <c r="T95"/>
      <c r="V95" s="2">
        <v>2005</v>
      </c>
      <c r="W95" s="2">
        <f t="shared" si="10"/>
        <v>805021.36379957199</v>
      </c>
    </row>
    <row r="96" spans="2:23">
      <c r="B96" s="2">
        <v>1971</v>
      </c>
      <c r="C96" s="7">
        <v>45799</v>
      </c>
      <c r="D96" s="6" t="s">
        <v>42</v>
      </c>
      <c r="E96" s="7">
        <v>19900</v>
      </c>
      <c r="F96" s="7">
        <v>25899</v>
      </c>
      <c r="J96" s="2">
        <v>2006</v>
      </c>
      <c r="K96" s="2">
        <f t="shared" si="9"/>
        <v>899623.29049992561</v>
      </c>
      <c r="T96"/>
      <c r="V96" s="2">
        <v>2006</v>
      </c>
      <c r="W96" s="2">
        <f t="shared" si="10"/>
        <v>820435.61849975586</v>
      </c>
    </row>
    <row r="97" spans="2:23">
      <c r="B97" s="2">
        <v>1971</v>
      </c>
      <c r="C97" s="7">
        <v>31850</v>
      </c>
      <c r="D97" s="6" t="s">
        <v>43</v>
      </c>
      <c r="E97" s="7">
        <v>12470</v>
      </c>
      <c r="F97" s="7">
        <v>19380</v>
      </c>
      <c r="J97" s="2">
        <v>2007</v>
      </c>
      <c r="K97" s="2">
        <f t="shared" si="9"/>
        <v>913521.80209970474</v>
      </c>
      <c r="T97"/>
      <c r="V97" s="2">
        <v>2007</v>
      </c>
      <c r="W97" s="2">
        <f t="shared" si="10"/>
        <v>834819.70959949493</v>
      </c>
    </row>
    <row r="98" spans="2:23">
      <c r="B98" s="2">
        <v>1971</v>
      </c>
      <c r="C98" s="7">
        <v>29564</v>
      </c>
      <c r="D98" s="8" t="s">
        <v>44</v>
      </c>
      <c r="E98" s="7">
        <v>10494</v>
      </c>
      <c r="F98" s="7">
        <v>19070</v>
      </c>
      <c r="J98" s="2">
        <v>2008</v>
      </c>
      <c r="K98" s="2">
        <f t="shared" si="9"/>
        <v>926801.17170000076</v>
      </c>
      <c r="T98"/>
      <c r="V98" s="2">
        <v>2008</v>
      </c>
      <c r="W98" s="2">
        <f t="shared" si="10"/>
        <v>848173.63709998131</v>
      </c>
    </row>
    <row r="99" spans="2:23">
      <c r="B99" s="2">
        <v>1961</v>
      </c>
      <c r="C99" s="16">
        <v>7523999</v>
      </c>
      <c r="D99" s="11" t="s">
        <v>20</v>
      </c>
      <c r="E99" s="16">
        <v>3821722</v>
      </c>
      <c r="F99" s="16">
        <v>3702277</v>
      </c>
      <c r="J99" s="2">
        <v>2009</v>
      </c>
      <c r="K99" s="2">
        <f t="shared" si="9"/>
        <v>939461.39929986</v>
      </c>
      <c r="T99"/>
      <c r="V99" s="2">
        <v>2009</v>
      </c>
      <c r="W99" s="2">
        <f t="shared" si="10"/>
        <v>860497.40099978447</v>
      </c>
    </row>
    <row r="100" spans="2:23">
      <c r="B100" s="2">
        <v>1961</v>
      </c>
      <c r="C100" s="17">
        <v>1374096</v>
      </c>
      <c r="D100" s="6" t="s">
        <v>27</v>
      </c>
      <c r="E100" s="17">
        <v>698316</v>
      </c>
      <c r="F100" s="17">
        <v>675780</v>
      </c>
      <c r="J100" s="2">
        <v>2010</v>
      </c>
      <c r="K100" s="2">
        <f t="shared" si="9"/>
        <v>951502.48489975929</v>
      </c>
      <c r="T100"/>
      <c r="V100" s="2">
        <v>2010</v>
      </c>
      <c r="W100" s="2">
        <f t="shared" si="10"/>
        <v>871791.00129961967</v>
      </c>
    </row>
    <row r="101" spans="2:23">
      <c r="B101" s="2">
        <v>1961</v>
      </c>
      <c r="C101" s="17">
        <v>1163320</v>
      </c>
      <c r="D101" s="6" t="s">
        <v>28</v>
      </c>
      <c r="E101" s="17">
        <v>591273</v>
      </c>
      <c r="F101" s="17">
        <v>572047</v>
      </c>
      <c r="J101" s="2">
        <v>2011</v>
      </c>
      <c r="K101" s="2">
        <f t="shared" si="9"/>
        <v>962924.42849969864</v>
      </c>
      <c r="T101"/>
      <c r="V101" s="2">
        <v>2011</v>
      </c>
      <c r="W101" s="2">
        <f t="shared" si="10"/>
        <v>882054.43799972534</v>
      </c>
    </row>
    <row r="102" spans="2:23">
      <c r="B102" s="2">
        <v>1961</v>
      </c>
      <c r="C102" s="17">
        <v>901881</v>
      </c>
      <c r="D102" s="6" t="s">
        <v>29</v>
      </c>
      <c r="E102" s="17">
        <v>458372</v>
      </c>
      <c r="F102" s="17">
        <v>443509</v>
      </c>
    </row>
    <row r="103" spans="2:23">
      <c r="B103" s="2">
        <v>1961</v>
      </c>
      <c r="C103" s="17">
        <v>679636</v>
      </c>
      <c r="D103" s="6" t="s">
        <v>30</v>
      </c>
      <c r="E103" s="17">
        <v>340465</v>
      </c>
      <c r="F103" s="17">
        <v>339171</v>
      </c>
      <c r="K103">
        <v>-279.54939999999999</v>
      </c>
      <c r="T103"/>
      <c r="W103">
        <v>165.10910000000001</v>
      </c>
    </row>
    <row r="104" spans="2:23">
      <c r="B104" s="2">
        <v>1961</v>
      </c>
      <c r="C104" s="17">
        <v>618411</v>
      </c>
      <c r="D104" s="6" t="s">
        <v>31</v>
      </c>
      <c r="E104" s="17">
        <v>311678</v>
      </c>
      <c r="F104" s="17">
        <v>306733</v>
      </c>
      <c r="K104" s="54">
        <v>1140184.0948000001</v>
      </c>
      <c r="T104"/>
      <c r="W104" s="54">
        <v>-641083.47270000004</v>
      </c>
    </row>
    <row r="105" spans="2:23">
      <c r="B105" s="2">
        <v>1961</v>
      </c>
      <c r="C105" s="17">
        <v>550882</v>
      </c>
      <c r="D105" s="6" t="s">
        <v>32</v>
      </c>
      <c r="E105" s="17">
        <v>283008</v>
      </c>
      <c r="F105" s="17">
        <v>267874</v>
      </c>
      <c r="K105" s="54">
        <v>-1161597738.1559</v>
      </c>
      <c r="T105"/>
      <c r="W105" s="54">
        <v>622184400.81809998</v>
      </c>
    </row>
    <row r="106" spans="2:23">
      <c r="B106" s="2">
        <v>1961</v>
      </c>
      <c r="C106" s="17">
        <v>502697</v>
      </c>
      <c r="D106" s="6" t="s">
        <v>33</v>
      </c>
      <c r="E106" s="17">
        <v>264861</v>
      </c>
      <c r="F106" s="17">
        <v>237836</v>
      </c>
      <c r="H106" s="52" t="s">
        <v>91</v>
      </c>
      <c r="I106" s="53" t="s">
        <v>36</v>
      </c>
      <c r="K106" s="2" t="s">
        <v>94</v>
      </c>
      <c r="T106" s="52" t="s">
        <v>91</v>
      </c>
      <c r="U106" s="53" t="s">
        <v>37</v>
      </c>
      <c r="W106" s="2" t="s">
        <v>94</v>
      </c>
    </row>
    <row r="107" spans="2:23">
      <c r="B107" s="2">
        <v>1961</v>
      </c>
      <c r="C107" s="17">
        <v>405172</v>
      </c>
      <c r="D107" s="6" t="s">
        <v>34</v>
      </c>
      <c r="E107" s="17">
        <v>210638</v>
      </c>
      <c r="F107" s="17">
        <v>194534</v>
      </c>
      <c r="H107" s="51">
        <v>1990</v>
      </c>
      <c r="I107" s="56">
        <v>325227</v>
      </c>
      <c r="J107" s="2">
        <v>1995</v>
      </c>
      <c r="K107" s="2">
        <f>+J107^2*$K$103+J107*$K$104+$K$105</f>
        <v>455930.2351000309</v>
      </c>
      <c r="T107" s="51">
        <v>1990</v>
      </c>
      <c r="U107" s="56">
        <v>276801</v>
      </c>
      <c r="V107" s="2">
        <v>1995</v>
      </c>
      <c r="W107" s="2">
        <f>+V107^2*$W$103+V107*$W$104+$W$105</f>
        <v>361218.50910007954</v>
      </c>
    </row>
    <row r="108" spans="2:23">
      <c r="B108" s="2">
        <v>1961</v>
      </c>
      <c r="C108" s="17">
        <v>331587</v>
      </c>
      <c r="D108" s="6" t="s">
        <v>35</v>
      </c>
      <c r="E108" s="17">
        <v>174323</v>
      </c>
      <c r="F108" s="17">
        <v>157264</v>
      </c>
      <c r="H108" s="51">
        <v>2001</v>
      </c>
      <c r="I108" s="56">
        <v>594756</v>
      </c>
      <c r="J108" s="2">
        <v>1996</v>
      </c>
      <c r="K108" s="2">
        <f t="shared" ref="K108:K123" si="11">+J108^2*$K$103+J108*$K$104+$K$105</f>
        <v>480432.67449998856</v>
      </c>
      <c r="T108" s="51">
        <v>2001</v>
      </c>
      <c r="U108" s="56">
        <v>473337</v>
      </c>
      <c r="V108" s="2">
        <v>1996</v>
      </c>
      <c r="W108" s="2">
        <f t="shared" ref="W108:W123" si="12">+V108^2*$W$103+V108*$W$104+$W$105</f>
        <v>379085.45449995995</v>
      </c>
    </row>
    <row r="109" spans="2:23">
      <c r="B109" s="2">
        <v>1961</v>
      </c>
      <c r="C109" s="17">
        <v>280801</v>
      </c>
      <c r="D109" s="6" t="s">
        <v>36</v>
      </c>
      <c r="E109" s="17">
        <v>146041</v>
      </c>
      <c r="F109" s="17">
        <v>134760</v>
      </c>
      <c r="H109" s="51">
        <v>2011</v>
      </c>
      <c r="I109" s="56">
        <v>781077</v>
      </c>
      <c r="J109" s="2">
        <v>1997</v>
      </c>
      <c r="K109" s="2">
        <f t="shared" si="11"/>
        <v>504376.01510047913</v>
      </c>
      <c r="T109" s="51">
        <v>2011</v>
      </c>
      <c r="U109" s="56">
        <v>686679</v>
      </c>
      <c r="V109" s="2">
        <v>1997</v>
      </c>
      <c r="W109" s="2">
        <f t="shared" si="12"/>
        <v>397282.61810004711</v>
      </c>
    </row>
    <row r="110" spans="2:23">
      <c r="B110" s="2">
        <v>1961</v>
      </c>
      <c r="C110" s="17">
        <v>218773</v>
      </c>
      <c r="D110" s="6" t="s">
        <v>37</v>
      </c>
      <c r="E110" s="17">
        <v>112531</v>
      </c>
      <c r="F110" s="17">
        <v>106242</v>
      </c>
      <c r="J110" s="2">
        <v>1998</v>
      </c>
      <c r="K110" s="2">
        <f t="shared" si="11"/>
        <v>527760.25690031052</v>
      </c>
      <c r="T110"/>
      <c r="V110" s="2">
        <v>1998</v>
      </c>
      <c r="W110" s="2">
        <f t="shared" si="12"/>
        <v>415809.99989998341</v>
      </c>
    </row>
    <row r="111" spans="2:23">
      <c r="B111" s="2">
        <v>1961</v>
      </c>
      <c r="C111" s="17">
        <v>167309</v>
      </c>
      <c r="D111" s="6" t="s">
        <v>38</v>
      </c>
      <c r="E111" s="17">
        <v>84211</v>
      </c>
      <c r="F111" s="17">
        <v>83098</v>
      </c>
      <c r="J111" s="2">
        <v>1999</v>
      </c>
      <c r="K111" s="2">
        <f t="shared" si="11"/>
        <v>550585.3999004364</v>
      </c>
      <c r="T111"/>
      <c r="V111" s="2">
        <v>1999</v>
      </c>
      <c r="W111" s="2">
        <f t="shared" si="12"/>
        <v>434667.59990000725</v>
      </c>
    </row>
    <row r="112" spans="2:23">
      <c r="B112" s="2">
        <v>1961</v>
      </c>
      <c r="C112" s="17">
        <v>131714</v>
      </c>
      <c r="D112" s="6" t="s">
        <v>39</v>
      </c>
      <c r="E112" s="17">
        <v>62356</v>
      </c>
      <c r="F112" s="17">
        <v>69358</v>
      </c>
      <c r="J112" s="2">
        <v>2000</v>
      </c>
      <c r="K112" s="2">
        <f t="shared" si="11"/>
        <v>572851.44410037994</v>
      </c>
      <c r="T112"/>
      <c r="V112" s="2">
        <v>2000</v>
      </c>
      <c r="W112" s="2">
        <f t="shared" si="12"/>
        <v>453855.41809988022</v>
      </c>
    </row>
    <row r="113" spans="2:23">
      <c r="B113" s="2">
        <v>1961</v>
      </c>
      <c r="C113" s="17">
        <v>77722</v>
      </c>
      <c r="D113" s="6" t="s">
        <v>40</v>
      </c>
      <c r="E113" s="17">
        <v>36152</v>
      </c>
      <c r="F113" s="17">
        <v>41570</v>
      </c>
      <c r="J113" s="2">
        <v>2001</v>
      </c>
      <c r="K113" s="2">
        <f t="shared" si="11"/>
        <v>594558.38950037956</v>
      </c>
      <c r="T113"/>
      <c r="V113" s="2">
        <v>2001</v>
      </c>
      <c r="W113" s="2">
        <f t="shared" si="12"/>
        <v>473373.45450007915</v>
      </c>
    </row>
    <row r="114" spans="2:23">
      <c r="B114" s="2">
        <v>1961</v>
      </c>
      <c r="C114" s="17">
        <v>51015</v>
      </c>
      <c r="D114" s="6" t="s">
        <v>41</v>
      </c>
      <c r="E114" s="17">
        <v>21657</v>
      </c>
      <c r="F114" s="17">
        <v>29358</v>
      </c>
      <c r="J114" s="2">
        <v>2002</v>
      </c>
      <c r="K114" s="2">
        <f t="shared" si="11"/>
        <v>615706.23610043526</v>
      </c>
      <c r="T114"/>
      <c r="V114" s="2">
        <v>2002</v>
      </c>
      <c r="W114" s="2">
        <f t="shared" si="12"/>
        <v>493221.7090998888</v>
      </c>
    </row>
    <row r="115" spans="2:23">
      <c r="B115" s="2">
        <v>1961</v>
      </c>
      <c r="C115" s="17">
        <v>30949</v>
      </c>
      <c r="D115" s="6" t="s">
        <v>42</v>
      </c>
      <c r="E115" s="17">
        <v>12601</v>
      </c>
      <c r="F115" s="17">
        <v>18348</v>
      </c>
      <c r="J115" s="2">
        <v>2003</v>
      </c>
      <c r="K115" s="2">
        <f t="shared" si="11"/>
        <v>636294.98390030861</v>
      </c>
      <c r="T115"/>
      <c r="V115" s="2">
        <v>2003</v>
      </c>
      <c r="W115" s="2">
        <f t="shared" si="12"/>
        <v>513400.18190002441</v>
      </c>
    </row>
    <row r="116" spans="2:23">
      <c r="B116" s="2">
        <v>1961</v>
      </c>
      <c r="C116" s="17">
        <v>20732</v>
      </c>
      <c r="D116" s="6" t="s">
        <v>43</v>
      </c>
      <c r="E116" s="17">
        <v>7431</v>
      </c>
      <c r="F116" s="17">
        <v>13301</v>
      </c>
      <c r="J116" s="2">
        <v>2004</v>
      </c>
      <c r="K116" s="2">
        <f t="shared" si="11"/>
        <v>656324.63290047646</v>
      </c>
      <c r="T116"/>
      <c r="V116" s="2">
        <v>2004</v>
      </c>
      <c r="W116" s="2">
        <f t="shared" si="12"/>
        <v>533908.87289988995</v>
      </c>
    </row>
    <row r="117" spans="2:23">
      <c r="B117" s="2">
        <v>1961</v>
      </c>
      <c r="C117" s="17">
        <v>17302</v>
      </c>
      <c r="D117" s="8" t="s">
        <v>44</v>
      </c>
      <c r="E117" s="17">
        <v>5808</v>
      </c>
      <c r="F117" s="17">
        <v>11494</v>
      </c>
      <c r="J117" s="2">
        <v>2005</v>
      </c>
      <c r="K117" s="2">
        <f t="shared" si="11"/>
        <v>675795.18310046196</v>
      </c>
      <c r="T117"/>
      <c r="V117" s="2">
        <v>2005</v>
      </c>
      <c r="W117" s="2">
        <f t="shared" si="12"/>
        <v>554747.78210008144</v>
      </c>
    </row>
    <row r="118" spans="2:23">
      <c r="B118" s="2">
        <v>1950</v>
      </c>
      <c r="C118" s="5">
        <v>5034838</v>
      </c>
      <c r="D118" s="11" t="s">
        <v>20</v>
      </c>
      <c r="E118" s="5">
        <v>2552491</v>
      </c>
      <c r="F118" s="5">
        <v>2482347</v>
      </c>
      <c r="J118" s="2">
        <v>2006</v>
      </c>
      <c r="K118" s="2">
        <f t="shared" si="11"/>
        <v>694706.63450050354</v>
      </c>
      <c r="T118"/>
      <c r="V118" s="2">
        <v>2006</v>
      </c>
      <c r="W118" s="2">
        <f t="shared" si="12"/>
        <v>575916.90949988365</v>
      </c>
    </row>
    <row r="119" spans="2:23">
      <c r="B119" s="2">
        <v>1950</v>
      </c>
      <c r="C119" s="12">
        <v>847748</v>
      </c>
      <c r="D119" s="6" t="s">
        <v>27</v>
      </c>
      <c r="E119" s="13">
        <v>432681</v>
      </c>
      <c r="F119" s="13">
        <v>415067</v>
      </c>
      <c r="J119" s="2">
        <v>2007</v>
      </c>
      <c r="K119" s="2">
        <f t="shared" si="11"/>
        <v>713058.98710036278</v>
      </c>
      <c r="T119"/>
      <c r="V119" s="2">
        <v>2007</v>
      </c>
      <c r="W119" s="2">
        <f t="shared" si="12"/>
        <v>597416.25510001183</v>
      </c>
    </row>
    <row r="120" spans="2:23">
      <c r="B120" s="2">
        <v>1950</v>
      </c>
      <c r="C120" s="12">
        <v>687318</v>
      </c>
      <c r="D120" s="6" t="s">
        <v>28</v>
      </c>
      <c r="E120" s="13">
        <v>352758</v>
      </c>
      <c r="F120" s="13">
        <v>334560</v>
      </c>
      <c r="J120" s="2">
        <v>2008</v>
      </c>
      <c r="K120" s="2">
        <f t="shared" si="11"/>
        <v>730852.24090027809</v>
      </c>
      <c r="T120"/>
      <c r="V120" s="2">
        <v>2008</v>
      </c>
      <c r="W120" s="2">
        <f t="shared" si="12"/>
        <v>619245.81889998913</v>
      </c>
    </row>
    <row r="121" spans="2:23">
      <c r="B121" s="2">
        <v>1950</v>
      </c>
      <c r="C121" s="12">
        <v>574722</v>
      </c>
      <c r="D121" s="6" t="s">
        <v>29</v>
      </c>
      <c r="E121" s="13">
        <v>298518</v>
      </c>
      <c r="F121" s="13">
        <v>276204</v>
      </c>
      <c r="J121" s="2">
        <v>2009</v>
      </c>
      <c r="K121" s="2">
        <f t="shared" si="11"/>
        <v>748086.3959004879</v>
      </c>
      <c r="T121"/>
      <c r="V121" s="2">
        <v>2009</v>
      </c>
      <c r="W121" s="2">
        <f t="shared" si="12"/>
        <v>641405.60090005398</v>
      </c>
    </row>
    <row r="122" spans="2:23">
      <c r="B122" s="2">
        <v>1950</v>
      </c>
      <c r="C122" s="12">
        <v>496566</v>
      </c>
      <c r="D122" s="6" t="s">
        <v>30</v>
      </c>
      <c r="E122" s="13">
        <v>244191</v>
      </c>
      <c r="F122" s="13">
        <v>252375</v>
      </c>
      <c r="J122" s="2">
        <v>2010</v>
      </c>
      <c r="K122" s="2">
        <f t="shared" si="11"/>
        <v>764761.45210027695</v>
      </c>
      <c r="T122"/>
      <c r="V122" s="2">
        <v>2010</v>
      </c>
      <c r="W122" s="2">
        <f t="shared" si="12"/>
        <v>663895.60109996796</v>
      </c>
    </row>
    <row r="123" spans="2:23">
      <c r="B123" s="2">
        <v>1950</v>
      </c>
      <c r="C123" s="12">
        <v>473748</v>
      </c>
      <c r="D123" s="6" t="s">
        <v>31</v>
      </c>
      <c r="E123" s="13">
        <v>236133</v>
      </c>
      <c r="F123" s="13">
        <v>237615</v>
      </c>
      <c r="J123" s="2">
        <v>2011</v>
      </c>
      <c r="K123" s="2">
        <f t="shared" si="11"/>
        <v>780877.40950036049</v>
      </c>
      <c r="T123"/>
      <c r="V123" s="2">
        <v>2011</v>
      </c>
      <c r="W123" s="2">
        <f t="shared" si="12"/>
        <v>686715.81950008869</v>
      </c>
    </row>
    <row r="124" spans="2:23">
      <c r="B124" s="2">
        <v>1950</v>
      </c>
      <c r="C124" s="12">
        <v>400614</v>
      </c>
      <c r="D124" s="6" t="s">
        <v>32</v>
      </c>
      <c r="E124" s="13">
        <v>202418</v>
      </c>
      <c r="F124" s="13">
        <v>198196</v>
      </c>
    </row>
    <row r="125" spans="2:23">
      <c r="B125" s="2">
        <v>1950</v>
      </c>
      <c r="C125" s="12">
        <v>327613</v>
      </c>
      <c r="D125" s="6" t="s">
        <v>33</v>
      </c>
      <c r="E125" s="13">
        <v>170176</v>
      </c>
      <c r="F125" s="13">
        <v>157437</v>
      </c>
      <c r="K125">
        <v>791.18230000000005</v>
      </c>
      <c r="T125"/>
      <c r="W125">
        <v>542.06060000000002</v>
      </c>
    </row>
    <row r="126" spans="2:23">
      <c r="B126" s="2">
        <v>1950</v>
      </c>
      <c r="C126" s="12">
        <v>301543</v>
      </c>
      <c r="D126" s="6" t="s">
        <v>34</v>
      </c>
      <c r="E126" s="13">
        <v>156330</v>
      </c>
      <c r="F126" s="13">
        <v>145213</v>
      </c>
      <c r="K126" s="54">
        <v>-3148559.0913</v>
      </c>
      <c r="T126"/>
      <c r="W126" s="54">
        <v>-2157004.1515000002</v>
      </c>
    </row>
    <row r="127" spans="2:23">
      <c r="B127" s="2">
        <v>1950</v>
      </c>
      <c r="C127" s="12">
        <v>239608</v>
      </c>
      <c r="D127" s="6" t="s">
        <v>35</v>
      </c>
      <c r="E127" s="13">
        <v>124964</v>
      </c>
      <c r="F127" s="13">
        <v>114644</v>
      </c>
      <c r="K127" s="54">
        <v>3132693440.2596998</v>
      </c>
      <c r="T127"/>
      <c r="W127" s="54">
        <v>2146017370.4545</v>
      </c>
    </row>
    <row r="128" spans="2:23">
      <c r="B128" s="2">
        <v>1950</v>
      </c>
      <c r="C128" s="12">
        <v>184768</v>
      </c>
      <c r="D128" s="6" t="s">
        <v>36</v>
      </c>
      <c r="E128" s="13">
        <v>97832</v>
      </c>
      <c r="F128" s="13">
        <v>86936</v>
      </c>
      <c r="H128" s="52" t="s">
        <v>91</v>
      </c>
      <c r="I128" s="53" t="s">
        <v>38</v>
      </c>
      <c r="K128" s="2" t="s">
        <v>94</v>
      </c>
      <c r="T128" s="52" t="s">
        <v>91</v>
      </c>
      <c r="U128" s="53" t="s">
        <v>39</v>
      </c>
      <c r="W128" s="2" t="s">
        <v>94</v>
      </c>
    </row>
    <row r="129" spans="2:23">
      <c r="B129" s="2">
        <v>1950</v>
      </c>
      <c r="C129" s="12">
        <v>164736</v>
      </c>
      <c r="D129" s="6" t="s">
        <v>37</v>
      </c>
      <c r="E129" s="13">
        <v>82619</v>
      </c>
      <c r="F129" s="13">
        <v>82117</v>
      </c>
      <c r="H129" s="51">
        <v>1990</v>
      </c>
      <c r="I129" s="56">
        <v>221681</v>
      </c>
      <c r="J129" s="2">
        <v>1995</v>
      </c>
      <c r="K129" s="2">
        <f>+J129^2*$K$125+J129*$K$126+$K$127</f>
        <v>243386.6736998558</v>
      </c>
      <c r="T129" s="51">
        <v>1990</v>
      </c>
      <c r="U129" s="56">
        <v>193315</v>
      </c>
      <c r="V129" s="2">
        <v>1995</v>
      </c>
      <c r="W129" s="2">
        <f>+V129^2*$W$125+V129*$W$126+$W$127</f>
        <v>208827.72699952126</v>
      </c>
    </row>
    <row r="130" spans="2:23">
      <c r="B130" s="2">
        <v>1950</v>
      </c>
      <c r="C130" s="12">
        <v>101879</v>
      </c>
      <c r="D130" s="6" t="s">
        <v>38</v>
      </c>
      <c r="E130" s="13">
        <v>52359</v>
      </c>
      <c r="F130" s="13">
        <v>49520</v>
      </c>
      <c r="H130" s="51">
        <v>2001</v>
      </c>
      <c r="I130" s="56">
        <v>321223</v>
      </c>
      <c r="J130" s="2">
        <v>1996</v>
      </c>
      <c r="K130" s="2">
        <f t="shared" ref="K130:K145" si="13">+J130^2*$K$125+J130*$K$126+$K$127</f>
        <v>252436.14169979095</v>
      </c>
      <c r="T130" s="51">
        <v>2001</v>
      </c>
      <c r="U130" s="56">
        <v>263272</v>
      </c>
      <c r="V130" s="2">
        <v>1996</v>
      </c>
      <c r="W130" s="2">
        <f t="shared" ref="W130:W145" si="14">+V130^2*$W$125+V130*$W$126+$W$127</f>
        <v>215187.43010020256</v>
      </c>
    </row>
    <row r="131" spans="2:23">
      <c r="B131" s="2">
        <v>1950</v>
      </c>
      <c r="C131" s="12">
        <v>92466</v>
      </c>
      <c r="D131" s="6" t="s">
        <v>39</v>
      </c>
      <c r="E131" s="13">
        <v>41518</v>
      </c>
      <c r="F131" s="13">
        <v>50948</v>
      </c>
      <c r="H131" s="51">
        <v>2011</v>
      </c>
      <c r="I131" s="56">
        <v>577864</v>
      </c>
      <c r="J131" s="2">
        <v>1997</v>
      </c>
      <c r="K131" s="2">
        <f t="shared" si="13"/>
        <v>263067.97429990768</v>
      </c>
      <c r="T131" s="51">
        <v>2011</v>
      </c>
      <c r="U131" s="56">
        <v>440702</v>
      </c>
      <c r="V131" s="2">
        <v>1997</v>
      </c>
      <c r="W131" s="2">
        <f t="shared" si="14"/>
        <v>222631.2543990612</v>
      </c>
    </row>
    <row r="132" spans="2:23">
      <c r="B132" s="2">
        <v>1950</v>
      </c>
      <c r="C132" s="12">
        <v>47919</v>
      </c>
      <c r="D132" s="6" t="s">
        <v>40</v>
      </c>
      <c r="E132" s="13">
        <v>22025</v>
      </c>
      <c r="F132" s="13">
        <v>25894</v>
      </c>
      <c r="J132" s="2">
        <v>1998</v>
      </c>
      <c r="K132" s="2">
        <f t="shared" si="13"/>
        <v>275282.17149972916</v>
      </c>
      <c r="T132"/>
      <c r="V132" s="2">
        <v>1998</v>
      </c>
      <c r="W132" s="2">
        <f t="shared" si="14"/>
        <v>231159.19989943504</v>
      </c>
    </row>
    <row r="133" spans="2:23">
      <c r="B133" s="2">
        <v>1950</v>
      </c>
      <c r="C133" s="12">
        <v>38280</v>
      </c>
      <c r="D133" s="6" t="s">
        <v>41</v>
      </c>
      <c r="E133" s="13">
        <v>15491</v>
      </c>
      <c r="F133" s="13">
        <v>22789</v>
      </c>
      <c r="J133" s="2">
        <v>1999</v>
      </c>
      <c r="K133" s="2">
        <f t="shared" si="13"/>
        <v>289078.73329973221</v>
      </c>
      <c r="T133"/>
      <c r="V133" s="2">
        <v>1999</v>
      </c>
      <c r="W133" s="2">
        <f t="shared" si="14"/>
        <v>240771.26659989357</v>
      </c>
    </row>
    <row r="134" spans="2:23">
      <c r="B134" s="2">
        <v>1950</v>
      </c>
      <c r="C134" s="12">
        <v>18798</v>
      </c>
      <c r="D134" s="6" t="s">
        <v>42</v>
      </c>
      <c r="E134" s="13">
        <v>7802</v>
      </c>
      <c r="F134" s="13">
        <v>10996</v>
      </c>
      <c r="J134" s="2">
        <v>2000</v>
      </c>
      <c r="K134" s="2">
        <f t="shared" si="13"/>
        <v>304457.65969944</v>
      </c>
      <c r="T134"/>
      <c r="V134" s="2">
        <v>2000</v>
      </c>
      <c r="W134" s="2">
        <f t="shared" si="14"/>
        <v>251467.45449995995</v>
      </c>
    </row>
    <row r="135" spans="2:23">
      <c r="B135" s="2">
        <v>1950</v>
      </c>
      <c r="C135" s="12">
        <v>16560</v>
      </c>
      <c r="D135" s="6" t="s">
        <v>43</v>
      </c>
      <c r="E135" s="13">
        <v>5873</v>
      </c>
      <c r="F135" s="13">
        <v>10687</v>
      </c>
      <c r="J135" s="2">
        <v>2001</v>
      </c>
      <c r="K135" s="2">
        <f t="shared" si="13"/>
        <v>321418.95069980621</v>
      </c>
      <c r="T135"/>
      <c r="V135" s="2">
        <v>2001</v>
      </c>
      <c r="W135" s="2">
        <f t="shared" si="14"/>
        <v>263247.76359915733</v>
      </c>
    </row>
    <row r="136" spans="2:23">
      <c r="B136" s="2">
        <v>1950</v>
      </c>
      <c r="C136" s="12">
        <v>11873</v>
      </c>
      <c r="D136" s="8" t="s">
        <v>44</v>
      </c>
      <c r="E136" s="13">
        <v>4125</v>
      </c>
      <c r="F136" s="13">
        <v>7748</v>
      </c>
      <c r="J136" s="2">
        <v>2002</v>
      </c>
      <c r="K136" s="2">
        <f t="shared" si="13"/>
        <v>339962.60629940033</v>
      </c>
      <c r="T136"/>
      <c r="V136" s="2">
        <v>2002</v>
      </c>
      <c r="W136" s="2">
        <f t="shared" si="14"/>
        <v>276112.19389939308</v>
      </c>
    </row>
    <row r="137" spans="2:23">
      <c r="B137" s="2">
        <v>1950</v>
      </c>
      <c r="C137" s="12">
        <v>8079</v>
      </c>
      <c r="D137" s="14" t="s">
        <v>59</v>
      </c>
      <c r="E137" s="15">
        <v>4678</v>
      </c>
      <c r="F137" s="15">
        <v>3401</v>
      </c>
      <c r="J137" s="2">
        <v>2003</v>
      </c>
      <c r="K137" s="2">
        <f t="shared" si="13"/>
        <v>360088.62649965286</v>
      </c>
      <c r="T137"/>
      <c r="V137" s="2">
        <v>2003</v>
      </c>
      <c r="W137" s="2">
        <f t="shared" si="14"/>
        <v>290060.74539971352</v>
      </c>
    </row>
    <row r="138" spans="2:23">
      <c r="B138" s="2">
        <v>1941</v>
      </c>
      <c r="C138" s="5">
        <v>3850771</v>
      </c>
      <c r="D138" s="4" t="s">
        <v>20</v>
      </c>
      <c r="E138" s="5">
        <v>1908545</v>
      </c>
      <c r="F138" s="5">
        <v>1942226</v>
      </c>
      <c r="J138" s="2">
        <v>2004</v>
      </c>
      <c r="K138" s="2">
        <f t="shared" si="13"/>
        <v>381797.01130056381</v>
      </c>
      <c r="T138"/>
      <c r="V138" s="2">
        <v>2004</v>
      </c>
      <c r="W138" s="2">
        <f t="shared" si="14"/>
        <v>305093.41810011864</v>
      </c>
    </row>
    <row r="139" spans="2:23">
      <c r="B139" s="2">
        <v>1941</v>
      </c>
      <c r="C139" s="7">
        <v>577993</v>
      </c>
      <c r="D139" s="6" t="s">
        <v>27</v>
      </c>
      <c r="E139" s="7">
        <v>292473</v>
      </c>
      <c r="F139" s="7">
        <v>285520</v>
      </c>
      <c r="J139" s="2">
        <v>2005</v>
      </c>
      <c r="K139" s="2">
        <f t="shared" si="13"/>
        <v>405087.76070070267</v>
      </c>
      <c r="T139"/>
      <c r="V139" s="2">
        <v>2005</v>
      </c>
      <c r="W139" s="2">
        <f t="shared" si="14"/>
        <v>321210.21199917793</v>
      </c>
    </row>
    <row r="140" spans="2:23">
      <c r="B140" s="2">
        <v>1941</v>
      </c>
      <c r="C140" s="7">
        <v>522646</v>
      </c>
      <c r="D140" s="6" t="s">
        <v>28</v>
      </c>
      <c r="E140" s="7">
        <v>266753</v>
      </c>
      <c r="F140" s="7">
        <v>255893</v>
      </c>
      <c r="J140" s="2">
        <v>2006</v>
      </c>
      <c r="K140" s="2">
        <f t="shared" si="13"/>
        <v>429960.87470054626</v>
      </c>
      <c r="T140"/>
      <c r="V140" s="2">
        <v>2006</v>
      </c>
      <c r="W140" s="2">
        <f t="shared" si="14"/>
        <v>338411.12709975243</v>
      </c>
    </row>
    <row r="141" spans="2:23">
      <c r="B141" s="2">
        <v>1941</v>
      </c>
      <c r="C141" s="7">
        <v>473152</v>
      </c>
      <c r="D141" s="6" t="s">
        <v>29</v>
      </c>
      <c r="E141" s="7">
        <v>246333</v>
      </c>
      <c r="F141" s="7">
        <v>226819</v>
      </c>
      <c r="J141" s="2">
        <v>2007</v>
      </c>
      <c r="K141" s="2">
        <f t="shared" si="13"/>
        <v>456416.35330057144</v>
      </c>
      <c r="T141"/>
      <c r="V141" s="2">
        <v>2007</v>
      </c>
      <c r="W141" s="2">
        <f t="shared" si="14"/>
        <v>356696.16339993477</v>
      </c>
    </row>
    <row r="142" spans="2:23">
      <c r="B142" s="2">
        <v>1941</v>
      </c>
      <c r="C142" s="7">
        <v>402521</v>
      </c>
      <c r="D142" s="6" t="s">
        <v>30</v>
      </c>
      <c r="E142" s="7">
        <v>190892</v>
      </c>
      <c r="F142" s="7">
        <v>211629</v>
      </c>
      <c r="J142" s="2">
        <v>2008</v>
      </c>
      <c r="K142" s="2">
        <f t="shared" si="13"/>
        <v>484454.19650030136</v>
      </c>
      <c r="T142"/>
      <c r="V142" s="2">
        <v>2008</v>
      </c>
      <c r="W142" s="2">
        <f t="shared" si="14"/>
        <v>376065.3209002018</v>
      </c>
    </row>
    <row r="143" spans="2:23">
      <c r="B143" s="2">
        <v>1941</v>
      </c>
      <c r="C143" s="7">
        <v>373287</v>
      </c>
      <c r="D143" s="6" t="s">
        <v>31</v>
      </c>
      <c r="E143" s="7">
        <v>182714</v>
      </c>
      <c r="F143" s="7">
        <v>190573</v>
      </c>
      <c r="J143" s="2">
        <v>2009</v>
      </c>
      <c r="K143" s="2">
        <f t="shared" si="13"/>
        <v>514074.4043006897</v>
      </c>
      <c r="T143"/>
      <c r="V143" s="2">
        <v>2009</v>
      </c>
      <c r="W143" s="2">
        <f t="shared" si="14"/>
        <v>396518.59959959984</v>
      </c>
    </row>
    <row r="144" spans="2:23">
      <c r="B144" s="2">
        <v>1941</v>
      </c>
      <c r="C144" s="7">
        <v>321653</v>
      </c>
      <c r="D144" s="6" t="s">
        <v>32</v>
      </c>
      <c r="E144" s="7">
        <v>154307</v>
      </c>
      <c r="F144" s="7">
        <v>167346</v>
      </c>
      <c r="J144" s="2">
        <v>2010</v>
      </c>
      <c r="K144" s="2">
        <f t="shared" si="13"/>
        <v>545276.97670030594</v>
      </c>
      <c r="T144"/>
      <c r="V144" s="2">
        <v>2010</v>
      </c>
      <c r="W144" s="2">
        <f t="shared" si="14"/>
        <v>418055.9994995594</v>
      </c>
    </row>
    <row r="145" spans="2:23">
      <c r="B145" s="2">
        <v>1941</v>
      </c>
      <c r="C145" s="7">
        <v>251468</v>
      </c>
      <c r="D145" s="6" t="s">
        <v>33</v>
      </c>
      <c r="E145" s="7">
        <v>124440</v>
      </c>
      <c r="F145" s="7">
        <v>127028</v>
      </c>
      <c r="J145" s="2">
        <v>2011</v>
      </c>
      <c r="K145" s="2">
        <f t="shared" si="13"/>
        <v>578061.9137005806</v>
      </c>
      <c r="T145"/>
      <c r="V145" s="2">
        <v>2011</v>
      </c>
      <c r="W145" s="2">
        <f t="shared" si="14"/>
        <v>440677.52060008049</v>
      </c>
    </row>
    <row r="146" spans="2:23">
      <c r="B146" s="2">
        <v>1941</v>
      </c>
      <c r="C146" s="7">
        <v>215279</v>
      </c>
      <c r="D146" s="6" t="s">
        <v>34</v>
      </c>
      <c r="E146" s="7">
        <v>106042</v>
      </c>
      <c r="F146" s="7">
        <v>109237</v>
      </c>
    </row>
    <row r="147" spans="2:23">
      <c r="B147" s="2">
        <v>1941</v>
      </c>
      <c r="C147" s="7">
        <v>190461</v>
      </c>
      <c r="D147" s="6" t="s">
        <v>35</v>
      </c>
      <c r="E147" s="7">
        <v>93873</v>
      </c>
      <c r="F147" s="7">
        <v>96588</v>
      </c>
      <c r="K147">
        <v>157.83330000000001</v>
      </c>
      <c r="T147"/>
      <c r="W147">
        <v>4.6090999999999998</v>
      </c>
    </row>
    <row r="148" spans="2:23">
      <c r="B148" s="2">
        <v>1941</v>
      </c>
      <c r="C148" s="7">
        <v>152074</v>
      </c>
      <c r="D148" s="6" t="s">
        <v>36</v>
      </c>
      <c r="E148" s="7">
        <v>79815</v>
      </c>
      <c r="F148" s="7">
        <v>72259</v>
      </c>
      <c r="K148" s="54">
        <v>-623631.83330000006</v>
      </c>
      <c r="T148"/>
      <c r="W148" s="54">
        <v>-12798.9727</v>
      </c>
    </row>
    <row r="149" spans="2:23">
      <c r="B149" s="2">
        <v>1941</v>
      </c>
      <c r="C149" s="7">
        <v>118307</v>
      </c>
      <c r="D149" s="6" t="s">
        <v>37</v>
      </c>
      <c r="E149" s="7">
        <v>57600</v>
      </c>
      <c r="F149" s="7">
        <v>60707</v>
      </c>
      <c r="K149" s="54">
        <v>616127516</v>
      </c>
      <c r="T149"/>
      <c r="W149" s="54">
        <v>7320182.8181999996</v>
      </c>
    </row>
    <row r="150" spans="2:23">
      <c r="B150" s="2">
        <v>1941</v>
      </c>
      <c r="C150" s="7">
        <v>76601</v>
      </c>
      <c r="D150" s="6" t="s">
        <v>38</v>
      </c>
      <c r="E150" s="7">
        <v>38303</v>
      </c>
      <c r="F150" s="7">
        <v>38298</v>
      </c>
      <c r="H150" s="52" t="s">
        <v>91</v>
      </c>
      <c r="I150" s="53" t="s">
        <v>40</v>
      </c>
      <c r="K150" s="2" t="s">
        <v>94</v>
      </c>
      <c r="T150" s="52" t="s">
        <v>91</v>
      </c>
      <c r="U150" s="53" t="s">
        <v>41</v>
      </c>
      <c r="W150" s="2" t="s">
        <v>94</v>
      </c>
    </row>
    <row r="151" spans="2:23">
      <c r="B151" s="2">
        <v>1941</v>
      </c>
      <c r="C151" s="7">
        <v>72612</v>
      </c>
      <c r="D151" s="6" t="s">
        <v>39</v>
      </c>
      <c r="E151" s="7">
        <v>31757</v>
      </c>
      <c r="F151" s="7">
        <v>40855</v>
      </c>
      <c r="H151" s="51">
        <v>1990</v>
      </c>
      <c r="I151" s="56">
        <v>135951</v>
      </c>
      <c r="J151" s="2">
        <v>1995</v>
      </c>
      <c r="K151" s="2">
        <f>+J151^2*$K$147+J151*$K$148+$K$149</f>
        <v>162488.39899992943</v>
      </c>
      <c r="T151" s="51">
        <v>1990</v>
      </c>
      <c r="U151" s="56">
        <v>102688</v>
      </c>
      <c r="V151" s="2">
        <v>1995</v>
      </c>
      <c r="W151" s="2">
        <f>+V151^2*$W$147+V151*$W$148+$W$149</f>
        <v>130565.50919999927</v>
      </c>
    </row>
    <row r="152" spans="2:23">
      <c r="B152" s="2">
        <v>1941</v>
      </c>
      <c r="C152" s="7">
        <v>35252</v>
      </c>
      <c r="D152" s="6" t="s">
        <v>40</v>
      </c>
      <c r="E152" s="7">
        <v>16089</v>
      </c>
      <c r="F152" s="7">
        <v>19163</v>
      </c>
      <c r="H152" s="51">
        <v>2001</v>
      </c>
      <c r="I152" s="56">
        <v>205042</v>
      </c>
      <c r="J152" s="2">
        <v>1996</v>
      </c>
      <c r="K152" s="2">
        <f t="shared" ref="K152:K167" si="15">+J152^2*$K$147+J152*$K$148+$K$149</f>
        <v>168769.26599991322</v>
      </c>
      <c r="T152" s="51">
        <v>2001</v>
      </c>
      <c r="U152" s="56">
        <v>164243</v>
      </c>
      <c r="V152" s="2">
        <v>1996</v>
      </c>
      <c r="W152" s="2">
        <f t="shared" ref="W152:W167" si="16">+V152^2*$W$147+V152*$W$148+$W$149</f>
        <v>136161.45459999889</v>
      </c>
    </row>
    <row r="153" spans="2:23">
      <c r="B153" s="2">
        <v>1941</v>
      </c>
      <c r="C153" s="7">
        <v>26920</v>
      </c>
      <c r="D153" s="6" t="s">
        <v>41</v>
      </c>
      <c r="E153" s="7">
        <v>10478</v>
      </c>
      <c r="F153" s="7">
        <v>16442</v>
      </c>
      <c r="H153" s="51">
        <v>2011</v>
      </c>
      <c r="I153" s="56">
        <v>300997</v>
      </c>
      <c r="J153" s="2">
        <v>1997</v>
      </c>
      <c r="K153" s="2">
        <f t="shared" si="15"/>
        <v>175365.79960000515</v>
      </c>
      <c r="T153" s="51">
        <v>2011</v>
      </c>
      <c r="U153" s="56">
        <v>221170</v>
      </c>
      <c r="V153" s="2">
        <v>1997</v>
      </c>
      <c r="W153" s="2">
        <f t="shared" si="16"/>
        <v>141766.61820000038</v>
      </c>
    </row>
    <row r="154" spans="2:23">
      <c r="B154" s="2">
        <v>1941</v>
      </c>
      <c r="C154" s="7">
        <v>13459</v>
      </c>
      <c r="D154" s="6" t="s">
        <v>42</v>
      </c>
      <c r="E154" s="7">
        <v>5521</v>
      </c>
      <c r="F154" s="7">
        <v>7938</v>
      </c>
      <c r="J154" s="2">
        <v>1998</v>
      </c>
      <c r="K154" s="2">
        <f t="shared" si="15"/>
        <v>182277.9997998476</v>
      </c>
      <c r="T154"/>
      <c r="V154" s="2">
        <v>1998</v>
      </c>
      <c r="W154" s="2">
        <f t="shared" si="16"/>
        <v>147381</v>
      </c>
    </row>
    <row r="155" spans="2:23">
      <c r="B155" s="2">
        <v>1941</v>
      </c>
      <c r="C155" s="7">
        <v>11503</v>
      </c>
      <c r="D155" s="6" t="s">
        <v>43</v>
      </c>
      <c r="E155" s="7">
        <v>4079</v>
      </c>
      <c r="F155" s="7">
        <v>7424</v>
      </c>
      <c r="J155" s="2">
        <v>1999</v>
      </c>
      <c r="K155" s="2">
        <f t="shared" si="15"/>
        <v>189505.86660003662</v>
      </c>
      <c r="T155"/>
      <c r="V155" s="2">
        <v>1999</v>
      </c>
      <c r="W155" s="2">
        <f t="shared" si="16"/>
        <v>153004.60000000149</v>
      </c>
    </row>
    <row r="156" spans="2:23">
      <c r="B156" s="2">
        <v>1941</v>
      </c>
      <c r="C156" s="7">
        <v>15583</v>
      </c>
      <c r="D156" s="8" t="s">
        <v>44</v>
      </c>
      <c r="E156" s="9">
        <v>7076</v>
      </c>
      <c r="F156" s="9">
        <v>8507</v>
      </c>
      <c r="J156" s="2">
        <v>2000</v>
      </c>
      <c r="K156" s="2">
        <f t="shared" si="15"/>
        <v>197049.39999985695</v>
      </c>
      <c r="T156"/>
      <c r="V156" s="2">
        <v>2000</v>
      </c>
      <c r="W156" s="2">
        <f t="shared" si="16"/>
        <v>158637.4181999974</v>
      </c>
    </row>
    <row r="157" spans="2:23">
      <c r="B157" s="2">
        <v>1936</v>
      </c>
      <c r="C157" s="5">
        <v>3364347</v>
      </c>
      <c r="D157" s="4" t="s">
        <v>20</v>
      </c>
      <c r="E157" s="5">
        <v>1652130</v>
      </c>
      <c r="F157" s="5">
        <v>1712217</v>
      </c>
      <c r="J157" s="2">
        <v>2001</v>
      </c>
      <c r="K157" s="2">
        <f t="shared" si="15"/>
        <v>204908.60000002384</v>
      </c>
      <c r="T157"/>
      <c r="V157" s="2">
        <v>2001</v>
      </c>
      <c r="W157" s="2">
        <f t="shared" si="16"/>
        <v>164279.45459999517</v>
      </c>
    </row>
    <row r="158" spans="2:23">
      <c r="B158" s="2">
        <v>1936</v>
      </c>
      <c r="C158" s="7">
        <v>473628</v>
      </c>
      <c r="D158" s="6" t="s">
        <v>27</v>
      </c>
      <c r="E158" s="7">
        <v>240120</v>
      </c>
      <c r="F158" s="7">
        <v>233508</v>
      </c>
      <c r="J158" s="2">
        <v>2002</v>
      </c>
      <c r="K158" s="2">
        <f t="shared" si="15"/>
        <v>213083.46659994125</v>
      </c>
      <c r="T158"/>
      <c r="V158" s="2">
        <v>2002</v>
      </c>
      <c r="W158" s="2">
        <f t="shared" si="16"/>
        <v>169930.70919999853</v>
      </c>
    </row>
    <row r="159" spans="2:23">
      <c r="B159" s="2">
        <v>1936</v>
      </c>
      <c r="C159" s="7">
        <v>471508</v>
      </c>
      <c r="D159" s="6" t="s">
        <v>28</v>
      </c>
      <c r="E159" s="7">
        <v>241375</v>
      </c>
      <c r="F159" s="7">
        <v>230133</v>
      </c>
      <c r="J159" s="2">
        <v>2003</v>
      </c>
      <c r="K159" s="2">
        <f t="shared" si="15"/>
        <v>221573.99979996681</v>
      </c>
      <c r="T159"/>
      <c r="V159" s="2">
        <v>2003</v>
      </c>
      <c r="W159" s="2">
        <f t="shared" si="16"/>
        <v>175591.1819999963</v>
      </c>
    </row>
    <row r="160" spans="2:23">
      <c r="B160" s="2">
        <v>1936</v>
      </c>
      <c r="C160" s="7">
        <v>412115</v>
      </c>
      <c r="D160" s="6" t="s">
        <v>29</v>
      </c>
      <c r="E160" s="7">
        <v>214908</v>
      </c>
      <c r="F160" s="7">
        <v>197207</v>
      </c>
      <c r="J160" s="2">
        <v>2004</v>
      </c>
      <c r="K160" s="2">
        <f t="shared" si="15"/>
        <v>230380.1995998621</v>
      </c>
      <c r="T160"/>
      <c r="V160" s="2">
        <v>2004</v>
      </c>
      <c r="W160" s="2">
        <f t="shared" si="16"/>
        <v>181260.87299999595</v>
      </c>
    </row>
    <row r="161" spans="2:23">
      <c r="B161" s="2">
        <v>1936</v>
      </c>
      <c r="C161" s="7">
        <v>349040</v>
      </c>
      <c r="D161" s="6" t="s">
        <v>30</v>
      </c>
      <c r="E161" s="7">
        <v>164434</v>
      </c>
      <c r="F161" s="7">
        <v>184606</v>
      </c>
      <c r="J161" s="2">
        <v>2005</v>
      </c>
      <c r="K161" s="2">
        <f t="shared" si="15"/>
        <v>239502.06599998474</v>
      </c>
      <c r="T161"/>
      <c r="V161" s="2">
        <v>2005</v>
      </c>
      <c r="W161" s="2">
        <f t="shared" si="16"/>
        <v>186939.78219999745</v>
      </c>
    </row>
    <row r="162" spans="2:23">
      <c r="B162" s="2">
        <v>1936</v>
      </c>
      <c r="C162" s="7">
        <v>333070</v>
      </c>
      <c r="D162" s="6" t="s">
        <v>31</v>
      </c>
      <c r="E162" s="7">
        <v>158839</v>
      </c>
      <c r="F162" s="7">
        <v>174231</v>
      </c>
      <c r="J162" s="2">
        <v>2006</v>
      </c>
      <c r="K162" s="2">
        <f t="shared" si="15"/>
        <v>248939.59899997711</v>
      </c>
      <c r="T162"/>
      <c r="V162" s="2">
        <v>2006</v>
      </c>
      <c r="W162" s="2">
        <f t="shared" si="16"/>
        <v>192627.9095999971</v>
      </c>
    </row>
    <row r="163" spans="2:23">
      <c r="B163" s="2">
        <v>1936</v>
      </c>
      <c r="C163" s="7">
        <v>285065</v>
      </c>
      <c r="D163" s="6" t="s">
        <v>32</v>
      </c>
      <c r="E163" s="7">
        <v>135653</v>
      </c>
      <c r="F163" s="7">
        <v>149412</v>
      </c>
      <c r="J163" s="2">
        <v>2007</v>
      </c>
      <c r="K163" s="2">
        <f t="shared" si="15"/>
        <v>258692.79859983921</v>
      </c>
      <c r="T163"/>
      <c r="V163" s="2">
        <v>2007</v>
      </c>
      <c r="W163" s="2">
        <f t="shared" si="16"/>
        <v>198325.25519999862</v>
      </c>
    </row>
    <row r="164" spans="2:23">
      <c r="B164" s="2">
        <v>1936</v>
      </c>
      <c r="C164" s="7">
        <v>217779</v>
      </c>
      <c r="D164" s="6" t="s">
        <v>33</v>
      </c>
      <c r="E164" s="7">
        <v>104115</v>
      </c>
      <c r="F164" s="7">
        <v>113664</v>
      </c>
      <c r="J164" s="2">
        <v>2008</v>
      </c>
      <c r="K164" s="2">
        <f t="shared" si="15"/>
        <v>268761.66479992867</v>
      </c>
      <c r="T164"/>
      <c r="V164" s="2">
        <v>2008</v>
      </c>
      <c r="W164" s="2">
        <f t="shared" si="16"/>
        <v>204031.81899999827</v>
      </c>
    </row>
    <row r="165" spans="2:23">
      <c r="B165" s="2">
        <v>1936</v>
      </c>
      <c r="C165" s="7">
        <v>200191</v>
      </c>
      <c r="D165" s="6" t="s">
        <v>34</v>
      </c>
      <c r="E165" s="7">
        <v>98195</v>
      </c>
      <c r="F165" s="7">
        <v>101996</v>
      </c>
      <c r="J165" s="2">
        <v>2009</v>
      </c>
      <c r="K165" s="2">
        <f t="shared" si="15"/>
        <v>279146.19759976864</v>
      </c>
      <c r="T165"/>
      <c r="V165" s="2">
        <v>2009</v>
      </c>
      <c r="W165" s="2">
        <f t="shared" si="16"/>
        <v>209747.60099999979</v>
      </c>
    </row>
    <row r="166" spans="2:23">
      <c r="B166" s="2">
        <v>1936</v>
      </c>
      <c r="C166" s="7">
        <v>168589</v>
      </c>
      <c r="D166" s="6" t="s">
        <v>35</v>
      </c>
      <c r="E166" s="7">
        <v>80264</v>
      </c>
      <c r="F166" s="7">
        <v>88325</v>
      </c>
      <c r="J166" s="2">
        <v>2010</v>
      </c>
      <c r="K166" s="2">
        <f t="shared" si="15"/>
        <v>289846.39699995518</v>
      </c>
      <c r="T166"/>
      <c r="V166" s="2">
        <v>2010</v>
      </c>
      <c r="W166" s="2">
        <f t="shared" si="16"/>
        <v>215472.60119999945</v>
      </c>
    </row>
    <row r="167" spans="2:23">
      <c r="B167" s="2">
        <v>1936</v>
      </c>
      <c r="C167" s="7">
        <v>125202</v>
      </c>
      <c r="D167" s="6" t="s">
        <v>36</v>
      </c>
      <c r="E167" s="7">
        <v>65393</v>
      </c>
      <c r="F167" s="7">
        <v>59809</v>
      </c>
      <c r="J167" s="2">
        <v>2011</v>
      </c>
      <c r="K167" s="2">
        <f t="shared" si="15"/>
        <v>300862.26299977303</v>
      </c>
      <c r="T167"/>
      <c r="V167" s="2">
        <v>2011</v>
      </c>
      <c r="W167" s="2">
        <f t="shared" si="16"/>
        <v>221206.81959999725</v>
      </c>
    </row>
    <row r="168" spans="2:23">
      <c r="B168" s="2">
        <v>1936</v>
      </c>
      <c r="C168" s="7">
        <v>111159</v>
      </c>
      <c r="D168" s="6" t="s">
        <v>37</v>
      </c>
      <c r="E168" s="7">
        <v>52251</v>
      </c>
      <c r="F168" s="7">
        <v>58908</v>
      </c>
    </row>
    <row r="169" spans="2:23">
      <c r="B169" s="2">
        <v>1936</v>
      </c>
      <c r="C169" s="7">
        <v>65039</v>
      </c>
      <c r="D169" s="6" t="s">
        <v>38</v>
      </c>
      <c r="E169" s="7">
        <v>32890</v>
      </c>
      <c r="F169" s="7">
        <v>32149</v>
      </c>
      <c r="K169">
        <v>60.281799999999997</v>
      </c>
      <c r="T169"/>
      <c r="W169">
        <v>86.732500000000002</v>
      </c>
    </row>
    <row r="170" spans="2:23">
      <c r="B170" s="2">
        <v>1936</v>
      </c>
      <c r="C170" s="7">
        <v>66708</v>
      </c>
      <c r="D170" s="6" t="s">
        <v>39</v>
      </c>
      <c r="E170" s="7">
        <v>28734</v>
      </c>
      <c r="F170" s="7">
        <v>37974</v>
      </c>
      <c r="K170" s="54">
        <v>-236907.5545</v>
      </c>
      <c r="T170"/>
      <c r="W170" s="54">
        <v>-344164.45970000001</v>
      </c>
    </row>
    <row r="171" spans="2:23">
      <c r="B171" s="2">
        <v>1936</v>
      </c>
      <c r="C171" s="7">
        <v>29652</v>
      </c>
      <c r="D171" s="6" t="s">
        <v>40</v>
      </c>
      <c r="E171" s="7">
        <v>13591</v>
      </c>
      <c r="F171" s="7">
        <v>16061</v>
      </c>
      <c r="K171" s="54">
        <v>232796991.36359999</v>
      </c>
      <c r="T171"/>
      <c r="W171" s="54">
        <v>341468034.20779997</v>
      </c>
    </row>
    <row r="172" spans="2:23">
      <c r="B172" s="2">
        <v>1936</v>
      </c>
      <c r="C172" s="7">
        <v>23248</v>
      </c>
      <c r="D172" s="6" t="s">
        <v>41</v>
      </c>
      <c r="E172" s="7">
        <v>9200</v>
      </c>
      <c r="F172" s="7">
        <v>14048</v>
      </c>
      <c r="H172" s="52" t="s">
        <v>91</v>
      </c>
      <c r="I172" s="53" t="s">
        <v>42</v>
      </c>
      <c r="K172" s="2" t="s">
        <v>94</v>
      </c>
      <c r="T172" s="52" t="s">
        <v>91</v>
      </c>
      <c r="U172" s="53" t="s">
        <v>43</v>
      </c>
      <c r="W172" s="2" t="s">
        <v>94</v>
      </c>
    </row>
    <row r="173" spans="2:23">
      <c r="B173" s="2">
        <v>1936</v>
      </c>
      <c r="C173" s="7">
        <v>10926</v>
      </c>
      <c r="D173" s="6" t="s">
        <v>42</v>
      </c>
      <c r="E173" s="7">
        <v>4498</v>
      </c>
      <c r="F173" s="7">
        <v>6428</v>
      </c>
      <c r="H173" s="51">
        <v>1990</v>
      </c>
      <c r="I173" s="56">
        <v>72986</v>
      </c>
      <c r="J173" s="2">
        <v>1995</v>
      </c>
      <c r="K173" s="2">
        <f>+J173^2*$K$169+J173*$K$170+$K$171</f>
        <v>89491.181099951267</v>
      </c>
      <c r="T173" s="51">
        <v>1990</v>
      </c>
      <c r="U173" s="56">
        <v>50004</v>
      </c>
      <c r="V173" s="2">
        <v>1995</v>
      </c>
      <c r="W173" s="2">
        <f>+V173^2*$W$169+V173*$W$170+$W$171</f>
        <v>57455.418799936771</v>
      </c>
    </row>
    <row r="174" spans="2:23">
      <c r="B174" s="2">
        <v>1936</v>
      </c>
      <c r="C174" s="7">
        <v>10202</v>
      </c>
      <c r="D174" s="6" t="s">
        <v>43</v>
      </c>
      <c r="E174" s="7">
        <v>3407</v>
      </c>
      <c r="F174" s="7">
        <v>6795</v>
      </c>
      <c r="H174" s="51">
        <v>2001</v>
      </c>
      <c r="I174" s="56">
        <v>113435</v>
      </c>
      <c r="J174" s="2">
        <v>1996</v>
      </c>
      <c r="K174" s="2">
        <f t="shared" ref="K174:K189" si="17">+J174^2*$K$169+J174*$K$170+$K$171</f>
        <v>93168.290399968624</v>
      </c>
      <c r="T174" s="51">
        <v>2001</v>
      </c>
      <c r="U174" s="56">
        <v>71837</v>
      </c>
      <c r="V174" s="2">
        <v>1996</v>
      </c>
      <c r="W174" s="2">
        <f t="shared" ref="W174:W189" si="18">+V174^2*$W$169+V174*$W$170+$W$171</f>
        <v>59440.366599977016</v>
      </c>
    </row>
    <row r="175" spans="2:23">
      <c r="B175" s="2">
        <v>1936</v>
      </c>
      <c r="C175" s="7">
        <v>11226</v>
      </c>
      <c r="D175" s="8" t="s">
        <v>44</v>
      </c>
      <c r="E175" s="9">
        <v>4263</v>
      </c>
      <c r="F175" s="9">
        <v>6963</v>
      </c>
      <c r="H175" s="51">
        <v>2011</v>
      </c>
      <c r="I175" s="56">
        <v>162866</v>
      </c>
      <c r="J175" s="2">
        <v>1997</v>
      </c>
      <c r="K175" s="2">
        <f t="shared" si="17"/>
        <v>96965.9632999897</v>
      </c>
      <c r="T175" s="51">
        <v>2011</v>
      </c>
      <c r="U175" s="56">
        <v>109899</v>
      </c>
      <c r="V175" s="2">
        <v>1997</v>
      </c>
      <c r="W175" s="2">
        <f t="shared" si="18"/>
        <v>61598.779399991035</v>
      </c>
    </row>
    <row r="176" spans="2:23">
      <c r="B176" s="2">
        <v>1926</v>
      </c>
      <c r="C176" s="5">
        <v>2890720</v>
      </c>
      <c r="D176" s="4" t="s">
        <v>20</v>
      </c>
      <c r="E176" s="5">
        <v>1414590</v>
      </c>
      <c r="F176" s="5">
        <v>1476130</v>
      </c>
      <c r="J176" s="2">
        <v>1998</v>
      </c>
      <c r="K176" s="2">
        <f t="shared" si="17"/>
        <v>100884.1998000145</v>
      </c>
      <c r="T176"/>
      <c r="V176" s="2">
        <v>1998</v>
      </c>
      <c r="W176" s="2">
        <f t="shared" si="18"/>
        <v>63930.657199978828</v>
      </c>
    </row>
    <row r="177" spans="2:23">
      <c r="B177" s="2">
        <v>1926</v>
      </c>
      <c r="C177" s="7">
        <v>383236</v>
      </c>
      <c r="D177" s="6" t="s">
        <v>27</v>
      </c>
      <c r="E177" s="7">
        <v>192264</v>
      </c>
      <c r="F177" s="7">
        <v>190972</v>
      </c>
      <c r="J177" s="2">
        <v>1999</v>
      </c>
      <c r="K177" s="2">
        <f t="shared" si="17"/>
        <v>104922.9998999536</v>
      </c>
      <c r="T177"/>
      <c r="V177" s="2">
        <v>1999</v>
      </c>
      <c r="W177" s="2">
        <f t="shared" si="18"/>
        <v>66436</v>
      </c>
    </row>
    <row r="178" spans="2:23">
      <c r="B178" s="2">
        <v>1926</v>
      </c>
      <c r="C178" s="7">
        <v>338372</v>
      </c>
      <c r="D178" s="6" t="s">
        <v>28</v>
      </c>
      <c r="E178" s="7">
        <v>172610</v>
      </c>
      <c r="F178" s="7">
        <v>165762</v>
      </c>
      <c r="J178" s="2">
        <v>2000</v>
      </c>
      <c r="K178" s="2">
        <f t="shared" si="17"/>
        <v>109082.36359998584</v>
      </c>
      <c r="T178"/>
      <c r="V178" s="2">
        <v>2000</v>
      </c>
      <c r="W178" s="2">
        <f t="shared" si="18"/>
        <v>69114.807799994946</v>
      </c>
    </row>
    <row r="179" spans="2:23">
      <c r="B179" s="2">
        <v>1926</v>
      </c>
      <c r="C179" s="7">
        <v>326781</v>
      </c>
      <c r="D179" s="6" t="s">
        <v>29</v>
      </c>
      <c r="E179" s="7">
        <v>168508</v>
      </c>
      <c r="F179" s="7">
        <v>158273</v>
      </c>
      <c r="J179" s="2">
        <v>2001</v>
      </c>
      <c r="K179" s="2">
        <f t="shared" si="17"/>
        <v>113362.29089999199</v>
      </c>
      <c r="T179"/>
      <c r="V179" s="2">
        <v>2001</v>
      </c>
      <c r="W179" s="2">
        <f t="shared" si="18"/>
        <v>71967.08060002327</v>
      </c>
    </row>
    <row r="180" spans="2:23">
      <c r="B180" s="2">
        <v>1926</v>
      </c>
      <c r="C180" s="7">
        <v>309247</v>
      </c>
      <c r="D180" s="6" t="s">
        <v>30</v>
      </c>
      <c r="E180" s="7">
        <v>148420</v>
      </c>
      <c r="F180" s="7">
        <v>160827</v>
      </c>
      <c r="J180" s="2">
        <v>2002</v>
      </c>
      <c r="K180" s="2">
        <f t="shared" si="17"/>
        <v>117762.78180000186</v>
      </c>
      <c r="T180"/>
      <c r="V180" s="2">
        <v>2002</v>
      </c>
      <c r="W180" s="2">
        <f t="shared" si="18"/>
        <v>74992.818399906158</v>
      </c>
    </row>
    <row r="181" spans="2:23">
      <c r="B181" s="2">
        <v>1926</v>
      </c>
      <c r="C181" s="7">
        <v>273599</v>
      </c>
      <c r="D181" s="6" t="s">
        <v>31</v>
      </c>
      <c r="E181" s="7">
        <v>130616</v>
      </c>
      <c r="F181" s="7">
        <v>142983</v>
      </c>
      <c r="J181" s="2">
        <v>2003</v>
      </c>
      <c r="K181" s="2">
        <f t="shared" si="17"/>
        <v>122283.83629995584</v>
      </c>
      <c r="T181"/>
      <c r="V181" s="2">
        <v>2003</v>
      </c>
      <c r="W181" s="2">
        <f t="shared" si="18"/>
        <v>78192.021199941635</v>
      </c>
    </row>
    <row r="182" spans="2:23">
      <c r="B182" s="2">
        <v>1926</v>
      </c>
      <c r="C182" s="7">
        <v>252367</v>
      </c>
      <c r="D182" s="6" t="s">
        <v>32</v>
      </c>
      <c r="E182" s="7">
        <v>119159</v>
      </c>
      <c r="F182" s="7">
        <v>133208</v>
      </c>
      <c r="J182" s="2">
        <v>2004</v>
      </c>
      <c r="K182" s="2">
        <f t="shared" si="17"/>
        <v>126925.45439997315</v>
      </c>
      <c r="T182"/>
      <c r="V182" s="2">
        <v>2004</v>
      </c>
      <c r="W182" s="2">
        <f t="shared" si="18"/>
        <v>81564.688999950886</v>
      </c>
    </row>
    <row r="183" spans="2:23">
      <c r="B183" s="2">
        <v>1926</v>
      </c>
      <c r="C183" s="7">
        <v>216612</v>
      </c>
      <c r="D183" s="6" t="s">
        <v>33</v>
      </c>
      <c r="E183" s="7">
        <v>102748</v>
      </c>
      <c r="F183" s="7">
        <v>113864</v>
      </c>
      <c r="J183" s="2">
        <v>2005</v>
      </c>
      <c r="K183" s="2">
        <f t="shared" si="17"/>
        <v>131687.63609999418</v>
      </c>
      <c r="T183"/>
      <c r="V183" s="2">
        <v>2005</v>
      </c>
      <c r="W183" s="2">
        <f t="shared" si="18"/>
        <v>85110.82179993391</v>
      </c>
    </row>
    <row r="184" spans="2:23">
      <c r="B184" s="2">
        <v>1926</v>
      </c>
      <c r="C184" s="7">
        <v>167592</v>
      </c>
      <c r="D184" s="6" t="s">
        <v>34</v>
      </c>
      <c r="E184" s="7">
        <v>80202</v>
      </c>
      <c r="F184" s="7">
        <v>87390</v>
      </c>
      <c r="J184" s="2">
        <v>2006</v>
      </c>
      <c r="K184" s="2">
        <f t="shared" si="17"/>
        <v>136570.38139995933</v>
      </c>
      <c r="T184"/>
      <c r="V184" s="2">
        <v>2006</v>
      </c>
      <c r="W184" s="2">
        <f t="shared" si="18"/>
        <v>88830.419599950314</v>
      </c>
    </row>
    <row r="185" spans="2:23">
      <c r="B185" s="2">
        <v>1926</v>
      </c>
      <c r="C185" s="7">
        <v>150735</v>
      </c>
      <c r="D185" s="6" t="s">
        <v>35</v>
      </c>
      <c r="E185" s="7">
        <v>71605</v>
      </c>
      <c r="F185" s="7">
        <v>79130</v>
      </c>
      <c r="J185" s="2">
        <v>2007</v>
      </c>
      <c r="K185" s="2">
        <f t="shared" si="17"/>
        <v>141573.69029995799</v>
      </c>
      <c r="T185"/>
      <c r="V185" s="2">
        <v>2007</v>
      </c>
      <c r="W185" s="2">
        <f t="shared" si="18"/>
        <v>92723.482399940491</v>
      </c>
    </row>
    <row r="186" spans="2:23">
      <c r="B186" s="2">
        <v>1926</v>
      </c>
      <c r="C186" s="7">
        <v>106915</v>
      </c>
      <c r="D186" s="6" t="s">
        <v>36</v>
      </c>
      <c r="E186" s="7">
        <v>54991</v>
      </c>
      <c r="F186" s="7">
        <v>51924</v>
      </c>
      <c r="J186" s="2">
        <v>2008</v>
      </c>
      <c r="K186" s="2">
        <f t="shared" si="17"/>
        <v>146697.56279999018</v>
      </c>
      <c r="T186"/>
      <c r="V186" s="2">
        <v>2008</v>
      </c>
      <c r="W186" s="2">
        <f t="shared" si="18"/>
        <v>96790.010199964046</v>
      </c>
    </row>
    <row r="187" spans="2:23">
      <c r="B187" s="2">
        <v>1926</v>
      </c>
      <c r="C187" s="7">
        <v>98705</v>
      </c>
      <c r="D187" s="6" t="s">
        <v>37</v>
      </c>
      <c r="E187" s="7">
        <v>47993</v>
      </c>
      <c r="F187" s="7">
        <v>50712</v>
      </c>
      <c r="J187" s="2">
        <v>2009</v>
      </c>
      <c r="K187" s="2">
        <f t="shared" si="17"/>
        <v>151941.99889999628</v>
      </c>
      <c r="T187"/>
      <c r="V187" s="2">
        <v>2009</v>
      </c>
      <c r="W187" s="2">
        <f t="shared" si="18"/>
        <v>101030.00299996138</v>
      </c>
    </row>
    <row r="188" spans="2:23">
      <c r="B188" s="2">
        <v>1926</v>
      </c>
      <c r="C188" s="7">
        <v>46357</v>
      </c>
      <c r="D188" s="6" t="s">
        <v>38</v>
      </c>
      <c r="E188" s="7">
        <v>23661</v>
      </c>
      <c r="F188" s="7">
        <v>22696</v>
      </c>
      <c r="J188" s="2">
        <v>2010</v>
      </c>
      <c r="K188" s="2">
        <f t="shared" si="17"/>
        <v>157306.9985999465</v>
      </c>
      <c r="T188"/>
      <c r="V188" s="2">
        <v>2010</v>
      </c>
      <c r="W188" s="2">
        <f t="shared" si="18"/>
        <v>105443.46079999208</v>
      </c>
    </row>
    <row r="189" spans="2:23">
      <c r="B189" s="2">
        <v>1926</v>
      </c>
      <c r="C189" s="7">
        <v>47801</v>
      </c>
      <c r="D189" s="6" t="s">
        <v>39</v>
      </c>
      <c r="E189" s="7">
        <v>21794</v>
      </c>
      <c r="F189" s="7">
        <v>26007</v>
      </c>
      <c r="J189" s="2">
        <v>2011</v>
      </c>
      <c r="K189" s="2">
        <f t="shared" si="17"/>
        <v>162792.56189996004</v>
      </c>
      <c r="T189"/>
      <c r="V189" s="2">
        <v>2011</v>
      </c>
      <c r="W189" s="2">
        <f t="shared" si="18"/>
        <v>110030.38359999657</v>
      </c>
    </row>
    <row r="190" spans="2:23">
      <c r="B190" s="2">
        <v>1926</v>
      </c>
      <c r="C190" s="7">
        <v>24676</v>
      </c>
      <c r="D190" s="6" t="s">
        <v>40</v>
      </c>
      <c r="E190" s="7">
        <v>11530</v>
      </c>
      <c r="F190" s="7">
        <v>13146</v>
      </c>
    </row>
    <row r="191" spans="2:23">
      <c r="B191" s="2">
        <v>1926</v>
      </c>
      <c r="C191" s="7">
        <v>20515</v>
      </c>
      <c r="D191" s="6" t="s">
        <v>41</v>
      </c>
      <c r="E191" s="7">
        <v>8712</v>
      </c>
      <c r="F191" s="7">
        <v>11803</v>
      </c>
      <c r="K191">
        <v>-158.85839999999999</v>
      </c>
      <c r="T191"/>
      <c r="W191">
        <v>23.950600000000001</v>
      </c>
    </row>
    <row r="192" spans="2:23">
      <c r="B192" s="2">
        <v>1926</v>
      </c>
      <c r="C192" s="7">
        <v>11516</v>
      </c>
      <c r="D192" s="6" t="s">
        <v>42</v>
      </c>
      <c r="E192" s="7">
        <v>5228</v>
      </c>
      <c r="F192" s="7">
        <v>6288</v>
      </c>
      <c r="K192" s="54">
        <v>652313.76749999996</v>
      </c>
      <c r="T192"/>
      <c r="W192" s="54">
        <v>-92745.405199999994</v>
      </c>
    </row>
    <row r="193" spans="2:23">
      <c r="B193" s="2">
        <v>1926</v>
      </c>
      <c r="C193" s="7">
        <v>9880</v>
      </c>
      <c r="D193" s="6" t="s">
        <v>43</v>
      </c>
      <c r="E193" s="7">
        <v>3869</v>
      </c>
      <c r="F193" s="7">
        <v>6011</v>
      </c>
      <c r="K193" s="54">
        <v>-668055065.97409999</v>
      </c>
      <c r="T193"/>
      <c r="W193" s="54">
        <v>89750787.8442</v>
      </c>
    </row>
    <row r="194" spans="2:23">
      <c r="B194" s="2">
        <v>1926</v>
      </c>
      <c r="C194" s="7">
        <v>105814</v>
      </c>
      <c r="D194" s="8" t="s">
        <v>44</v>
      </c>
      <c r="E194" s="9">
        <v>50680</v>
      </c>
      <c r="F194" s="9">
        <v>55134</v>
      </c>
      <c r="H194" s="52" t="s">
        <v>91</v>
      </c>
      <c r="I194" s="53" t="s">
        <v>30</v>
      </c>
      <c r="K194" s="2" t="s">
        <v>94</v>
      </c>
      <c r="T194" s="52" t="s">
        <v>91</v>
      </c>
      <c r="U194" s="53" t="s">
        <v>19</v>
      </c>
      <c r="W194" s="2" t="s">
        <v>94</v>
      </c>
    </row>
    <row r="195" spans="2:23">
      <c r="C195" s="7"/>
      <c r="D195" s="6"/>
      <c r="E195" s="7"/>
      <c r="F195" s="7"/>
      <c r="H195" s="51">
        <v>1990</v>
      </c>
      <c r="I195" s="56">
        <v>954017</v>
      </c>
      <c r="J195" s="2">
        <v>1995</v>
      </c>
      <c r="K195" s="2">
        <f>+J195^2*$K$191+J195*$K$192+$K$193</f>
        <v>1050496.728399992</v>
      </c>
      <c r="T195" s="51">
        <v>1990</v>
      </c>
      <c r="U195" s="56">
        <v>34398</v>
      </c>
      <c r="V195" s="2">
        <v>1995</v>
      </c>
      <c r="W195" s="2">
        <f>+V195^2*$W$191+V195*$W$192+$W$193</f>
        <v>47691.235200017691</v>
      </c>
    </row>
    <row r="196" spans="2:23">
      <c r="C196" s="7"/>
      <c r="D196" s="6"/>
      <c r="E196" s="7"/>
      <c r="F196" s="7"/>
      <c r="H196" s="51">
        <v>2001</v>
      </c>
      <c r="I196" s="56">
        <v>1155424</v>
      </c>
      <c r="J196" s="2">
        <v>1996</v>
      </c>
      <c r="K196" s="2">
        <f t="shared" ref="K196:K211" si="19">+J196^2*$K$191+J196*$K$192+$K$193</f>
        <v>1068806.621499896</v>
      </c>
      <c r="T196" s="51">
        <v>2001</v>
      </c>
      <c r="U196" s="56">
        <v>65656</v>
      </c>
      <c r="V196" s="2">
        <v>1996</v>
      </c>
      <c r="W196" s="2">
        <f t="shared" ref="W196:W211" si="20">+V196^2*$W$191+V196*$W$192+$W$193</f>
        <v>50532.674600020051</v>
      </c>
    </row>
    <row r="197" spans="2:23">
      <c r="C197" s="7"/>
      <c r="D197" s="6"/>
      <c r="E197" s="7"/>
      <c r="F197" s="7"/>
      <c r="H197" s="51">
        <v>2011</v>
      </c>
      <c r="I197" s="56">
        <v>1305161</v>
      </c>
      <c r="J197" s="2">
        <v>1997</v>
      </c>
      <c r="K197" s="2">
        <f t="shared" si="19"/>
        <v>1086798.7978000641</v>
      </c>
      <c r="T197" s="51">
        <v>2011</v>
      </c>
      <c r="U197" s="2">
        <v>99102</v>
      </c>
      <c r="V197" s="2">
        <v>1997</v>
      </c>
      <c r="W197" s="2">
        <f t="shared" si="20"/>
        <v>53422.015200018883</v>
      </c>
    </row>
    <row r="198" spans="2:23">
      <c r="J198" s="2">
        <v>1998</v>
      </c>
      <c r="K198" s="2">
        <f t="shared" si="19"/>
        <v>1104473.2573000193</v>
      </c>
      <c r="T198"/>
      <c r="V198" s="2">
        <v>1998</v>
      </c>
      <c r="W198" s="2">
        <f t="shared" si="20"/>
        <v>56359.257000014186</v>
      </c>
    </row>
    <row r="199" spans="2:23">
      <c r="J199" s="2">
        <v>1999</v>
      </c>
      <c r="K199" s="2">
        <f t="shared" si="19"/>
        <v>1121829.9999998808</v>
      </c>
      <c r="T199"/>
      <c r="V199" s="2">
        <v>1999</v>
      </c>
      <c r="W199" s="2">
        <f t="shared" si="20"/>
        <v>59344.40000000596</v>
      </c>
    </row>
    <row r="200" spans="2:23">
      <c r="J200" s="2">
        <v>2000</v>
      </c>
      <c r="K200" s="2">
        <f t="shared" si="19"/>
        <v>1138869.0259000063</v>
      </c>
      <c r="T200"/>
      <c r="V200" s="2">
        <v>2000</v>
      </c>
      <c r="W200" s="2">
        <f t="shared" si="20"/>
        <v>62377.444200024009</v>
      </c>
    </row>
    <row r="201" spans="2:23">
      <c r="J201" s="2">
        <v>2001</v>
      </c>
      <c r="K201" s="2">
        <f t="shared" si="19"/>
        <v>1155590.3349999189</v>
      </c>
      <c r="T201"/>
      <c r="V201" s="2">
        <v>2001</v>
      </c>
      <c r="W201" s="2">
        <f t="shared" si="20"/>
        <v>65458.389600023627</v>
      </c>
    </row>
    <row r="202" spans="2:23">
      <c r="J202" s="2">
        <v>2002</v>
      </c>
      <c r="K202" s="2">
        <f t="shared" si="19"/>
        <v>1171993.9272998571</v>
      </c>
      <c r="T202"/>
      <c r="V202" s="2">
        <v>2002</v>
      </c>
      <c r="W202" s="2">
        <f t="shared" si="20"/>
        <v>68587.236200019717</v>
      </c>
    </row>
    <row r="203" spans="2:23">
      <c r="J203" s="2">
        <v>2003</v>
      </c>
      <c r="K203" s="2">
        <f t="shared" si="19"/>
        <v>1188079.8028000593</v>
      </c>
      <c r="T203"/>
      <c r="V203" s="2">
        <v>2003</v>
      </c>
      <c r="W203" s="2">
        <f t="shared" si="20"/>
        <v>71763.984000012279</v>
      </c>
    </row>
    <row r="204" spans="2:23">
      <c r="J204" s="2">
        <v>2004</v>
      </c>
      <c r="K204" s="2">
        <f t="shared" si="19"/>
        <v>1203847.9614999294</v>
      </c>
      <c r="T204"/>
      <c r="V204" s="2">
        <v>2004</v>
      </c>
      <c r="W204" s="2">
        <f t="shared" si="20"/>
        <v>74988.633000016212</v>
      </c>
    </row>
    <row r="205" spans="2:23">
      <c r="J205" s="2">
        <v>2005</v>
      </c>
      <c r="K205" s="2">
        <f t="shared" si="19"/>
        <v>1219298.4033999443</v>
      </c>
      <c r="T205"/>
      <c r="V205" s="2">
        <v>2005</v>
      </c>
      <c r="W205" s="2">
        <f t="shared" si="20"/>
        <v>78261.183200001717</v>
      </c>
    </row>
    <row r="206" spans="2:23">
      <c r="J206" s="2">
        <v>2006</v>
      </c>
      <c r="K206" s="2">
        <f t="shared" si="19"/>
        <v>1234431.128500104</v>
      </c>
      <c r="T206"/>
      <c r="V206" s="2">
        <v>2006</v>
      </c>
      <c r="W206" s="2">
        <f t="shared" si="20"/>
        <v>81581.634600028396</v>
      </c>
    </row>
    <row r="207" spans="2:23">
      <c r="J207" s="2">
        <v>2007</v>
      </c>
      <c r="K207" s="2">
        <f t="shared" si="19"/>
        <v>1249246.1368000507</v>
      </c>
      <c r="T207"/>
      <c r="V207" s="2">
        <v>2007</v>
      </c>
      <c r="W207" s="2">
        <f t="shared" si="20"/>
        <v>84949.987200021744</v>
      </c>
    </row>
    <row r="208" spans="2:23">
      <c r="J208" s="2">
        <v>2008</v>
      </c>
      <c r="K208" s="2">
        <f t="shared" si="19"/>
        <v>1263743.4282999039</v>
      </c>
      <c r="T208"/>
      <c r="V208" s="2">
        <v>2008</v>
      </c>
      <c r="W208" s="2">
        <f t="shared" si="20"/>
        <v>88366.241000026464</v>
      </c>
    </row>
    <row r="209" spans="10:23">
      <c r="J209" s="2">
        <v>2009</v>
      </c>
      <c r="K209" s="2">
        <f t="shared" si="19"/>
        <v>1277923.003000021</v>
      </c>
      <c r="T209"/>
      <c r="V209" s="2">
        <v>2009</v>
      </c>
      <c r="W209" s="2">
        <f t="shared" si="20"/>
        <v>91830.396000012755</v>
      </c>
    </row>
    <row r="210" spans="10:23">
      <c r="J210" s="2">
        <v>2010</v>
      </c>
      <c r="K210" s="2">
        <f t="shared" si="19"/>
        <v>1291784.8609000444</v>
      </c>
      <c r="T210"/>
      <c r="V210" s="2">
        <v>2010</v>
      </c>
      <c r="W210" s="2">
        <f t="shared" si="20"/>
        <v>95342.452200010419</v>
      </c>
    </row>
    <row r="211" spans="10:23">
      <c r="J211" s="2">
        <v>2011</v>
      </c>
      <c r="K211" s="2">
        <f t="shared" si="19"/>
        <v>1305329.0019999743</v>
      </c>
      <c r="T211"/>
      <c r="V211" s="2">
        <v>2011</v>
      </c>
      <c r="W211" s="2">
        <f t="shared" si="20"/>
        <v>98902.409600004554</v>
      </c>
    </row>
  </sheetData>
  <autoFilter ref="B2:F197">
    <filterColumn colId="2"/>
    <sortState ref="B3:F197">
      <sortCondition descending="1" ref="B2:B197"/>
    </sortState>
  </autoFilter>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sheetPr>
    <tabColor rgb="FF0070C0"/>
  </sheetPr>
  <dimension ref="A1:CC102"/>
  <sheetViews>
    <sheetView workbookViewId="0">
      <selection activeCell="H10" sqref="H10"/>
    </sheetView>
  </sheetViews>
  <sheetFormatPr baseColWidth="10" defaultColWidth="11.5703125" defaultRowHeight="15"/>
  <cols>
    <col min="1" max="1" width="6.42578125" bestFit="1" customWidth="1"/>
    <col min="2" max="20" width="10" bestFit="1" customWidth="1"/>
  </cols>
  <sheetData>
    <row r="1" spans="2:21">
      <c r="C1" s="2">
        <v>1995</v>
      </c>
      <c r="D1" s="2">
        <v>1996</v>
      </c>
      <c r="E1" s="2">
        <v>1997</v>
      </c>
      <c r="F1" s="2">
        <v>1998</v>
      </c>
      <c r="G1" s="2">
        <v>1999</v>
      </c>
      <c r="H1" s="2">
        <v>2000</v>
      </c>
      <c r="I1" s="2">
        <v>2001</v>
      </c>
      <c r="J1" s="2">
        <v>2002</v>
      </c>
      <c r="K1" s="2">
        <v>2003</v>
      </c>
      <c r="L1" s="2">
        <v>2004</v>
      </c>
      <c r="M1" s="2">
        <v>2005</v>
      </c>
      <c r="N1" s="2">
        <v>2006</v>
      </c>
      <c r="O1" s="2">
        <v>2007</v>
      </c>
      <c r="P1" s="2">
        <v>2008</v>
      </c>
      <c r="Q1" s="2">
        <v>2009</v>
      </c>
      <c r="R1" s="2">
        <v>2010</v>
      </c>
      <c r="S1" s="2">
        <v>2011</v>
      </c>
      <c r="T1" s="2"/>
    </row>
    <row r="2" spans="2:21">
      <c r="B2" t="s">
        <v>90</v>
      </c>
      <c r="C2" s="2">
        <v>1250399.6373000145</v>
      </c>
      <c r="D2" s="2">
        <v>1258376.4377999306</v>
      </c>
      <c r="E2" s="2">
        <v>1265322.7872998714</v>
      </c>
      <c r="F2" s="2">
        <v>1271238.6857998371</v>
      </c>
      <c r="G2" s="2">
        <v>1276124.133300066</v>
      </c>
      <c r="H2" s="2">
        <v>1279979.1298000813</v>
      </c>
      <c r="I2" s="2">
        <v>1282803.6752998829</v>
      </c>
      <c r="J2" s="2">
        <v>1284597.7697999477</v>
      </c>
      <c r="K2" s="2">
        <v>1285361.413299799</v>
      </c>
      <c r="L2" s="2">
        <v>1285094.6058001518</v>
      </c>
      <c r="M2" s="2">
        <v>1283797.3473000526</v>
      </c>
      <c r="N2" s="2">
        <v>1281469.6377999783</v>
      </c>
      <c r="O2" s="2">
        <v>1278111.4772999287</v>
      </c>
      <c r="P2" s="2">
        <v>1273722.8657996655</v>
      </c>
      <c r="Q2" s="2">
        <v>1268303.8033001423</v>
      </c>
      <c r="R2" s="2">
        <v>1261854.2898001671</v>
      </c>
      <c r="S2" s="2">
        <v>1254374.3252999783</v>
      </c>
      <c r="T2" s="2"/>
      <c r="U2" s="2"/>
    </row>
    <row r="3" spans="2:21">
      <c r="B3" t="s">
        <v>3</v>
      </c>
      <c r="C3" s="2">
        <v>1294462.6908988953</v>
      </c>
      <c r="D3" s="2">
        <v>1314611.8405990601</v>
      </c>
      <c r="E3" s="2">
        <v>1331589.5530996323</v>
      </c>
      <c r="F3" s="2">
        <v>1345395.8283996582</v>
      </c>
      <c r="G3" s="2">
        <v>1356030.6665000916</v>
      </c>
      <c r="H3" s="2">
        <v>1363494.0673999786</v>
      </c>
      <c r="I3" s="2">
        <v>1367786.0311002731</v>
      </c>
      <c r="J3" s="2">
        <v>1368906.5575990677</v>
      </c>
      <c r="K3" s="2">
        <v>1366855.6468992233</v>
      </c>
      <c r="L3" s="2">
        <v>1361633.2989988327</v>
      </c>
      <c r="M3" s="2">
        <v>1353239.5138988495</v>
      </c>
      <c r="N3" s="2">
        <v>1341674.2915992737</v>
      </c>
      <c r="O3" s="2">
        <v>1326937.6321001053</v>
      </c>
      <c r="P3" s="2">
        <v>1309029.535399437</v>
      </c>
      <c r="Q3" s="2">
        <v>1287950.0015001297</v>
      </c>
      <c r="R3" s="2">
        <v>1263699.0304002762</v>
      </c>
      <c r="S3" s="2">
        <v>1236276.6221008301</v>
      </c>
      <c r="T3" s="2"/>
      <c r="U3" s="2"/>
    </row>
    <row r="4" spans="2:21">
      <c r="B4" t="s">
        <v>4</v>
      </c>
      <c r="C4" s="2">
        <v>1198321.6354999542</v>
      </c>
      <c r="D4" s="2">
        <v>1215925.1319003105</v>
      </c>
      <c r="E4" s="2">
        <v>1232012.5581002235</v>
      </c>
      <c r="F4" s="2">
        <v>1246583.914100647</v>
      </c>
      <c r="G4" s="2">
        <v>1259639.1999001503</v>
      </c>
      <c r="H4" s="2">
        <v>1271178.415500164</v>
      </c>
      <c r="I4" s="2">
        <v>1281201.5609006882</v>
      </c>
      <c r="J4" s="2">
        <v>1289708.6361002922</v>
      </c>
      <c r="K4" s="2">
        <v>1296699.6410999298</v>
      </c>
      <c r="L4" s="2">
        <v>1302174.5759005547</v>
      </c>
      <c r="M4" s="2">
        <v>1306133.4405002594</v>
      </c>
      <c r="N4" s="2">
        <v>1308576.2349004745</v>
      </c>
      <c r="O4" s="2">
        <v>1309502.9591002464</v>
      </c>
      <c r="P4" s="2">
        <v>1308913.6131000519</v>
      </c>
      <c r="Q4" s="2">
        <v>1306808.1969003677</v>
      </c>
      <c r="R4" s="2">
        <v>1303186.7105002403</v>
      </c>
      <c r="S4" s="2">
        <v>1298049.1538996696</v>
      </c>
      <c r="T4" s="2"/>
      <c r="U4" s="2"/>
    </row>
    <row r="5" spans="2:21">
      <c r="B5" t="s">
        <v>5</v>
      </c>
      <c r="C5" s="2">
        <v>1058356.1991000473</v>
      </c>
      <c r="D5" s="2">
        <v>1076168.0851000547</v>
      </c>
      <c r="E5" s="2">
        <v>1093919.1139000058</v>
      </c>
      <c r="F5" s="2">
        <v>1111609.2855000496</v>
      </c>
      <c r="G5" s="2">
        <v>1129238.5999000669</v>
      </c>
      <c r="H5" s="2">
        <v>1146807.0571000576</v>
      </c>
      <c r="I5" s="2">
        <v>1164314.6571000218</v>
      </c>
      <c r="J5" s="2">
        <v>1181761.3999000192</v>
      </c>
      <c r="K5" s="2">
        <v>1199147.2855000496</v>
      </c>
      <c r="L5" s="2">
        <v>1216472.3139000535</v>
      </c>
      <c r="M5" s="2">
        <v>1233736.4851000607</v>
      </c>
      <c r="N5" s="2">
        <v>1250939.7991000414</v>
      </c>
      <c r="O5" s="2">
        <v>1268082.2559000254</v>
      </c>
      <c r="P5" s="2">
        <v>1285163.8555000424</v>
      </c>
      <c r="Q5" s="2">
        <v>1302184.5979000628</v>
      </c>
      <c r="R5" s="2">
        <v>1319144.483099997</v>
      </c>
      <c r="S5" s="2">
        <v>1336043.511100024</v>
      </c>
      <c r="T5" s="2"/>
      <c r="U5" s="2"/>
    </row>
    <row r="6" spans="2:21">
      <c r="B6" t="s">
        <v>6</v>
      </c>
      <c r="C6" s="2">
        <v>959752.12740001082</v>
      </c>
      <c r="D6" s="2">
        <v>979972.88750001788</v>
      </c>
      <c r="E6" s="2">
        <v>1000167.5974000096</v>
      </c>
      <c r="F6" s="2">
        <v>1020336.257100001</v>
      </c>
      <c r="G6" s="2">
        <v>1040478.8666000217</v>
      </c>
      <c r="H6" s="2">
        <v>1060595.4259000123</v>
      </c>
      <c r="I6" s="2">
        <v>1080685.9350000024</v>
      </c>
      <c r="J6" s="2">
        <v>1100750.3939000219</v>
      </c>
      <c r="K6" s="2">
        <v>1120788.8026000112</v>
      </c>
      <c r="L6" s="2">
        <v>1140801.1611000299</v>
      </c>
      <c r="M6" s="2">
        <v>1160787.4694000185</v>
      </c>
      <c r="N6" s="2">
        <v>1180747.7275000066</v>
      </c>
      <c r="O6" s="2">
        <v>1200681.9354000241</v>
      </c>
      <c r="P6" s="2">
        <v>1220590.0931000113</v>
      </c>
      <c r="Q6" s="2">
        <v>1240472.2005999982</v>
      </c>
      <c r="R6" s="2">
        <v>1260328.2579000294</v>
      </c>
      <c r="S6" s="2">
        <v>1280158.2650000155</v>
      </c>
      <c r="T6" s="2"/>
      <c r="U6" s="2"/>
    </row>
    <row r="7" spans="2:21">
      <c r="B7" t="s">
        <v>7</v>
      </c>
      <c r="C7" s="2">
        <v>827453.76300001144</v>
      </c>
      <c r="D7" s="2">
        <v>841305.01949954033</v>
      </c>
      <c r="E7" s="2">
        <v>856074.75559997559</v>
      </c>
      <c r="F7" s="2">
        <v>871762.97129964828</v>
      </c>
      <c r="G7" s="2">
        <v>888369.66659975052</v>
      </c>
      <c r="H7" s="2">
        <v>905894.84149956703</v>
      </c>
      <c r="I7" s="2">
        <v>924338.49599981308</v>
      </c>
      <c r="J7" s="2">
        <v>943700.63009953499</v>
      </c>
      <c r="K7" s="2">
        <v>963981.24379968643</v>
      </c>
      <c r="L7" s="2">
        <v>985180.33709955215</v>
      </c>
      <c r="M7" s="2">
        <v>1007297.9099998474</v>
      </c>
      <c r="N7" s="2">
        <v>1030333.9624998569</v>
      </c>
      <c r="O7" s="2">
        <v>1054288.4945998192</v>
      </c>
      <c r="P7" s="2">
        <v>1079161.5062999725</v>
      </c>
      <c r="Q7" s="2">
        <v>1104952.9975996017</v>
      </c>
      <c r="R7" s="2">
        <v>1131662.9684998989</v>
      </c>
      <c r="S7" s="2">
        <v>1159291.4189996719</v>
      </c>
      <c r="T7" s="2"/>
      <c r="U7" s="2"/>
    </row>
    <row r="8" spans="2:21">
      <c r="B8" t="s">
        <v>8</v>
      </c>
      <c r="C8" s="2">
        <v>748558.818100214</v>
      </c>
      <c r="D8" s="2">
        <v>766014.61380004883</v>
      </c>
      <c r="E8" s="2">
        <v>784118.26490020752</v>
      </c>
      <c r="F8" s="2">
        <v>802869.77139997482</v>
      </c>
      <c r="G8" s="2">
        <v>822269.13329982758</v>
      </c>
      <c r="H8" s="2">
        <v>842316.3506000042</v>
      </c>
      <c r="I8" s="2">
        <v>863011.42329978943</v>
      </c>
      <c r="J8" s="2">
        <v>884354.35140013695</v>
      </c>
      <c r="K8" s="2">
        <v>906345.13489985466</v>
      </c>
      <c r="L8" s="2">
        <v>928983.77380013466</v>
      </c>
      <c r="M8" s="2">
        <v>952270.26810002327</v>
      </c>
      <c r="N8" s="2">
        <v>976204.61780023575</v>
      </c>
      <c r="O8" s="2">
        <v>1000786.8229000568</v>
      </c>
      <c r="P8" s="2">
        <v>1026016.883399725</v>
      </c>
      <c r="Q8" s="2">
        <v>1051894.7993001938</v>
      </c>
      <c r="R8" s="2">
        <v>1078420.5705997944</v>
      </c>
      <c r="S8" s="2">
        <v>1105594.1973001957</v>
      </c>
      <c r="T8" s="2"/>
      <c r="U8" s="2"/>
    </row>
    <row r="9" spans="2:21">
      <c r="B9" t="s">
        <v>9</v>
      </c>
      <c r="C9" s="2">
        <v>664380.14400005341</v>
      </c>
      <c r="D9" s="2">
        <v>682776.49080008268</v>
      </c>
      <c r="E9" s="2">
        <v>701034.40460002422</v>
      </c>
      <c r="F9" s="2">
        <v>719153.88540005684</v>
      </c>
      <c r="G9" s="2">
        <v>737134.93320000172</v>
      </c>
      <c r="H9" s="2">
        <v>754977.54800003767</v>
      </c>
      <c r="I9" s="2">
        <v>772681.72979998589</v>
      </c>
      <c r="J9" s="2">
        <v>790247.47860002518</v>
      </c>
      <c r="K9" s="2">
        <v>807674.79440009594</v>
      </c>
      <c r="L9" s="2">
        <v>824963.67720001936</v>
      </c>
      <c r="M9" s="2">
        <v>842114.12700009346</v>
      </c>
      <c r="N9" s="2">
        <v>859126.14380002022</v>
      </c>
      <c r="O9" s="2">
        <v>875999.72760003805</v>
      </c>
      <c r="P9" s="2">
        <v>892734.87839996815</v>
      </c>
      <c r="Q9" s="2">
        <v>909331.59620004892</v>
      </c>
      <c r="R9" s="2">
        <v>925789.88099998236</v>
      </c>
      <c r="S9" s="2">
        <v>942109.73280000687</v>
      </c>
      <c r="T9" s="2"/>
      <c r="U9" s="2"/>
    </row>
    <row r="10" spans="2:21">
      <c r="B10" t="s">
        <v>10</v>
      </c>
      <c r="C10" s="2">
        <v>562946.43640017509</v>
      </c>
      <c r="D10" s="2">
        <v>586378.04679989815</v>
      </c>
      <c r="E10" s="2">
        <v>609273.24419999123</v>
      </c>
      <c r="F10" s="2">
        <v>631632.02860021591</v>
      </c>
      <c r="G10" s="2">
        <v>653454.39999985695</v>
      </c>
      <c r="H10" s="2">
        <v>674740.35840010643</v>
      </c>
      <c r="I10" s="2">
        <v>695489.90379977226</v>
      </c>
      <c r="J10" s="2">
        <v>715703.03620004654</v>
      </c>
      <c r="K10" s="2">
        <v>735379.755600214</v>
      </c>
      <c r="L10" s="2">
        <v>754520.06199979782</v>
      </c>
      <c r="M10" s="2">
        <v>773123.9554002285</v>
      </c>
      <c r="N10" s="2">
        <v>791191.43579983711</v>
      </c>
      <c r="O10" s="2">
        <v>808722.50320005417</v>
      </c>
      <c r="P10" s="2">
        <v>825717.15759968758</v>
      </c>
      <c r="Q10" s="2">
        <v>842175.39899992943</v>
      </c>
      <c r="R10" s="2">
        <v>858097.22740006447</v>
      </c>
      <c r="S10" s="2">
        <v>873482.64279985428</v>
      </c>
      <c r="T10" s="2"/>
      <c r="U10" s="2"/>
    </row>
    <row r="11" spans="2:21">
      <c r="B11" t="s">
        <v>11</v>
      </c>
      <c r="C11" s="2">
        <v>436753.76409995556</v>
      </c>
      <c r="D11" s="2">
        <v>459117.22969996929</v>
      </c>
      <c r="E11" s="2">
        <v>481091.01310014725</v>
      </c>
      <c r="F11" s="2">
        <v>502675.11429989338</v>
      </c>
      <c r="G11" s="2">
        <v>523869.53330004215</v>
      </c>
      <c r="H11" s="2">
        <v>544674.27010011673</v>
      </c>
      <c r="I11" s="2">
        <v>565089.32469987869</v>
      </c>
      <c r="J11" s="2">
        <v>585114.69709992409</v>
      </c>
      <c r="K11" s="2">
        <v>604750.3873000145</v>
      </c>
      <c r="L11" s="2">
        <v>623996.39530014992</v>
      </c>
      <c r="M11" s="2">
        <v>642852.72109997272</v>
      </c>
      <c r="N11" s="2">
        <v>661319.36470007896</v>
      </c>
      <c r="O11" s="2">
        <v>679396.32610011101</v>
      </c>
      <c r="P11" s="2">
        <v>697083.60529994965</v>
      </c>
      <c r="Q11" s="2">
        <v>714381.20230007172</v>
      </c>
      <c r="R11" s="2">
        <v>731289.11710011959</v>
      </c>
      <c r="S11" s="2">
        <v>747807.34969997406</v>
      </c>
      <c r="T11" s="2"/>
      <c r="U11" s="2"/>
    </row>
    <row r="12" spans="2:21">
      <c r="B12" t="s">
        <v>12</v>
      </c>
      <c r="C12" s="2">
        <v>347307.89160013199</v>
      </c>
      <c r="D12" s="2">
        <v>364040.11730015278</v>
      </c>
      <c r="E12" s="2">
        <v>381075.41060018539</v>
      </c>
      <c r="F12" s="2">
        <v>398413.77150022984</v>
      </c>
      <c r="G12" s="2">
        <v>416055.20000004768</v>
      </c>
      <c r="H12" s="2">
        <v>433999.69609999657</v>
      </c>
      <c r="I12" s="2">
        <v>452247.25980007648</v>
      </c>
      <c r="J12" s="2">
        <v>470797.89110004902</v>
      </c>
      <c r="K12" s="2">
        <v>489651.59000015259</v>
      </c>
      <c r="L12" s="2">
        <v>508808.35650014877</v>
      </c>
      <c r="M12" s="2">
        <v>528268.19060015678</v>
      </c>
      <c r="N12" s="2">
        <v>548031.09230017662</v>
      </c>
      <c r="O12" s="2">
        <v>568097.06160020828</v>
      </c>
      <c r="P12" s="2">
        <v>588466.09850001335</v>
      </c>
      <c r="Q12" s="2">
        <v>609138.20300006866</v>
      </c>
      <c r="R12" s="2">
        <v>630113.3751001358</v>
      </c>
      <c r="S12" s="2">
        <v>651391.61480009556</v>
      </c>
      <c r="T12" s="2"/>
      <c r="U12" s="2"/>
    </row>
    <row r="13" spans="2:21">
      <c r="B13" t="s">
        <v>13</v>
      </c>
      <c r="C13" s="2">
        <v>229376.21710014343</v>
      </c>
      <c r="D13" s="2">
        <v>237025.87980031967</v>
      </c>
      <c r="E13" s="2">
        <v>246167.26449966431</v>
      </c>
      <c r="F13" s="2">
        <v>256800.37119960785</v>
      </c>
      <c r="G13" s="2">
        <v>268925.1999001503</v>
      </c>
      <c r="H13" s="2">
        <v>282541.75060033798</v>
      </c>
      <c r="I13" s="2">
        <v>297650.02329969406</v>
      </c>
      <c r="J13" s="2">
        <v>314250.01799964905</v>
      </c>
      <c r="K13" s="2">
        <v>332341.73470020294</v>
      </c>
      <c r="L13" s="2">
        <v>351925.17339944839</v>
      </c>
      <c r="M13" s="2">
        <v>373000.33409976959</v>
      </c>
      <c r="N13" s="2">
        <v>395567.21679973602</v>
      </c>
      <c r="O13" s="2">
        <v>419625.82150030136</v>
      </c>
      <c r="P13" s="2">
        <v>445176.14819955826</v>
      </c>
      <c r="Q13" s="2">
        <v>472218.1968998909</v>
      </c>
      <c r="R13" s="2">
        <v>500751.96759986877</v>
      </c>
      <c r="S13" s="2">
        <v>530777.46029996872</v>
      </c>
      <c r="T13" s="2"/>
      <c r="U13" s="2"/>
    </row>
    <row r="14" spans="2:21">
      <c r="B14" t="s">
        <v>14</v>
      </c>
      <c r="C14" s="2">
        <v>192203.16350030899</v>
      </c>
      <c r="D14" s="2">
        <v>197482.47700023651</v>
      </c>
      <c r="E14" s="2">
        <v>203852.89870023727</v>
      </c>
      <c r="F14" s="2">
        <v>211314.42859983444</v>
      </c>
      <c r="G14" s="2">
        <v>219867.06669998169</v>
      </c>
      <c r="H14" s="2">
        <v>229510.81300020218</v>
      </c>
      <c r="I14" s="2">
        <v>240245.66750001907</v>
      </c>
      <c r="J14" s="2">
        <v>252071.63020038605</v>
      </c>
      <c r="K14" s="2">
        <v>264988.70110034943</v>
      </c>
      <c r="L14" s="2">
        <v>278996.88019990921</v>
      </c>
      <c r="M14" s="2">
        <v>294096.16750001907</v>
      </c>
      <c r="N14" s="2">
        <v>310286.56300020218</v>
      </c>
      <c r="O14" s="2">
        <v>327568.06669998169</v>
      </c>
      <c r="P14" s="2">
        <v>345940.67860031128</v>
      </c>
      <c r="Q14" s="2">
        <v>365404.39870071411</v>
      </c>
      <c r="R14" s="2">
        <v>385959.22699975967</v>
      </c>
      <c r="S14" s="2">
        <v>407605.16349983215</v>
      </c>
      <c r="T14" s="2"/>
      <c r="U14" s="2"/>
    </row>
    <row r="15" spans="2:21">
      <c r="B15" t="s">
        <v>15</v>
      </c>
      <c r="C15" s="2">
        <v>142265.08970022202</v>
      </c>
      <c r="D15" s="2">
        <v>147303.99230015278</v>
      </c>
      <c r="E15" s="2">
        <v>152714.66710007191</v>
      </c>
      <c r="F15" s="2">
        <v>158497.11410009861</v>
      </c>
      <c r="G15" s="2">
        <v>164651.33329999447</v>
      </c>
      <c r="H15" s="2">
        <v>171177.3246999979</v>
      </c>
      <c r="I15" s="2">
        <v>178075.0882999897</v>
      </c>
      <c r="J15" s="2">
        <v>185344.62410020828</v>
      </c>
      <c r="K15" s="2">
        <v>192985.93210017681</v>
      </c>
      <c r="L15" s="2">
        <v>200999.01230013371</v>
      </c>
      <c r="M15" s="2">
        <v>209383.86470007896</v>
      </c>
      <c r="N15" s="2">
        <v>218140.48930001259</v>
      </c>
      <c r="O15" s="2">
        <v>227268.88609993458</v>
      </c>
      <c r="P15" s="2">
        <v>236769.05510020256</v>
      </c>
      <c r="Q15" s="2">
        <v>246640.99630010128</v>
      </c>
      <c r="R15" s="2">
        <v>256884.70970010757</v>
      </c>
      <c r="S15" s="2">
        <v>267500.19530010223</v>
      </c>
      <c r="T15" s="2"/>
      <c r="U15" s="2"/>
    </row>
    <row r="16" spans="2:21">
      <c r="B16" t="s">
        <v>16</v>
      </c>
      <c r="C16" s="2">
        <v>111611.18080000579</v>
      </c>
      <c r="D16" s="2">
        <v>116255.17599999905</v>
      </c>
      <c r="E16" s="2">
        <v>120925.67760000378</v>
      </c>
      <c r="F16" s="2">
        <v>125622.68559999764</v>
      </c>
      <c r="G16" s="2">
        <v>130346.20000000298</v>
      </c>
      <c r="H16" s="2">
        <v>135096.22079999745</v>
      </c>
      <c r="I16" s="2">
        <v>139872.7480000034</v>
      </c>
      <c r="J16" s="2">
        <v>144675.78159999847</v>
      </c>
      <c r="K16" s="2">
        <v>149505.32160000503</v>
      </c>
      <c r="L16" s="2">
        <v>154361.36799999326</v>
      </c>
      <c r="M16" s="2">
        <v>159243.92080000043</v>
      </c>
      <c r="N16" s="2">
        <v>164152.97999998927</v>
      </c>
      <c r="O16" s="2">
        <v>169088.54559999704</v>
      </c>
      <c r="P16" s="2">
        <v>174050.61760000885</v>
      </c>
      <c r="Q16" s="2">
        <v>179039.19600000232</v>
      </c>
      <c r="R16" s="2">
        <v>184054.28080000728</v>
      </c>
      <c r="S16" s="2">
        <v>189095.87199999392</v>
      </c>
      <c r="T16" s="2"/>
      <c r="U16" s="2"/>
    </row>
    <row r="17" spans="1:81">
      <c r="B17" t="s">
        <v>17</v>
      </c>
      <c r="C17" s="2">
        <v>73471.819200009108</v>
      </c>
      <c r="D17" s="2">
        <v>76699.824000015855</v>
      </c>
      <c r="E17" s="2">
        <v>79971.122400000691</v>
      </c>
      <c r="F17" s="2">
        <v>83285.71439999342</v>
      </c>
      <c r="G17" s="2">
        <v>86643.600000008941</v>
      </c>
      <c r="H17" s="2">
        <v>90044.779200002551</v>
      </c>
      <c r="I17" s="2">
        <v>93489.252000018954</v>
      </c>
      <c r="J17" s="2">
        <v>96977.018399998546</v>
      </c>
      <c r="K17" s="2">
        <v>100508.07840001583</v>
      </c>
      <c r="L17" s="2">
        <v>104082.43200001121</v>
      </c>
      <c r="M17" s="2">
        <v>107700.07919999957</v>
      </c>
      <c r="N17" s="2">
        <v>111361.02000001073</v>
      </c>
      <c r="O17" s="2">
        <v>115065.25439999998</v>
      </c>
      <c r="P17" s="2">
        <v>118812.78240001202</v>
      </c>
      <c r="Q17" s="2">
        <v>122603.60400000215</v>
      </c>
      <c r="R17" s="2">
        <v>126437.71920001507</v>
      </c>
      <c r="S17" s="2">
        <v>130315.12800000608</v>
      </c>
      <c r="T17" s="2"/>
      <c r="U17" s="2"/>
    </row>
    <row r="18" spans="1:81">
      <c r="B18" t="s">
        <v>18</v>
      </c>
      <c r="C18" s="2">
        <v>42888.891600012779</v>
      </c>
      <c r="D18" s="2">
        <v>44219.117300003767</v>
      </c>
      <c r="E18" s="2">
        <v>45674.010599970818</v>
      </c>
      <c r="F18" s="2">
        <v>47253.571499973536</v>
      </c>
      <c r="G18" s="2">
        <v>48957.800000011921</v>
      </c>
      <c r="H18" s="2">
        <v>50786.696100026369</v>
      </c>
      <c r="I18" s="2">
        <v>52740.259799957275</v>
      </c>
      <c r="J18" s="2">
        <v>54818.491099983454</v>
      </c>
      <c r="K18" s="2">
        <v>57021.389999985695</v>
      </c>
      <c r="L18" s="2">
        <v>59348.956500023603</v>
      </c>
      <c r="M18" s="2">
        <v>61801.19059997797</v>
      </c>
      <c r="N18" s="2">
        <v>64378.092299968004</v>
      </c>
      <c r="O18" s="2">
        <v>67079.661599993706</v>
      </c>
      <c r="P18" s="2">
        <v>69905.89849999547</v>
      </c>
      <c r="Q18" s="2">
        <v>72856.802999973297</v>
      </c>
      <c r="R18" s="2">
        <v>75932.375099986792</v>
      </c>
      <c r="S18" s="2">
        <v>79132.614800006151</v>
      </c>
      <c r="T18" s="2"/>
      <c r="U18" s="2"/>
    </row>
    <row r="19" spans="1:81">
      <c r="A19" s="2"/>
      <c r="B19" t="s">
        <v>19</v>
      </c>
      <c r="C19" s="2">
        <v>31978.96289999783</v>
      </c>
      <c r="D19" s="2">
        <v>33862.200400002301</v>
      </c>
      <c r="E19" s="2">
        <v>35729.84129999578</v>
      </c>
      <c r="F19" s="2">
        <v>37581.88560000062</v>
      </c>
      <c r="G19" s="2">
        <v>39418.333300001919</v>
      </c>
      <c r="H19" s="2">
        <v>41239.184399999678</v>
      </c>
      <c r="I19" s="2">
        <v>43044.438900001347</v>
      </c>
      <c r="J19" s="2">
        <v>44834.096799999475</v>
      </c>
      <c r="K19" s="2">
        <v>46608.158099994063</v>
      </c>
      <c r="L19" s="2">
        <v>48366.622800007463</v>
      </c>
      <c r="M19" s="2">
        <v>50109.490900009871</v>
      </c>
      <c r="N19" s="2">
        <v>51836.762400001287</v>
      </c>
      <c r="O19" s="2">
        <v>53548.437300004065</v>
      </c>
      <c r="P19" s="2">
        <v>55244.515599995852</v>
      </c>
      <c r="Q19" s="2">
        <v>56924.997299998999</v>
      </c>
      <c r="R19" s="2">
        <v>58589.882400006056</v>
      </c>
      <c r="S19" s="2">
        <v>60239.170900002122</v>
      </c>
      <c r="T19" s="2"/>
    </row>
    <row r="20" spans="1:8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row>
    <row r="22" spans="1:81">
      <c r="A22" t="s">
        <v>95</v>
      </c>
      <c r="C22" s="2">
        <v>1995</v>
      </c>
      <c r="D22" s="2">
        <v>1996</v>
      </c>
      <c r="E22" s="2">
        <v>1997</v>
      </c>
      <c r="F22" s="2">
        <v>1998</v>
      </c>
      <c r="G22" s="2">
        <v>1999</v>
      </c>
      <c r="H22" s="2">
        <v>2000</v>
      </c>
      <c r="I22" s="2">
        <v>2001</v>
      </c>
      <c r="J22" s="2">
        <v>2002</v>
      </c>
      <c r="K22" s="2">
        <v>2003</v>
      </c>
      <c r="L22" s="2">
        <v>2004</v>
      </c>
      <c r="M22" s="2">
        <v>2005</v>
      </c>
      <c r="N22" s="2">
        <v>2006</v>
      </c>
      <c r="O22" s="2">
        <v>2007</v>
      </c>
      <c r="P22" s="2">
        <v>2008</v>
      </c>
      <c r="Q22" s="2">
        <v>2009</v>
      </c>
      <c r="R22" s="2">
        <v>2010</v>
      </c>
      <c r="S22" s="2">
        <v>2011</v>
      </c>
    </row>
    <row r="23" spans="1:81">
      <c r="A23">
        <v>0</v>
      </c>
      <c r="B23">
        <v>0.20008085170546114</v>
      </c>
      <c r="C23" s="56">
        <f>+$B23*C$2</f>
        <v>250181.0244031866</v>
      </c>
      <c r="D23" s="56">
        <f t="shared" ref="D23:S27" si="0">+$B23*D$2</f>
        <v>251777.02944109435</v>
      </c>
      <c r="E23" s="56">
        <f t="shared" si="0"/>
        <v>253166.86096528632</v>
      </c>
      <c r="F23" s="56">
        <f t="shared" si="0"/>
        <v>254350.5189757625</v>
      </c>
      <c r="G23" s="56">
        <f t="shared" si="0"/>
        <v>255328.00347257062</v>
      </c>
      <c r="H23" s="56">
        <f t="shared" si="0"/>
        <v>256099.31445561524</v>
      </c>
      <c r="I23" s="56">
        <f t="shared" si="0"/>
        <v>256664.45192489639</v>
      </c>
      <c r="J23" s="56">
        <f t="shared" si="0"/>
        <v>257023.41588050945</v>
      </c>
      <c r="K23" s="56">
        <f t="shared" si="0"/>
        <v>257176.20632235901</v>
      </c>
      <c r="L23" s="56">
        <f t="shared" si="0"/>
        <v>257122.8232505882</v>
      </c>
      <c r="M23" s="56">
        <f t="shared" si="0"/>
        <v>256863.26666500623</v>
      </c>
      <c r="N23" s="56">
        <f t="shared" si="0"/>
        <v>256397.53656570843</v>
      </c>
      <c r="O23" s="56">
        <f t="shared" si="0"/>
        <v>255725.6329526949</v>
      </c>
      <c r="P23" s="56">
        <f t="shared" si="0"/>
        <v>254847.55582591784</v>
      </c>
      <c r="Q23" s="56">
        <f t="shared" si="0"/>
        <v>253763.30518556811</v>
      </c>
      <c r="R23" s="56">
        <f t="shared" si="0"/>
        <v>252472.88103140722</v>
      </c>
      <c r="S23" s="56">
        <f t="shared" si="0"/>
        <v>250976.28336348283</v>
      </c>
    </row>
    <row r="24" spans="1:81">
      <c r="A24">
        <v>1</v>
      </c>
      <c r="B24">
        <v>0.20076353515765541</v>
      </c>
      <c r="C24" s="56">
        <f>+$B24*C$2</f>
        <v>251034.65154420104</v>
      </c>
      <c r="D24" s="56">
        <f t="shared" ref="D24:R24" si="1">+$B24*D$2</f>
        <v>252636.10221181155</v>
      </c>
      <c r="E24" s="56">
        <f t="shared" si="1"/>
        <v>254030.67589386029</v>
      </c>
      <c r="F24" s="56">
        <f t="shared" si="1"/>
        <v>255218.37259034725</v>
      </c>
      <c r="G24" s="56">
        <f t="shared" si="1"/>
        <v>256199.19230132035</v>
      </c>
      <c r="H24" s="56">
        <f t="shared" si="1"/>
        <v>256973.1350266838</v>
      </c>
      <c r="I24" s="56">
        <f t="shared" si="1"/>
        <v>257540.2007664376</v>
      </c>
      <c r="J24" s="56">
        <f t="shared" si="1"/>
        <v>257900.38952067753</v>
      </c>
      <c r="K24" s="56">
        <f t="shared" si="1"/>
        <v>258053.70128930782</v>
      </c>
      <c r="L24" s="56">
        <f t="shared" si="1"/>
        <v>258000.13607247209</v>
      </c>
      <c r="M24" s="56">
        <f t="shared" si="1"/>
        <v>257739.69386997886</v>
      </c>
      <c r="N24" s="56">
        <f t="shared" si="1"/>
        <v>257272.37468192389</v>
      </c>
      <c r="O24" s="56">
        <f t="shared" si="1"/>
        <v>256598.17850830712</v>
      </c>
      <c r="P24" s="56">
        <f t="shared" si="1"/>
        <v>255717.10534908072</v>
      </c>
      <c r="Q24" s="56">
        <f t="shared" si="1"/>
        <v>254629.15520443619</v>
      </c>
      <c r="R24" s="56">
        <f t="shared" si="1"/>
        <v>253334.32807413413</v>
      </c>
      <c r="S24" s="56">
        <f t="shared" si="0"/>
        <v>251832.62395822248</v>
      </c>
    </row>
    <row r="25" spans="1:81">
      <c r="A25">
        <v>2</v>
      </c>
      <c r="B25">
        <v>0.20058816361405676</v>
      </c>
      <c r="C25" s="56">
        <f>+$B25*C$2</f>
        <v>250815.36702969254</v>
      </c>
      <c r="D25" s="56">
        <f t="shared" si="0"/>
        <v>252415.4187934864</v>
      </c>
      <c r="E25" s="56">
        <f t="shared" si="0"/>
        <v>253808.77428350097</v>
      </c>
      <c r="F25" s="56">
        <f t="shared" si="0"/>
        <v>254995.43349973622</v>
      </c>
      <c r="G25" s="56">
        <f t="shared" si="0"/>
        <v>255975.39644224002</v>
      </c>
      <c r="H25" s="56">
        <f t="shared" si="0"/>
        <v>256748.66311091671</v>
      </c>
      <c r="I25" s="56">
        <f t="shared" si="0"/>
        <v>257315.23350576626</v>
      </c>
      <c r="J25" s="56">
        <f t="shared" si="0"/>
        <v>257675.10762688433</v>
      </c>
      <c r="K25" s="56">
        <f t="shared" si="0"/>
        <v>257828.28547417533</v>
      </c>
      <c r="L25" s="56">
        <f t="shared" si="0"/>
        <v>257774.76704778263</v>
      </c>
      <c r="M25" s="56">
        <f t="shared" si="0"/>
        <v>257514.55234751501</v>
      </c>
      <c r="N25" s="56">
        <f t="shared" si="0"/>
        <v>257047.6413734681</v>
      </c>
      <c r="O25" s="56">
        <f t="shared" si="0"/>
        <v>256374.03412564189</v>
      </c>
      <c r="P25" s="56">
        <f t="shared" si="0"/>
        <v>255493.73060398857</v>
      </c>
      <c r="Q25" s="56">
        <f t="shared" si="0"/>
        <v>254406.73080869942</v>
      </c>
      <c r="R25" s="56">
        <f t="shared" si="0"/>
        <v>253113.0347395353</v>
      </c>
      <c r="S25" s="56">
        <f t="shared" si="0"/>
        <v>251612.64239654411</v>
      </c>
    </row>
    <row r="26" spans="1:81">
      <c r="A26">
        <v>3</v>
      </c>
      <c r="B26">
        <v>0.1998248454108883</v>
      </c>
      <c r="C26" s="56">
        <f>+$B26*C$2</f>
        <v>249860.91422530619</v>
      </c>
      <c r="D26" s="56">
        <f t="shared" si="0"/>
        <v>251454.87715207541</v>
      </c>
      <c r="E26" s="56">
        <f t="shared" si="0"/>
        <v>252842.93036707109</v>
      </c>
      <c r="F26" s="56">
        <f t="shared" si="0"/>
        <v>254025.07387029324</v>
      </c>
      <c r="G26" s="56">
        <f t="shared" si="0"/>
        <v>255001.3076617895</v>
      </c>
      <c r="H26" s="56">
        <f t="shared" si="0"/>
        <v>255771.63174146457</v>
      </c>
      <c r="I26" s="56">
        <f t="shared" si="0"/>
        <v>256336.04610931844</v>
      </c>
      <c r="J26" s="56">
        <f t="shared" si="0"/>
        <v>256694.55076544642</v>
      </c>
      <c r="K26" s="56">
        <f t="shared" si="0"/>
        <v>256847.14570975324</v>
      </c>
      <c r="L26" s="56">
        <f t="shared" si="0"/>
        <v>256793.83094238178</v>
      </c>
      <c r="M26" s="56">
        <f t="shared" si="0"/>
        <v>256534.60646314151</v>
      </c>
      <c r="N26" s="56">
        <f t="shared" si="0"/>
        <v>256069.47227212766</v>
      </c>
      <c r="O26" s="56">
        <f t="shared" si="0"/>
        <v>255398.42836934031</v>
      </c>
      <c r="P26" s="56">
        <f t="shared" si="0"/>
        <v>254521.47475473178</v>
      </c>
      <c r="Q26" s="56">
        <f t="shared" si="0"/>
        <v>253438.61142849262</v>
      </c>
      <c r="R26" s="56">
        <f t="shared" si="0"/>
        <v>252149.83839038463</v>
      </c>
      <c r="S26" s="56">
        <f t="shared" si="0"/>
        <v>250655.15564045546</v>
      </c>
    </row>
    <row r="27" spans="1:81">
      <c r="A27">
        <v>4</v>
      </c>
      <c r="B27">
        <v>0.19874260411193839</v>
      </c>
      <c r="C27" s="56">
        <f>+$B27*C$2</f>
        <v>248507.68009762812</v>
      </c>
      <c r="D27" s="56">
        <f t="shared" si="0"/>
        <v>250093.01020146286</v>
      </c>
      <c r="E27" s="56">
        <f t="shared" si="0"/>
        <v>251473.54579015277</v>
      </c>
      <c r="F27" s="56">
        <f t="shared" si="0"/>
        <v>252649.28686369787</v>
      </c>
      <c r="G27" s="56">
        <f t="shared" si="0"/>
        <v>253620.23342214551</v>
      </c>
      <c r="H27" s="56">
        <f t="shared" si="0"/>
        <v>254386.38546540096</v>
      </c>
      <c r="I27" s="56">
        <f t="shared" si="0"/>
        <v>254947.7429934642</v>
      </c>
      <c r="J27" s="56">
        <f t="shared" si="0"/>
        <v>255304.30600642998</v>
      </c>
      <c r="K27" s="56">
        <f t="shared" si="0"/>
        <v>255456.07450420357</v>
      </c>
      <c r="L27" s="56">
        <f t="shared" si="0"/>
        <v>255403.04848692709</v>
      </c>
      <c r="M27" s="56">
        <f t="shared" si="0"/>
        <v>255145.22795441104</v>
      </c>
      <c r="N27" s="56">
        <f t="shared" si="0"/>
        <v>254682.61290675018</v>
      </c>
      <c r="O27" s="56">
        <f t="shared" si="0"/>
        <v>254015.20334394445</v>
      </c>
      <c r="P27" s="56">
        <f t="shared" si="0"/>
        <v>253142.99926594654</v>
      </c>
      <c r="Q27" s="56">
        <f t="shared" si="0"/>
        <v>252066.00067294596</v>
      </c>
      <c r="R27" s="56">
        <f t="shared" si="0"/>
        <v>250784.20756470578</v>
      </c>
      <c r="S27" s="56">
        <f t="shared" si="0"/>
        <v>249297.61994127341</v>
      </c>
    </row>
    <row r="28" spans="1:81">
      <c r="A28">
        <v>5</v>
      </c>
      <c r="B28">
        <v>0.20077275108348988</v>
      </c>
      <c r="C28" s="56">
        <f>+$B28*C$3</f>
        <v>259892.8356267084</v>
      </c>
      <c r="D28" s="56">
        <f t="shared" ref="D28:S32" si="2">+$B28*D$3</f>
        <v>263938.23584400356</v>
      </c>
      <c r="E28" s="56">
        <f t="shared" si="2"/>
        <v>267346.89788984798</v>
      </c>
      <c r="F28" s="56">
        <f t="shared" si="2"/>
        <v>270118.82176405023</v>
      </c>
      <c r="G28" s="56">
        <f t="shared" si="2"/>
        <v>272254.00746680173</v>
      </c>
      <c r="H28" s="56">
        <f t="shared" si="2"/>
        <v>273752.45499791106</v>
      </c>
      <c r="I28" s="56">
        <f t="shared" si="2"/>
        <v>274614.16435756971</v>
      </c>
      <c r="J28" s="56">
        <f t="shared" si="2"/>
        <v>274839.13554539462</v>
      </c>
      <c r="K28" s="56">
        <f t="shared" si="2"/>
        <v>274427.36856196029</v>
      </c>
      <c r="L28" s="56">
        <f t="shared" si="2"/>
        <v>273378.86340688379</v>
      </c>
      <c r="M28" s="56">
        <f t="shared" si="2"/>
        <v>271693.62008035654</v>
      </c>
      <c r="N28" s="56">
        <f t="shared" si="2"/>
        <v>269371.63858237857</v>
      </c>
      <c r="O28" s="56">
        <f t="shared" si="2"/>
        <v>266412.91891294991</v>
      </c>
      <c r="P28" s="56">
        <f t="shared" si="2"/>
        <v>262817.46107168758</v>
      </c>
      <c r="Q28" s="56">
        <f t="shared" si="2"/>
        <v>258585.26505916595</v>
      </c>
      <c r="R28" s="56">
        <f t="shared" si="2"/>
        <v>253716.33087500217</v>
      </c>
      <c r="S28" s="56">
        <f t="shared" si="2"/>
        <v>248210.65851938765</v>
      </c>
    </row>
    <row r="29" spans="1:81">
      <c r="A29">
        <v>6</v>
      </c>
      <c r="B29">
        <v>0.19987826121455193</v>
      </c>
      <c r="C29" s="56">
        <f>+$B29*C$3</f>
        <v>258734.95186398117</v>
      </c>
      <c r="D29" s="56">
        <f t="shared" ref="D29:R29" si="3">+$B29*D$3</f>
        <v>262762.32887100184</v>
      </c>
      <c r="E29" s="56">
        <f t="shared" si="3"/>
        <v>266155.80452501675</v>
      </c>
      <c r="F29" s="56">
        <f t="shared" si="3"/>
        <v>268915.37882583536</v>
      </c>
      <c r="G29" s="56">
        <f t="shared" si="3"/>
        <v>271041.05177364824</v>
      </c>
      <c r="H29" s="56">
        <f t="shared" si="3"/>
        <v>272532.82336826483</v>
      </c>
      <c r="I29" s="56">
        <f t="shared" si="3"/>
        <v>273390.69360987563</v>
      </c>
      <c r="J29" s="56">
        <f t="shared" si="3"/>
        <v>273614.66249809955</v>
      </c>
      <c r="K29" s="56">
        <f t="shared" si="3"/>
        <v>273204.73003350833</v>
      </c>
      <c r="L29" s="56">
        <f t="shared" si="3"/>
        <v>272160.8962157208</v>
      </c>
      <c r="M29" s="56">
        <f t="shared" si="3"/>
        <v>270483.16104492755</v>
      </c>
      <c r="N29" s="56">
        <f t="shared" si="3"/>
        <v>268171.52452112857</v>
      </c>
      <c r="O29" s="56">
        <f t="shared" si="3"/>
        <v>265225.98664432386</v>
      </c>
      <c r="P29" s="56">
        <f t="shared" si="3"/>
        <v>261646.54741413222</v>
      </c>
      <c r="Q29" s="56">
        <f t="shared" si="3"/>
        <v>257433.20683112548</v>
      </c>
      <c r="R29" s="56">
        <f t="shared" si="3"/>
        <v>252585.96489492242</v>
      </c>
      <c r="S29" s="56">
        <f t="shared" si="2"/>
        <v>247104.82160571363</v>
      </c>
    </row>
    <row r="30" spans="1:81">
      <c r="A30">
        <v>7</v>
      </c>
      <c r="B30">
        <v>0.19944662852625539</v>
      </c>
      <c r="C30" s="56">
        <f>+$B30*C$3</f>
        <v>258176.2194528089</v>
      </c>
      <c r="D30" s="56">
        <f t="shared" si="2"/>
        <v>262194.89942817757</v>
      </c>
      <c r="E30" s="56">
        <f t="shared" si="2"/>
        <v>265581.04694650479</v>
      </c>
      <c r="F30" s="56">
        <f t="shared" si="2"/>
        <v>268334.66200760024</v>
      </c>
      <c r="G30" s="56">
        <f t="shared" si="2"/>
        <v>270455.74461165426</v>
      </c>
      <c r="H30" s="56">
        <f t="shared" si="2"/>
        <v>271944.29475847655</v>
      </c>
      <c r="I30" s="56">
        <f t="shared" si="2"/>
        <v>272800.31244825735</v>
      </c>
      <c r="J30" s="56">
        <f t="shared" si="2"/>
        <v>273023.79768061626</v>
      </c>
      <c r="K30" s="56">
        <f t="shared" si="2"/>
        <v>272614.7504561239</v>
      </c>
      <c r="L30" s="56">
        <f t="shared" si="2"/>
        <v>271573.17077439983</v>
      </c>
      <c r="M30" s="56">
        <f t="shared" si="2"/>
        <v>269899.05863563425</v>
      </c>
      <c r="N30" s="56">
        <f t="shared" si="2"/>
        <v>267592.41403982718</v>
      </c>
      <c r="O30" s="56">
        <f t="shared" si="2"/>
        <v>264653.23698697862</v>
      </c>
      <c r="P30" s="56">
        <f t="shared" si="2"/>
        <v>261081.52747670817</v>
      </c>
      <c r="Q30" s="56">
        <f t="shared" si="2"/>
        <v>256877.28550958645</v>
      </c>
      <c r="R30" s="56">
        <f t="shared" si="2"/>
        <v>252040.51108523301</v>
      </c>
      <c r="S30" s="56">
        <f t="shared" si="2"/>
        <v>246571.20420383808</v>
      </c>
    </row>
    <row r="31" spans="1:81">
      <c r="A31">
        <v>8</v>
      </c>
      <c r="B31">
        <v>0.19961854690763647</v>
      </c>
      <c r="C31" s="56">
        <f>+$B31*C$3</f>
        <v>258398.76138338645</v>
      </c>
      <c r="D31" s="56">
        <f t="shared" si="2"/>
        <v>262420.90536795778</v>
      </c>
      <c r="E31" s="56">
        <f t="shared" si="2"/>
        <v>265809.97166713764</v>
      </c>
      <c r="F31" s="56">
        <f t="shared" si="2"/>
        <v>268565.96028073563</v>
      </c>
      <c r="G31" s="56">
        <f t="shared" si="2"/>
        <v>270688.87120894209</v>
      </c>
      <c r="H31" s="56">
        <f t="shared" si="2"/>
        <v>272178.70445156668</v>
      </c>
      <c r="I31" s="56">
        <f t="shared" si="2"/>
        <v>273035.4600087998</v>
      </c>
      <c r="J31" s="56">
        <f t="shared" si="2"/>
        <v>273259.13788026065</v>
      </c>
      <c r="K31" s="56">
        <f t="shared" si="2"/>
        <v>272849.73806652043</v>
      </c>
      <c r="L31" s="56">
        <f t="shared" si="2"/>
        <v>271807.26056719827</v>
      </c>
      <c r="M31" s="56">
        <f t="shared" si="2"/>
        <v>270131.70538248465</v>
      </c>
      <c r="N31" s="56">
        <f t="shared" si="2"/>
        <v>267823.07251237956</v>
      </c>
      <c r="O31" s="56">
        <f t="shared" si="2"/>
        <v>264881.36195688293</v>
      </c>
      <c r="P31" s="56">
        <f t="shared" si="2"/>
        <v>261306.5737156141</v>
      </c>
      <c r="Q31" s="56">
        <f t="shared" si="2"/>
        <v>257098.7077891441</v>
      </c>
      <c r="R31" s="56">
        <f t="shared" si="2"/>
        <v>252257.76417709226</v>
      </c>
      <c r="S31" s="56">
        <f t="shared" si="2"/>
        <v>246783.74287964893</v>
      </c>
    </row>
    <row r="32" spans="1:81">
      <c r="A32">
        <v>9</v>
      </c>
      <c r="B32">
        <v>0.2002838122680663</v>
      </c>
      <c r="C32" s="56">
        <f>+$B32*C$3</f>
        <v>259259.92257201028</v>
      </c>
      <c r="D32" s="56">
        <f t="shared" si="2"/>
        <v>263295.47108791926</v>
      </c>
      <c r="E32" s="56">
        <f t="shared" si="2"/>
        <v>266695.83207112504</v>
      </c>
      <c r="F32" s="56">
        <f t="shared" si="2"/>
        <v>269461.00552143669</v>
      </c>
      <c r="G32" s="56">
        <f t="shared" si="2"/>
        <v>271590.99143904517</v>
      </c>
      <c r="H32" s="56">
        <f t="shared" si="2"/>
        <v>273085.78982375946</v>
      </c>
      <c r="I32" s="56">
        <f t="shared" si="2"/>
        <v>273945.40067577059</v>
      </c>
      <c r="J32" s="56">
        <f t="shared" si="2"/>
        <v>274169.82399469655</v>
      </c>
      <c r="K32" s="56">
        <f t="shared" si="2"/>
        <v>273759.05978111038</v>
      </c>
      <c r="L32" s="56">
        <f t="shared" si="2"/>
        <v>272713.10803463002</v>
      </c>
      <c r="M32" s="56">
        <f t="shared" si="2"/>
        <v>271031.96875544649</v>
      </c>
      <c r="N32" s="56">
        <f t="shared" si="2"/>
        <v>268715.64194355975</v>
      </c>
      <c r="O32" s="56">
        <f t="shared" si="2"/>
        <v>265764.12759896991</v>
      </c>
      <c r="P32" s="56">
        <f t="shared" si="2"/>
        <v>262177.42572129489</v>
      </c>
      <c r="Q32" s="56">
        <f t="shared" si="2"/>
        <v>257955.53631110769</v>
      </c>
      <c r="R32" s="56">
        <f t="shared" si="2"/>
        <v>253098.45936802632</v>
      </c>
      <c r="S32" s="56">
        <f t="shared" si="2"/>
        <v>247606.19489224179</v>
      </c>
    </row>
    <row r="33" spans="1:19">
      <c r="A33">
        <v>10</v>
      </c>
      <c r="B33">
        <v>0.20207706478921078</v>
      </c>
      <c r="C33" s="56">
        <f>+$B33*C$4</f>
        <v>242153.31877523728</v>
      </c>
      <c r="D33" s="56">
        <f t="shared" ref="D33:S37" si="4">+$B33*D$4</f>
        <v>245710.5816578487</v>
      </c>
      <c r="E33" s="56">
        <f t="shared" si="4"/>
        <v>248961.4815243402</v>
      </c>
      <c r="F33" s="56">
        <f t="shared" si="4"/>
        <v>251906.01837490441</v>
      </c>
      <c r="G33" s="56">
        <f t="shared" si="4"/>
        <v>254544.1922092523</v>
      </c>
      <c r="H33" s="56">
        <f t="shared" si="4"/>
        <v>256876.00302767294</v>
      </c>
      <c r="I33" s="56">
        <f t="shared" si="4"/>
        <v>258901.45083016634</v>
      </c>
      <c r="J33" s="56">
        <f t="shared" si="4"/>
        <v>260620.53561644341</v>
      </c>
      <c r="K33" s="56">
        <f t="shared" si="4"/>
        <v>262033.25738669687</v>
      </c>
      <c r="L33" s="56">
        <f t="shared" si="4"/>
        <v>263139.61614111945</v>
      </c>
      <c r="M33" s="56">
        <f t="shared" si="4"/>
        <v>263939.6118793257</v>
      </c>
      <c r="N33" s="56">
        <f t="shared" si="4"/>
        <v>264433.2446016047</v>
      </c>
      <c r="O33" s="56">
        <f t="shared" si="4"/>
        <v>264620.51430776372</v>
      </c>
      <c r="P33" s="56">
        <f t="shared" si="4"/>
        <v>264501.42099789914</v>
      </c>
      <c r="Q33" s="56">
        <f t="shared" si="4"/>
        <v>264075.96467210731</v>
      </c>
      <c r="R33" s="56">
        <f t="shared" si="4"/>
        <v>263344.14533019555</v>
      </c>
      <c r="S33" s="56">
        <f t="shared" si="4"/>
        <v>262305.9629721638</v>
      </c>
    </row>
    <row r="34" spans="1:19">
      <c r="A34">
        <v>11</v>
      </c>
      <c r="B34">
        <v>0.20237241705216291</v>
      </c>
      <c r="C34" s="56">
        <f>+$B34*C$4</f>
        <v>242507.24578202667</v>
      </c>
      <c r="D34" s="56">
        <f t="shared" ref="D34:R34" si="5">+$B34*D$4</f>
        <v>246069.70789713584</v>
      </c>
      <c r="E34" s="56">
        <f t="shared" si="5"/>
        <v>249325.35922136053</v>
      </c>
      <c r="F34" s="56">
        <f t="shared" si="5"/>
        <v>252274.19975489375</v>
      </c>
      <c r="G34" s="56">
        <f t="shared" si="5"/>
        <v>254916.22949744601</v>
      </c>
      <c r="H34" s="56">
        <f t="shared" si="5"/>
        <v>257251.44844930683</v>
      </c>
      <c r="I34" s="56">
        <f t="shared" si="5"/>
        <v>259279.85661047616</v>
      </c>
      <c r="J34" s="56">
        <f t="shared" si="5"/>
        <v>261001.45398066455</v>
      </c>
      <c r="K34" s="56">
        <f t="shared" si="5"/>
        <v>262416.24056006497</v>
      </c>
      <c r="L34" s="56">
        <f t="shared" si="5"/>
        <v>263524.21634887042</v>
      </c>
      <c r="M34" s="56">
        <f t="shared" si="5"/>
        <v>264325.38134669489</v>
      </c>
      <c r="N34" s="56">
        <f t="shared" si="5"/>
        <v>264819.73555382795</v>
      </c>
      <c r="O34" s="56">
        <f t="shared" si="5"/>
        <v>265007.27897007653</v>
      </c>
      <c r="P34" s="56">
        <f t="shared" si="5"/>
        <v>264888.01159553713</v>
      </c>
      <c r="Q34" s="56">
        <f t="shared" si="5"/>
        <v>264461.93343030626</v>
      </c>
      <c r="R34" s="56">
        <f t="shared" si="5"/>
        <v>263729.04447419092</v>
      </c>
      <c r="S34" s="56">
        <f t="shared" si="4"/>
        <v>262689.34472719114</v>
      </c>
    </row>
    <row r="35" spans="1:19">
      <c r="A35">
        <v>12</v>
      </c>
      <c r="B35">
        <v>0.20146420884358512</v>
      </c>
      <c r="C35" s="56">
        <f>+$B35*C$4</f>
        <v>241418.92023614928</v>
      </c>
      <c r="D35" s="56">
        <f t="shared" si="4"/>
        <v>244965.39471132794</v>
      </c>
      <c r="E35" s="56">
        <f t="shared" si="4"/>
        <v>248206.435303023</v>
      </c>
      <c r="F35" s="56">
        <f t="shared" si="4"/>
        <v>251142.04201142653</v>
      </c>
      <c r="G35" s="56">
        <f t="shared" si="4"/>
        <v>253772.21483625035</v>
      </c>
      <c r="H35" s="56">
        <f t="shared" si="4"/>
        <v>256096.95377778268</v>
      </c>
      <c r="I35" s="56">
        <f t="shared" si="4"/>
        <v>258116.25883602348</v>
      </c>
      <c r="J35" s="56">
        <f t="shared" si="4"/>
        <v>259830.1300106846</v>
      </c>
      <c r="K35" s="56">
        <f t="shared" si="4"/>
        <v>261238.56730195813</v>
      </c>
      <c r="L35" s="56">
        <f t="shared" si="4"/>
        <v>262341.57071003621</v>
      </c>
      <c r="M35" s="56">
        <f t="shared" si="4"/>
        <v>263139.14023453463</v>
      </c>
      <c r="N35" s="56">
        <f t="shared" si="4"/>
        <v>263631.2758757415</v>
      </c>
      <c r="O35" s="56">
        <f t="shared" si="4"/>
        <v>263817.97763346473</v>
      </c>
      <c r="P35" s="56">
        <f t="shared" si="4"/>
        <v>263699.24550780043</v>
      </c>
      <c r="Q35" s="56">
        <f t="shared" si="4"/>
        <v>263275.07949884457</v>
      </c>
      <c r="R35" s="56">
        <f t="shared" si="4"/>
        <v>262545.47960640513</v>
      </c>
      <c r="S35" s="56">
        <f t="shared" si="4"/>
        <v>261510.445830482</v>
      </c>
    </row>
    <row r="36" spans="1:19">
      <c r="A36">
        <v>13</v>
      </c>
      <c r="B36">
        <v>0.19892454857252559</v>
      </c>
      <c r="C36" s="56">
        <f>+$B36*C$4</f>
        <v>238375.59038651895</v>
      </c>
      <c r="D36" s="56">
        <f t="shared" si="4"/>
        <v>241877.35796125789</v>
      </c>
      <c r="E36" s="56">
        <f t="shared" si="4"/>
        <v>245077.54195576941</v>
      </c>
      <c r="F36" s="56">
        <f t="shared" si="4"/>
        <v>247976.14237024321</v>
      </c>
      <c r="G36" s="56">
        <f t="shared" si="4"/>
        <v>250573.15920439473</v>
      </c>
      <c r="H36" s="56">
        <f t="shared" si="4"/>
        <v>252868.5924585085</v>
      </c>
      <c r="I36" s="56">
        <f t="shared" si="4"/>
        <v>254862.44213258455</v>
      </c>
      <c r="J36" s="56">
        <f t="shared" si="4"/>
        <v>256554.70822633832</v>
      </c>
      <c r="K36" s="56">
        <f t="shared" si="4"/>
        <v>257945.39073995949</v>
      </c>
      <c r="L36" s="56">
        <f t="shared" si="4"/>
        <v>259034.48967363779</v>
      </c>
      <c r="M36" s="56">
        <f t="shared" si="4"/>
        <v>259822.00502699381</v>
      </c>
      <c r="N36" s="56">
        <f t="shared" si="4"/>
        <v>260307.93680031211</v>
      </c>
      <c r="O36" s="56">
        <f t="shared" si="4"/>
        <v>260492.28499340295</v>
      </c>
      <c r="P36" s="56">
        <f t="shared" si="4"/>
        <v>260375.04960636122</v>
      </c>
      <c r="Q36" s="56">
        <f t="shared" si="4"/>
        <v>259956.2306392818</v>
      </c>
      <c r="R36" s="56">
        <f t="shared" si="4"/>
        <v>259235.82809197489</v>
      </c>
      <c r="S36" s="56">
        <f t="shared" si="4"/>
        <v>258213.84196444057</v>
      </c>
    </row>
    <row r="37" spans="1:19">
      <c r="A37">
        <v>14</v>
      </c>
      <c r="B37">
        <v>0.19516176074251559</v>
      </c>
      <c r="C37" s="56">
        <f>+$B37*C$4</f>
        <v>233866.56032002205</v>
      </c>
      <c r="D37" s="56">
        <f t="shared" si="4"/>
        <v>237302.08967274011</v>
      </c>
      <c r="E37" s="56">
        <f t="shared" si="4"/>
        <v>240441.74009573041</v>
      </c>
      <c r="F37" s="56">
        <f t="shared" si="4"/>
        <v>243285.51158917908</v>
      </c>
      <c r="G37" s="56">
        <f t="shared" si="4"/>
        <v>245833.40415280691</v>
      </c>
      <c r="H37" s="56">
        <f t="shared" si="4"/>
        <v>248085.41778689309</v>
      </c>
      <c r="I37" s="56">
        <f t="shared" si="4"/>
        <v>250041.55249143761</v>
      </c>
      <c r="J37" s="56">
        <f t="shared" si="4"/>
        <v>251701.80826616133</v>
      </c>
      <c r="K37" s="56">
        <f t="shared" si="4"/>
        <v>253066.18511125035</v>
      </c>
      <c r="L37" s="56">
        <f t="shared" si="4"/>
        <v>254134.68302689077</v>
      </c>
      <c r="M37" s="56">
        <f t="shared" si="4"/>
        <v>254907.30201271037</v>
      </c>
      <c r="N37" s="56">
        <f t="shared" si="4"/>
        <v>255384.04206898829</v>
      </c>
      <c r="O37" s="56">
        <f t="shared" si="4"/>
        <v>255564.90319553847</v>
      </c>
      <c r="P37" s="56">
        <f t="shared" si="4"/>
        <v>255449.88539245396</v>
      </c>
      <c r="Q37" s="56">
        <f t="shared" si="4"/>
        <v>255038.98865982777</v>
      </c>
      <c r="R37" s="56">
        <f t="shared" si="4"/>
        <v>254332.21299747383</v>
      </c>
      <c r="S37" s="56">
        <f t="shared" si="4"/>
        <v>253329.55840539213</v>
      </c>
    </row>
    <row r="38" spans="1:19">
      <c r="A38">
        <v>15</v>
      </c>
      <c r="B38">
        <v>0.2082231039232203</v>
      </c>
      <c r="C38" s="56">
        <f>+$B38*C$5</f>
        <v>220374.21283299359</v>
      </c>
      <c r="D38" s="56">
        <f t="shared" ref="D38:S42" si="6">+$B38*D$5</f>
        <v>224083.05902264168</v>
      </c>
      <c r="E38" s="56">
        <f t="shared" si="6"/>
        <v>227779.23333719798</v>
      </c>
      <c r="F38" s="56">
        <f t="shared" si="6"/>
        <v>231462.7357766935</v>
      </c>
      <c r="G38" s="56">
        <f t="shared" si="6"/>
        <v>235133.5663411034</v>
      </c>
      <c r="H38" s="56">
        <f t="shared" si="6"/>
        <v>238791.72503042774</v>
      </c>
      <c r="I38" s="56">
        <f t="shared" si="6"/>
        <v>242437.21184466645</v>
      </c>
      <c r="J38" s="56">
        <f t="shared" si="6"/>
        <v>246070.026783832</v>
      </c>
      <c r="K38" s="56">
        <f t="shared" si="6"/>
        <v>249690.16984792435</v>
      </c>
      <c r="L38" s="56">
        <f t="shared" si="6"/>
        <v>253297.64103693111</v>
      </c>
      <c r="M38" s="56">
        <f t="shared" si="6"/>
        <v>256892.44035085847</v>
      </c>
      <c r="N38" s="56">
        <f t="shared" si="6"/>
        <v>260474.56778970023</v>
      </c>
      <c r="O38" s="56">
        <f t="shared" si="6"/>
        <v>264044.02335346263</v>
      </c>
      <c r="P38" s="56">
        <f t="shared" si="6"/>
        <v>267600.80704215181</v>
      </c>
      <c r="Q38" s="56">
        <f t="shared" si="6"/>
        <v>271144.91885576159</v>
      </c>
      <c r="R38" s="56">
        <f t="shared" si="6"/>
        <v>274676.3587942734</v>
      </c>
      <c r="S38" s="56">
        <f t="shared" si="6"/>
        <v>278195.12685772445</v>
      </c>
    </row>
    <row r="39" spans="1:19">
      <c r="A39">
        <v>16</v>
      </c>
      <c r="B39">
        <v>0.20363425710513902</v>
      </c>
      <c r="C39" s="56">
        <f>+$B39*C$5</f>
        <v>215517.57835635674</v>
      </c>
      <c r="D39" s="56">
        <f t="shared" ref="D39:R39" si="7">+$B39*D$5</f>
        <v>219144.68852960967</v>
      </c>
      <c r="E39" s="56">
        <f t="shared" si="7"/>
        <v>222759.40609213963</v>
      </c>
      <c r="F39" s="56">
        <f t="shared" si="7"/>
        <v>226361.73104397699</v>
      </c>
      <c r="G39" s="56">
        <f t="shared" si="7"/>
        <v>229951.66338509743</v>
      </c>
      <c r="H39" s="56">
        <f t="shared" si="7"/>
        <v>233529.20311550098</v>
      </c>
      <c r="I39" s="56">
        <f t="shared" si="7"/>
        <v>237094.35023518762</v>
      </c>
      <c r="J39" s="56">
        <f t="shared" si="7"/>
        <v>240647.10474416951</v>
      </c>
      <c r="K39" s="56">
        <f t="shared" si="7"/>
        <v>244187.46664244664</v>
      </c>
      <c r="L39" s="56">
        <f t="shared" si="7"/>
        <v>247715.43593000688</v>
      </c>
      <c r="M39" s="56">
        <f t="shared" si="7"/>
        <v>251231.01260685627</v>
      </c>
      <c r="N39" s="56">
        <f t="shared" si="7"/>
        <v>254734.19667298879</v>
      </c>
      <c r="O39" s="56">
        <f t="shared" si="7"/>
        <v>258224.98812841045</v>
      </c>
      <c r="P39" s="56">
        <f t="shared" si="7"/>
        <v>261703.38697312737</v>
      </c>
      <c r="Q39" s="56">
        <f t="shared" si="7"/>
        <v>265169.39320713346</v>
      </c>
      <c r="R39" s="56">
        <f t="shared" si="7"/>
        <v>268623.00683041051</v>
      </c>
      <c r="S39" s="56">
        <f t="shared" si="6"/>
        <v>272064.22784299497</v>
      </c>
    </row>
    <row r="40" spans="1:19">
      <c r="A40">
        <v>17</v>
      </c>
      <c r="B40">
        <v>0.19941361378031788</v>
      </c>
      <c r="C40" s="56">
        <f>+$B40*C$5</f>
        <v>211050.63432934205</v>
      </c>
      <c r="D40" s="56">
        <f t="shared" si="6"/>
        <v>214602.56688484657</v>
      </c>
      <c r="E40" s="56">
        <f t="shared" si="6"/>
        <v>218142.36368616333</v>
      </c>
      <c r="F40" s="56">
        <f t="shared" si="6"/>
        <v>221670.024733322</v>
      </c>
      <c r="G40" s="56">
        <f t="shared" si="6"/>
        <v>225185.55002629885</v>
      </c>
      <c r="H40" s="56">
        <f t="shared" si="6"/>
        <v>228688.93956509384</v>
      </c>
      <c r="I40" s="56">
        <f t="shared" si="6"/>
        <v>232180.193349707</v>
      </c>
      <c r="J40" s="56">
        <f t="shared" si="6"/>
        <v>235659.3113801502</v>
      </c>
      <c r="K40" s="56">
        <f t="shared" si="6"/>
        <v>239126.29365642348</v>
      </c>
      <c r="L40" s="56">
        <f t="shared" si="6"/>
        <v>242581.14017851488</v>
      </c>
      <c r="M40" s="56">
        <f t="shared" si="6"/>
        <v>246023.85094643041</v>
      </c>
      <c r="N40" s="56">
        <f t="shared" si="6"/>
        <v>249454.42596016411</v>
      </c>
      <c r="O40" s="56">
        <f t="shared" si="6"/>
        <v>252872.86521972189</v>
      </c>
      <c r="P40" s="56">
        <f t="shared" si="6"/>
        <v>256279.16872510972</v>
      </c>
      <c r="Q40" s="56">
        <f t="shared" si="6"/>
        <v>259673.33647632165</v>
      </c>
      <c r="R40" s="56">
        <f t="shared" si="6"/>
        <v>263055.36847333988</v>
      </c>
      <c r="S40" s="56">
        <f t="shared" si="6"/>
        <v>266425.26471620001</v>
      </c>
    </row>
    <row r="41" spans="1:19">
      <c r="A41">
        <v>18</v>
      </c>
      <c r="B41">
        <v>0.19589795526206702</v>
      </c>
      <c r="C41" s="56">
        <f>+$B41*C$5</f>
        <v>207329.81534263238</v>
      </c>
      <c r="D41" s="56">
        <f t="shared" si="6"/>
        <v>210819.12738939485</v>
      </c>
      <c r="E41" s="56">
        <f t="shared" si="6"/>
        <v>214296.51763510334</v>
      </c>
      <c r="F41" s="56">
        <f t="shared" si="6"/>
        <v>217761.98607978699</v>
      </c>
      <c r="G41" s="56">
        <f t="shared" si="6"/>
        <v>221215.53272342248</v>
      </c>
      <c r="H41" s="56">
        <f t="shared" si="6"/>
        <v>224657.15756600982</v>
      </c>
      <c r="I41" s="56">
        <f t="shared" si="6"/>
        <v>228086.860607549</v>
      </c>
      <c r="J41" s="56">
        <f t="shared" si="6"/>
        <v>231504.64184805166</v>
      </c>
      <c r="K41" s="56">
        <f t="shared" si="6"/>
        <v>234910.50128751784</v>
      </c>
      <c r="L41" s="56">
        <f t="shared" si="6"/>
        <v>238304.43892593583</v>
      </c>
      <c r="M41" s="56">
        <f t="shared" si="6"/>
        <v>241686.45476331151</v>
      </c>
      <c r="N41" s="56">
        <f t="shared" si="6"/>
        <v>245056.54879963901</v>
      </c>
      <c r="O41" s="56">
        <f t="shared" si="6"/>
        <v>248414.72103492418</v>
      </c>
      <c r="P41" s="56">
        <f t="shared" si="6"/>
        <v>251760.97146917289</v>
      </c>
      <c r="Q41" s="56">
        <f t="shared" si="6"/>
        <v>255095.30010237923</v>
      </c>
      <c r="R41" s="56">
        <f t="shared" si="6"/>
        <v>258417.70693452575</v>
      </c>
      <c r="S41" s="56">
        <f t="shared" si="6"/>
        <v>261728.19196564745</v>
      </c>
    </row>
    <row r="42" spans="1:19">
      <c r="A42">
        <v>19</v>
      </c>
      <c r="B42">
        <v>0.19283106992925578</v>
      </c>
      <c r="C42" s="56">
        <f>+$B42*C$5</f>
        <v>204083.95823872258</v>
      </c>
      <c r="D42" s="56">
        <f t="shared" si="6"/>
        <v>207518.64327356193</v>
      </c>
      <c r="E42" s="56">
        <f t="shared" si="6"/>
        <v>210941.59314940154</v>
      </c>
      <c r="F42" s="56">
        <f t="shared" si="6"/>
        <v>214352.8078662701</v>
      </c>
      <c r="G42" s="56">
        <f t="shared" si="6"/>
        <v>217752.28742414468</v>
      </c>
      <c r="H42" s="56">
        <f t="shared" si="6"/>
        <v>221140.03182302523</v>
      </c>
      <c r="I42" s="56">
        <f t="shared" si="6"/>
        <v>224516.04106291177</v>
      </c>
      <c r="J42" s="56">
        <f t="shared" si="6"/>
        <v>227880.31514381579</v>
      </c>
      <c r="K42" s="56">
        <f t="shared" si="6"/>
        <v>231232.85406573731</v>
      </c>
      <c r="L42" s="56">
        <f t="shared" si="6"/>
        <v>234573.65782866481</v>
      </c>
      <c r="M42" s="56">
        <f t="shared" si="6"/>
        <v>237902.72643260405</v>
      </c>
      <c r="N42" s="56">
        <f t="shared" si="6"/>
        <v>241220.05987754924</v>
      </c>
      <c r="O42" s="56">
        <f t="shared" si="6"/>
        <v>244525.65816350622</v>
      </c>
      <c r="P42" s="56">
        <f t="shared" si="6"/>
        <v>247819.52129048065</v>
      </c>
      <c r="Q42" s="56">
        <f t="shared" si="6"/>
        <v>251101.64925846682</v>
      </c>
      <c r="R42" s="56">
        <f t="shared" si="6"/>
        <v>254372.0420674475</v>
      </c>
      <c r="S42" s="56">
        <f t="shared" si="6"/>
        <v>257630.69971745714</v>
      </c>
    </row>
    <row r="43" spans="1:19">
      <c r="A43">
        <v>20</v>
      </c>
      <c r="B43">
        <v>0.20926894439068197</v>
      </c>
      <c r="C43" s="56">
        <f>+$B43*C$6</f>
        <v>200846.31457771157</v>
      </c>
      <c r="D43" s="56">
        <f t="shared" ref="D43:S47" si="8">+$B43*D$6</f>
        <v>205077.89169861728</v>
      </c>
      <c r="E43" s="56">
        <f t="shared" si="8"/>
        <v>209304.01732166461</v>
      </c>
      <c r="F43" s="56">
        <f t="shared" si="8"/>
        <v>213524.69144685668</v>
      </c>
      <c r="G43" s="56">
        <f t="shared" si="8"/>
        <v>217739.91407419974</v>
      </c>
      <c r="H43" s="56">
        <f t="shared" si="8"/>
        <v>221949.68520368132</v>
      </c>
      <c r="I43" s="56">
        <f t="shared" si="8"/>
        <v>226154.00483530766</v>
      </c>
      <c r="J43" s="56">
        <f t="shared" si="8"/>
        <v>230352.87296908497</v>
      </c>
      <c r="K43" s="56">
        <f t="shared" si="8"/>
        <v>234546.28960500078</v>
      </c>
      <c r="L43" s="56">
        <f t="shared" si="8"/>
        <v>238734.25474306761</v>
      </c>
      <c r="M43" s="56">
        <f t="shared" si="8"/>
        <v>242916.76838327292</v>
      </c>
      <c r="N43" s="56">
        <f t="shared" si="8"/>
        <v>247093.83052562299</v>
      </c>
      <c r="O43" s="56">
        <f t="shared" si="8"/>
        <v>251265.44117012405</v>
      </c>
      <c r="P43" s="56">
        <f t="shared" si="8"/>
        <v>255431.60031676359</v>
      </c>
      <c r="Q43" s="56">
        <f t="shared" si="8"/>
        <v>259592.30796554792</v>
      </c>
      <c r="R43" s="56">
        <f t="shared" si="8"/>
        <v>263747.56411648635</v>
      </c>
      <c r="S43" s="56">
        <f t="shared" si="8"/>
        <v>267897.36876956018</v>
      </c>
    </row>
    <row r="44" spans="1:19">
      <c r="A44">
        <v>21</v>
      </c>
      <c r="B44">
        <v>0.20571086029849925</v>
      </c>
      <c r="C44" s="56">
        <f>+$B44*C$6</f>
        <v>197431.43580077108</v>
      </c>
      <c r="D44" s="56">
        <f t="shared" ref="D44:R44" si="9">+$B44*D$6</f>
        <v>201591.06575683309</v>
      </c>
      <c r="E44" s="56">
        <f t="shared" si="9"/>
        <v>205745.33690383902</v>
      </c>
      <c r="F44" s="56">
        <f t="shared" si="9"/>
        <v>209894.24924179193</v>
      </c>
      <c r="G44" s="56">
        <f t="shared" si="9"/>
        <v>214037.80277069789</v>
      </c>
      <c r="H44" s="56">
        <f t="shared" si="9"/>
        <v>218175.99749054475</v>
      </c>
      <c r="I44" s="56">
        <f t="shared" si="9"/>
        <v>222308.83340133852</v>
      </c>
      <c r="J44" s="56">
        <f t="shared" si="9"/>
        <v>226436.31050308543</v>
      </c>
      <c r="K44" s="56">
        <f t="shared" si="9"/>
        <v>230558.42879577316</v>
      </c>
      <c r="L44" s="56">
        <f t="shared" si="9"/>
        <v>234675.188279414</v>
      </c>
      <c r="M44" s="56">
        <f t="shared" si="9"/>
        <v>238786.58895399567</v>
      </c>
      <c r="N44" s="56">
        <f t="shared" si="9"/>
        <v>242892.63081952432</v>
      </c>
      <c r="O44" s="56">
        <f t="shared" si="9"/>
        <v>246993.31387600605</v>
      </c>
      <c r="P44" s="56">
        <f t="shared" si="9"/>
        <v>251088.63812342862</v>
      </c>
      <c r="Q44" s="56">
        <f t="shared" si="9"/>
        <v>255178.60356179817</v>
      </c>
      <c r="R44" s="56">
        <f t="shared" si="9"/>
        <v>259263.21019112389</v>
      </c>
      <c r="S44" s="56">
        <f t="shared" si="8"/>
        <v>263342.45801138738</v>
      </c>
    </row>
    <row r="45" spans="1:19">
      <c r="A45">
        <v>22</v>
      </c>
      <c r="B45">
        <v>0.20116685990093805</v>
      </c>
      <c r="C45" s="56">
        <f>+$B45*C$6</f>
        <v>193070.32175230523</v>
      </c>
      <c r="D45" s="56">
        <f t="shared" si="8"/>
        <v>197138.06856643382</v>
      </c>
      <c r="E45" s="56">
        <f t="shared" si="8"/>
        <v>201200.57494362554</v>
      </c>
      <c r="F45" s="56">
        <f t="shared" si="8"/>
        <v>205257.84088388341</v>
      </c>
      <c r="G45" s="56">
        <f t="shared" si="8"/>
        <v>209309.86638721338</v>
      </c>
      <c r="H45" s="56">
        <f t="shared" si="8"/>
        <v>213356.6514536035</v>
      </c>
      <c r="I45" s="56">
        <f t="shared" si="8"/>
        <v>217398.19608305971</v>
      </c>
      <c r="J45" s="56">
        <f t="shared" si="8"/>
        <v>221434.50027558807</v>
      </c>
      <c r="K45" s="56">
        <f t="shared" si="8"/>
        <v>225465.56403117656</v>
      </c>
      <c r="L45" s="56">
        <f t="shared" si="8"/>
        <v>229491.38734983717</v>
      </c>
      <c r="M45" s="56">
        <f t="shared" si="8"/>
        <v>233511.97023155793</v>
      </c>
      <c r="N45" s="56">
        <f t="shared" si="8"/>
        <v>237527.31267634479</v>
      </c>
      <c r="O45" s="56">
        <f t="shared" si="8"/>
        <v>241537.4146842038</v>
      </c>
      <c r="P45" s="56">
        <f t="shared" si="8"/>
        <v>245542.27625512291</v>
      </c>
      <c r="Q45" s="56">
        <f t="shared" si="8"/>
        <v>249541.89738910817</v>
      </c>
      <c r="R45" s="56">
        <f t="shared" si="8"/>
        <v>253536.27808616855</v>
      </c>
      <c r="S45" s="56">
        <f t="shared" si="8"/>
        <v>257525.41834628605</v>
      </c>
    </row>
    <row r="46" spans="1:19">
      <c r="A46">
        <v>23</v>
      </c>
      <c r="B46">
        <v>0.19528375265835782</v>
      </c>
      <c r="C46" s="56">
        <f>+$B46*C$6</f>
        <v>187423.99706051644</v>
      </c>
      <c r="D46" s="56">
        <f t="shared" si="8"/>
        <v>191372.78297445021</v>
      </c>
      <c r="E46" s="56">
        <f t="shared" si="8"/>
        <v>195316.48170756749</v>
      </c>
      <c r="F46" s="56">
        <f t="shared" si="8"/>
        <v>199255.09325987118</v>
      </c>
      <c r="G46" s="56">
        <f t="shared" si="8"/>
        <v>203188.61763136712</v>
      </c>
      <c r="H46" s="56">
        <f t="shared" si="8"/>
        <v>207117.05482204366</v>
      </c>
      <c r="I46" s="56">
        <f t="shared" si="8"/>
        <v>211040.40483190661</v>
      </c>
      <c r="J46" s="56">
        <f t="shared" si="8"/>
        <v>214958.66766096183</v>
      </c>
      <c r="K46" s="56">
        <f t="shared" si="8"/>
        <v>218871.8433091976</v>
      </c>
      <c r="L46" s="56">
        <f t="shared" si="8"/>
        <v>222779.93177662566</v>
      </c>
      <c r="M46" s="56">
        <f t="shared" si="8"/>
        <v>226682.93306323429</v>
      </c>
      <c r="N46" s="56">
        <f t="shared" si="8"/>
        <v>230580.84716902935</v>
      </c>
      <c r="O46" s="56">
        <f t="shared" si="8"/>
        <v>234473.67409401666</v>
      </c>
      <c r="P46" s="56">
        <f t="shared" si="8"/>
        <v>238361.41383818456</v>
      </c>
      <c r="Q46" s="56">
        <f t="shared" si="8"/>
        <v>242244.06640153888</v>
      </c>
      <c r="R46" s="56">
        <f t="shared" si="8"/>
        <v>246121.63178408836</v>
      </c>
      <c r="S46" s="56">
        <f t="shared" si="8"/>
        <v>249994.10998581551</v>
      </c>
    </row>
    <row r="47" spans="1:19">
      <c r="A47">
        <v>24</v>
      </c>
      <c r="B47">
        <v>0.18856958275152291</v>
      </c>
      <c r="C47" s="56">
        <f>+$B47*C$6</f>
        <v>180980.0582087065</v>
      </c>
      <c r="D47" s="56">
        <f t="shared" si="8"/>
        <v>184793.07850368347</v>
      </c>
      <c r="E47" s="56">
        <f t="shared" si="8"/>
        <v>188601.18652331296</v>
      </c>
      <c r="F47" s="56">
        <f t="shared" si="8"/>
        <v>192404.3822675978</v>
      </c>
      <c r="G47" s="56">
        <f t="shared" si="8"/>
        <v>196202.66573654357</v>
      </c>
      <c r="H47" s="56">
        <f t="shared" si="8"/>
        <v>199996.03693013906</v>
      </c>
      <c r="I47" s="56">
        <f t="shared" si="8"/>
        <v>203784.49584838987</v>
      </c>
      <c r="J47" s="56">
        <f t="shared" si="8"/>
        <v>207568.04249130163</v>
      </c>
      <c r="K47" s="56">
        <f t="shared" si="8"/>
        <v>211346.67685886309</v>
      </c>
      <c r="L47" s="56">
        <f t="shared" si="8"/>
        <v>215120.39895108552</v>
      </c>
      <c r="M47" s="56">
        <f t="shared" si="8"/>
        <v>218889.20876795767</v>
      </c>
      <c r="N47" s="56">
        <f t="shared" si="8"/>
        <v>222653.10630948513</v>
      </c>
      <c r="O47" s="56">
        <f t="shared" si="8"/>
        <v>226412.09157567352</v>
      </c>
      <c r="P47" s="56">
        <f t="shared" si="8"/>
        <v>230166.16456651164</v>
      </c>
      <c r="Q47" s="56">
        <f t="shared" si="8"/>
        <v>233915.3252820051</v>
      </c>
      <c r="R47" s="56">
        <f t="shared" si="8"/>
        <v>237659.57372216231</v>
      </c>
      <c r="S47" s="56">
        <f t="shared" si="8"/>
        <v>241398.90988696643</v>
      </c>
    </row>
    <row r="48" spans="1:19">
      <c r="A48">
        <v>25</v>
      </c>
      <c r="B48">
        <v>0.21089604277821081</v>
      </c>
      <c r="C48" s="56">
        <f>+$B48*C$7</f>
        <v>174506.72419864192</v>
      </c>
      <c r="D48" s="56">
        <f t="shared" ref="D48:S52" si="10">+$B48*D$7</f>
        <v>177427.89938189855</v>
      </c>
      <c r="E48" s="56">
        <f t="shared" si="10"/>
        <v>180542.7782783588</v>
      </c>
      <c r="F48" s="56">
        <f t="shared" si="10"/>
        <v>183851.36088767077</v>
      </c>
      <c r="G48" s="56">
        <f t="shared" si="10"/>
        <v>187353.64721008585</v>
      </c>
      <c r="H48" s="56">
        <f t="shared" si="10"/>
        <v>191049.6372454532</v>
      </c>
      <c r="I48" s="56">
        <f t="shared" si="10"/>
        <v>194939.33099392362</v>
      </c>
      <c r="J48" s="56">
        <f t="shared" si="10"/>
        <v>199022.72845529602</v>
      </c>
      <c r="K48" s="56">
        <f t="shared" si="10"/>
        <v>203299.82962977153</v>
      </c>
      <c r="L48" s="56">
        <f t="shared" si="10"/>
        <v>207770.6345171993</v>
      </c>
      <c r="M48" s="56">
        <f t="shared" si="10"/>
        <v>212435.14311773016</v>
      </c>
      <c r="N48" s="56">
        <f t="shared" si="10"/>
        <v>217293.35543121328</v>
      </c>
      <c r="O48" s="56">
        <f t="shared" si="10"/>
        <v>222345.27145769895</v>
      </c>
      <c r="P48" s="56">
        <f t="shared" si="10"/>
        <v>227590.89119723742</v>
      </c>
      <c r="Q48" s="56">
        <f t="shared" si="10"/>
        <v>233030.21464967786</v>
      </c>
      <c r="R48" s="56">
        <f t="shared" si="10"/>
        <v>238663.2418152717</v>
      </c>
      <c r="S48" s="56">
        <f t="shared" si="10"/>
        <v>244489.97269376752</v>
      </c>
    </row>
    <row r="49" spans="1:19">
      <c r="A49">
        <v>26</v>
      </c>
      <c r="B49">
        <v>0.20332082058974793</v>
      </c>
      <c r="C49" s="56">
        <f>+$B49*C$7</f>
        <v>168238.57809323713</v>
      </c>
      <c r="D49" s="56">
        <f t="shared" ref="D49:R49" si="11">+$B49*D$7</f>
        <v>171054.82693092042</v>
      </c>
      <c r="E49" s="56">
        <f t="shared" si="11"/>
        <v>174057.82179475494</v>
      </c>
      <c r="F49" s="56">
        <f t="shared" si="11"/>
        <v>177247.56268440138</v>
      </c>
      <c r="G49" s="56">
        <f t="shared" si="11"/>
        <v>180624.04960010207</v>
      </c>
      <c r="H49" s="56">
        <f t="shared" si="11"/>
        <v>184187.28254171161</v>
      </c>
      <c r="I49" s="56">
        <f t="shared" si="11"/>
        <v>187937.26150937544</v>
      </c>
      <c r="J49" s="56">
        <f t="shared" si="11"/>
        <v>191873.98650289964</v>
      </c>
      <c r="K49" s="56">
        <f t="shared" si="11"/>
        <v>195997.4575224781</v>
      </c>
      <c r="L49" s="56">
        <f t="shared" si="11"/>
        <v>200307.67456796544</v>
      </c>
      <c r="M49" s="56">
        <f t="shared" si="11"/>
        <v>204804.63763950704</v>
      </c>
      <c r="N49" s="56">
        <f t="shared" si="11"/>
        <v>209488.34673695749</v>
      </c>
      <c r="O49" s="56">
        <f t="shared" si="11"/>
        <v>214358.80186036526</v>
      </c>
      <c r="P49" s="56">
        <f t="shared" si="11"/>
        <v>219416.00300977885</v>
      </c>
      <c r="Q49" s="56">
        <f t="shared" si="11"/>
        <v>224659.95018505279</v>
      </c>
      <c r="R49" s="56">
        <f t="shared" si="11"/>
        <v>230090.6433864295</v>
      </c>
      <c r="S49" s="56">
        <f t="shared" si="10"/>
        <v>235708.0826136666</v>
      </c>
    </row>
    <row r="50" spans="1:19">
      <c r="A50">
        <v>27</v>
      </c>
      <c r="B50">
        <v>0.19764494931023435</v>
      </c>
      <c r="C50" s="56">
        <f>+$B50*C$7</f>
        <v>163542.05704469993</v>
      </c>
      <c r="D50" s="56">
        <f t="shared" si="10"/>
        <v>166279.68793343237</v>
      </c>
      <c r="E50" s="56">
        <f t="shared" si="10"/>
        <v>169198.85167632843</v>
      </c>
      <c r="F50" s="56">
        <f t="shared" si="10"/>
        <v>172299.54827305826</v>
      </c>
      <c r="G50" s="56">
        <f t="shared" si="10"/>
        <v>175581.77772385749</v>
      </c>
      <c r="H50" s="56">
        <f t="shared" si="10"/>
        <v>179045.54002858471</v>
      </c>
      <c r="I50" s="56">
        <f t="shared" si="10"/>
        <v>182690.83518738131</v>
      </c>
      <c r="J50" s="56">
        <f t="shared" si="10"/>
        <v>186517.6632000588</v>
      </c>
      <c r="K50" s="56">
        <f t="shared" si="10"/>
        <v>190526.02406680569</v>
      </c>
      <c r="L50" s="56">
        <f t="shared" si="10"/>
        <v>194715.91778748058</v>
      </c>
      <c r="M50" s="56">
        <f t="shared" si="10"/>
        <v>199087.34436222486</v>
      </c>
      <c r="N50" s="56">
        <f t="shared" si="10"/>
        <v>203640.30379089713</v>
      </c>
      <c r="O50" s="56">
        <f t="shared" si="10"/>
        <v>208374.79607354454</v>
      </c>
      <c r="P50" s="56">
        <f t="shared" si="10"/>
        <v>213290.82121021423</v>
      </c>
      <c r="Q50" s="56">
        <f t="shared" si="10"/>
        <v>218388.37920076479</v>
      </c>
      <c r="R50" s="56">
        <f t="shared" si="10"/>
        <v>223667.47004543187</v>
      </c>
      <c r="S50" s="56">
        <f t="shared" si="10"/>
        <v>229128.09374397981</v>
      </c>
    </row>
    <row r="51" spans="1:19">
      <c r="A51">
        <v>28</v>
      </c>
      <c r="B51">
        <v>0.19461692382529891</v>
      </c>
      <c r="C51" s="56">
        <f>+$B51*C$7</f>
        <v>161036.50596273015</v>
      </c>
      <c r="D51" s="56">
        <f t="shared" si="10"/>
        <v>163732.19489378366</v>
      </c>
      <c r="E51" s="56">
        <f t="shared" si="10"/>
        <v>166606.63549936184</v>
      </c>
      <c r="F51" s="56">
        <f t="shared" si="10"/>
        <v>169659.82777913989</v>
      </c>
      <c r="G51" s="56">
        <f t="shared" si="10"/>
        <v>172891.77173334983</v>
      </c>
      <c r="H51" s="56">
        <f t="shared" si="10"/>
        <v>176302.46736185247</v>
      </c>
      <c r="I51" s="56">
        <f t="shared" si="10"/>
        <v>179891.91466478698</v>
      </c>
      <c r="J51" s="56">
        <f t="shared" si="10"/>
        <v>183660.11364196779</v>
      </c>
      <c r="K51" s="56">
        <f t="shared" si="10"/>
        <v>187607.06429358048</v>
      </c>
      <c r="L51" s="56">
        <f t="shared" si="10"/>
        <v>191732.76661948583</v>
      </c>
      <c r="M51" s="56">
        <f t="shared" si="10"/>
        <v>196037.22061982311</v>
      </c>
      <c r="N51" s="56">
        <f t="shared" si="10"/>
        <v>200520.42629445303</v>
      </c>
      <c r="O51" s="56">
        <f t="shared" si="10"/>
        <v>205182.38364342207</v>
      </c>
      <c r="P51" s="56">
        <f t="shared" si="10"/>
        <v>210023.09266677659</v>
      </c>
      <c r="Q51" s="56">
        <f t="shared" si="10"/>
        <v>215042.55336437738</v>
      </c>
      <c r="R51" s="56">
        <f t="shared" si="10"/>
        <v>220240.76573645647</v>
      </c>
      <c r="S51" s="56">
        <f t="shared" si="10"/>
        <v>225617.72978278183</v>
      </c>
    </row>
    <row r="52" spans="1:19">
      <c r="A52">
        <v>29</v>
      </c>
      <c r="B52">
        <v>0.19352126349650797</v>
      </c>
      <c r="C52" s="56">
        <f>+$B52*C$7</f>
        <v>160129.89770070228</v>
      </c>
      <c r="D52" s="56">
        <f t="shared" si="10"/>
        <v>162810.41035950533</v>
      </c>
      <c r="E52" s="56">
        <f t="shared" si="10"/>
        <v>165668.66835117154</v>
      </c>
      <c r="F52" s="56">
        <f t="shared" si="10"/>
        <v>168704.67167537796</v>
      </c>
      <c r="G52" s="56">
        <f t="shared" si="10"/>
        <v>171918.42033235525</v>
      </c>
      <c r="H52" s="56">
        <f t="shared" si="10"/>
        <v>175309.91432196504</v>
      </c>
      <c r="I52" s="56">
        <f t="shared" si="10"/>
        <v>178879.1536443457</v>
      </c>
      <c r="J52" s="56">
        <f t="shared" si="10"/>
        <v>182626.1382993127</v>
      </c>
      <c r="K52" s="56">
        <f t="shared" si="10"/>
        <v>186550.8682870506</v>
      </c>
      <c r="L52" s="56">
        <f t="shared" si="10"/>
        <v>190653.34360742097</v>
      </c>
      <c r="M52" s="56">
        <f t="shared" si="10"/>
        <v>194933.56426056224</v>
      </c>
      <c r="N52" s="56">
        <f t="shared" si="10"/>
        <v>199391.53024633598</v>
      </c>
      <c r="O52" s="56">
        <f t="shared" si="10"/>
        <v>204027.24156478833</v>
      </c>
      <c r="P52" s="56">
        <f t="shared" si="10"/>
        <v>208840.69821596544</v>
      </c>
      <c r="Q52" s="56">
        <f t="shared" si="10"/>
        <v>213831.90019972887</v>
      </c>
      <c r="R52" s="56">
        <f t="shared" si="10"/>
        <v>219000.84751630932</v>
      </c>
      <c r="S52" s="56">
        <f t="shared" si="10"/>
        <v>224347.54016547615</v>
      </c>
    </row>
    <row r="53" spans="1:19">
      <c r="A53">
        <v>30</v>
      </c>
      <c r="B53">
        <v>0.20328615199309047</v>
      </c>
      <c r="C53" s="56">
        <f>+$B53*C$8</f>
        <v>152171.64167208827</v>
      </c>
      <c r="D53" s="56">
        <f t="shared" ref="D53:S57" si="12">+$B53*D$8</f>
        <v>155720.16320988521</v>
      </c>
      <c r="E53" s="56">
        <f t="shared" si="12"/>
        <v>159400.38477906195</v>
      </c>
      <c r="F53" s="56">
        <f t="shared" si="12"/>
        <v>163212.30637947307</v>
      </c>
      <c r="G53" s="56">
        <f t="shared" si="12"/>
        <v>167155.92801121552</v>
      </c>
      <c r="H53" s="56">
        <f t="shared" si="12"/>
        <v>171231.24967433774</v>
      </c>
      <c r="I53" s="56">
        <f t="shared" si="12"/>
        <v>175438.27136869432</v>
      </c>
      <c r="J53" s="56">
        <f t="shared" si="12"/>
        <v>179776.99309447917</v>
      </c>
      <c r="K53" s="56">
        <f t="shared" si="12"/>
        <v>184247.41485144995</v>
      </c>
      <c r="L53" s="56">
        <f t="shared" si="12"/>
        <v>188849.53663984896</v>
      </c>
      <c r="M53" s="56">
        <f t="shared" si="12"/>
        <v>193583.35845948235</v>
      </c>
      <c r="N53" s="56">
        <f t="shared" si="12"/>
        <v>198448.8803104955</v>
      </c>
      <c r="O53" s="56">
        <f t="shared" si="12"/>
        <v>203446.10219274307</v>
      </c>
      <c r="P53" s="56">
        <f t="shared" si="12"/>
        <v>208575.02410627346</v>
      </c>
      <c r="Q53" s="56">
        <f t="shared" si="12"/>
        <v>213835.64605128058</v>
      </c>
      <c r="R53" s="56">
        <f t="shared" si="12"/>
        <v>219227.96802742514</v>
      </c>
      <c r="S53" s="56">
        <f t="shared" si="12"/>
        <v>224751.99003504644</v>
      </c>
    </row>
    <row r="54" spans="1:19">
      <c r="A54">
        <v>31</v>
      </c>
      <c r="B54">
        <v>0.20213547155884315</v>
      </c>
      <c r="C54" s="56">
        <f>+$B54*C$8</f>
        <v>151310.28968621706</v>
      </c>
      <c r="D54" s="56">
        <f t="shared" ref="D54:R54" si="13">+$B54*D$8</f>
        <v>154838.725181438</v>
      </c>
      <c r="E54" s="56">
        <f t="shared" si="13"/>
        <v>158498.11523350535</v>
      </c>
      <c r="F54" s="56">
        <f t="shared" si="13"/>
        <v>162288.45984227452</v>
      </c>
      <c r="G54" s="56">
        <f t="shared" si="13"/>
        <v>166209.7590078419</v>
      </c>
      <c r="H54" s="56">
        <f t="shared" si="13"/>
        <v>170262.01273025569</v>
      </c>
      <c r="I54" s="56">
        <f t="shared" si="13"/>
        <v>174445.22100937134</v>
      </c>
      <c r="J54" s="56">
        <f t="shared" si="13"/>
        <v>178759.38384538156</v>
      </c>
      <c r="K54" s="56">
        <f t="shared" si="13"/>
        <v>183204.50123804543</v>
      </c>
      <c r="L54" s="56">
        <f t="shared" si="13"/>
        <v>187780.57318760391</v>
      </c>
      <c r="M54" s="56">
        <f t="shared" si="13"/>
        <v>192487.59969386421</v>
      </c>
      <c r="N54" s="56">
        <f t="shared" si="13"/>
        <v>197325.58075697091</v>
      </c>
      <c r="O54" s="56">
        <f t="shared" si="13"/>
        <v>202294.51637677944</v>
      </c>
      <c r="P54" s="56">
        <f t="shared" si="13"/>
        <v>207394.40655333799</v>
      </c>
      <c r="Q54" s="56">
        <f t="shared" si="13"/>
        <v>212625.25128683934</v>
      </c>
      <c r="R54" s="56">
        <f t="shared" si="13"/>
        <v>217987.05057694615</v>
      </c>
      <c r="S54" s="56">
        <f t="shared" si="12"/>
        <v>223479.80442399572</v>
      </c>
    </row>
    <row r="55" spans="1:19">
      <c r="A55">
        <v>32</v>
      </c>
      <c r="B55">
        <v>0.20063692363384555</v>
      </c>
      <c r="C55" s="56">
        <f>+$B55*C$8</f>
        <v>150188.53842261434</v>
      </c>
      <c r="D55" s="56">
        <f t="shared" si="12"/>
        <v>153690.81557141009</v>
      </c>
      <c r="E55" s="56">
        <f t="shared" si="12"/>
        <v>157323.0764346864</v>
      </c>
      <c r="F55" s="56">
        <f t="shared" si="12"/>
        <v>161085.3210122998</v>
      </c>
      <c r="G55" s="56">
        <f t="shared" si="12"/>
        <v>164977.54930434588</v>
      </c>
      <c r="H55" s="56">
        <f t="shared" si="12"/>
        <v>168999.76131087251</v>
      </c>
      <c r="I55" s="56">
        <f t="shared" si="12"/>
        <v>173151.95703173621</v>
      </c>
      <c r="J55" s="56">
        <f t="shared" si="12"/>
        <v>177434.13646712829</v>
      </c>
      <c r="K55" s="56">
        <f t="shared" si="12"/>
        <v>181846.29961680959</v>
      </c>
      <c r="L55" s="56">
        <f t="shared" si="12"/>
        <v>186388.44648101926</v>
      </c>
      <c r="M55" s="56">
        <f t="shared" si="12"/>
        <v>191060.57705956601</v>
      </c>
      <c r="N55" s="56">
        <f t="shared" si="12"/>
        <v>195862.69135259328</v>
      </c>
      <c r="O55" s="56">
        <f t="shared" si="12"/>
        <v>200794.78935995762</v>
      </c>
      <c r="P55" s="56">
        <f t="shared" si="12"/>
        <v>205856.87108170683</v>
      </c>
      <c r="Q55" s="56">
        <f t="shared" si="12"/>
        <v>211048.93651803228</v>
      </c>
      <c r="R55" s="56">
        <f t="shared" si="12"/>
        <v>216370.98566859908</v>
      </c>
      <c r="S55" s="56">
        <f t="shared" si="12"/>
        <v>221823.01853374214</v>
      </c>
    </row>
    <row r="56" spans="1:19">
      <c r="A56">
        <v>33</v>
      </c>
      <c r="B56">
        <v>0.19841546357963258</v>
      </c>
      <c r="C56" s="56">
        <f>+$B56*C$8</f>
        <v>148525.64490997582</v>
      </c>
      <c r="D56" s="56">
        <f t="shared" si="12"/>
        <v>151989.14470590992</v>
      </c>
      <c r="E56" s="56">
        <f t="shared" si="12"/>
        <v>155581.18903143183</v>
      </c>
      <c r="F56" s="56">
        <f t="shared" si="12"/>
        <v>159301.77788639965</v>
      </c>
      <c r="G56" s="56">
        <f t="shared" si="12"/>
        <v>163150.91127090799</v>
      </c>
      <c r="H56" s="56">
        <f t="shared" si="12"/>
        <v>167128.58918500415</v>
      </c>
      <c r="I56" s="56">
        <f t="shared" si="12"/>
        <v>171234.81162854625</v>
      </c>
      <c r="J56" s="56">
        <f t="shared" si="12"/>
        <v>175469.57860172345</v>
      </c>
      <c r="K56" s="56">
        <f t="shared" si="12"/>
        <v>179832.89010429929</v>
      </c>
      <c r="L56" s="56">
        <f t="shared" si="12"/>
        <v>184324.74613651025</v>
      </c>
      <c r="M56" s="56">
        <f t="shared" si="12"/>
        <v>188945.14669816711</v>
      </c>
      <c r="N56" s="56">
        <f t="shared" si="12"/>
        <v>193694.09178941182</v>
      </c>
      <c r="O56" s="56">
        <f t="shared" si="12"/>
        <v>198571.58141010243</v>
      </c>
      <c r="P56" s="56">
        <f t="shared" si="12"/>
        <v>203577.61556028624</v>
      </c>
      <c r="Q56" s="56">
        <f t="shared" si="12"/>
        <v>208712.19424015252</v>
      </c>
      <c r="R56" s="56">
        <f t="shared" si="12"/>
        <v>213975.31744937008</v>
      </c>
      <c r="S56" s="56">
        <f t="shared" si="12"/>
        <v>219366.9851882701</v>
      </c>
    </row>
    <row r="57" spans="1:19">
      <c r="A57">
        <v>34</v>
      </c>
      <c r="B57">
        <v>0.19552598923458825</v>
      </c>
      <c r="C57" s="56">
        <f>+$B57*C$8</f>
        <v>146362.70340931855</v>
      </c>
      <c r="D57" s="56">
        <f t="shared" si="12"/>
        <v>149775.76513140561</v>
      </c>
      <c r="E57" s="56">
        <f t="shared" si="12"/>
        <v>153315.49942152199</v>
      </c>
      <c r="F57" s="56">
        <f t="shared" si="12"/>
        <v>156981.90627952782</v>
      </c>
      <c r="G57" s="56">
        <f t="shared" si="12"/>
        <v>160774.9857055163</v>
      </c>
      <c r="H57" s="56">
        <f t="shared" si="12"/>
        <v>164694.73769953407</v>
      </c>
      <c r="I57" s="56">
        <f t="shared" si="12"/>
        <v>168741.16226144132</v>
      </c>
      <c r="J57" s="56">
        <f t="shared" si="12"/>
        <v>172914.25939142445</v>
      </c>
      <c r="K57" s="56">
        <f t="shared" si="12"/>
        <v>177214.02908925043</v>
      </c>
      <c r="L57" s="56">
        <f t="shared" si="12"/>
        <v>181640.47135515229</v>
      </c>
      <c r="M57" s="56">
        <f t="shared" si="12"/>
        <v>186193.58618894362</v>
      </c>
      <c r="N57" s="56">
        <f t="shared" si="12"/>
        <v>190873.37359076424</v>
      </c>
      <c r="O57" s="56">
        <f t="shared" si="12"/>
        <v>195679.8335604743</v>
      </c>
      <c r="P57" s="56">
        <f t="shared" si="12"/>
        <v>200612.96609812041</v>
      </c>
      <c r="Q57" s="56">
        <f t="shared" si="12"/>
        <v>205672.77120388905</v>
      </c>
      <c r="R57" s="56">
        <f t="shared" si="12"/>
        <v>210859.24887745391</v>
      </c>
      <c r="S57" s="56">
        <f t="shared" si="12"/>
        <v>216172.39911914131</v>
      </c>
    </row>
    <row r="58" spans="1:19">
      <c r="A58">
        <v>35</v>
      </c>
      <c r="B58">
        <v>0.20945509508823928</v>
      </c>
      <c r="C58" s="56">
        <f>+$B58*C$9</f>
        <v>139157.8062362693</v>
      </c>
      <c r="D58" s="56">
        <f t="shared" ref="D58:S62" si="14">+$B58*D$9</f>
        <v>143011.01480454564</v>
      </c>
      <c r="E58" s="56">
        <f t="shared" si="14"/>
        <v>146835.22787562528</v>
      </c>
      <c r="F58" s="56">
        <f t="shared" si="14"/>
        <v>150630.44544954563</v>
      </c>
      <c r="G58" s="56">
        <f t="shared" si="14"/>
        <v>154396.66752626927</v>
      </c>
      <c r="H58" s="56">
        <f t="shared" si="14"/>
        <v>158133.89410583363</v>
      </c>
      <c r="I58" s="56">
        <f t="shared" si="14"/>
        <v>161842.12518820126</v>
      </c>
      <c r="J58" s="56">
        <f t="shared" si="14"/>
        <v>165521.3607734096</v>
      </c>
      <c r="K58" s="56">
        <f t="shared" si="14"/>
        <v>169171.6008614462</v>
      </c>
      <c r="L58" s="56">
        <f t="shared" si="14"/>
        <v>172792.84545227358</v>
      </c>
      <c r="M58" s="56">
        <f t="shared" si="14"/>
        <v>176385.0945459542</v>
      </c>
      <c r="N58" s="56">
        <f t="shared" si="14"/>
        <v>179948.34814242556</v>
      </c>
      <c r="O58" s="56">
        <f t="shared" si="14"/>
        <v>183482.60624173767</v>
      </c>
      <c r="P58" s="56">
        <f t="shared" si="14"/>
        <v>186987.86884385307</v>
      </c>
      <c r="Q58" s="56">
        <f t="shared" si="14"/>
        <v>190464.13594882167</v>
      </c>
      <c r="R58" s="56">
        <f t="shared" si="14"/>
        <v>193911.40755658105</v>
      </c>
      <c r="S58" s="56">
        <f t="shared" si="14"/>
        <v>197329.68366718115</v>
      </c>
    </row>
    <row r="59" spans="1:19">
      <c r="A59">
        <v>36</v>
      </c>
      <c r="B59">
        <v>0.20637779050475588</v>
      </c>
      <c r="C59" s="56">
        <f>+$B59*C$9</f>
        <v>137113.30617396257</v>
      </c>
      <c r="D59" s="56">
        <f t="shared" ref="D59:R59" si="15">+$B59*D$9</f>
        <v>140909.90357991186</v>
      </c>
      <c r="E59" s="56">
        <f t="shared" si="15"/>
        <v>144677.93148917006</v>
      </c>
      <c r="F59" s="56">
        <f t="shared" si="15"/>
        <v>148417.38990177415</v>
      </c>
      <c r="G59" s="56">
        <f t="shared" si="15"/>
        <v>152128.27881768718</v>
      </c>
      <c r="H59" s="56">
        <f t="shared" si="15"/>
        <v>155810.59823694604</v>
      </c>
      <c r="I59" s="56">
        <f t="shared" si="15"/>
        <v>159464.34815951387</v>
      </c>
      <c r="J59" s="56">
        <f t="shared" si="15"/>
        <v>163089.52858542756</v>
      </c>
      <c r="K59" s="56">
        <f t="shared" si="15"/>
        <v>166686.13951467478</v>
      </c>
      <c r="L59" s="56">
        <f t="shared" si="15"/>
        <v>170254.18094721864</v>
      </c>
      <c r="M59" s="56">
        <f t="shared" si="15"/>
        <v>173793.65288312067</v>
      </c>
      <c r="N59" s="56">
        <f t="shared" si="15"/>
        <v>177304.55532231936</v>
      </c>
      <c r="O59" s="56">
        <f t="shared" si="15"/>
        <v>180786.88826486387</v>
      </c>
      <c r="P59" s="56">
        <f t="shared" si="15"/>
        <v>184240.65171071736</v>
      </c>
      <c r="Q59" s="56">
        <f t="shared" si="15"/>
        <v>187665.84565992898</v>
      </c>
      <c r="R59" s="56">
        <f t="shared" si="15"/>
        <v>191062.47011243724</v>
      </c>
      <c r="S59" s="56">
        <f t="shared" si="14"/>
        <v>194430.52506829135</v>
      </c>
    </row>
    <row r="60" spans="1:19">
      <c r="A60">
        <v>37</v>
      </c>
      <c r="B60">
        <v>0.20177364216592175</v>
      </c>
      <c r="C60" s="56">
        <f>+$B60*C$9</f>
        <v>134054.40143761033</v>
      </c>
      <c r="D60" s="56">
        <f t="shared" si="14"/>
        <v>137766.29933399966</v>
      </c>
      <c r="E60" s="56">
        <f t="shared" si="14"/>
        <v>141450.2650997653</v>
      </c>
      <c r="F60" s="56">
        <f t="shared" si="14"/>
        <v>145106.29873494335</v>
      </c>
      <c r="G60" s="56">
        <f t="shared" si="14"/>
        <v>148734.40023949777</v>
      </c>
      <c r="H60" s="56">
        <f t="shared" si="14"/>
        <v>152334.56961346461</v>
      </c>
      <c r="I60" s="56">
        <f t="shared" si="14"/>
        <v>155906.80685680779</v>
      </c>
      <c r="J60" s="56">
        <f t="shared" si="14"/>
        <v>159451.11196956338</v>
      </c>
      <c r="K60" s="56">
        <f t="shared" si="14"/>
        <v>162967.48495171938</v>
      </c>
      <c r="L60" s="56">
        <f t="shared" si="14"/>
        <v>166455.92580323969</v>
      </c>
      <c r="M60" s="56">
        <f t="shared" si="14"/>
        <v>169916.43452418444</v>
      </c>
      <c r="N60" s="56">
        <f t="shared" si="14"/>
        <v>173349.01111449351</v>
      </c>
      <c r="O60" s="56">
        <f t="shared" si="14"/>
        <v>176753.65557421499</v>
      </c>
      <c r="P60" s="56">
        <f t="shared" si="14"/>
        <v>180130.36790331284</v>
      </c>
      <c r="Q60" s="56">
        <f t="shared" si="14"/>
        <v>183479.14810183513</v>
      </c>
      <c r="R60" s="56">
        <f t="shared" si="14"/>
        <v>186799.99616972171</v>
      </c>
      <c r="S60" s="56">
        <f t="shared" si="14"/>
        <v>190092.91210702073</v>
      </c>
    </row>
    <row r="61" spans="1:19">
      <c r="A61">
        <v>38</v>
      </c>
      <c r="B61">
        <v>0.19518506928658727</v>
      </c>
      <c r="C61" s="56">
        <f>+$B61*C$9</f>
        <v>129677.08443928325</v>
      </c>
      <c r="D61" s="56">
        <f t="shared" si="14"/>
        <v>133267.77666406706</v>
      </c>
      <c r="E61" s="56">
        <f t="shared" si="14"/>
        <v>136831.44883413718</v>
      </c>
      <c r="F61" s="56">
        <f t="shared" si="14"/>
        <v>140368.10094952854</v>
      </c>
      <c r="G61" s="56">
        <f t="shared" si="14"/>
        <v>143877.73301020623</v>
      </c>
      <c r="H61" s="56">
        <f t="shared" si="14"/>
        <v>147360.34501620513</v>
      </c>
      <c r="I61" s="56">
        <f t="shared" si="14"/>
        <v>150815.93696749036</v>
      </c>
      <c r="J61" s="56">
        <f t="shared" si="14"/>
        <v>154244.5088640968</v>
      </c>
      <c r="K61" s="56">
        <f t="shared" si="14"/>
        <v>157646.06070601285</v>
      </c>
      <c r="L61" s="56">
        <f t="shared" si="14"/>
        <v>161020.59249320359</v>
      </c>
      <c r="M61" s="56">
        <f t="shared" si="14"/>
        <v>164368.10422572721</v>
      </c>
      <c r="N61" s="56">
        <f t="shared" si="14"/>
        <v>167688.59590352548</v>
      </c>
      <c r="O61" s="56">
        <f t="shared" si="14"/>
        <v>170982.067526645</v>
      </c>
      <c r="P61" s="56">
        <f t="shared" si="14"/>
        <v>174248.51909505084</v>
      </c>
      <c r="Q61" s="56">
        <f t="shared" si="14"/>
        <v>177487.95060878954</v>
      </c>
      <c r="R61" s="56">
        <f t="shared" si="14"/>
        <v>180700.36206780295</v>
      </c>
      <c r="S61" s="56">
        <f t="shared" si="14"/>
        <v>183885.75347213756</v>
      </c>
    </row>
    <row r="62" spans="1:19">
      <c r="A62">
        <v>39</v>
      </c>
      <c r="B62">
        <v>0.18720840295449581</v>
      </c>
      <c r="C62" s="56">
        <f>+$B62*C$9</f>
        <v>124377.54571292795</v>
      </c>
      <c r="D62" s="56">
        <f t="shared" si="14"/>
        <v>127821.49641755848</v>
      </c>
      <c r="E62" s="56">
        <f t="shared" si="14"/>
        <v>131239.53130132638</v>
      </c>
      <c r="F62" s="56">
        <f t="shared" si="14"/>
        <v>134631.65036426514</v>
      </c>
      <c r="G62" s="56">
        <f t="shared" si="14"/>
        <v>137997.85360634126</v>
      </c>
      <c r="H62" s="56">
        <f t="shared" si="14"/>
        <v>141338.14102758825</v>
      </c>
      <c r="I62" s="56">
        <f t="shared" si="14"/>
        <v>144652.51262797261</v>
      </c>
      <c r="J62" s="56">
        <f t="shared" si="14"/>
        <v>147940.96840752781</v>
      </c>
      <c r="K62" s="56">
        <f t="shared" si="14"/>
        <v>151203.50836624272</v>
      </c>
      <c r="L62" s="56">
        <f t="shared" si="14"/>
        <v>154440.13250408383</v>
      </c>
      <c r="M62" s="56">
        <f t="shared" si="14"/>
        <v>157650.84082110695</v>
      </c>
      <c r="N62" s="56">
        <f t="shared" si="14"/>
        <v>160835.63331725629</v>
      </c>
      <c r="O62" s="56">
        <f t="shared" si="14"/>
        <v>163994.5099925765</v>
      </c>
      <c r="P62" s="56">
        <f t="shared" si="14"/>
        <v>167127.47084703407</v>
      </c>
      <c r="Q62" s="56">
        <f t="shared" si="14"/>
        <v>170234.51588067363</v>
      </c>
      <c r="R62" s="56">
        <f t="shared" si="14"/>
        <v>173315.64509343941</v>
      </c>
      <c r="S62" s="56">
        <f t="shared" si="14"/>
        <v>176370.85848537605</v>
      </c>
    </row>
    <row r="63" spans="1:19">
      <c r="A63">
        <v>40</v>
      </c>
      <c r="B63">
        <v>0.21669227880146677</v>
      </c>
      <c r="C63" s="56">
        <f>+$B63*C$10</f>
        <v>121986.14614671892</v>
      </c>
      <c r="D63" s="56">
        <f t="shared" ref="D63:S67" si="16">+$B63*D$10</f>
        <v>127063.59520022306</v>
      </c>
      <c r="E63" s="56">
        <f t="shared" si="16"/>
        <v>132024.80769845864</v>
      </c>
      <c r="F63" s="56">
        <f t="shared" si="16"/>
        <v>136869.78364137403</v>
      </c>
      <c r="G63" s="56">
        <f t="shared" si="16"/>
        <v>141598.52302881418</v>
      </c>
      <c r="H63" s="56">
        <f t="shared" si="16"/>
        <v>146211.02586103749</v>
      </c>
      <c r="I63" s="56">
        <f t="shared" si="16"/>
        <v>150707.29213778555</v>
      </c>
      <c r="J63" s="56">
        <f t="shared" si="16"/>
        <v>155087.32185931675</v>
      </c>
      <c r="K63" s="56">
        <f t="shared" si="16"/>
        <v>159351.11502547606</v>
      </c>
      <c r="L63" s="56">
        <f t="shared" si="16"/>
        <v>163498.67163616017</v>
      </c>
      <c r="M63" s="56">
        <f t="shared" si="16"/>
        <v>167529.99169167908</v>
      </c>
      <c r="N63" s="56">
        <f t="shared" si="16"/>
        <v>171445.07519167109</v>
      </c>
      <c r="O63" s="56">
        <f t="shared" si="16"/>
        <v>175243.92213644623</v>
      </c>
      <c r="P63" s="56">
        <f t="shared" si="16"/>
        <v>178926.53252574618</v>
      </c>
      <c r="Q63" s="56">
        <f t="shared" si="16"/>
        <v>182492.90635982921</v>
      </c>
      <c r="R63" s="56">
        <f t="shared" si="16"/>
        <v>185943.0436385404</v>
      </c>
      <c r="S63" s="56">
        <f t="shared" si="16"/>
        <v>189276.94436182803</v>
      </c>
    </row>
    <row r="64" spans="1:19">
      <c r="A64">
        <v>41</v>
      </c>
      <c r="B64">
        <v>0.20663688778157818</v>
      </c>
      <c r="C64" s="56">
        <f>+$B64*C$10</f>
        <v>116325.49960546232</v>
      </c>
      <c r="D64" s="56">
        <f t="shared" ref="D64:R64" si="17">+$B64*D$10</f>
        <v>121167.33465417156</v>
      </c>
      <c r="E64" s="56">
        <f t="shared" si="17"/>
        <v>125898.32699007167</v>
      </c>
      <c r="F64" s="56">
        <f t="shared" si="17"/>
        <v>130518.47661311339</v>
      </c>
      <c r="G64" s="56">
        <f t="shared" si="17"/>
        <v>135027.78352314894</v>
      </c>
      <c r="H64" s="56">
        <f t="shared" si="17"/>
        <v>139426.24772042464</v>
      </c>
      <c r="I64" s="56">
        <f t="shared" si="17"/>
        <v>143713.86920469414</v>
      </c>
      <c r="J64" s="56">
        <f t="shared" si="17"/>
        <v>147890.64797620379</v>
      </c>
      <c r="K64" s="56">
        <f t="shared" si="17"/>
        <v>151956.5840348058</v>
      </c>
      <c r="L64" s="56">
        <f t="shared" si="17"/>
        <v>155911.67738040164</v>
      </c>
      <c r="M64" s="56">
        <f t="shared" si="17"/>
        <v>159755.92801328687</v>
      </c>
      <c r="N64" s="56">
        <f t="shared" si="17"/>
        <v>163489.33593311667</v>
      </c>
      <c r="O64" s="56">
        <f t="shared" si="17"/>
        <v>167111.90114018659</v>
      </c>
      <c r="P64" s="56">
        <f t="shared" si="17"/>
        <v>170623.62363425034</v>
      </c>
      <c r="Q64" s="56">
        <f t="shared" si="17"/>
        <v>174024.50341555424</v>
      </c>
      <c r="R64" s="56">
        <f t="shared" si="17"/>
        <v>177314.54048395049</v>
      </c>
      <c r="S64" s="56">
        <f t="shared" si="16"/>
        <v>180493.73483938983</v>
      </c>
    </row>
    <row r="65" spans="1:19">
      <c r="A65">
        <v>42</v>
      </c>
      <c r="B65">
        <v>0.1980501328868412</v>
      </c>
      <c r="C65" s="56">
        <f>+$B65*C$10</f>
        <v>111491.61653722837</v>
      </c>
      <c r="D65" s="56">
        <f t="shared" si="16"/>
        <v>116132.25009064622</v>
      </c>
      <c r="E65" s="56">
        <f t="shared" si="16"/>
        <v>120666.64697820511</v>
      </c>
      <c r="F65" s="56">
        <f t="shared" si="16"/>
        <v>125094.80719985784</v>
      </c>
      <c r="G65" s="56">
        <f t="shared" si="16"/>
        <v>129416.73075546275</v>
      </c>
      <c r="H65" s="56">
        <f t="shared" si="16"/>
        <v>133632.41764525595</v>
      </c>
      <c r="I65" s="56">
        <f t="shared" si="16"/>
        <v>137741.86786900129</v>
      </c>
      <c r="J65" s="56">
        <f t="shared" si="16"/>
        <v>141745.08142693495</v>
      </c>
      <c r="K65" s="56">
        <f t="shared" si="16"/>
        <v>145642.05831891519</v>
      </c>
      <c r="L65" s="56">
        <f t="shared" si="16"/>
        <v>149432.79854484761</v>
      </c>
      <c r="M65" s="56">
        <f t="shared" si="16"/>
        <v>153117.30210501555</v>
      </c>
      <c r="N65" s="56">
        <f t="shared" si="16"/>
        <v>156695.56899908843</v>
      </c>
      <c r="O65" s="56">
        <f t="shared" si="16"/>
        <v>160167.59922734959</v>
      </c>
      <c r="P65" s="56">
        <f t="shared" si="16"/>
        <v>163533.39278956293</v>
      </c>
      <c r="Q65" s="56">
        <f t="shared" si="16"/>
        <v>166792.94968596453</v>
      </c>
      <c r="R65" s="56">
        <f t="shared" si="16"/>
        <v>169946.26991641277</v>
      </c>
      <c r="S65" s="56">
        <f t="shared" si="16"/>
        <v>172993.35348086039</v>
      </c>
    </row>
    <row r="66" spans="1:19">
      <c r="A66">
        <v>43</v>
      </c>
      <c r="B66">
        <v>0.19168891004119923</v>
      </c>
      <c r="C66" s="56">
        <f>+$B66*C$10</f>
        <v>107910.58880512684</v>
      </c>
      <c r="D66" s="56">
        <f t="shared" si="16"/>
        <v>112402.16866315978</v>
      </c>
      <c r="E66" s="56">
        <f t="shared" si="16"/>
        <v>116790.92409796173</v>
      </c>
      <c r="F66" s="56">
        <f t="shared" si="16"/>
        <v>121076.85510948696</v>
      </c>
      <c r="G66" s="56">
        <f t="shared" si="16"/>
        <v>125259.9616975984</v>
      </c>
      <c r="H66" s="56">
        <f t="shared" si="16"/>
        <v>129340.24386252453</v>
      </c>
      <c r="I66" s="56">
        <f t="shared" si="16"/>
        <v>133317.70160403685</v>
      </c>
      <c r="J66" s="56">
        <f t="shared" si="16"/>
        <v>137192.33492236387</v>
      </c>
      <c r="K66" s="56">
        <f t="shared" si="16"/>
        <v>140964.14381736849</v>
      </c>
      <c r="L66" s="56">
        <f t="shared" si="16"/>
        <v>144633.1282889593</v>
      </c>
      <c r="M66" s="56">
        <f t="shared" si="16"/>
        <v>148199.28833741051</v>
      </c>
      <c r="N66" s="56">
        <f t="shared" si="16"/>
        <v>151662.62396240223</v>
      </c>
      <c r="O66" s="56">
        <f t="shared" si="16"/>
        <v>155023.13516420865</v>
      </c>
      <c r="P66" s="56">
        <f t="shared" si="16"/>
        <v>158280.82194260124</v>
      </c>
      <c r="Q66" s="56">
        <f t="shared" si="16"/>
        <v>161435.68429780853</v>
      </c>
      <c r="R66" s="56">
        <f t="shared" si="16"/>
        <v>164487.72222969343</v>
      </c>
      <c r="S66" s="56">
        <f t="shared" si="16"/>
        <v>167436.93573821022</v>
      </c>
    </row>
    <row r="67" spans="1:19">
      <c r="A67">
        <v>44</v>
      </c>
      <c r="B67">
        <v>0.18693179048891462</v>
      </c>
      <c r="C67" s="56">
        <f>+$B67*C$10</f>
        <v>105232.58530563863</v>
      </c>
      <c r="D67" s="56">
        <f t="shared" si="16"/>
        <v>109612.69819169753</v>
      </c>
      <c r="E67" s="56">
        <f t="shared" si="16"/>
        <v>113892.53843529407</v>
      </c>
      <c r="F67" s="56">
        <f t="shared" si="16"/>
        <v>118072.10603638369</v>
      </c>
      <c r="G67" s="56">
        <f t="shared" si="16"/>
        <v>122151.40099483267</v>
      </c>
      <c r="H67" s="56">
        <f t="shared" si="16"/>
        <v>126130.42331086386</v>
      </c>
      <c r="I67" s="56">
        <f t="shared" si="16"/>
        <v>130009.17298425442</v>
      </c>
      <c r="J67" s="56">
        <f t="shared" si="16"/>
        <v>133787.65001522718</v>
      </c>
      <c r="K67" s="56">
        <f t="shared" si="16"/>
        <v>137465.85440364844</v>
      </c>
      <c r="L67" s="56">
        <f t="shared" si="16"/>
        <v>141043.78614942907</v>
      </c>
      <c r="M67" s="56">
        <f t="shared" si="16"/>
        <v>144521.44525283648</v>
      </c>
      <c r="N67" s="56">
        <f t="shared" si="16"/>
        <v>147898.8317135587</v>
      </c>
      <c r="O67" s="56">
        <f t="shared" si="16"/>
        <v>151175.94553186311</v>
      </c>
      <c r="P67" s="56">
        <f t="shared" si="16"/>
        <v>154352.78670752689</v>
      </c>
      <c r="Q67" s="56">
        <f t="shared" si="16"/>
        <v>157429.35524077289</v>
      </c>
      <c r="R67" s="56">
        <f t="shared" si="16"/>
        <v>160405.65113146737</v>
      </c>
      <c r="S67" s="56">
        <f t="shared" si="16"/>
        <v>163281.67437956581</v>
      </c>
    </row>
    <row r="68" spans="1:19">
      <c r="A68">
        <v>45</v>
      </c>
      <c r="B68">
        <v>0.21297716178725695</v>
      </c>
      <c r="C68" s="56">
        <f>+$B68*C$11</f>
        <v>93018.577077909693</v>
      </c>
      <c r="D68" s="56">
        <f t="shared" ref="D68:S72" si="18">+$B68*D$11</f>
        <v>97781.484509127578</v>
      </c>
      <c r="E68" s="56">
        <f t="shared" si="18"/>
        <v>102461.39853142541</v>
      </c>
      <c r="F68" s="56">
        <f t="shared" si="18"/>
        <v>107058.31914467628</v>
      </c>
      <c r="G68" s="56">
        <f t="shared" si="18"/>
        <v>111572.24634905787</v>
      </c>
      <c r="H68" s="56">
        <f t="shared" si="18"/>
        <v>116003.18014446866</v>
      </c>
      <c r="I68" s="56">
        <f t="shared" si="18"/>
        <v>120351.12053085784</v>
      </c>
      <c r="J68" s="56">
        <f t="shared" si="18"/>
        <v>124616.06750835238</v>
      </c>
      <c r="K68" s="56">
        <f t="shared" si="18"/>
        <v>128798.0210769015</v>
      </c>
      <c r="L68" s="56">
        <f t="shared" si="18"/>
        <v>132896.98123650518</v>
      </c>
      <c r="M68" s="56">
        <f t="shared" si="18"/>
        <v>136912.94798708727</v>
      </c>
      <c r="N68" s="56">
        <f t="shared" si="18"/>
        <v>140845.92132877471</v>
      </c>
      <c r="O68" s="56">
        <f t="shared" si="18"/>
        <v>144695.90126149132</v>
      </c>
      <c r="P68" s="56">
        <f t="shared" si="18"/>
        <v>148462.88778521173</v>
      </c>
      <c r="Q68" s="56">
        <f t="shared" si="18"/>
        <v>152146.8809000375</v>
      </c>
      <c r="R68" s="56">
        <f t="shared" si="18"/>
        <v>155747.88060589245</v>
      </c>
      <c r="S68" s="56">
        <f t="shared" si="18"/>
        <v>159265.88690275123</v>
      </c>
    </row>
    <row r="69" spans="1:19">
      <c r="A69">
        <v>46</v>
      </c>
      <c r="B69">
        <v>0.20722371147295351</v>
      </c>
      <c r="C69" s="56">
        <f>+$B69*C$11</f>
        <v>90505.73599657559</v>
      </c>
      <c r="D69" s="56">
        <f t="shared" ref="D69:R69" si="19">+$B69*D$11</f>
        <v>95139.976339608154</v>
      </c>
      <c r="E69" s="56">
        <f t="shared" si="19"/>
        <v>99693.465290895809</v>
      </c>
      <c r="F69" s="56">
        <f t="shared" si="19"/>
        <v>104166.20285031504</v>
      </c>
      <c r="G69" s="56">
        <f t="shared" si="19"/>
        <v>108558.18901803874</v>
      </c>
      <c r="H69" s="56">
        <f t="shared" si="19"/>
        <v>112869.42379396813</v>
      </c>
      <c r="I69" s="56">
        <f t="shared" si="19"/>
        <v>117099.90717805381</v>
      </c>
      <c r="J69" s="56">
        <f t="shared" si="19"/>
        <v>121249.63917041926</v>
      </c>
      <c r="K69" s="56">
        <f t="shared" si="19"/>
        <v>125318.61977101509</v>
      </c>
      <c r="L69" s="56">
        <f t="shared" si="19"/>
        <v>129306.84897984131</v>
      </c>
      <c r="M69" s="56">
        <f t="shared" si="19"/>
        <v>133214.32679682379</v>
      </c>
      <c r="N69" s="56">
        <f t="shared" si="19"/>
        <v>137041.05322208608</v>
      </c>
      <c r="O69" s="56">
        <f t="shared" si="19"/>
        <v>140787.02825555403</v>
      </c>
      <c r="P69" s="56">
        <f t="shared" si="19"/>
        <v>144452.25189720298</v>
      </c>
      <c r="Q69" s="56">
        <f t="shared" si="19"/>
        <v>148036.7241471317</v>
      </c>
      <c r="R69" s="56">
        <f t="shared" si="19"/>
        <v>151540.44500526611</v>
      </c>
      <c r="S69" s="56">
        <f t="shared" si="18"/>
        <v>154963.41447158146</v>
      </c>
    </row>
    <row r="70" spans="1:19">
      <c r="A70">
        <v>47</v>
      </c>
      <c r="B70">
        <v>0.20086991566734505</v>
      </c>
      <c r="C70" s="56">
        <f>+$B70*C$11</f>
        <v>87730.691762153583</v>
      </c>
      <c r="D70" s="56">
        <f t="shared" si="18"/>
        <v>92222.839211257917</v>
      </c>
      <c r="E70" s="56">
        <f t="shared" si="18"/>
        <v>96636.711229744164</v>
      </c>
      <c r="F70" s="56">
        <f t="shared" si="18"/>
        <v>100972.30781749262</v>
      </c>
      <c r="G70" s="56">
        <f t="shared" si="18"/>
        <v>105229.62897467088</v>
      </c>
      <c r="H70" s="56">
        <f t="shared" si="18"/>
        <v>109408.67470118316</v>
      </c>
      <c r="I70" s="56">
        <f t="shared" si="18"/>
        <v>113509.44499698159</v>
      </c>
      <c r="J70" s="56">
        <f t="shared" si="18"/>
        <v>117531.9398621859</v>
      </c>
      <c r="K70" s="56">
        <f t="shared" si="18"/>
        <v>121476.15929674817</v>
      </c>
      <c r="L70" s="56">
        <f t="shared" si="18"/>
        <v>125342.10330066842</v>
      </c>
      <c r="M70" s="56">
        <f t="shared" si="18"/>
        <v>129129.77187387481</v>
      </c>
      <c r="N70" s="56">
        <f t="shared" si="18"/>
        <v>132839.16501648707</v>
      </c>
      <c r="O70" s="56">
        <f t="shared" si="18"/>
        <v>136470.28272843335</v>
      </c>
      <c r="P70" s="56">
        <f t="shared" si="18"/>
        <v>140023.12500968974</v>
      </c>
      <c r="Q70" s="56">
        <f t="shared" si="18"/>
        <v>143497.69186035197</v>
      </c>
      <c r="R70" s="56">
        <f t="shared" si="18"/>
        <v>146893.98328034824</v>
      </c>
      <c r="S70" s="56">
        <f t="shared" si="18"/>
        <v>150211.9992696546</v>
      </c>
    </row>
    <row r="71" spans="1:19">
      <c r="A71">
        <v>48</v>
      </c>
      <c r="B71">
        <v>0.19351777373831291</v>
      </c>
      <c r="C71" s="56">
        <f>+$B71*C$11</f>
        <v>84519.616100451691</v>
      </c>
      <c r="D71" s="56">
        <f t="shared" si="18"/>
        <v>88847.344176439699</v>
      </c>
      <c r="E71" s="56">
        <f t="shared" si="18"/>
        <v>93099.661820650028</v>
      </c>
      <c r="F71" s="56">
        <f t="shared" si="18"/>
        <v>97276.569032967353</v>
      </c>
      <c r="G71" s="56">
        <f t="shared" si="18"/>
        <v>101378.06581355314</v>
      </c>
      <c r="H71" s="56">
        <f t="shared" si="18"/>
        <v>105404.15216231512</v>
      </c>
      <c r="I71" s="56">
        <f t="shared" si="18"/>
        <v>109354.82807920716</v>
      </c>
      <c r="J71" s="56">
        <f t="shared" si="18"/>
        <v>113230.0935643446</v>
      </c>
      <c r="K71" s="56">
        <f t="shared" si="18"/>
        <v>117029.94861768131</v>
      </c>
      <c r="L71" s="56">
        <f t="shared" si="18"/>
        <v>120754.39323921727</v>
      </c>
      <c r="M71" s="56">
        <f t="shared" si="18"/>
        <v>124403.4274288833</v>
      </c>
      <c r="N71" s="56">
        <f t="shared" si="18"/>
        <v>127977.05118679472</v>
      </c>
      <c r="O71" s="56">
        <f t="shared" si="18"/>
        <v>131475.26451288234</v>
      </c>
      <c r="P71" s="56">
        <f t="shared" si="18"/>
        <v>134898.06740712308</v>
      </c>
      <c r="Q71" s="56">
        <f t="shared" si="18"/>
        <v>138245.45986960921</v>
      </c>
      <c r="R71" s="56">
        <f t="shared" si="18"/>
        <v>141517.44190027157</v>
      </c>
      <c r="S71" s="56">
        <f t="shared" si="18"/>
        <v>144714.01349908701</v>
      </c>
    </row>
    <row r="72" spans="1:19">
      <c r="A72">
        <v>49</v>
      </c>
      <c r="B72">
        <v>0.18541143733413157</v>
      </c>
      <c r="C72" s="56">
        <f>+$B72*C$11</f>
        <v>80979.143162864988</v>
      </c>
      <c r="D72" s="56">
        <f t="shared" si="18"/>
        <v>85125.585463535943</v>
      </c>
      <c r="E72" s="56">
        <f t="shared" si="18"/>
        <v>89199.776227431823</v>
      </c>
      <c r="F72" s="56">
        <f t="shared" si="18"/>
        <v>93201.715454442106</v>
      </c>
      <c r="G72" s="56">
        <f t="shared" si="18"/>
        <v>97131.403144721509</v>
      </c>
      <c r="H72" s="56">
        <f t="shared" si="18"/>
        <v>100988.83929818164</v>
      </c>
      <c r="I72" s="56">
        <f t="shared" si="18"/>
        <v>104774.02391477828</v>
      </c>
      <c r="J72" s="56">
        <f t="shared" si="18"/>
        <v>108486.95699462194</v>
      </c>
      <c r="K72" s="56">
        <f t="shared" si="18"/>
        <v>112127.63853766843</v>
      </c>
      <c r="L72" s="56">
        <f t="shared" si="18"/>
        <v>115696.06854391773</v>
      </c>
      <c r="M72" s="56">
        <f t="shared" si="18"/>
        <v>119192.24701330355</v>
      </c>
      <c r="N72" s="56">
        <f t="shared" si="18"/>
        <v>122616.17394593639</v>
      </c>
      <c r="O72" s="56">
        <f t="shared" si="18"/>
        <v>125967.84934174994</v>
      </c>
      <c r="P72" s="56">
        <f t="shared" si="18"/>
        <v>129247.27320072212</v>
      </c>
      <c r="Q72" s="56">
        <f t="shared" si="18"/>
        <v>132454.4455229413</v>
      </c>
      <c r="R72" s="56">
        <f t="shared" si="18"/>
        <v>135589.36630834124</v>
      </c>
      <c r="S72" s="56">
        <f t="shared" si="18"/>
        <v>138652.03555689976</v>
      </c>
    </row>
    <row r="73" spans="1:19">
      <c r="A73">
        <v>50</v>
      </c>
      <c r="B73">
        <v>0.22032343647095243</v>
      </c>
      <c r="C73" s="56">
        <f>+$B73*C$12</f>
        <v>76520.068190822116</v>
      </c>
      <c r="D73" s="56">
        <f t="shared" ref="D73:S77" si="20">+$B73*D$12</f>
        <v>80206.569656858279</v>
      </c>
      <c r="E73" s="56">
        <f t="shared" si="20"/>
        <v>83959.844018012052</v>
      </c>
      <c r="F73" s="56">
        <f t="shared" si="20"/>
        <v>87779.891274283451</v>
      </c>
      <c r="G73" s="56">
        <f t="shared" si="20"/>
        <v>91666.711425619913</v>
      </c>
      <c r="H73" s="56">
        <f t="shared" si="20"/>
        <v>95620.304472100252</v>
      </c>
      <c r="I73" s="56">
        <f t="shared" si="20"/>
        <v>99640.670413724467</v>
      </c>
      <c r="J73" s="56">
        <f t="shared" si="20"/>
        <v>103727.80925044003</v>
      </c>
      <c r="K73" s="56">
        <f t="shared" si="20"/>
        <v>107881.72098229946</v>
      </c>
      <c r="L73" s="56">
        <f t="shared" si="20"/>
        <v>112102.40560925024</v>
      </c>
      <c r="M73" s="56">
        <f t="shared" si="20"/>
        <v>116389.86313131863</v>
      </c>
      <c r="N73" s="56">
        <f t="shared" si="20"/>
        <v>120744.09354850464</v>
      </c>
      <c r="O73" s="56">
        <f t="shared" si="20"/>
        <v>125165.09686080823</v>
      </c>
      <c r="P73" s="56">
        <f t="shared" si="20"/>
        <v>129652.87306817692</v>
      </c>
      <c r="Q73" s="56">
        <f t="shared" si="20"/>
        <v>134207.42217071576</v>
      </c>
      <c r="R73" s="56">
        <f t="shared" si="20"/>
        <v>138828.74416837218</v>
      </c>
      <c r="S73" s="56">
        <f t="shared" si="20"/>
        <v>143516.83906111997</v>
      </c>
    </row>
    <row r="74" spans="1:19">
      <c r="A74">
        <v>51</v>
      </c>
      <c r="B74">
        <v>0.21057962192337498</v>
      </c>
      <c r="C74" s="56">
        <f>+$B74*C$12</f>
        <v>73135.964504160293</v>
      </c>
      <c r="D74" s="56">
        <f t="shared" ref="D74:R74" si="21">+$B74*D$12</f>
        <v>76659.430266007257</v>
      </c>
      <c r="E74" s="56">
        <f t="shared" si="21"/>
        <v>80246.715888481922</v>
      </c>
      <c r="F74" s="56">
        <f t="shared" si="21"/>
        <v>83897.821371584316</v>
      </c>
      <c r="G74" s="56">
        <f t="shared" si="21"/>
        <v>87612.746715264206</v>
      </c>
      <c r="H74" s="56">
        <f t="shared" si="21"/>
        <v>91391.491919596912</v>
      </c>
      <c r="I74" s="56">
        <f t="shared" si="21"/>
        <v>95234.05698458245</v>
      </c>
      <c r="J74" s="56">
        <f t="shared" si="21"/>
        <v>99140.441910170586</v>
      </c>
      <c r="K74" s="56">
        <f t="shared" si="21"/>
        <v>103110.64669641155</v>
      </c>
      <c r="L74" s="56">
        <f t="shared" si="21"/>
        <v>107144.67134325512</v>
      </c>
      <c r="M74" s="56">
        <f t="shared" si="21"/>
        <v>111242.51585072641</v>
      </c>
      <c r="N74" s="56">
        <f t="shared" si="21"/>
        <v>115404.18021882541</v>
      </c>
      <c r="O74" s="56">
        <f t="shared" si="21"/>
        <v>119629.66444755213</v>
      </c>
      <c r="P74" s="56">
        <f t="shared" si="21"/>
        <v>123918.96853685635</v>
      </c>
      <c r="Q74" s="56">
        <f t="shared" si="21"/>
        <v>128272.0924868385</v>
      </c>
      <c r="R74" s="56">
        <f t="shared" si="21"/>
        <v>132689.03629744836</v>
      </c>
      <c r="S74" s="56">
        <f t="shared" si="20"/>
        <v>137169.79996866084</v>
      </c>
    </row>
    <row r="75" spans="1:19">
      <c r="A75">
        <v>52</v>
      </c>
      <c r="B75">
        <v>0.20042340925475399</v>
      </c>
      <c r="C75" s="56">
        <f>+$B75*C$12</f>
        <v>69608.631695578995</v>
      </c>
      <c r="D75" s="56">
        <f t="shared" si="20"/>
        <v>72962.16141479717</v>
      </c>
      <c r="E75" s="56">
        <f t="shared" si="20"/>
        <v>76376.432975644377</v>
      </c>
      <c r="F75" s="56">
        <f t="shared" si="20"/>
        <v>79851.446378120614</v>
      </c>
      <c r="G75" s="56">
        <f t="shared" si="20"/>
        <v>83387.20162217808</v>
      </c>
      <c r="H75" s="56">
        <f t="shared" si="20"/>
        <v>86983.69870788847</v>
      </c>
      <c r="I75" s="56">
        <f t="shared" si="20"/>
        <v>90640.937635251787</v>
      </c>
      <c r="J75" s="56">
        <f t="shared" si="20"/>
        <v>94358.918404220225</v>
      </c>
      <c r="K75" s="56">
        <f t="shared" si="20"/>
        <v>98137.641014841589</v>
      </c>
      <c r="L75" s="56">
        <f t="shared" si="20"/>
        <v>101977.10546706809</v>
      </c>
      <c r="M75" s="56">
        <f t="shared" si="20"/>
        <v>105877.31176092361</v>
      </c>
      <c r="N75" s="56">
        <f t="shared" si="20"/>
        <v>109838.25989640816</v>
      </c>
      <c r="O75" s="56">
        <f t="shared" si="20"/>
        <v>113859.94987352173</v>
      </c>
      <c r="P75" s="56">
        <f t="shared" si="20"/>
        <v>117942.38169221656</v>
      </c>
      <c r="Q75" s="56">
        <f t="shared" si="20"/>
        <v>122085.55535258818</v>
      </c>
      <c r="R75" s="56">
        <f t="shared" si="20"/>
        <v>126289.47085458883</v>
      </c>
      <c r="S75" s="56">
        <f t="shared" si="20"/>
        <v>130554.12819819462</v>
      </c>
    </row>
    <row r="76" spans="1:19">
      <c r="A76">
        <v>53</v>
      </c>
      <c r="B76">
        <v>0.18978208343115235</v>
      </c>
      <c r="C76" s="56">
        <f>+$B76*C$12</f>
        <v>65912.815259953873</v>
      </c>
      <c r="D76" s="56">
        <f t="shared" si="20"/>
        <v>69088.291913744091</v>
      </c>
      <c r="E76" s="56">
        <f t="shared" si="20"/>
        <v>72321.285368085024</v>
      </c>
      <c r="F76" s="56">
        <f t="shared" si="20"/>
        <v>75611.795622976686</v>
      </c>
      <c r="G76" s="56">
        <f t="shared" si="20"/>
        <v>78959.822678373836</v>
      </c>
      <c r="H76" s="56">
        <f t="shared" si="20"/>
        <v>82365.366534344314</v>
      </c>
      <c r="I76" s="56">
        <f t="shared" si="20"/>
        <v>85828.427190888149</v>
      </c>
      <c r="J76" s="56">
        <f t="shared" si="20"/>
        <v>89349.004647960086</v>
      </c>
      <c r="K76" s="56">
        <f t="shared" si="20"/>
        <v>92927.098905605366</v>
      </c>
      <c r="L76" s="56">
        <f t="shared" si="20"/>
        <v>96562.709963778747</v>
      </c>
      <c r="M76" s="56">
        <f t="shared" si="20"/>
        <v>100255.83782250284</v>
      </c>
      <c r="N76" s="56">
        <f t="shared" si="20"/>
        <v>104006.48248177768</v>
      </c>
      <c r="O76" s="56">
        <f t="shared" si="20"/>
        <v>107814.64394160322</v>
      </c>
      <c r="P76" s="56">
        <f t="shared" si="20"/>
        <v>111680.32220193425</v>
      </c>
      <c r="Q76" s="56">
        <f t="shared" si="20"/>
        <v>115603.51726286125</v>
      </c>
      <c r="R76" s="56">
        <f t="shared" si="20"/>
        <v>119584.22912433898</v>
      </c>
      <c r="S76" s="56">
        <f t="shared" si="20"/>
        <v>123622.45778634479</v>
      </c>
    </row>
    <row r="77" spans="1:19">
      <c r="A77">
        <v>54</v>
      </c>
      <c r="B77">
        <v>0.17889144891976624</v>
      </c>
      <c r="C77" s="56">
        <f>+$B77*C$12</f>
        <v>62130.411949616726</v>
      </c>
      <c r="D77" s="56">
        <f t="shared" si="20"/>
        <v>65123.664048745995</v>
      </c>
      <c r="E77" s="56">
        <f t="shared" si="20"/>
        <v>68171.132349962019</v>
      </c>
      <c r="F77" s="56">
        <f t="shared" si="20"/>
        <v>71272.816853264783</v>
      </c>
      <c r="G77" s="56">
        <f t="shared" si="20"/>
        <v>74428.717558611665</v>
      </c>
      <c r="H77" s="56">
        <f t="shared" si="20"/>
        <v>77638.834466066604</v>
      </c>
      <c r="I77" s="56">
        <f t="shared" si="20"/>
        <v>80903.167575629632</v>
      </c>
      <c r="J77" s="56">
        <f t="shared" si="20"/>
        <v>84221.716887258095</v>
      </c>
      <c r="K77" s="56">
        <f t="shared" si="20"/>
        <v>87594.482400994617</v>
      </c>
      <c r="L77" s="56">
        <f t="shared" si="20"/>
        <v>91021.464116796575</v>
      </c>
      <c r="M77" s="56">
        <f t="shared" si="20"/>
        <v>94502.662034685287</v>
      </c>
      <c r="N77" s="56">
        <f t="shared" si="20"/>
        <v>98038.076154660739</v>
      </c>
      <c r="O77" s="56">
        <f t="shared" si="20"/>
        <v>101627.70647672296</v>
      </c>
      <c r="P77" s="56">
        <f t="shared" si="20"/>
        <v>105271.55300082927</v>
      </c>
      <c r="Q77" s="56">
        <f t="shared" si="20"/>
        <v>108969.61572706499</v>
      </c>
      <c r="R77" s="56">
        <f t="shared" si="20"/>
        <v>112721.89465538746</v>
      </c>
      <c r="S77" s="56">
        <f t="shared" si="20"/>
        <v>116528.38978577535</v>
      </c>
    </row>
    <row r="78" spans="1:19">
      <c r="A78">
        <v>55</v>
      </c>
      <c r="B78">
        <v>0.22609613556288799</v>
      </c>
      <c r="C78" s="56">
        <f>+$B78*C$13</f>
        <v>51861.076276376458</v>
      </c>
      <c r="D78" s="56">
        <f t="shared" ref="D78:S82" si="22">+$B78*D$13</f>
        <v>53590.635451245871</v>
      </c>
      <c r="E78" s="56">
        <f t="shared" si="22"/>
        <v>55657.467205461406</v>
      </c>
      <c r="F78" s="56">
        <f t="shared" si="22"/>
        <v>58061.571539346493</v>
      </c>
      <c r="G78" s="56">
        <f t="shared" si="22"/>
        <v>60802.948452901132</v>
      </c>
      <c r="H78" s="56">
        <f t="shared" si="22"/>
        <v>63881.597945909707</v>
      </c>
      <c r="I78" s="56">
        <f t="shared" si="22"/>
        <v>67297.520018264404</v>
      </c>
      <c r="J78" s="56">
        <f t="shared" si="22"/>
        <v>71050.714670288638</v>
      </c>
      <c r="K78" s="56">
        <f t="shared" si="22"/>
        <v>75141.181901982447</v>
      </c>
      <c r="L78" s="56">
        <f t="shared" si="22"/>
        <v>79568.92171291454</v>
      </c>
      <c r="M78" s="56">
        <f t="shared" si="22"/>
        <v>84333.934103624022</v>
      </c>
      <c r="N78" s="56">
        <f t="shared" si="22"/>
        <v>89436.219073787419</v>
      </c>
      <c r="O78" s="56">
        <f t="shared" si="22"/>
        <v>94875.776623620375</v>
      </c>
      <c r="P78" s="56">
        <f t="shared" si="22"/>
        <v>100652.60675269164</v>
      </c>
      <c r="Q78" s="56">
        <f t="shared" si="22"/>
        <v>106766.70946154026</v>
      </c>
      <c r="R78" s="56">
        <f t="shared" si="22"/>
        <v>113218.08474984282</v>
      </c>
      <c r="S78" s="56">
        <f t="shared" si="22"/>
        <v>120006.73261770712</v>
      </c>
    </row>
    <row r="79" spans="1:19">
      <c r="A79">
        <v>56</v>
      </c>
      <c r="B79">
        <v>0.21195123315250824</v>
      </c>
      <c r="C79" s="56">
        <f>+$B79*C$13</f>
        <v>48616.572070232847</v>
      </c>
      <c r="D79" s="56">
        <f t="shared" ref="D79:R79" si="23">+$B79*D$13</f>
        <v>50237.927512735951</v>
      </c>
      <c r="E79" s="56">
        <f t="shared" si="23"/>
        <v>52175.455272483516</v>
      </c>
      <c r="F79" s="56">
        <f t="shared" si="23"/>
        <v>54429.155349778746</v>
      </c>
      <c r="G79" s="56">
        <f t="shared" si="23"/>
        <v>56999.027744621642</v>
      </c>
      <c r="H79" s="56">
        <f t="shared" si="23"/>
        <v>59885.07245681007</v>
      </c>
      <c r="I79" s="56">
        <f t="shared" si="23"/>
        <v>63087.289486242968</v>
      </c>
      <c r="J79" s="56">
        <f t="shared" si="23"/>
        <v>66605.67883322353</v>
      </c>
      <c r="K79" s="56">
        <f t="shared" si="23"/>
        <v>70440.240497751758</v>
      </c>
      <c r="L79" s="56">
        <f t="shared" si="23"/>
        <v>74590.974479423385</v>
      </c>
      <c r="M79" s="56">
        <f t="shared" si="23"/>
        <v>79057.88077874374</v>
      </c>
      <c r="N79" s="56">
        <f t="shared" si="23"/>
        <v>83840.95939540962</v>
      </c>
      <c r="O79" s="56">
        <f t="shared" si="23"/>
        <v>88940.21032962318</v>
      </c>
      <c r="P79" s="56">
        <f t="shared" si="23"/>
        <v>94355.633580980139</v>
      </c>
      <c r="Q79" s="56">
        <f t="shared" si="23"/>
        <v>100087.22914998583</v>
      </c>
      <c r="R79" s="56">
        <f t="shared" si="23"/>
        <v>106134.99703633704</v>
      </c>
      <c r="S79" s="56">
        <f t="shared" si="22"/>
        <v>112498.93724013485</v>
      </c>
    </row>
    <row r="80" spans="1:19">
      <c r="A80">
        <v>57</v>
      </c>
      <c r="B80">
        <v>0.19878082881270623</v>
      </c>
      <c r="C80" s="56">
        <f>+$B80*C$13</f>
        <v>45595.594545089749</v>
      </c>
      <c r="D80" s="56">
        <f t="shared" si="22"/>
        <v>47116.200836768425</v>
      </c>
      <c r="E80" s="56">
        <f t="shared" si="22"/>
        <v>48933.332863799944</v>
      </c>
      <c r="F80" s="56">
        <f t="shared" si="22"/>
        <v>51046.990626468665</v>
      </c>
      <c r="G80" s="56">
        <f t="shared" si="22"/>
        <v>53457.174124774581</v>
      </c>
      <c r="H80" s="56">
        <f t="shared" si="22"/>
        <v>56163.883358528125</v>
      </c>
      <c r="I80" s="56">
        <f t="shared" si="22"/>
        <v>59167.118327634504</v>
      </c>
      <c r="J80" s="56">
        <f t="shared" si="22"/>
        <v>62466.879032378085</v>
      </c>
      <c r="K80" s="56">
        <f t="shared" si="22"/>
        <v>66063.165472758876</v>
      </c>
      <c r="L80" s="56">
        <f t="shared" si="22"/>
        <v>69955.977648397704</v>
      </c>
      <c r="M80" s="56">
        <f t="shared" si="22"/>
        <v>74145.315559768525</v>
      </c>
      <c r="N80" s="56">
        <f t="shared" si="22"/>
        <v>78631.179206586981</v>
      </c>
      <c r="O80" s="56">
        <f t="shared" si="22"/>
        <v>83413.568589042625</v>
      </c>
      <c r="P80" s="56">
        <f t="shared" si="22"/>
        <v>88492.483706756335</v>
      </c>
      <c r="Q80" s="56">
        <f t="shared" si="22"/>
        <v>93867.924560202009</v>
      </c>
      <c r="R80" s="56">
        <f t="shared" si="22"/>
        <v>99539.891149095332</v>
      </c>
      <c r="S80" s="56">
        <f t="shared" si="22"/>
        <v>105508.38347353105</v>
      </c>
    </row>
    <row r="81" spans="1:19">
      <c r="A81">
        <v>58</v>
      </c>
      <c r="B81">
        <v>0.18692746490688442</v>
      </c>
      <c r="C81" s="56">
        <f>+$B81*C$13</f>
        <v>42876.71477246096</v>
      </c>
      <c r="D81" s="56">
        <f t="shared" si="22"/>
        <v>44306.646828397657</v>
      </c>
      <c r="E81" s="56">
        <f t="shared" si="22"/>
        <v>46015.422695984736</v>
      </c>
      <c r="F81" s="56">
        <f t="shared" si="22"/>
        <v>48003.042375489589</v>
      </c>
      <c r="G81" s="56">
        <f t="shared" si="22"/>
        <v>50269.505866912223</v>
      </c>
      <c r="H81" s="56">
        <f t="shared" si="22"/>
        <v>52814.813170074369</v>
      </c>
      <c r="I81" s="56">
        <f t="shared" si="22"/>
        <v>55638.96428488689</v>
      </c>
      <c r="J81" s="56">
        <f t="shared" si="22"/>
        <v>58741.959211617192</v>
      </c>
      <c r="K81" s="56">
        <f t="shared" si="22"/>
        <v>62123.797950265274</v>
      </c>
      <c r="L81" s="56">
        <f t="shared" si="22"/>
        <v>65784.480500474601</v>
      </c>
      <c r="M81" s="56">
        <f t="shared" si="22"/>
        <v>69724.006862690847</v>
      </c>
      <c r="N81" s="56">
        <f t="shared" si="22"/>
        <v>73942.377036646591</v>
      </c>
      <c r="O81" s="56">
        <f t="shared" si="22"/>
        <v>78439.591022520122</v>
      </c>
      <c r="P81" s="56">
        <f t="shared" si="22"/>
        <v>83215.648819954906</v>
      </c>
      <c r="Q81" s="56">
        <f t="shared" si="22"/>
        <v>88270.550429396593</v>
      </c>
      <c r="R81" s="56">
        <f t="shared" si="22"/>
        <v>93604.295850577793</v>
      </c>
      <c r="S81" s="56">
        <f t="shared" si="22"/>
        <v>99216.885083587636</v>
      </c>
    </row>
    <row r="82" spans="1:19">
      <c r="A82">
        <v>59</v>
      </c>
      <c r="B82">
        <v>0.17624433756501315</v>
      </c>
      <c r="C82" s="56">
        <f>+$B82*C$13</f>
        <v>40426.259435983418</v>
      </c>
      <c r="D82" s="56">
        <f t="shared" si="22"/>
        <v>41774.469171171775</v>
      </c>
      <c r="E82" s="56">
        <f t="shared" si="22"/>
        <v>43385.586461934712</v>
      </c>
      <c r="F82" s="56">
        <f t="shared" si="22"/>
        <v>45259.611308524363</v>
      </c>
      <c r="G82" s="56">
        <f t="shared" si="22"/>
        <v>47396.543710940728</v>
      </c>
      <c r="H82" s="56">
        <f t="shared" si="22"/>
        <v>49796.383669015726</v>
      </c>
      <c r="I82" s="56">
        <f t="shared" si="22"/>
        <v>52459.131182665311</v>
      </c>
      <c r="J82" s="56">
        <f t="shared" si="22"/>
        <v>55384.786252141603</v>
      </c>
      <c r="K82" s="56">
        <f t="shared" si="22"/>
        <v>58573.348877444609</v>
      </c>
      <c r="L82" s="56">
        <f t="shared" si="22"/>
        <v>62024.819058238172</v>
      </c>
      <c r="M82" s="56">
        <f t="shared" si="22"/>
        <v>65739.196794942472</v>
      </c>
      <c r="N82" s="56">
        <f t="shared" si="22"/>
        <v>69716.482087305412</v>
      </c>
      <c r="O82" s="56">
        <f t="shared" si="22"/>
        <v>73956.674935495059</v>
      </c>
      <c r="P82" s="56">
        <f t="shared" si="22"/>
        <v>78459.775339175263</v>
      </c>
      <c r="Q82" s="56">
        <f t="shared" si="22"/>
        <v>83225.783298766211</v>
      </c>
      <c r="R82" s="56">
        <f t="shared" si="22"/>
        <v>88254.698814015806</v>
      </c>
      <c r="S82" s="56">
        <f t="shared" si="22"/>
        <v>93546.521885008056</v>
      </c>
    </row>
    <row r="83" spans="1:19">
      <c r="A83">
        <v>60</v>
      </c>
      <c r="B83">
        <v>0.22289409953629827</v>
      </c>
      <c r="C83" s="56">
        <f>+$B83*C$14</f>
        <v>42840.95105642928</v>
      </c>
      <c r="D83" s="56">
        <f t="shared" ref="D83:S87" si="24">+$B83*D$14</f>
        <v>44017.678885165449</v>
      </c>
      <c r="E83" s="56">
        <f t="shared" si="24"/>
        <v>45437.608293653611</v>
      </c>
      <c r="F83" s="56">
        <f t="shared" si="24"/>
        <v>47100.739281787493</v>
      </c>
      <c r="G83" s="56">
        <f t="shared" si="24"/>
        <v>49007.071849779648</v>
      </c>
      <c r="H83" s="56">
        <f t="shared" si="24"/>
        <v>51156.605997523802</v>
      </c>
      <c r="I83" s="56">
        <f t="shared" si="24"/>
        <v>53549.341724913669</v>
      </c>
      <c r="J83" s="56">
        <f t="shared" si="24"/>
        <v>56185.279032161816</v>
      </c>
      <c r="K83" s="56">
        <f t="shared" si="24"/>
        <v>59064.417919055675</v>
      </c>
      <c r="L83" s="56">
        <f t="shared" si="24"/>
        <v>62186.758385595247</v>
      </c>
      <c r="M83" s="56">
        <f t="shared" si="24"/>
        <v>65552.300431993106</v>
      </c>
      <c r="N83" s="56">
        <f t="shared" si="24"/>
        <v>69161.044058142943</v>
      </c>
      <c r="O83" s="56">
        <f t="shared" si="24"/>
        <v>73012.989263938507</v>
      </c>
      <c r="P83" s="56">
        <f t="shared" si="24"/>
        <v>77108.136049592344</v>
      </c>
      <c r="Q83" s="56">
        <f t="shared" si="24"/>
        <v>81446.484414998195</v>
      </c>
      <c r="R83" s="56">
        <f t="shared" si="24"/>
        <v>86028.034359837169</v>
      </c>
      <c r="S83" s="56">
        <f t="shared" si="24"/>
        <v>90852.785884640718</v>
      </c>
    </row>
    <row r="84" spans="1:19">
      <c r="A84">
        <v>61</v>
      </c>
      <c r="B84">
        <v>0.20974336831434096</v>
      </c>
      <c r="C84" s="56">
        <f>+$B84*C$14</f>
        <v>40313.338913226806</v>
      </c>
      <c r="D84" s="56">
        <f t="shared" ref="D84:R84" si="25">+$B84*D$14</f>
        <v>41420.639909088975</v>
      </c>
      <c r="E84" s="56">
        <f t="shared" si="25"/>
        <v>42756.793614029906</v>
      </c>
      <c r="F84" s="56">
        <f t="shared" si="25"/>
        <v>44321.800027949583</v>
      </c>
      <c r="G84" s="56">
        <f t="shared" si="25"/>
        <v>46115.659151048028</v>
      </c>
      <c r="H84" s="56">
        <f t="shared" si="25"/>
        <v>48138.370983225235</v>
      </c>
      <c r="I84" s="56">
        <f t="shared" si="25"/>
        <v>50389.935524381195</v>
      </c>
      <c r="J84" s="56">
        <f t="shared" si="25"/>
        <v>52870.352774715924</v>
      </c>
      <c r="K84" s="56">
        <f t="shared" si="25"/>
        <v>55579.622734029399</v>
      </c>
      <c r="L84" s="56">
        <f t="shared" si="25"/>
        <v>58517.74540232162</v>
      </c>
      <c r="M84" s="56">
        <f t="shared" si="25"/>
        <v>61684.720779792609</v>
      </c>
      <c r="N84" s="56">
        <f t="shared" si="25"/>
        <v>65080.548866342368</v>
      </c>
      <c r="O84" s="56">
        <f t="shared" si="25"/>
        <v>68705.229661870864</v>
      </c>
      <c r="P84" s="56">
        <f t="shared" si="25"/>
        <v>72558.763166578137</v>
      </c>
      <c r="Q84" s="56">
        <f t="shared" si="25"/>
        <v>76641.149380364164</v>
      </c>
      <c r="R84" s="56">
        <f t="shared" si="25"/>
        <v>80952.388302928928</v>
      </c>
      <c r="S84" s="56">
        <f t="shared" si="24"/>
        <v>85492.479934772462</v>
      </c>
    </row>
    <row r="85" spans="1:19">
      <c r="A85">
        <v>62</v>
      </c>
      <c r="B85">
        <v>0.19823905983066439</v>
      </c>
      <c r="C85" s="56">
        <f>+$B85*C$14</f>
        <v>38102.174428780723</v>
      </c>
      <c r="D85" s="56">
        <f t="shared" si="24"/>
        <v>39148.74057355769</v>
      </c>
      <c r="E85" s="56">
        <f t="shared" si="24"/>
        <v>40411.606982090707</v>
      </c>
      <c r="F85" s="56">
        <f t="shared" si="24"/>
        <v>41890.773654285236</v>
      </c>
      <c r="G85" s="56">
        <f t="shared" si="24"/>
        <v>43586.240590330352</v>
      </c>
      <c r="H85" s="56">
        <f t="shared" si="24"/>
        <v>45498.007790131509</v>
      </c>
      <c r="I85" s="56">
        <f t="shared" si="24"/>
        <v>47626.075253594187</v>
      </c>
      <c r="J85" s="56">
        <f t="shared" si="24"/>
        <v>49970.442980907443</v>
      </c>
      <c r="K85" s="56">
        <f t="shared" si="24"/>
        <v>52531.110971882212</v>
      </c>
      <c r="L85" s="56">
        <f t="shared" si="24"/>
        <v>55308.079226518508</v>
      </c>
      <c r="M85" s="56">
        <f t="shared" si="24"/>
        <v>58301.347745005376</v>
      </c>
      <c r="N85" s="56">
        <f t="shared" si="24"/>
        <v>61510.916527248293</v>
      </c>
      <c r="O85" s="56">
        <f t="shared" si="24"/>
        <v>64936.785573152738</v>
      </c>
      <c r="P85" s="56">
        <f t="shared" si="24"/>
        <v>68578.954882907754</v>
      </c>
      <c r="Q85" s="56">
        <f t="shared" si="24"/>
        <v>72437.424456418812</v>
      </c>
      <c r="R85" s="56">
        <f t="shared" si="24"/>
        <v>76512.194293402339</v>
      </c>
      <c r="S85" s="56">
        <f t="shared" si="24"/>
        <v>80803.264394330967</v>
      </c>
    </row>
    <row r="86" spans="1:19">
      <c r="A86">
        <v>63</v>
      </c>
      <c r="B86">
        <v>0.18862710496179624</v>
      </c>
      <c r="C86" s="56">
        <f>+$B86*C$14</f>
        <v>36254.726295562068</v>
      </c>
      <c r="D86" s="56">
        <f t="shared" si="24"/>
        <v>37250.547917239128</v>
      </c>
      <c r="E86" s="56">
        <f t="shared" si="24"/>
        <v>38452.182119896075</v>
      </c>
      <c r="F86" s="56">
        <f t="shared" si="24"/>
        <v>39859.628903442972</v>
      </c>
      <c r="G86" s="56">
        <f t="shared" si="24"/>
        <v>41472.888268059702</v>
      </c>
      <c r="H86" s="56">
        <f t="shared" si="24"/>
        <v>43291.960213656326</v>
      </c>
      <c r="I86" s="56">
        <f t="shared" si="24"/>
        <v>45316.8447401429</v>
      </c>
      <c r="J86" s="56">
        <f t="shared" si="24"/>
        <v>47547.541847699307</v>
      </c>
      <c r="K86" s="56">
        <f t="shared" si="24"/>
        <v>49984.051536145664</v>
      </c>
      <c r="L86" s="56">
        <f t="shared" si="24"/>
        <v>52626.37380548197</v>
      </c>
      <c r="M86" s="56">
        <f t="shared" si="24"/>
        <v>55474.508655888108</v>
      </c>
      <c r="N86" s="56">
        <f t="shared" si="24"/>
        <v>58528.456087274142</v>
      </c>
      <c r="O86" s="56">
        <f t="shared" si="24"/>
        <v>61788.216099550118</v>
      </c>
      <c r="P86" s="56">
        <f t="shared" si="24"/>
        <v>65253.788692895934</v>
      </c>
      <c r="Q86" s="56">
        <f t="shared" si="24"/>
        <v>68925.173867221645</v>
      </c>
      <c r="R86" s="56">
        <f t="shared" si="24"/>
        <v>72802.371622257415</v>
      </c>
      <c r="S86" s="56">
        <f t="shared" si="24"/>
        <v>76885.381958452956</v>
      </c>
    </row>
    <row r="87" spans="1:19">
      <c r="A87">
        <v>64</v>
      </c>
      <c r="B87">
        <v>0.18049636735690014</v>
      </c>
      <c r="C87" s="56">
        <f>+$B87*C$14</f>
        <v>34691.972806310114</v>
      </c>
      <c r="D87" s="56">
        <f t="shared" si="24"/>
        <v>35644.869715185268</v>
      </c>
      <c r="E87" s="56">
        <f t="shared" si="24"/>
        <v>36794.707690566975</v>
      </c>
      <c r="F87" s="56">
        <f t="shared" si="24"/>
        <v>38141.486732369165</v>
      </c>
      <c r="G87" s="56">
        <f t="shared" si="24"/>
        <v>39685.20684076396</v>
      </c>
      <c r="H87" s="56">
        <f t="shared" si="24"/>
        <v>41425.868015665306</v>
      </c>
      <c r="I87" s="56">
        <f t="shared" si="24"/>
        <v>43363.47025698713</v>
      </c>
      <c r="J87" s="56">
        <f t="shared" si="24"/>
        <v>45498.013564901565</v>
      </c>
      <c r="K87" s="56">
        <f t="shared" si="24"/>
        <v>47829.497939236477</v>
      </c>
      <c r="L87" s="56">
        <f t="shared" si="24"/>
        <v>50357.923379991873</v>
      </c>
      <c r="M87" s="56">
        <f t="shared" si="24"/>
        <v>53083.289887339881</v>
      </c>
      <c r="N87" s="56">
        <f t="shared" si="24"/>
        <v>56005.597461194433</v>
      </c>
      <c r="O87" s="56">
        <f t="shared" si="24"/>
        <v>59124.846101469462</v>
      </c>
      <c r="P87" s="56">
        <f t="shared" si="24"/>
        <v>62441.03580833711</v>
      </c>
      <c r="Q87" s="56">
        <f t="shared" si="24"/>
        <v>65954.166581711295</v>
      </c>
      <c r="R87" s="56">
        <f t="shared" si="24"/>
        <v>69664.238421333837</v>
      </c>
      <c r="S87" s="56">
        <f t="shared" si="24"/>
        <v>73571.251327635051</v>
      </c>
    </row>
    <row r="88" spans="1:19">
      <c r="A88">
        <v>65</v>
      </c>
      <c r="B88">
        <v>0.21794992959144135</v>
      </c>
      <c r="C88" s="56">
        <f>+$B88*C$15</f>
        <v>31006.666283483475</v>
      </c>
      <c r="D88" s="56">
        <f t="shared" ref="D88:S92" si="26">+$B88*D$15</f>
        <v>32104.894750356518</v>
      </c>
      <c r="E88" s="56">
        <f t="shared" si="26"/>
        <v>33284.15094204108</v>
      </c>
      <c r="F88" s="56">
        <f t="shared" si="26"/>
        <v>34544.434858563138</v>
      </c>
      <c r="G88" s="56">
        <f t="shared" si="26"/>
        <v>35885.746499870736</v>
      </c>
      <c r="H88" s="56">
        <f t="shared" si="26"/>
        <v>37308.085866015841</v>
      </c>
      <c r="I88" s="56">
        <f t="shared" si="26"/>
        <v>38811.452956972455</v>
      </c>
      <c r="J88" s="56">
        <f t="shared" si="26"/>
        <v>40395.847772792556</v>
      </c>
      <c r="K88" s="56">
        <f t="shared" si="26"/>
        <v>42061.270313372217</v>
      </c>
      <c r="L88" s="56">
        <f t="shared" si="26"/>
        <v>43807.720578763394</v>
      </c>
      <c r="M88" s="56">
        <f t="shared" si="26"/>
        <v>45635.198568966094</v>
      </c>
      <c r="N88" s="56">
        <f t="shared" si="26"/>
        <v>47543.704283980311</v>
      </c>
      <c r="O88" s="56">
        <f t="shared" si="26"/>
        <v>49533.237723806044</v>
      </c>
      <c r="P88" s="56">
        <f t="shared" si="26"/>
        <v>51603.798888521247</v>
      </c>
      <c r="Q88" s="56">
        <f t="shared" si="26"/>
        <v>53755.38777797002</v>
      </c>
      <c r="R88" s="56">
        <f t="shared" si="26"/>
        <v>55988.004392256298</v>
      </c>
      <c r="S88" s="56">
        <f t="shared" si="26"/>
        <v>58301.648731354093</v>
      </c>
    </row>
    <row r="89" spans="1:19">
      <c r="A89">
        <v>66</v>
      </c>
      <c r="B89">
        <v>0.20900709756074509</v>
      </c>
      <c r="C89" s="56">
        <f t="shared" ref="C89:R92" si="27">+$B89*C$15</f>
        <v>29734.413482462456</v>
      </c>
      <c r="D89" s="56">
        <f t="shared" si="27"/>
        <v>30787.579889765275</v>
      </c>
      <c r="E89" s="56">
        <f t="shared" si="27"/>
        <v>31918.449325541438</v>
      </c>
      <c r="F89" s="56">
        <f t="shared" si="27"/>
        <v>33127.021789815859</v>
      </c>
      <c r="G89" s="56">
        <f t="shared" si="27"/>
        <v>34413.297282538704</v>
      </c>
      <c r="H89" s="56">
        <f t="shared" si="27"/>
        <v>35777.275803759803</v>
      </c>
      <c r="I89" s="56">
        <f t="shared" si="27"/>
        <v>37218.957353454243</v>
      </c>
      <c r="J89" s="56">
        <f t="shared" si="27"/>
        <v>38738.341931671857</v>
      </c>
      <c r="K89" s="56">
        <f t="shared" si="27"/>
        <v>40335.429538312979</v>
      </c>
      <c r="L89" s="56">
        <f t="shared" si="27"/>
        <v>42010.220173427449</v>
      </c>
      <c r="M89" s="56">
        <f t="shared" si="27"/>
        <v>43762.713837015253</v>
      </c>
      <c r="N89" s="56">
        <f t="shared" si="27"/>
        <v>45592.910529076406</v>
      </c>
      <c r="O89" s="56">
        <f t="shared" si="27"/>
        <v>47500.810249610891</v>
      </c>
      <c r="P89" s="56">
        <f t="shared" si="27"/>
        <v>49486.412998693464</v>
      </c>
      <c r="Q89" s="56">
        <f t="shared" si="27"/>
        <v>51549.718776174639</v>
      </c>
      <c r="R89" s="56">
        <f t="shared" si="27"/>
        <v>53690.727582154068</v>
      </c>
      <c r="S89" s="56">
        <f t="shared" si="26"/>
        <v>55909.43941660683</v>
      </c>
    </row>
    <row r="90" spans="1:19">
      <c r="A90">
        <v>67</v>
      </c>
      <c r="B90">
        <v>0.20017767528895861</v>
      </c>
      <c r="C90" s="56">
        <f t="shared" si="27"/>
        <v>28478.294930965611</v>
      </c>
      <c r="D90" s="56">
        <f t="shared" si="26"/>
        <v>29486.970739427241</v>
      </c>
      <c r="E90" s="56">
        <f t="shared" si="26"/>
        <v>30570.067042619605</v>
      </c>
      <c r="F90" s="56">
        <f t="shared" si="26"/>
        <v>31727.583840566564</v>
      </c>
      <c r="G90" s="56">
        <f t="shared" si="26"/>
        <v>32959.521133220391</v>
      </c>
      <c r="H90" s="56">
        <f t="shared" si="26"/>
        <v>34265.878920628813</v>
      </c>
      <c r="I90" s="56">
        <f t="shared" si="26"/>
        <v>35646.657202767972</v>
      </c>
      <c r="J90" s="56">
        <f t="shared" si="26"/>
        <v>37101.855979685584</v>
      </c>
      <c r="K90" s="56">
        <f t="shared" si="26"/>
        <v>38631.475251286211</v>
      </c>
      <c r="L90" s="56">
        <f t="shared" si="26"/>
        <v>40235.515017617559</v>
      </c>
      <c r="M90" s="56">
        <f t="shared" si="26"/>
        <v>41913.975278679653</v>
      </c>
      <c r="N90" s="56">
        <f t="shared" si="26"/>
        <v>43666.856034472468</v>
      </c>
      <c r="O90" s="56">
        <f t="shared" si="26"/>
        <v>45494.157284996021</v>
      </c>
      <c r="P90" s="56">
        <f t="shared" si="26"/>
        <v>47395.879030321899</v>
      </c>
      <c r="Q90" s="56">
        <f t="shared" si="26"/>
        <v>49372.021270306912</v>
      </c>
      <c r="R90" s="56">
        <f t="shared" si="26"/>
        <v>51422.584005046527</v>
      </c>
      <c r="S90" s="56">
        <f t="shared" si="26"/>
        <v>53547.567234516879</v>
      </c>
    </row>
    <row r="91" spans="1:19">
      <c r="A91">
        <v>68</v>
      </c>
      <c r="B91">
        <v>0.19109308105962519</v>
      </c>
      <c r="C91" s="56">
        <f t="shared" si="27"/>
        <v>27185.874318039376</v>
      </c>
      <c r="D91" s="56">
        <f t="shared" si="26"/>
        <v>28148.7737410195</v>
      </c>
      <c r="E91" s="56">
        <f t="shared" si="26"/>
        <v>29182.716259147717</v>
      </c>
      <c r="F91" s="56">
        <f t="shared" si="26"/>
        <v>30287.701872446807</v>
      </c>
      <c r="G91" s="56">
        <f t="shared" si="26"/>
        <v>31463.730580871208</v>
      </c>
      <c r="H91" s="56">
        <f t="shared" si="26"/>
        <v>32710.802384466482</v>
      </c>
      <c r="I91" s="56">
        <f t="shared" si="26"/>
        <v>34028.917283209848</v>
      </c>
      <c r="J91" s="56">
        <f t="shared" si="26"/>
        <v>35418.075277146861</v>
      </c>
      <c r="K91" s="56">
        <f t="shared" si="26"/>
        <v>36878.276366186408</v>
      </c>
      <c r="L91" s="56">
        <f t="shared" si="26"/>
        <v>38409.520550374051</v>
      </c>
      <c r="M91" s="56">
        <f t="shared" si="26"/>
        <v>40011.807829709782</v>
      </c>
      <c r="N91" s="56">
        <f t="shared" si="26"/>
        <v>41685.138204193609</v>
      </c>
      <c r="O91" s="56">
        <f t="shared" si="26"/>
        <v>43429.511673825524</v>
      </c>
      <c r="P91" s="56">
        <f t="shared" si="26"/>
        <v>45244.928238673871</v>
      </c>
      <c r="Q91" s="56">
        <f t="shared" si="26"/>
        <v>47131.38789860197</v>
      </c>
      <c r="R91" s="56">
        <f t="shared" si="26"/>
        <v>49088.890653700939</v>
      </c>
      <c r="S91" s="56">
        <f t="shared" si="26"/>
        <v>51117.436503948004</v>
      </c>
    </row>
    <row r="92" spans="1:19">
      <c r="A92">
        <v>69</v>
      </c>
      <c r="B92">
        <v>0.18177221649922976</v>
      </c>
      <c r="C92" s="56">
        <f t="shared" si="27"/>
        <v>25859.840685271098</v>
      </c>
      <c r="D92" s="56">
        <f t="shared" si="26"/>
        <v>26775.773179584245</v>
      </c>
      <c r="E92" s="56">
        <f t="shared" si="26"/>
        <v>27759.28353072207</v>
      </c>
      <c r="F92" s="56">
        <f t="shared" si="26"/>
        <v>28810.371738706246</v>
      </c>
      <c r="G92" s="56">
        <f t="shared" si="26"/>
        <v>29929.037803493433</v>
      </c>
      <c r="H92" s="56">
        <f t="shared" si="26"/>
        <v>31115.281725126966</v>
      </c>
      <c r="I92" s="56">
        <f t="shared" si="26"/>
        <v>32369.103503585182</v>
      </c>
      <c r="J92" s="56">
        <f t="shared" si="26"/>
        <v>33690.503138911416</v>
      </c>
      <c r="K92" s="56">
        <f t="shared" si="26"/>
        <v>35079.480631018996</v>
      </c>
      <c r="L92" s="56">
        <f t="shared" si="26"/>
        <v>36536.035979951252</v>
      </c>
      <c r="M92" s="56">
        <f t="shared" si="26"/>
        <v>38060.169185708182</v>
      </c>
      <c r="N92" s="56">
        <f t="shared" si="26"/>
        <v>39651.880248289803</v>
      </c>
      <c r="O92" s="56">
        <f t="shared" si="26"/>
        <v>41311.169167696098</v>
      </c>
      <c r="P92" s="56">
        <f t="shared" si="26"/>
        <v>43038.035943992079</v>
      </c>
      <c r="Q92" s="56">
        <f t="shared" si="26"/>
        <v>44832.480577047732</v>
      </c>
      <c r="R92" s="56">
        <f t="shared" si="26"/>
        <v>46694.503066949743</v>
      </c>
      <c r="S92" s="56">
        <f t="shared" si="26"/>
        <v>48624.103413676428</v>
      </c>
    </row>
    <row r="93" spans="1:19">
      <c r="A93">
        <v>70</v>
      </c>
      <c r="B93">
        <v>0.22571525361091435</v>
      </c>
      <c r="C93" s="56">
        <f>+$B93*C$16</f>
        <v>25192.34598008692</v>
      </c>
      <c r="D93" s="56">
        <f t="shared" ref="D93:S97" si="28">+$B93*D$16</f>
        <v>26240.566534421268</v>
      </c>
      <c r="E93" s="56">
        <f t="shared" si="28"/>
        <v>27294.769987556519</v>
      </c>
      <c r="F93" s="56">
        <f t="shared" si="28"/>
        <v>28354.956339487624</v>
      </c>
      <c r="G93" s="56">
        <f t="shared" si="28"/>
        <v>29421.125590219635</v>
      </c>
      <c r="H93" s="56">
        <f t="shared" si="28"/>
        <v>30493.277739747507</v>
      </c>
      <c r="I93" s="56">
        <f t="shared" si="28"/>
        <v>31571.412788076279</v>
      </c>
      <c r="J93" s="56">
        <f t="shared" si="28"/>
        <v>32655.530735200911</v>
      </c>
      <c r="K93" s="56">
        <f t="shared" si="28"/>
        <v>33745.63158112645</v>
      </c>
      <c r="L93" s="56">
        <f t="shared" si="28"/>
        <v>34841.715325846162</v>
      </c>
      <c r="M93" s="56">
        <f t="shared" si="28"/>
        <v>35943.781969368458</v>
      </c>
      <c r="N93" s="56">
        <f t="shared" si="28"/>
        <v>37051.831511684926</v>
      </c>
      <c r="O93" s="56">
        <f t="shared" si="28"/>
        <v>38165.863952803986</v>
      </c>
      <c r="P93" s="56">
        <f t="shared" si="28"/>
        <v>39285.879292722268</v>
      </c>
      <c r="Q93" s="56">
        <f t="shared" si="28"/>
        <v>40411.877531434729</v>
      </c>
      <c r="R93" s="56">
        <f t="shared" si="28"/>
        <v>41543.858668948087</v>
      </c>
      <c r="S93" s="56">
        <f t="shared" si="28"/>
        <v>42681.822705255625</v>
      </c>
    </row>
    <row r="94" spans="1:19">
      <c r="A94">
        <v>71</v>
      </c>
      <c r="B94">
        <v>0.21479473992177636</v>
      </c>
      <c r="C94" s="56">
        <f>+$B94*C$16</f>
        <v>23973.494552299602</v>
      </c>
      <c r="D94" s="56">
        <f t="shared" ref="D94:R94" si="29">+$B94*D$16</f>
        <v>24971.000293480134</v>
      </c>
      <c r="E94" s="56">
        <f t="shared" si="29"/>
        <v>25974.199469957388</v>
      </c>
      <c r="F94" s="56">
        <f t="shared" si="29"/>
        <v>26983.092081726572</v>
      </c>
      <c r="G94" s="56">
        <f t="shared" si="29"/>
        <v>27997.678128792486</v>
      </c>
      <c r="H94" s="56">
        <f t="shared" si="29"/>
        <v>29017.957611150327</v>
      </c>
      <c r="I94" s="56">
        <f t="shared" si="29"/>
        <v>30043.930528804896</v>
      </c>
      <c r="J94" s="56">
        <f t="shared" si="29"/>
        <v>31075.596881751389</v>
      </c>
      <c r="K94" s="56">
        <f t="shared" si="29"/>
        <v>32112.956669994615</v>
      </c>
      <c r="L94" s="56">
        <f t="shared" si="29"/>
        <v>33156.009893528164</v>
      </c>
      <c r="M94" s="56">
        <f t="shared" si="29"/>
        <v>34204.756552360042</v>
      </c>
      <c r="N94" s="56">
        <f t="shared" si="29"/>
        <v>35259.196646482254</v>
      </c>
      <c r="O94" s="56">
        <f t="shared" si="29"/>
        <v>36319.330175902789</v>
      </c>
      <c r="P94" s="56">
        <f t="shared" si="29"/>
        <v>37385.157140618452</v>
      </c>
      <c r="Q94" s="56">
        <f t="shared" si="29"/>
        <v>38456.677540624441</v>
      </c>
      <c r="R94" s="56">
        <f t="shared" si="29"/>
        <v>39533.89137592716</v>
      </c>
      <c r="S94" s="56">
        <f t="shared" si="28"/>
        <v>40616.798646520205</v>
      </c>
    </row>
    <row r="95" spans="1:19">
      <c r="A95">
        <v>72</v>
      </c>
      <c r="B95">
        <v>0.20212805272396908</v>
      </c>
      <c r="C95" s="56">
        <f>+$B95*C$16</f>
        <v>22559.750637328016</v>
      </c>
      <c r="D95" s="56">
        <f t="shared" si="28"/>
        <v>23498.432343962111</v>
      </c>
      <c r="E95" s="56">
        <f t="shared" si="28"/>
        <v>24442.471737615251</v>
      </c>
      <c r="F95" s="56">
        <f t="shared" si="28"/>
        <v>25391.868818282914</v>
      </c>
      <c r="G95" s="56">
        <f t="shared" si="28"/>
        <v>26346.623585969621</v>
      </c>
      <c r="H95" s="56">
        <f t="shared" si="28"/>
        <v>27306.736040670854</v>
      </c>
      <c r="I95" s="56">
        <f t="shared" si="28"/>
        <v>28272.206182391128</v>
      </c>
      <c r="J95" s="56">
        <f t="shared" si="28"/>
        <v>29243.034011125928</v>
      </c>
      <c r="K95" s="56">
        <f t="shared" si="28"/>
        <v>30219.21952687977</v>
      </c>
      <c r="L95" s="56">
        <f t="shared" si="28"/>
        <v>31200.762729646631</v>
      </c>
      <c r="M95" s="56">
        <f t="shared" si="28"/>
        <v>32187.663619434043</v>
      </c>
      <c r="N95" s="56">
        <f t="shared" si="28"/>
        <v>33179.922196234475</v>
      </c>
      <c r="O95" s="56">
        <f t="shared" si="28"/>
        <v>34177.538460055453</v>
      </c>
      <c r="P95" s="56">
        <f t="shared" si="28"/>
        <v>35180.512410893971</v>
      </c>
      <c r="Q95" s="56">
        <f t="shared" si="28"/>
        <v>36188.844048745501</v>
      </c>
      <c r="R95" s="56">
        <f t="shared" si="28"/>
        <v>37202.533373616083</v>
      </c>
      <c r="S95" s="56">
        <f t="shared" si="28"/>
        <v>38221.580385499678</v>
      </c>
    </row>
    <row r="96" spans="1:19">
      <c r="A96">
        <v>73</v>
      </c>
      <c r="B96">
        <v>0.18700070832435095</v>
      </c>
      <c r="C96" s="56">
        <f>+$B96*C$16</f>
        <v>20871.369866518282</v>
      </c>
      <c r="D96" s="56">
        <f t="shared" si="28"/>
        <v>21739.800258371906</v>
      </c>
      <c r="E96" s="56">
        <f t="shared" si="28"/>
        <v>22613.187365802805</v>
      </c>
      <c r="F96" s="56">
        <f t="shared" si="28"/>
        <v>23491.531188806803</v>
      </c>
      <c r="G96" s="56">
        <f t="shared" si="28"/>
        <v>24374.831727388071</v>
      </c>
      <c r="H96" s="56">
        <f t="shared" si="28"/>
        <v>25263.088981542438</v>
      </c>
      <c r="I96" s="56">
        <f t="shared" si="28"/>
        <v>26156.30295127408</v>
      </c>
      <c r="J96" s="56">
        <f t="shared" si="28"/>
        <v>27054.473636578816</v>
      </c>
      <c r="K96" s="56">
        <f t="shared" si="28"/>
        <v>27957.601037460827</v>
      </c>
      <c r="L96" s="56">
        <f t="shared" si="28"/>
        <v>28865.685153914539</v>
      </c>
      <c r="M96" s="56">
        <f t="shared" si="28"/>
        <v>29778.725985946923</v>
      </c>
      <c r="N96" s="56">
        <f t="shared" si="28"/>
        <v>30696.723533551009</v>
      </c>
      <c r="O96" s="56">
        <f t="shared" si="28"/>
        <v>31619.677796733762</v>
      </c>
      <c r="P96" s="56">
        <f t="shared" si="28"/>
        <v>32547.588775492397</v>
      </c>
      <c r="Q96" s="56">
        <f t="shared" si="28"/>
        <v>33480.456469822733</v>
      </c>
      <c r="R96" s="56">
        <f t="shared" si="28"/>
        <v>34418.280879730351</v>
      </c>
      <c r="S96" s="56">
        <f t="shared" si="28"/>
        <v>35361.062005209664</v>
      </c>
    </row>
    <row r="97" spans="1:19">
      <c r="A97">
        <v>74</v>
      </c>
      <c r="B97">
        <v>0.17036124541898925</v>
      </c>
      <c r="C97" s="56">
        <f>+$B97*C$16</f>
        <v>19014.21976377297</v>
      </c>
      <c r="D97" s="56">
        <f t="shared" si="28"/>
        <v>19805.376569763626</v>
      </c>
      <c r="E97" s="56">
        <f t="shared" si="28"/>
        <v>20601.049039071815</v>
      </c>
      <c r="F97" s="56">
        <f t="shared" si="28"/>
        <v>21401.237171693727</v>
      </c>
      <c r="G97" s="56">
        <f t="shared" si="28"/>
        <v>22205.940967633163</v>
      </c>
      <c r="H97" s="56">
        <f t="shared" si="28"/>
        <v>23015.160426886327</v>
      </c>
      <c r="I97" s="56">
        <f t="shared" si="28"/>
        <v>23828.895549457018</v>
      </c>
      <c r="J97" s="56">
        <f t="shared" si="28"/>
        <v>24647.146335341429</v>
      </c>
      <c r="K97" s="56">
        <f t="shared" si="28"/>
        <v>25469.912784543372</v>
      </c>
      <c r="L97" s="56">
        <f t="shared" si="28"/>
        <v>26297.194897057769</v>
      </c>
      <c r="M97" s="56">
        <f t="shared" si="28"/>
        <v>27128.99267289096</v>
      </c>
      <c r="N97" s="56">
        <f t="shared" si="28"/>
        <v>27965.306112036607</v>
      </c>
      <c r="O97" s="56">
        <f t="shared" si="28"/>
        <v>28806.135214501053</v>
      </c>
      <c r="P97" s="56">
        <f t="shared" si="28"/>
        <v>29651.479980281758</v>
      </c>
      <c r="Q97" s="56">
        <f t="shared" si="28"/>
        <v>30501.340409374916</v>
      </c>
      <c r="R97" s="56">
        <f t="shared" si="28"/>
        <v>31355.716501785602</v>
      </c>
      <c r="S97" s="56">
        <f t="shared" si="28"/>
        <v>32214.608257508742</v>
      </c>
    </row>
    <row r="98" spans="1:19">
      <c r="A98">
        <v>75</v>
      </c>
      <c r="B98">
        <v>0.33413432576071966</v>
      </c>
      <c r="C98" s="56">
        <f>+$B98*C$17</f>
        <v>24549.456770808541</v>
      </c>
      <c r="D98" s="56">
        <f t="shared" ref="D98:S102" si="30">+$B98*D$17</f>
        <v>25628.043978211161</v>
      </c>
      <c r="E98" s="56">
        <f t="shared" si="30"/>
        <v>26721.097063452216</v>
      </c>
      <c r="F98" s="56">
        <f t="shared" si="30"/>
        <v>27828.616026541662</v>
      </c>
      <c r="G98" s="56">
        <f t="shared" si="30"/>
        <v>28950.600867484478</v>
      </c>
      <c r="H98" s="56">
        <f t="shared" si="30"/>
        <v>30087.051586265727</v>
      </c>
      <c r="I98" s="56">
        <f t="shared" si="30"/>
        <v>31237.968182900346</v>
      </c>
      <c r="J98" s="56">
        <f t="shared" si="30"/>
        <v>32403.350657368417</v>
      </c>
      <c r="K98" s="56">
        <f t="shared" si="30"/>
        <v>33583.199009694843</v>
      </c>
      <c r="L98" s="56">
        <f t="shared" si="30"/>
        <v>34777.513239859698</v>
      </c>
      <c r="M98" s="56">
        <f t="shared" si="30"/>
        <v>35986.293347867962</v>
      </c>
      <c r="N98" s="56">
        <f t="shared" si="30"/>
        <v>37209.539333729605</v>
      </c>
      <c r="O98" s="56">
        <f t="shared" si="30"/>
        <v>38447.251197429672</v>
      </c>
      <c r="P98" s="56">
        <f t="shared" si="30"/>
        <v>39699.428938983117</v>
      </c>
      <c r="Q98" s="56">
        <f t="shared" si="30"/>
        <v>40966.072558374988</v>
      </c>
      <c r="R98" s="56">
        <f t="shared" si="30"/>
        <v>42247.182055620236</v>
      </c>
      <c r="S98" s="56">
        <f t="shared" si="30"/>
        <v>43542.75743070391</v>
      </c>
    </row>
    <row r="99" spans="1:19">
      <c r="A99">
        <v>76</v>
      </c>
      <c r="B99">
        <v>0.3008607879623556</v>
      </c>
      <c r="C99" s="56">
        <f t="shared" ref="C99:R102" si="31">+$B99*C$17</f>
        <v>22104.789417542466</v>
      </c>
      <c r="D99" s="56">
        <f t="shared" si="31"/>
        <v>23075.969485218764</v>
      </c>
      <c r="E99" s="56">
        <f t="shared" si="31"/>
        <v>24060.174899498194</v>
      </c>
      <c r="F99" s="56">
        <f t="shared" si="31"/>
        <v>25057.405660389726</v>
      </c>
      <c r="G99" s="56">
        <f t="shared" si="31"/>
        <v>26067.661767897844</v>
      </c>
      <c r="H99" s="56">
        <f t="shared" si="31"/>
        <v>27090.943222009097</v>
      </c>
      <c r="I99" s="56">
        <f t="shared" si="31"/>
        <v>28127.250022736931</v>
      </c>
      <c r="J99" s="56">
        <f t="shared" si="31"/>
        <v>29176.582170063419</v>
      </c>
      <c r="K99" s="56">
        <f t="shared" si="31"/>
        <v>30238.939664010977</v>
      </c>
      <c r="L99" s="56">
        <f t="shared" si="31"/>
        <v>31314.322504561667</v>
      </c>
      <c r="M99" s="56">
        <f t="shared" si="31"/>
        <v>32402.730691719975</v>
      </c>
      <c r="N99" s="56">
        <f t="shared" si="31"/>
        <v>33504.164225494867</v>
      </c>
      <c r="O99" s="56">
        <f t="shared" si="31"/>
        <v>34618.623105872895</v>
      </c>
      <c r="P99" s="56">
        <f t="shared" si="31"/>
        <v>35746.107332867512</v>
      </c>
      <c r="Q99" s="56">
        <f t="shared" si="31"/>
        <v>36886.616906465257</v>
      </c>
      <c r="R99" s="56">
        <f t="shared" si="31"/>
        <v>38040.15182667959</v>
      </c>
      <c r="S99" s="56">
        <f t="shared" si="30"/>
        <v>39206.712093497059</v>
      </c>
    </row>
    <row r="100" spans="1:19">
      <c r="A100">
        <v>77</v>
      </c>
      <c r="B100">
        <v>0.2723329629580048</v>
      </c>
      <c r="C100" s="56">
        <f t="shared" si="31"/>
        <v>20008.798216653307</v>
      </c>
      <c r="D100" s="56">
        <f t="shared" si="30"/>
        <v>20887.890328281806</v>
      </c>
      <c r="E100" s="56">
        <f t="shared" si="30"/>
        <v>21778.772714269457</v>
      </c>
      <c r="F100" s="56">
        <f t="shared" si="30"/>
        <v>22681.445374624374</v>
      </c>
      <c r="G100" s="56">
        <f t="shared" si="30"/>
        <v>23595.90830935062</v>
      </c>
      <c r="H100" s="56">
        <f t="shared" si="30"/>
        <v>24522.161518436016</v>
      </c>
      <c r="I100" s="56">
        <f t="shared" si="30"/>
        <v>25460.205001892737</v>
      </c>
      <c r="J100" s="56">
        <f t="shared" si="30"/>
        <v>26410.038759704552</v>
      </c>
      <c r="K100" s="56">
        <f t="shared" si="30"/>
        <v>27371.662791891755</v>
      </c>
      <c r="L100" s="56">
        <f t="shared" si="30"/>
        <v>28345.077098438105</v>
      </c>
      <c r="M100" s="56">
        <f t="shared" si="30"/>
        <v>29330.281679347667</v>
      </c>
      <c r="N100" s="56">
        <f t="shared" si="30"/>
        <v>30327.276534628552</v>
      </c>
      <c r="O100" s="56">
        <f t="shared" si="30"/>
        <v>31336.061664268593</v>
      </c>
      <c r="P100" s="56">
        <f t="shared" si="30"/>
        <v>32356.637068279957</v>
      </c>
      <c r="Q100" s="56">
        <f t="shared" si="30"/>
        <v>33389.002746650476</v>
      </c>
      <c r="R100" s="56">
        <f t="shared" si="30"/>
        <v>34433.158699392319</v>
      </c>
      <c r="S100" s="56">
        <f t="shared" si="30"/>
        <v>35489.10492649331</v>
      </c>
    </row>
    <row r="101" spans="1:19">
      <c r="A101">
        <v>78</v>
      </c>
      <c r="B101">
        <v>0.2492268972810881</v>
      </c>
      <c r="C101" s="56">
        <f t="shared" si="31"/>
        <v>18311.153536815345</v>
      </c>
      <c r="D101" s="56">
        <f t="shared" si="30"/>
        <v>19115.659157529488</v>
      </c>
      <c r="E101" s="56">
        <f t="shared" si="30"/>
        <v>19930.954707838297</v>
      </c>
      <c r="F101" s="56">
        <f t="shared" si="30"/>
        <v>20757.0401877492</v>
      </c>
      <c r="G101" s="56">
        <f t="shared" si="30"/>
        <v>21593.915597265914</v>
      </c>
      <c r="H101" s="56">
        <f t="shared" si="30"/>
        <v>22441.580936377293</v>
      </c>
      <c r="I101" s="56">
        <f t="shared" si="30"/>
        <v>23300.036205094486</v>
      </c>
      <c r="J101" s="56">
        <f t="shared" si="30"/>
        <v>24169.281403402627</v>
      </c>
      <c r="K101" s="56">
        <f t="shared" si="30"/>
        <v>25049.316531320295</v>
      </c>
      <c r="L101" s="56">
        <f t="shared" si="30"/>
        <v>25940.14158883263</v>
      </c>
      <c r="M101" s="56">
        <f t="shared" si="30"/>
        <v>26841.756575943346</v>
      </c>
      <c r="N101" s="56">
        <f t="shared" si="30"/>
        <v>27754.16149265987</v>
      </c>
      <c r="O101" s="56">
        <f t="shared" si="30"/>
        <v>28677.356338971065</v>
      </c>
      <c r="P101" s="56">
        <f t="shared" si="30"/>
        <v>29611.341114888066</v>
      </c>
      <c r="Q101" s="56">
        <f t="shared" si="30"/>
        <v>30556.115820399737</v>
      </c>
      <c r="R101" s="56">
        <f t="shared" si="30"/>
        <v>31511.680455517217</v>
      </c>
      <c r="S101" s="56">
        <f t="shared" si="30"/>
        <v>32478.035020229363</v>
      </c>
    </row>
    <row r="102" spans="1:19">
      <c r="A102">
        <v>79</v>
      </c>
      <c r="B102">
        <v>0.23115436618964108</v>
      </c>
      <c r="C102" s="56">
        <f t="shared" si="31"/>
        <v>16983.331799978008</v>
      </c>
      <c r="D102" s="56">
        <f t="shared" si="30"/>
        <v>17729.499203580686</v>
      </c>
      <c r="E102" s="56">
        <f t="shared" si="30"/>
        <v>18485.674111846369</v>
      </c>
      <c r="F102" s="56">
        <f t="shared" si="30"/>
        <v>19251.856524781942</v>
      </c>
      <c r="G102" s="56">
        <f t="shared" si="30"/>
        <v>20028.046442390852</v>
      </c>
      <c r="H102" s="56">
        <f t="shared" si="30"/>
        <v>20814.243864662767</v>
      </c>
      <c r="I102" s="56">
        <f t="shared" si="30"/>
        <v>21610.448791608018</v>
      </c>
      <c r="J102" s="56">
        <f t="shared" si="30"/>
        <v>22416.661223212825</v>
      </c>
      <c r="K102" s="56">
        <f t="shared" si="30"/>
        <v>23232.881159494413</v>
      </c>
      <c r="L102" s="56">
        <f t="shared" si="30"/>
        <v>24059.108600439005</v>
      </c>
      <c r="M102" s="56">
        <f t="shared" si="30"/>
        <v>24895.343546050048</v>
      </c>
      <c r="N102" s="56">
        <f t="shared" si="30"/>
        <v>25741.585996334423</v>
      </c>
      <c r="O102" s="56">
        <f t="shared" si="30"/>
        <v>26597.835951281802</v>
      </c>
      <c r="P102" s="56">
        <f t="shared" si="30"/>
        <v>27464.093410902522</v>
      </c>
      <c r="Q102" s="56">
        <f t="shared" si="30"/>
        <v>28340.358375186239</v>
      </c>
      <c r="R102" s="56">
        <f t="shared" si="30"/>
        <v>29226.630844143296</v>
      </c>
      <c r="S102" s="56">
        <f t="shared" si="30"/>
        <v>30122.910817763353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C00000"/>
  </sheetPr>
  <dimension ref="A1:CC102"/>
  <sheetViews>
    <sheetView workbookViewId="0">
      <selection activeCell="D24" sqref="D24"/>
    </sheetView>
  </sheetViews>
  <sheetFormatPr baseColWidth="10" defaultColWidth="11.5703125" defaultRowHeight="15"/>
  <cols>
    <col min="1" max="1" width="6.42578125" bestFit="1" customWidth="1"/>
    <col min="2" max="20" width="10" bestFit="1" customWidth="1"/>
  </cols>
  <sheetData>
    <row r="1" spans="2:21">
      <c r="C1" s="2">
        <v>1995</v>
      </c>
      <c r="D1" s="2">
        <v>1996</v>
      </c>
      <c r="E1" s="2">
        <v>1997</v>
      </c>
      <c r="F1" s="2">
        <v>1998</v>
      </c>
      <c r="G1" s="2">
        <v>1999</v>
      </c>
      <c r="H1" s="2">
        <v>2000</v>
      </c>
      <c r="I1" s="2">
        <v>2001</v>
      </c>
      <c r="J1" s="2">
        <v>2002</v>
      </c>
      <c r="K1" s="2">
        <v>2003</v>
      </c>
      <c r="L1" s="2">
        <v>2004</v>
      </c>
      <c r="M1" s="2">
        <v>2005</v>
      </c>
      <c r="N1" s="2">
        <v>2006</v>
      </c>
      <c r="O1" s="2">
        <v>2007</v>
      </c>
      <c r="P1" s="2">
        <v>2008</v>
      </c>
      <c r="Q1" s="2">
        <v>2009</v>
      </c>
      <c r="R1" s="2">
        <v>2010</v>
      </c>
      <c r="S1" s="2">
        <v>2011</v>
      </c>
    </row>
    <row r="2" spans="2:21">
      <c r="B2" t="s">
        <v>90</v>
      </c>
      <c r="C2" s="2">
        <v>1195016.9101998806</v>
      </c>
      <c r="D2" s="2">
        <v>1201480.0075998306</v>
      </c>
      <c r="E2" s="2">
        <v>1206986.3327999115</v>
      </c>
      <c r="F2" s="2">
        <v>1211535.8857998848</v>
      </c>
      <c r="G2" s="2">
        <v>1215128.6665999889</v>
      </c>
      <c r="H2" s="2">
        <v>1217764.6751999855</v>
      </c>
      <c r="I2" s="2">
        <v>1219443.9116001129</v>
      </c>
      <c r="J2" s="2">
        <v>1220166.3758001328</v>
      </c>
      <c r="K2" s="2">
        <v>1219932.067800045</v>
      </c>
      <c r="L2" s="2">
        <v>1218740.9876000881</v>
      </c>
      <c r="M2" s="2">
        <v>1216593.1351997852</v>
      </c>
      <c r="N2" s="2">
        <v>1213488.5105998516</v>
      </c>
      <c r="O2" s="2">
        <v>1209427.1137998104</v>
      </c>
      <c r="P2" s="2">
        <v>1204408.9447999001</v>
      </c>
      <c r="Q2" s="2">
        <v>1198434.0035998821</v>
      </c>
      <c r="R2" s="2">
        <v>1191502.290199995</v>
      </c>
      <c r="S2" s="2">
        <v>1183613.8046000004</v>
      </c>
      <c r="T2" s="2"/>
      <c r="U2" s="2"/>
    </row>
    <row r="3" spans="2:21">
      <c r="B3" t="s">
        <v>3</v>
      </c>
      <c r="C3" s="2">
        <v>1248274.9448013306</v>
      </c>
      <c r="D3" s="2">
        <v>1266899.4056005478</v>
      </c>
      <c r="E3" s="2">
        <v>1282355.4905996323</v>
      </c>
      <c r="F3" s="2">
        <v>1294643.1997995377</v>
      </c>
      <c r="G3" s="2">
        <v>1303762.5332012177</v>
      </c>
      <c r="H3" s="2">
        <v>1309713.4907999039</v>
      </c>
      <c r="I3" s="2">
        <v>1312496.072599411</v>
      </c>
      <c r="J3" s="2">
        <v>1312110.2785997391</v>
      </c>
      <c r="K3" s="2">
        <v>1308556.1088008881</v>
      </c>
      <c r="L3" s="2">
        <v>1301833.5631999969</v>
      </c>
      <c r="M3" s="2">
        <v>1291942.6417999268</v>
      </c>
      <c r="N3" s="2">
        <v>1278883.3446006775</v>
      </c>
      <c r="O3" s="2">
        <v>1262655.6716003418</v>
      </c>
      <c r="P3" s="2">
        <v>1243259.6227998734</v>
      </c>
      <c r="Q3" s="2">
        <v>1220695.1981992722</v>
      </c>
      <c r="R3" s="2">
        <v>1194962.3978004456</v>
      </c>
      <c r="S3" s="2">
        <v>1166061.2216005325</v>
      </c>
      <c r="T3" s="2"/>
      <c r="U3" s="2"/>
    </row>
    <row r="4" spans="2:21">
      <c r="B4" t="s">
        <v>4</v>
      </c>
      <c r="C4" s="2">
        <v>1178416.872399807</v>
      </c>
      <c r="D4" s="2">
        <v>1196156.1122999191</v>
      </c>
      <c r="E4" s="2">
        <v>1211864.6023993492</v>
      </c>
      <c r="F4" s="2">
        <v>1225542.3426995277</v>
      </c>
      <c r="G4" s="2">
        <v>1237189.3331999779</v>
      </c>
      <c r="H4" s="2">
        <v>1246805.5738992691</v>
      </c>
      <c r="I4" s="2">
        <v>1254391.0647993088</v>
      </c>
      <c r="J4" s="2">
        <v>1259945.8058996201</v>
      </c>
      <c r="K4" s="2">
        <v>1263469.7971992493</v>
      </c>
      <c r="L4" s="2">
        <v>1264963.0386991501</v>
      </c>
      <c r="M4" s="2">
        <v>1264425.5303997993</v>
      </c>
      <c r="N4" s="2">
        <v>1261857.2722997665</v>
      </c>
      <c r="O4" s="2">
        <v>1257258.2643990517</v>
      </c>
      <c r="P4" s="2">
        <v>1250628.5066995621</v>
      </c>
      <c r="Q4" s="2">
        <v>1241967.9991998672</v>
      </c>
      <c r="R4" s="2">
        <v>1231276.7418990135</v>
      </c>
      <c r="S4" s="2">
        <v>1218554.7347993851</v>
      </c>
      <c r="T4" s="2"/>
      <c r="U4" s="2"/>
    </row>
    <row r="5" spans="2:21">
      <c r="B5" t="s">
        <v>5</v>
      </c>
      <c r="C5" s="2">
        <v>1050496.728399992</v>
      </c>
      <c r="D5" s="2">
        <v>1068806.621499896</v>
      </c>
      <c r="E5" s="2">
        <v>1086798.7978000641</v>
      </c>
      <c r="F5" s="2">
        <v>1104473.2573000193</v>
      </c>
      <c r="G5" s="2">
        <v>1121829.9999998808</v>
      </c>
      <c r="H5" s="2">
        <v>1138869.0259000063</v>
      </c>
      <c r="I5" s="2">
        <v>1155590.3349999189</v>
      </c>
      <c r="J5" s="2">
        <v>1171993.9272998571</v>
      </c>
      <c r="K5" s="2">
        <v>1188079.8028000593</v>
      </c>
      <c r="L5" s="2">
        <v>1203847.9614999294</v>
      </c>
      <c r="M5" s="2">
        <v>1219298.4033999443</v>
      </c>
      <c r="N5" s="2">
        <v>1234431.128500104</v>
      </c>
      <c r="O5" s="2">
        <v>1249246.1368000507</v>
      </c>
      <c r="P5" s="2">
        <v>1263743.4282999039</v>
      </c>
      <c r="Q5" s="2">
        <v>1277923.003000021</v>
      </c>
      <c r="R5" s="2">
        <v>1291784.8609000444</v>
      </c>
      <c r="S5" s="2">
        <v>1305329.0019999743</v>
      </c>
      <c r="T5" s="2"/>
      <c r="U5" s="2"/>
    </row>
    <row r="6" spans="2:21">
      <c r="B6" t="s">
        <v>6</v>
      </c>
      <c r="C6" s="2">
        <v>980785.7079000473</v>
      </c>
      <c r="D6" s="2">
        <v>1002422.4251998663</v>
      </c>
      <c r="E6" s="2">
        <v>1023670.4462999105</v>
      </c>
      <c r="F6" s="2">
        <v>1044529.7711999416</v>
      </c>
      <c r="G6" s="2">
        <v>1065000.3998999596</v>
      </c>
      <c r="H6" s="2">
        <v>1085082.3323999643</v>
      </c>
      <c r="I6" s="2">
        <v>1104775.5687000751</v>
      </c>
      <c r="J6" s="2">
        <v>1124080.1088000536</v>
      </c>
      <c r="K6" s="2">
        <v>1142995.9526998997</v>
      </c>
      <c r="L6" s="2">
        <v>1161523.1003998518</v>
      </c>
      <c r="M6" s="2">
        <v>1179661.55189991</v>
      </c>
      <c r="N6" s="2">
        <v>1197411.307199955</v>
      </c>
      <c r="O6" s="2">
        <v>1214772.3662999868</v>
      </c>
      <c r="P6" s="2">
        <v>1231744.7292000055</v>
      </c>
      <c r="Q6" s="2">
        <v>1248328.3959001303</v>
      </c>
      <c r="R6" s="2">
        <v>1264523.3663998842</v>
      </c>
      <c r="S6" s="2">
        <v>1280329.6406998634</v>
      </c>
      <c r="T6" s="2"/>
      <c r="U6" s="2"/>
    </row>
    <row r="7" spans="2:21">
      <c r="B7" t="s">
        <v>7</v>
      </c>
      <c r="C7" s="2">
        <v>863693.34630012512</v>
      </c>
      <c r="D7" s="2">
        <v>878869.07319974899</v>
      </c>
      <c r="E7" s="2">
        <v>894699.89110016823</v>
      </c>
      <c r="F7" s="2">
        <v>911185.7999997139</v>
      </c>
      <c r="G7" s="2">
        <v>928326.79990005493</v>
      </c>
      <c r="H7" s="2">
        <v>946122.89079976082</v>
      </c>
      <c r="I7" s="2">
        <v>964574.07270002365</v>
      </c>
      <c r="J7" s="2">
        <v>983680.34559965134</v>
      </c>
      <c r="K7" s="2">
        <v>1003441.7095000744</v>
      </c>
      <c r="L7" s="2">
        <v>1023858.1644001007</v>
      </c>
      <c r="M7" s="2">
        <v>1044929.7102999687</v>
      </c>
      <c r="N7" s="2">
        <v>1066656.3472001553</v>
      </c>
      <c r="O7" s="2">
        <v>1089038.0750999451</v>
      </c>
      <c r="P7" s="2">
        <v>1112074.8940000534</v>
      </c>
      <c r="Q7" s="2">
        <v>1135766.803899765</v>
      </c>
      <c r="R7" s="2">
        <v>1160113.8048000336</v>
      </c>
      <c r="S7" s="2">
        <v>1185115.8966999054</v>
      </c>
      <c r="T7" s="2"/>
      <c r="U7" s="2"/>
    </row>
    <row r="8" spans="2:21">
      <c r="B8" t="s">
        <v>8</v>
      </c>
      <c r="C8" s="2">
        <v>784187.14539992809</v>
      </c>
      <c r="D8" s="2">
        <v>802724.68219995499</v>
      </c>
      <c r="E8" s="2">
        <v>821539.94799995422</v>
      </c>
      <c r="F8" s="2">
        <v>840632.9427999258</v>
      </c>
      <c r="G8" s="2">
        <v>860003.66659986973</v>
      </c>
      <c r="H8" s="2">
        <v>879652.11940002441</v>
      </c>
      <c r="I8" s="2">
        <v>899578.30119991302</v>
      </c>
      <c r="J8" s="2">
        <v>919782.21199989319</v>
      </c>
      <c r="K8" s="2">
        <v>940263.8517999649</v>
      </c>
      <c r="L8" s="2">
        <v>961023.22060000896</v>
      </c>
      <c r="M8" s="2">
        <v>982060.31840002537</v>
      </c>
      <c r="N8" s="2">
        <v>1003375.1451998949</v>
      </c>
      <c r="O8" s="2">
        <v>1024967.7009999752</v>
      </c>
      <c r="P8" s="2">
        <v>1046837.9858000278</v>
      </c>
      <c r="Q8" s="2">
        <v>1068985.9995999336</v>
      </c>
      <c r="R8" s="2">
        <v>1091411.742399931</v>
      </c>
      <c r="S8" s="2">
        <v>1114115.2142000198</v>
      </c>
      <c r="T8" s="2"/>
      <c r="U8" s="2"/>
    </row>
    <row r="9" spans="2:21">
      <c r="B9" t="s">
        <v>9</v>
      </c>
      <c r="C9" s="2">
        <v>705876.29089975357</v>
      </c>
      <c r="D9" s="2">
        <v>726585.36450004578</v>
      </c>
      <c r="E9" s="2">
        <v>746675.2960999012</v>
      </c>
      <c r="F9" s="2">
        <v>766146.08569979668</v>
      </c>
      <c r="G9" s="2">
        <v>784997.73329973221</v>
      </c>
      <c r="H9" s="2">
        <v>803230.23890018463</v>
      </c>
      <c r="I9" s="2">
        <v>820843.60249996185</v>
      </c>
      <c r="J9" s="2">
        <v>837837.82409977913</v>
      </c>
      <c r="K9" s="2">
        <v>854212.90369963646</v>
      </c>
      <c r="L9" s="2">
        <v>869968.84130001068</v>
      </c>
      <c r="M9" s="2">
        <v>885105.63689994812</v>
      </c>
      <c r="N9" s="2">
        <v>899623.29049992561</v>
      </c>
      <c r="O9" s="2">
        <v>913521.80209970474</v>
      </c>
      <c r="P9" s="2">
        <v>926801.17170000076</v>
      </c>
      <c r="Q9" s="2">
        <v>939461.39929986</v>
      </c>
      <c r="R9" s="2">
        <v>951502.48489975929</v>
      </c>
      <c r="S9" s="2">
        <v>962924.42849969864</v>
      </c>
      <c r="T9" s="2"/>
      <c r="U9" s="2"/>
    </row>
    <row r="10" spans="2:21">
      <c r="B10" t="s">
        <v>10</v>
      </c>
      <c r="C10" s="2">
        <v>594219.81879997253</v>
      </c>
      <c r="D10" s="2">
        <v>619935.70949959755</v>
      </c>
      <c r="E10" s="2">
        <v>644621.43659949303</v>
      </c>
      <c r="F10" s="2">
        <v>668277.00009989738</v>
      </c>
      <c r="G10" s="2">
        <v>690902.39999961853</v>
      </c>
      <c r="H10" s="2">
        <v>712497.63629984856</v>
      </c>
      <c r="I10" s="2">
        <v>733062.70899963379</v>
      </c>
      <c r="J10" s="2">
        <v>752597.61809945107</v>
      </c>
      <c r="K10" s="2">
        <v>771102.36359977722</v>
      </c>
      <c r="L10" s="2">
        <v>788576.94549965858</v>
      </c>
      <c r="M10" s="2">
        <v>805021.36379957199</v>
      </c>
      <c r="N10" s="2">
        <v>820435.61849975586</v>
      </c>
      <c r="O10" s="2">
        <v>834819.70959949493</v>
      </c>
      <c r="P10" s="2">
        <v>848173.63709998131</v>
      </c>
      <c r="Q10" s="2">
        <v>860497.40099978447</v>
      </c>
      <c r="R10" s="2">
        <v>871791.00129961967</v>
      </c>
      <c r="S10" s="2">
        <v>882054.43799972534</v>
      </c>
      <c r="T10" s="2"/>
      <c r="U10" s="2"/>
    </row>
    <row r="11" spans="2:21">
      <c r="B11" t="s">
        <v>11</v>
      </c>
      <c r="C11" s="2">
        <v>455930.2351000309</v>
      </c>
      <c r="D11" s="2">
        <v>480432.67449998856</v>
      </c>
      <c r="E11" s="2">
        <v>504376.01510047913</v>
      </c>
      <c r="F11" s="2">
        <v>527760.25690031052</v>
      </c>
      <c r="G11" s="2">
        <v>550585.3999004364</v>
      </c>
      <c r="H11" s="2">
        <v>572851.44410037994</v>
      </c>
      <c r="I11" s="2">
        <v>594558.38950037956</v>
      </c>
      <c r="J11" s="2">
        <v>615706.23610043526</v>
      </c>
      <c r="K11" s="2">
        <v>636294.98390030861</v>
      </c>
      <c r="L11" s="2">
        <v>656324.63290047646</v>
      </c>
      <c r="M11" s="2">
        <v>675795.18310046196</v>
      </c>
      <c r="N11" s="2">
        <v>694706.63450050354</v>
      </c>
      <c r="O11" s="2">
        <v>713058.98710036278</v>
      </c>
      <c r="P11" s="2">
        <v>730852.24090027809</v>
      </c>
      <c r="Q11" s="2">
        <v>748086.3959004879</v>
      </c>
      <c r="R11" s="2">
        <v>764761.45210027695</v>
      </c>
      <c r="S11" s="2">
        <v>780877.40950036049</v>
      </c>
      <c r="T11" s="2"/>
      <c r="U11" s="2"/>
    </row>
    <row r="12" spans="2:21">
      <c r="B12" t="s">
        <v>12</v>
      </c>
      <c r="C12" s="2">
        <v>361218.50910007954</v>
      </c>
      <c r="D12" s="2">
        <v>379085.45449995995</v>
      </c>
      <c r="E12" s="2">
        <v>397282.61810004711</v>
      </c>
      <c r="F12" s="2">
        <v>415809.99989998341</v>
      </c>
      <c r="G12" s="2">
        <v>434667.59990000725</v>
      </c>
      <c r="H12" s="2">
        <v>453855.41809988022</v>
      </c>
      <c r="I12" s="2">
        <v>473373.45450007915</v>
      </c>
      <c r="J12" s="2">
        <v>493221.7090998888</v>
      </c>
      <c r="K12" s="2">
        <v>513400.18190002441</v>
      </c>
      <c r="L12" s="2">
        <v>533908.87289988995</v>
      </c>
      <c r="M12" s="2">
        <v>554747.78210008144</v>
      </c>
      <c r="N12" s="2">
        <v>575916.90949988365</v>
      </c>
      <c r="O12" s="2">
        <v>597416.25510001183</v>
      </c>
      <c r="P12" s="2">
        <v>619245.81889998913</v>
      </c>
      <c r="Q12" s="2">
        <v>641405.60090005398</v>
      </c>
      <c r="R12" s="2">
        <v>663895.60109996796</v>
      </c>
      <c r="S12" s="2">
        <v>686715.81950008869</v>
      </c>
      <c r="T12" s="2"/>
      <c r="U12" s="2"/>
    </row>
    <row r="13" spans="2:21">
      <c r="B13" t="s">
        <v>13</v>
      </c>
      <c r="C13" s="2">
        <v>243386.6736998558</v>
      </c>
      <c r="D13" s="2">
        <v>252436.14169979095</v>
      </c>
      <c r="E13" s="2">
        <v>263067.97429990768</v>
      </c>
      <c r="F13" s="2">
        <v>275282.17149972916</v>
      </c>
      <c r="G13" s="2">
        <v>289078.73329973221</v>
      </c>
      <c r="H13" s="2">
        <v>304457.65969944</v>
      </c>
      <c r="I13" s="2">
        <v>321418.95069980621</v>
      </c>
      <c r="J13" s="2">
        <v>339962.60629940033</v>
      </c>
      <c r="K13" s="2">
        <v>360088.62649965286</v>
      </c>
      <c r="L13" s="2">
        <v>381797.01130056381</v>
      </c>
      <c r="M13" s="2">
        <v>405087.76070070267</v>
      </c>
      <c r="N13" s="2">
        <v>429960.87470054626</v>
      </c>
      <c r="O13" s="2">
        <v>456416.35330057144</v>
      </c>
      <c r="P13" s="2">
        <v>484454.19650030136</v>
      </c>
      <c r="Q13" s="2">
        <v>514074.4043006897</v>
      </c>
      <c r="R13" s="2">
        <v>545276.97670030594</v>
      </c>
      <c r="S13" s="2">
        <v>578061.9137005806</v>
      </c>
      <c r="T13" s="2"/>
      <c r="U13" s="2"/>
    </row>
    <row r="14" spans="2:21">
      <c r="B14" t="s">
        <v>14</v>
      </c>
      <c r="C14" s="2">
        <v>208827.72699952126</v>
      </c>
      <c r="D14" s="2">
        <v>215187.43010020256</v>
      </c>
      <c r="E14" s="2">
        <v>222631.2543990612</v>
      </c>
      <c r="F14" s="2">
        <v>231159.19989943504</v>
      </c>
      <c r="G14" s="2">
        <v>240771.26659989357</v>
      </c>
      <c r="H14" s="2">
        <v>251467.45449995995</v>
      </c>
      <c r="I14" s="2">
        <v>263247.76359915733</v>
      </c>
      <c r="J14" s="2">
        <v>276112.19389939308</v>
      </c>
      <c r="K14" s="2">
        <v>290060.74539971352</v>
      </c>
      <c r="L14" s="2">
        <v>305093.41810011864</v>
      </c>
      <c r="M14" s="2">
        <v>321210.21199917793</v>
      </c>
      <c r="N14" s="2">
        <v>338411.12709975243</v>
      </c>
      <c r="O14" s="2">
        <v>356696.16339993477</v>
      </c>
      <c r="P14" s="2">
        <v>376065.3209002018</v>
      </c>
      <c r="Q14" s="2">
        <v>396518.59959959984</v>
      </c>
      <c r="R14" s="2">
        <v>418055.9994995594</v>
      </c>
      <c r="S14" s="2">
        <v>440677.52060008049</v>
      </c>
      <c r="T14" s="2"/>
      <c r="U14" s="2"/>
    </row>
    <row r="15" spans="2:21">
      <c r="B15" t="s">
        <v>15</v>
      </c>
      <c r="C15" s="2">
        <v>162488.39899992943</v>
      </c>
      <c r="D15" s="2">
        <v>168769.26599991322</v>
      </c>
      <c r="E15" s="2">
        <v>175365.79960000515</v>
      </c>
      <c r="F15" s="2">
        <v>182277.9997998476</v>
      </c>
      <c r="G15" s="2">
        <v>189505.86660003662</v>
      </c>
      <c r="H15" s="2">
        <v>197049.39999985695</v>
      </c>
      <c r="I15" s="2">
        <v>204908.60000002384</v>
      </c>
      <c r="J15" s="2">
        <v>213083.46659994125</v>
      </c>
      <c r="K15" s="2">
        <v>221573.99979996681</v>
      </c>
      <c r="L15" s="2">
        <v>230380.1995998621</v>
      </c>
      <c r="M15" s="2">
        <v>239502.06599998474</v>
      </c>
      <c r="N15" s="2">
        <v>248939.59899997711</v>
      </c>
      <c r="O15" s="2">
        <v>258692.79859983921</v>
      </c>
      <c r="P15" s="2">
        <v>268761.66479992867</v>
      </c>
      <c r="Q15" s="2">
        <v>279146.19759976864</v>
      </c>
      <c r="R15" s="2">
        <v>289846.39699995518</v>
      </c>
      <c r="S15" s="2">
        <v>300862.26299977303</v>
      </c>
      <c r="T15" s="2"/>
      <c r="U15" s="2"/>
    </row>
    <row r="16" spans="2:21">
      <c r="B16" t="s">
        <v>16</v>
      </c>
      <c r="C16" s="2">
        <v>130565.50919999927</v>
      </c>
      <c r="D16" s="2">
        <v>136161.45459999889</v>
      </c>
      <c r="E16" s="2">
        <v>141766.61820000038</v>
      </c>
      <c r="F16" s="2">
        <v>147381</v>
      </c>
      <c r="G16" s="2">
        <v>153004.60000000149</v>
      </c>
      <c r="H16" s="2">
        <v>158637.4181999974</v>
      </c>
      <c r="I16" s="2">
        <v>164279.45459999517</v>
      </c>
      <c r="J16" s="2">
        <v>169930.70919999853</v>
      </c>
      <c r="K16" s="2">
        <v>175591.1819999963</v>
      </c>
      <c r="L16" s="2">
        <v>181260.87299999595</v>
      </c>
      <c r="M16" s="2">
        <v>186939.78219999745</v>
      </c>
      <c r="N16" s="2">
        <v>192627.9095999971</v>
      </c>
      <c r="O16" s="2">
        <v>198325.25519999862</v>
      </c>
      <c r="P16" s="2">
        <v>204031.81899999827</v>
      </c>
      <c r="Q16" s="2">
        <v>209747.60099999979</v>
      </c>
      <c r="R16" s="2">
        <v>215472.60119999945</v>
      </c>
      <c r="S16" s="2">
        <v>221206.81959999725</v>
      </c>
      <c r="T16" s="2"/>
      <c r="U16" s="2"/>
    </row>
    <row r="17" spans="1:81">
      <c r="B17" t="s">
        <v>17</v>
      </c>
      <c r="C17" s="2">
        <v>89491.181099951267</v>
      </c>
      <c r="D17" s="2">
        <v>93168.290399968624</v>
      </c>
      <c r="E17" s="2">
        <v>96965.9632999897</v>
      </c>
      <c r="F17" s="2">
        <v>100884.1998000145</v>
      </c>
      <c r="G17" s="2">
        <v>104922.9998999536</v>
      </c>
      <c r="H17" s="2">
        <v>109082.36359998584</v>
      </c>
      <c r="I17" s="2">
        <v>113362.29089999199</v>
      </c>
      <c r="J17" s="2">
        <v>117762.78180000186</v>
      </c>
      <c r="K17" s="2">
        <v>122283.83629995584</v>
      </c>
      <c r="L17" s="2">
        <v>126925.45439997315</v>
      </c>
      <c r="M17" s="2">
        <v>131687.63609999418</v>
      </c>
      <c r="N17" s="2">
        <v>136570.38139995933</v>
      </c>
      <c r="O17" s="2">
        <v>141573.69029995799</v>
      </c>
      <c r="P17" s="2">
        <v>146697.56279999018</v>
      </c>
      <c r="Q17" s="2">
        <v>151941.99889999628</v>
      </c>
      <c r="R17" s="2">
        <v>157306.9985999465</v>
      </c>
      <c r="S17" s="2">
        <v>162792.56189996004</v>
      </c>
      <c r="T17" s="2"/>
      <c r="U17" s="2"/>
    </row>
    <row r="18" spans="1:81">
      <c r="B18" t="s">
        <v>18</v>
      </c>
      <c r="C18" s="2">
        <v>57455.418799936771</v>
      </c>
      <c r="D18" s="2">
        <v>59440.366599977016</v>
      </c>
      <c r="E18" s="2">
        <v>61598.779399991035</v>
      </c>
      <c r="F18" s="2">
        <v>63930.657199978828</v>
      </c>
      <c r="G18" s="2">
        <v>66436</v>
      </c>
      <c r="H18" s="2">
        <v>69114.807799994946</v>
      </c>
      <c r="I18" s="2">
        <v>71967.08060002327</v>
      </c>
      <c r="J18" s="2">
        <v>74992.818399906158</v>
      </c>
      <c r="K18" s="2">
        <v>78192.021199941635</v>
      </c>
      <c r="L18" s="2">
        <v>81564.688999950886</v>
      </c>
      <c r="M18" s="2">
        <v>85110.82179993391</v>
      </c>
      <c r="N18" s="2">
        <v>88830.419599950314</v>
      </c>
      <c r="O18" s="2">
        <v>92723.482399940491</v>
      </c>
      <c r="P18" s="2">
        <v>96790.010199964046</v>
      </c>
      <c r="Q18" s="2">
        <v>101030.00299996138</v>
      </c>
      <c r="R18" s="2">
        <v>105443.46079999208</v>
      </c>
      <c r="S18" s="2">
        <v>110030.38359999657</v>
      </c>
      <c r="T18" s="2"/>
      <c r="U18" s="2"/>
    </row>
    <row r="19" spans="1:81">
      <c r="A19" s="2"/>
      <c r="B19" t="s">
        <v>19</v>
      </c>
      <c r="C19" s="2">
        <v>47691.235200017691</v>
      </c>
      <c r="D19" s="2">
        <v>50532.674600020051</v>
      </c>
      <c r="E19" s="2">
        <v>53422.015200018883</v>
      </c>
      <c r="F19" s="2">
        <v>56359.257000014186</v>
      </c>
      <c r="G19" s="2">
        <v>59344.40000000596</v>
      </c>
      <c r="H19" s="2">
        <v>62377.444200024009</v>
      </c>
      <c r="I19" s="2">
        <v>65458.389600023627</v>
      </c>
      <c r="J19" s="2">
        <v>68587.236200019717</v>
      </c>
      <c r="K19" s="2">
        <v>71763.984000012279</v>
      </c>
      <c r="L19" s="2">
        <v>74988.633000016212</v>
      </c>
      <c r="M19" s="2">
        <v>78261.183200001717</v>
      </c>
      <c r="N19" s="2">
        <v>81581.634600028396</v>
      </c>
      <c r="O19" s="2">
        <v>84949.987200021744</v>
      </c>
      <c r="P19" s="2">
        <v>88366.241000026464</v>
      </c>
      <c r="Q19" s="2">
        <v>91830.396000012755</v>
      </c>
      <c r="R19" s="2">
        <v>95342.452200010419</v>
      </c>
      <c r="S19" s="2">
        <v>98902.409600004554</v>
      </c>
      <c r="T19" s="2"/>
    </row>
    <row r="20" spans="1:8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row>
    <row r="22" spans="1:81">
      <c r="A22" t="s">
        <v>95</v>
      </c>
      <c r="C22" s="2">
        <v>1995</v>
      </c>
      <c r="D22" s="2">
        <v>1996</v>
      </c>
      <c r="E22" s="2">
        <v>1997</v>
      </c>
      <c r="F22" s="2">
        <v>1998</v>
      </c>
      <c r="G22" s="2">
        <v>1999</v>
      </c>
      <c r="H22" s="2">
        <v>2000</v>
      </c>
      <c r="I22" s="2">
        <v>2001</v>
      </c>
      <c r="J22" s="2">
        <v>2002</v>
      </c>
      <c r="K22" s="2">
        <v>2003</v>
      </c>
      <c r="L22" s="2">
        <v>2004</v>
      </c>
      <c r="M22" s="2">
        <v>2005</v>
      </c>
      <c r="N22" s="2">
        <v>2006</v>
      </c>
      <c r="O22" s="2">
        <v>2007</v>
      </c>
      <c r="P22" s="2">
        <v>2008</v>
      </c>
      <c r="Q22" s="2">
        <v>2009</v>
      </c>
      <c r="R22" s="2">
        <v>2010</v>
      </c>
      <c r="S22" s="2">
        <v>2011</v>
      </c>
    </row>
    <row r="23" spans="1:81">
      <c r="A23">
        <v>0</v>
      </c>
      <c r="B23">
        <v>0.20008085170546114</v>
      </c>
      <c r="C23" s="56">
        <f>+$B23*C$2</f>
        <v>239100.00119522068</v>
      </c>
      <c r="D23" s="56">
        <f t="shared" ref="D23:S27" si="0">+$B23*D$2</f>
        <v>240393.14322765803</v>
      </c>
      <c r="E23" s="56">
        <f t="shared" si="0"/>
        <v>241494.85346345746</v>
      </c>
      <c r="F23" s="56">
        <f t="shared" si="0"/>
        <v>242405.13190257124</v>
      </c>
      <c r="G23" s="56">
        <f t="shared" si="0"/>
        <v>243123.97854504711</v>
      </c>
      <c r="H23" s="56">
        <f t="shared" si="0"/>
        <v>243651.39339083736</v>
      </c>
      <c r="I23" s="56">
        <f t="shared" si="0"/>
        <v>243987.37643998966</v>
      </c>
      <c r="J23" s="56">
        <f t="shared" si="0"/>
        <v>244131.92769245632</v>
      </c>
      <c r="K23" s="56">
        <f t="shared" si="0"/>
        <v>244085.04714823738</v>
      </c>
      <c r="L23" s="56">
        <f t="shared" si="0"/>
        <v>243846.73480738048</v>
      </c>
      <c r="M23" s="56">
        <f t="shared" si="0"/>
        <v>243416.99066979025</v>
      </c>
      <c r="N23" s="56">
        <f t="shared" si="0"/>
        <v>242795.81473560981</v>
      </c>
      <c r="O23" s="56">
        <f t="shared" si="0"/>
        <v>241983.20700474374</v>
      </c>
      <c r="P23" s="56">
        <f t="shared" si="0"/>
        <v>240979.16747723974</v>
      </c>
      <c r="Q23" s="56">
        <f t="shared" si="0"/>
        <v>239783.69615305008</v>
      </c>
      <c r="R23" s="56">
        <f t="shared" si="0"/>
        <v>238396.79303222254</v>
      </c>
      <c r="S23" s="56">
        <f t="shared" si="0"/>
        <v>236818.45811470933</v>
      </c>
    </row>
    <row r="24" spans="1:81">
      <c r="A24">
        <v>1</v>
      </c>
      <c r="B24">
        <v>0.20076353515765541</v>
      </c>
      <c r="C24" s="56">
        <f>+$B24*C$2</f>
        <v>239915.81946490647</v>
      </c>
      <c r="D24" s="56">
        <f t="shared" si="0"/>
        <v>241213.37374698868</v>
      </c>
      <c r="E24" s="56">
        <f t="shared" si="0"/>
        <v>242318.84305988462</v>
      </c>
      <c r="F24" s="56">
        <f t="shared" si="0"/>
        <v>243232.22740354636</v>
      </c>
      <c r="G24" s="56">
        <f t="shared" si="0"/>
        <v>243953.52677802183</v>
      </c>
      <c r="H24" s="56">
        <f t="shared" si="0"/>
        <v>244482.7411832631</v>
      </c>
      <c r="I24" s="56">
        <f t="shared" si="0"/>
        <v>244819.8706193181</v>
      </c>
      <c r="J24" s="56">
        <f t="shared" si="0"/>
        <v>244964.91508613894</v>
      </c>
      <c r="K24" s="56">
        <f t="shared" si="0"/>
        <v>244917.87458372561</v>
      </c>
      <c r="L24" s="56">
        <f t="shared" si="0"/>
        <v>244678.74911212598</v>
      </c>
      <c r="M24" s="56">
        <f t="shared" si="0"/>
        <v>244247.53867124431</v>
      </c>
      <c r="N24" s="56">
        <f t="shared" si="0"/>
        <v>243624.24326122421</v>
      </c>
      <c r="O24" s="56">
        <f t="shared" si="0"/>
        <v>242808.86288196995</v>
      </c>
      <c r="P24" s="56">
        <f t="shared" si="0"/>
        <v>241801.39753352938</v>
      </c>
      <c r="Q24" s="56">
        <f t="shared" si="0"/>
        <v>240601.84721585468</v>
      </c>
      <c r="R24" s="56">
        <f t="shared" si="0"/>
        <v>239210.21192899364</v>
      </c>
      <c r="S24" s="56">
        <f t="shared" si="0"/>
        <v>237626.49167289847</v>
      </c>
    </row>
    <row r="25" spans="1:81">
      <c r="A25">
        <v>2</v>
      </c>
      <c r="B25">
        <v>0.20058816361405676</v>
      </c>
      <c r="C25" s="56">
        <f>+$B25*C$2</f>
        <v>239706.24750473822</v>
      </c>
      <c r="D25" s="56">
        <f t="shared" si="0"/>
        <v>241002.668343453</v>
      </c>
      <c r="E25" s="56">
        <f t="shared" si="0"/>
        <v>242107.17200359903</v>
      </c>
      <c r="F25" s="56">
        <f t="shared" si="0"/>
        <v>243019.75848512849</v>
      </c>
      <c r="G25" s="56">
        <f t="shared" si="0"/>
        <v>243740.4277880892</v>
      </c>
      <c r="H25" s="56">
        <f t="shared" si="0"/>
        <v>244269.17991243338</v>
      </c>
      <c r="I25" s="56">
        <f t="shared" si="0"/>
        <v>244606.01485820883</v>
      </c>
      <c r="J25" s="56">
        <f t="shared" si="0"/>
        <v>244750.93262536771</v>
      </c>
      <c r="K25" s="56">
        <f t="shared" si="0"/>
        <v>244703.93321391003</v>
      </c>
      <c r="L25" s="56">
        <f t="shared" si="0"/>
        <v>244465.0166238836</v>
      </c>
      <c r="M25" s="56">
        <f t="shared" si="0"/>
        <v>244034.1828551928</v>
      </c>
      <c r="N25" s="56">
        <f t="shared" si="0"/>
        <v>243411.43190798108</v>
      </c>
      <c r="O25" s="56">
        <f t="shared" si="0"/>
        <v>242596.76378215282</v>
      </c>
      <c r="P25" s="56">
        <f t="shared" si="0"/>
        <v>241590.17847775581</v>
      </c>
      <c r="Q25" s="56">
        <f t="shared" si="0"/>
        <v>240391.67599474225</v>
      </c>
      <c r="R25" s="56">
        <f t="shared" si="0"/>
        <v>239001.25633315995</v>
      </c>
      <c r="S25" s="56">
        <f t="shared" si="0"/>
        <v>237418.91949296108</v>
      </c>
    </row>
    <row r="26" spans="1:81">
      <c r="A26">
        <v>3</v>
      </c>
      <c r="B26">
        <v>0.1998248454108883</v>
      </c>
      <c r="C26" s="56">
        <f>+$B26*C$2</f>
        <v>238794.06934408852</v>
      </c>
      <c r="D26" s="56">
        <f t="shared" si="0"/>
        <v>240085.55678290906</v>
      </c>
      <c r="E26" s="56">
        <f t="shared" si="0"/>
        <v>241185.8573647973</v>
      </c>
      <c r="F26" s="56">
        <f t="shared" si="0"/>
        <v>242094.97108970559</v>
      </c>
      <c r="G26" s="56">
        <f t="shared" si="0"/>
        <v>242812.89795768162</v>
      </c>
      <c r="H26" s="56">
        <f t="shared" si="0"/>
        <v>243339.63796867771</v>
      </c>
      <c r="I26" s="56">
        <f t="shared" si="0"/>
        <v>243675.1911227415</v>
      </c>
      <c r="J26" s="56">
        <f t="shared" si="0"/>
        <v>243819.55741982537</v>
      </c>
      <c r="K26" s="56">
        <f t="shared" si="0"/>
        <v>243772.73685992928</v>
      </c>
      <c r="L26" s="56">
        <f t="shared" si="0"/>
        <v>243534.72944310095</v>
      </c>
      <c r="M26" s="56">
        <f t="shared" si="0"/>
        <v>243105.53516924501</v>
      </c>
      <c r="N26" s="56">
        <f t="shared" si="0"/>
        <v>242485.15403850444</v>
      </c>
      <c r="O26" s="56">
        <f t="shared" si="0"/>
        <v>241673.58605078392</v>
      </c>
      <c r="P26" s="56">
        <f t="shared" si="0"/>
        <v>240670.83120613112</v>
      </c>
      <c r="Q26" s="56">
        <f t="shared" si="0"/>
        <v>239476.88950449839</v>
      </c>
      <c r="R26" s="56">
        <f t="shared" si="0"/>
        <v>238091.76094593338</v>
      </c>
      <c r="S26" s="56">
        <f t="shared" si="0"/>
        <v>236515.44553038842</v>
      </c>
    </row>
    <row r="27" spans="1:81">
      <c r="A27">
        <v>4</v>
      </c>
      <c r="B27">
        <v>0.19874260411193839</v>
      </c>
      <c r="C27" s="56">
        <f>+$B27*C$2</f>
        <v>237500.77269092671</v>
      </c>
      <c r="D27" s="56">
        <f t="shared" si="0"/>
        <v>238785.26549882186</v>
      </c>
      <c r="E27" s="56">
        <f t="shared" si="0"/>
        <v>239879.60690817313</v>
      </c>
      <c r="F27" s="56">
        <f t="shared" si="0"/>
        <v>240783.79691893311</v>
      </c>
      <c r="G27" s="56">
        <f t="shared" si="0"/>
        <v>241497.83553114918</v>
      </c>
      <c r="H27" s="56">
        <f t="shared" si="0"/>
        <v>242021.72274477396</v>
      </c>
      <c r="I27" s="56">
        <f t="shared" si="0"/>
        <v>242355.45855985483</v>
      </c>
      <c r="J27" s="56">
        <f t="shared" si="0"/>
        <v>242499.04297634444</v>
      </c>
      <c r="K27" s="56">
        <f t="shared" si="0"/>
        <v>242452.47599424273</v>
      </c>
      <c r="L27" s="56">
        <f t="shared" si="0"/>
        <v>242215.75761359712</v>
      </c>
      <c r="M27" s="56">
        <f t="shared" si="0"/>
        <v>241788.88783431286</v>
      </c>
      <c r="N27" s="56">
        <f t="shared" si="0"/>
        <v>241171.86665653207</v>
      </c>
      <c r="O27" s="56">
        <f t="shared" si="0"/>
        <v>240364.69408015997</v>
      </c>
      <c r="P27" s="56">
        <f t="shared" si="0"/>
        <v>239367.37010524399</v>
      </c>
      <c r="Q27" s="56">
        <f t="shared" si="0"/>
        <v>238179.89473173671</v>
      </c>
      <c r="R27" s="56">
        <f t="shared" si="0"/>
        <v>236802.26795968556</v>
      </c>
      <c r="S27" s="56">
        <f t="shared" si="0"/>
        <v>235234.48978904309</v>
      </c>
    </row>
    <row r="28" spans="1:81">
      <c r="A28">
        <v>5</v>
      </c>
      <c r="B28">
        <v>0.20077275108348988</v>
      </c>
      <c r="C28" s="56">
        <f>+$B28*C$3</f>
        <v>250619.59477635461</v>
      </c>
      <c r="D28" s="56">
        <f t="shared" ref="D28:S32" si="1">+$B28*D$3</f>
        <v>254358.87900846006</v>
      </c>
      <c r="E28" s="56">
        <f t="shared" si="1"/>
        <v>257462.03971470651</v>
      </c>
      <c r="F28" s="56">
        <f t="shared" si="1"/>
        <v>259929.07689528543</v>
      </c>
      <c r="G28" s="56">
        <f t="shared" si="1"/>
        <v>261759.99055038829</v>
      </c>
      <c r="H28" s="56">
        <f t="shared" si="1"/>
        <v>262954.7806790577</v>
      </c>
      <c r="I28" s="56">
        <f t="shared" si="1"/>
        <v>263513.44728205958</v>
      </c>
      <c r="J28" s="56">
        <f t="shared" si="1"/>
        <v>263435.990359394</v>
      </c>
      <c r="K28" s="56">
        <f t="shared" si="1"/>
        <v>262722.40991106082</v>
      </c>
      <c r="L28" s="56">
        <f t="shared" si="1"/>
        <v>261372.70593648567</v>
      </c>
      <c r="M28" s="56">
        <f t="shared" si="1"/>
        <v>259386.87843624302</v>
      </c>
      <c r="N28" s="56">
        <f t="shared" si="1"/>
        <v>256764.92741033284</v>
      </c>
      <c r="O28" s="56">
        <f t="shared" si="1"/>
        <v>253506.85285837218</v>
      </c>
      <c r="P28" s="56">
        <f t="shared" si="1"/>
        <v>249612.65478055249</v>
      </c>
      <c r="Q28" s="56">
        <f t="shared" si="1"/>
        <v>245082.33317687383</v>
      </c>
      <c r="R28" s="56">
        <f t="shared" si="1"/>
        <v>239915.88804771908</v>
      </c>
      <c r="S28" s="56">
        <f t="shared" si="1"/>
        <v>234113.31939251386</v>
      </c>
    </row>
    <row r="29" spans="1:81">
      <c r="A29">
        <v>6</v>
      </c>
      <c r="B29">
        <v>0.19987826121455193</v>
      </c>
      <c r="C29" s="56">
        <f>+$B29*C$3</f>
        <v>249503.02548458075</v>
      </c>
      <c r="D29" s="56">
        <f t="shared" si="1"/>
        <v>253225.65032518687</v>
      </c>
      <c r="E29" s="56">
        <f t="shared" si="1"/>
        <v>256314.98571998818</v>
      </c>
      <c r="F29" s="56">
        <f t="shared" si="1"/>
        <v>258771.03166917534</v>
      </c>
      <c r="G29" s="56">
        <f t="shared" si="1"/>
        <v>260593.78817293892</v>
      </c>
      <c r="H29" s="56">
        <f t="shared" si="1"/>
        <v>261783.25523032586</v>
      </c>
      <c r="I29" s="56">
        <f t="shared" si="1"/>
        <v>262339.43284209858</v>
      </c>
      <c r="J29" s="56">
        <f t="shared" si="1"/>
        <v>262262.32100825716</v>
      </c>
      <c r="K29" s="56">
        <f t="shared" si="1"/>
        <v>261551.91972880156</v>
      </c>
      <c r="L29" s="56">
        <f t="shared" si="1"/>
        <v>260208.22900315988</v>
      </c>
      <c r="M29" s="56">
        <f t="shared" si="1"/>
        <v>258231.24883190406</v>
      </c>
      <c r="N29" s="56">
        <f t="shared" si="1"/>
        <v>255620.97921503405</v>
      </c>
      <c r="O29" s="56">
        <f t="shared" si="1"/>
        <v>252377.42015216863</v>
      </c>
      <c r="P29" s="56">
        <f t="shared" si="1"/>
        <v>248500.57164349841</v>
      </c>
      <c r="Q29" s="56">
        <f t="shared" si="1"/>
        <v>243990.43368902337</v>
      </c>
      <c r="R29" s="56">
        <f t="shared" si="1"/>
        <v>238847.00628912478</v>
      </c>
      <c r="S29" s="56">
        <f t="shared" si="1"/>
        <v>233070.28944323078</v>
      </c>
    </row>
    <row r="30" spans="1:81">
      <c r="A30">
        <v>7</v>
      </c>
      <c r="B30">
        <v>0.19944662852625539</v>
      </c>
      <c r="C30" s="56">
        <f>+$B30*C$3</f>
        <v>248964.22921442293</v>
      </c>
      <c r="D30" s="56">
        <f t="shared" si="1"/>
        <v>252678.81512894621</v>
      </c>
      <c r="E30" s="56">
        <f t="shared" si="1"/>
        <v>255761.47917222884</v>
      </c>
      <c r="F30" s="56">
        <f t="shared" si="1"/>
        <v>258212.22134446102</v>
      </c>
      <c r="G30" s="56">
        <f t="shared" si="1"/>
        <v>260031.04164583297</v>
      </c>
      <c r="H30" s="56">
        <f t="shared" si="1"/>
        <v>261217.94007539362</v>
      </c>
      <c r="I30" s="56">
        <f t="shared" si="1"/>
        <v>261772.91663390386</v>
      </c>
      <c r="J30" s="56">
        <f t="shared" si="1"/>
        <v>261695.97132136361</v>
      </c>
      <c r="K30" s="56">
        <f t="shared" si="1"/>
        <v>260987.10413777296</v>
      </c>
      <c r="L30" s="56">
        <f t="shared" si="1"/>
        <v>259646.3150825612</v>
      </c>
      <c r="M30" s="56">
        <f t="shared" si="1"/>
        <v>257673.60415629903</v>
      </c>
      <c r="N30" s="56">
        <f t="shared" si="1"/>
        <v>255068.97135898637</v>
      </c>
      <c r="O30" s="56">
        <f t="shared" si="1"/>
        <v>251832.41669024288</v>
      </c>
      <c r="P30" s="56">
        <f t="shared" si="1"/>
        <v>247963.94015025874</v>
      </c>
      <c r="Q30" s="56">
        <f t="shared" si="1"/>
        <v>243463.54173903391</v>
      </c>
      <c r="R30" s="56">
        <f t="shared" si="1"/>
        <v>238331.22145694887</v>
      </c>
      <c r="S30" s="56">
        <f t="shared" si="1"/>
        <v>232566.97930343298</v>
      </c>
    </row>
    <row r="31" spans="1:81">
      <c r="A31">
        <v>8</v>
      </c>
      <c r="B31">
        <v>0.19961854690763647</v>
      </c>
      <c r="C31" s="56">
        <f>+$B31*C$3</f>
        <v>249178.83062245173</v>
      </c>
      <c r="D31" s="56">
        <f t="shared" si="1"/>
        <v>252896.6184241297</v>
      </c>
      <c r="E31" s="56">
        <f t="shared" si="1"/>
        <v>255981.93965252789</v>
      </c>
      <c r="F31" s="56">
        <f t="shared" si="1"/>
        <v>258434.79430783659</v>
      </c>
      <c r="G31" s="56">
        <f t="shared" si="1"/>
        <v>260255.18239024622</v>
      </c>
      <c r="H31" s="56">
        <f t="shared" si="1"/>
        <v>261443.10389880493</v>
      </c>
      <c r="I31" s="56">
        <f t="shared" si="1"/>
        <v>261998.55883427418</v>
      </c>
      <c r="J31" s="56">
        <f t="shared" si="1"/>
        <v>261921.54719665396</v>
      </c>
      <c r="K31" s="56">
        <f t="shared" si="1"/>
        <v>261212.06898594432</v>
      </c>
      <c r="L31" s="56">
        <f t="shared" si="1"/>
        <v>259870.12420157413</v>
      </c>
      <c r="M31" s="56">
        <f t="shared" si="1"/>
        <v>257895.71284411446</v>
      </c>
      <c r="N31" s="56">
        <f t="shared" si="1"/>
        <v>255288.83491356537</v>
      </c>
      <c r="O31" s="56">
        <f t="shared" si="1"/>
        <v>252049.49040954607</v>
      </c>
      <c r="P31" s="56">
        <f t="shared" si="1"/>
        <v>248177.67933224695</v>
      </c>
      <c r="Q31" s="56">
        <f t="shared" si="1"/>
        <v>243673.40168166801</v>
      </c>
      <c r="R31" s="56">
        <f t="shared" si="1"/>
        <v>238536.65745818999</v>
      </c>
      <c r="S31" s="56">
        <f t="shared" si="1"/>
        <v>232767.44666124179</v>
      </c>
    </row>
    <row r="32" spans="1:81">
      <c r="A32">
        <v>9</v>
      </c>
      <c r="B32">
        <v>0.2002838122680663</v>
      </c>
      <c r="C32" s="56">
        <f>+$B32*C$3</f>
        <v>250009.26470352052</v>
      </c>
      <c r="D32" s="56">
        <f t="shared" si="1"/>
        <v>253739.44271382489</v>
      </c>
      <c r="E32" s="56">
        <f t="shared" si="1"/>
        <v>256835.04634018079</v>
      </c>
      <c r="F32" s="56">
        <f t="shared" si="1"/>
        <v>259296.07558277925</v>
      </c>
      <c r="G32" s="56">
        <f t="shared" si="1"/>
        <v>261122.53044181122</v>
      </c>
      <c r="H32" s="56">
        <f t="shared" si="1"/>
        <v>262314.41091632174</v>
      </c>
      <c r="I32" s="56">
        <f t="shared" si="1"/>
        <v>262871.71700707474</v>
      </c>
      <c r="J32" s="56">
        <f t="shared" si="1"/>
        <v>262794.44871407031</v>
      </c>
      <c r="K32" s="56">
        <f t="shared" si="1"/>
        <v>262082.6060373084</v>
      </c>
      <c r="L32" s="56">
        <f t="shared" si="1"/>
        <v>260736.18897621601</v>
      </c>
      <c r="M32" s="56">
        <f t="shared" si="1"/>
        <v>258755.19753136614</v>
      </c>
      <c r="N32" s="56">
        <f t="shared" si="1"/>
        <v>256139.63170275884</v>
      </c>
      <c r="O32" s="56">
        <f t="shared" si="1"/>
        <v>252889.49149001203</v>
      </c>
      <c r="P32" s="56">
        <f t="shared" si="1"/>
        <v>249004.77689331674</v>
      </c>
      <c r="Q32" s="56">
        <f t="shared" si="1"/>
        <v>244485.48791267301</v>
      </c>
      <c r="R32" s="56">
        <f t="shared" si="1"/>
        <v>239331.6245484628</v>
      </c>
      <c r="S32" s="56">
        <f t="shared" si="1"/>
        <v>233543.18680011312</v>
      </c>
    </row>
    <row r="33" spans="1:19">
      <c r="A33">
        <v>10</v>
      </c>
      <c r="B33">
        <v>0.20207706478921078</v>
      </c>
      <c r="C33" s="56">
        <f>+$B33*C$4</f>
        <v>238131.02267263492</v>
      </c>
      <c r="D33" s="56">
        <f t="shared" ref="D33:S37" si="2">+$B33*D$4</f>
        <v>241715.71620324123</v>
      </c>
      <c r="E33" s="56">
        <f t="shared" si="2"/>
        <v>244890.04177480444</v>
      </c>
      <c r="F33" s="56">
        <f t="shared" si="2"/>
        <v>247653.99938761364</v>
      </c>
      <c r="G33" s="56">
        <f t="shared" si="2"/>
        <v>250007.58904157241</v>
      </c>
      <c r="H33" s="56">
        <f t="shared" si="2"/>
        <v>251950.81073639172</v>
      </c>
      <c r="I33" s="56">
        <f t="shared" si="2"/>
        <v>253483.66447245702</v>
      </c>
      <c r="J33" s="56">
        <f t="shared" si="2"/>
        <v>254606.15024967192</v>
      </c>
      <c r="K33" s="56">
        <f t="shared" si="2"/>
        <v>255318.26806784369</v>
      </c>
      <c r="L33" s="56">
        <f t="shared" si="2"/>
        <v>255620.01792716508</v>
      </c>
      <c r="M33" s="56">
        <f t="shared" si="2"/>
        <v>255511.39982773247</v>
      </c>
      <c r="N33" s="56">
        <f t="shared" si="2"/>
        <v>254992.4137692567</v>
      </c>
      <c r="O33" s="56">
        <f t="shared" si="2"/>
        <v>254063.05975173786</v>
      </c>
      <c r="P33" s="56">
        <f t="shared" si="2"/>
        <v>252723.33777556135</v>
      </c>
      <c r="Q33" s="56">
        <f t="shared" si="2"/>
        <v>250973.24784043807</v>
      </c>
      <c r="R33" s="56">
        <f t="shared" si="2"/>
        <v>248812.78994617533</v>
      </c>
      <c r="S33" s="56">
        <f t="shared" si="2"/>
        <v>246241.96409325491</v>
      </c>
    </row>
    <row r="34" spans="1:19">
      <c r="A34">
        <v>11</v>
      </c>
      <c r="B34">
        <v>0.20237241705216291</v>
      </c>
      <c r="C34" s="56">
        <f>+$B34*C$4</f>
        <v>238479.07076259918</v>
      </c>
      <c r="D34" s="56">
        <f t="shared" si="2"/>
        <v>242069.00361785304</v>
      </c>
      <c r="E34" s="56">
        <f t="shared" si="2"/>
        <v>245247.96872751467</v>
      </c>
      <c r="F34" s="56">
        <f t="shared" si="2"/>
        <v>248015.96609187359</v>
      </c>
      <c r="G34" s="56">
        <f t="shared" si="2"/>
        <v>250372.99571083326</v>
      </c>
      <c r="H34" s="56">
        <f t="shared" si="2"/>
        <v>252319.05758410422</v>
      </c>
      <c r="I34" s="56">
        <f t="shared" si="2"/>
        <v>253854.15171207243</v>
      </c>
      <c r="J34" s="56">
        <f t="shared" si="2"/>
        <v>254978.2780946414</v>
      </c>
      <c r="K34" s="56">
        <f t="shared" si="2"/>
        <v>255691.43673161816</v>
      </c>
      <c r="L34" s="56">
        <f t="shared" si="2"/>
        <v>255993.6276231957</v>
      </c>
      <c r="M34" s="56">
        <f t="shared" si="2"/>
        <v>255884.85076947047</v>
      </c>
      <c r="N34" s="56">
        <f t="shared" si="2"/>
        <v>255365.10617015304</v>
      </c>
      <c r="O34" s="56">
        <f t="shared" si="2"/>
        <v>254434.3938252434</v>
      </c>
      <c r="P34" s="56">
        <f t="shared" si="2"/>
        <v>253092.7137351275</v>
      </c>
      <c r="Q34" s="56">
        <f t="shared" si="2"/>
        <v>251340.06589951587</v>
      </c>
      <c r="R34" s="56">
        <f t="shared" si="2"/>
        <v>249176.4503182155</v>
      </c>
      <c r="S34" s="56">
        <f t="shared" si="2"/>
        <v>246601.86699170893</v>
      </c>
    </row>
    <row r="35" spans="1:19">
      <c r="A35">
        <v>12</v>
      </c>
      <c r="B35">
        <v>0.20146420884358512</v>
      </c>
      <c r="C35" s="56">
        <f>+$B35*C$4</f>
        <v>237408.82288595912</v>
      </c>
      <c r="D35" s="56">
        <f t="shared" si="2"/>
        <v>240982.64481792177</v>
      </c>
      <c r="E35" s="56">
        <f t="shared" si="2"/>
        <v>244147.34334793073</v>
      </c>
      <c r="F35" s="56">
        <f t="shared" si="2"/>
        <v>246902.91847627424</v>
      </c>
      <c r="G35" s="56">
        <f t="shared" si="2"/>
        <v>249249.37020285617</v>
      </c>
      <c r="H35" s="56">
        <f t="shared" si="2"/>
        <v>251186.69852738836</v>
      </c>
      <c r="I35" s="56">
        <f t="shared" si="2"/>
        <v>252714.90345025505</v>
      </c>
      <c r="J35" s="56">
        <f t="shared" si="2"/>
        <v>253833.98497136022</v>
      </c>
      <c r="K35" s="56">
        <f t="shared" si="2"/>
        <v>254543.94309051169</v>
      </c>
      <c r="L35" s="56">
        <f t="shared" si="2"/>
        <v>254844.77780790161</v>
      </c>
      <c r="M35" s="56">
        <f t="shared" si="2"/>
        <v>254736.48912362606</v>
      </c>
      <c r="N35" s="56">
        <f t="shared" si="2"/>
        <v>254219.07703739684</v>
      </c>
      <c r="O35" s="56">
        <f t="shared" si="2"/>
        <v>253292.5415492139</v>
      </c>
      <c r="P35" s="56">
        <f t="shared" si="2"/>
        <v>251956.88265946158</v>
      </c>
      <c r="Q35" s="56">
        <f t="shared" si="2"/>
        <v>250212.10036785161</v>
      </c>
      <c r="R35" s="56">
        <f t="shared" si="2"/>
        <v>248058.19467419191</v>
      </c>
      <c r="S35" s="56">
        <f t="shared" si="2"/>
        <v>245495.1655789628</v>
      </c>
    </row>
    <row r="36" spans="1:19">
      <c r="A36">
        <v>13</v>
      </c>
      <c r="B36">
        <v>0.19892454857252559</v>
      </c>
      <c r="C36" s="56">
        <f>+$B36*C$4</f>
        <v>234416.04437237908</v>
      </c>
      <c r="D36" s="56">
        <f t="shared" si="2"/>
        <v>237944.81466152862</v>
      </c>
      <c r="E36" s="56">
        <f t="shared" si="2"/>
        <v>241069.61896331375</v>
      </c>
      <c r="F36" s="56">
        <f t="shared" si="2"/>
        <v>243790.45727801902</v>
      </c>
      <c r="G36" s="56">
        <f t="shared" si="2"/>
        <v>246107.32960554954</v>
      </c>
      <c r="H36" s="56">
        <f t="shared" si="2"/>
        <v>248020.23594562081</v>
      </c>
      <c r="I36" s="56">
        <f t="shared" si="2"/>
        <v>249529.1762986122</v>
      </c>
      <c r="J36" s="56">
        <f t="shared" si="2"/>
        <v>250634.15066442886</v>
      </c>
      <c r="K36" s="56">
        <f t="shared" si="2"/>
        <v>251335.1590428811</v>
      </c>
      <c r="L36" s="56">
        <f t="shared" si="2"/>
        <v>251632.20143415866</v>
      </c>
      <c r="M36" s="56">
        <f t="shared" si="2"/>
        <v>251525.27783835633</v>
      </c>
      <c r="N36" s="56">
        <f t="shared" si="2"/>
        <v>251014.38825518955</v>
      </c>
      <c r="O36" s="56">
        <f t="shared" si="2"/>
        <v>250099.53268465836</v>
      </c>
      <c r="P36" s="56">
        <f t="shared" si="2"/>
        <v>248780.71112714219</v>
      </c>
      <c r="Q36" s="56">
        <f t="shared" si="2"/>
        <v>247057.92358235642</v>
      </c>
      <c r="R36" s="56">
        <f t="shared" si="2"/>
        <v>244931.17005011137</v>
      </c>
      <c r="S36" s="56">
        <f t="shared" si="2"/>
        <v>242400.45053088132</v>
      </c>
    </row>
    <row r="37" spans="1:19">
      <c r="A37">
        <v>14</v>
      </c>
      <c r="B37">
        <v>0.19516176074251559</v>
      </c>
      <c r="C37" s="56">
        <f>+$B37*C$4</f>
        <v>229981.91170623465</v>
      </c>
      <c r="D37" s="56">
        <f t="shared" si="2"/>
        <v>233443.93299937443</v>
      </c>
      <c r="E37" s="56">
        <f t="shared" si="2"/>
        <v>236509.62958578559</v>
      </c>
      <c r="F37" s="56">
        <f t="shared" si="2"/>
        <v>239179.00146574728</v>
      </c>
      <c r="G37" s="56">
        <f t="shared" si="2"/>
        <v>241452.04863916649</v>
      </c>
      <c r="H37" s="56">
        <f t="shared" si="2"/>
        <v>243328.771105764</v>
      </c>
      <c r="I37" s="56">
        <f t="shared" si="2"/>
        <v>244809.16886591207</v>
      </c>
      <c r="J37" s="56">
        <f t="shared" si="2"/>
        <v>245893.24191951763</v>
      </c>
      <c r="K37" s="56">
        <f t="shared" si="2"/>
        <v>246580.9902663946</v>
      </c>
      <c r="L37" s="56">
        <f t="shared" si="2"/>
        <v>246872.41390672902</v>
      </c>
      <c r="M37" s="56">
        <f t="shared" si="2"/>
        <v>246767.51284061401</v>
      </c>
      <c r="N37" s="56">
        <f t="shared" si="2"/>
        <v>246266.28706777038</v>
      </c>
      <c r="O37" s="56">
        <f t="shared" si="2"/>
        <v>245368.73658819814</v>
      </c>
      <c r="P37" s="56">
        <f t="shared" si="2"/>
        <v>244074.86140226948</v>
      </c>
      <c r="Q37" s="56">
        <f t="shared" si="2"/>
        <v>242384.6615097053</v>
      </c>
      <c r="R37" s="56">
        <f t="shared" si="2"/>
        <v>240298.13691031942</v>
      </c>
      <c r="S37" s="56">
        <f t="shared" si="2"/>
        <v>237815.28760457714</v>
      </c>
    </row>
    <row r="38" spans="1:19">
      <c r="A38">
        <v>15</v>
      </c>
      <c r="B38">
        <v>0.2082231039232203</v>
      </c>
      <c r="C38" s="56">
        <f>+$B38*C$5</f>
        <v>218737.68944863445</v>
      </c>
      <c r="D38" s="56">
        <f t="shared" ref="D38:S42" si="3">+$B38*D$5</f>
        <v>222550.23222239883</v>
      </c>
      <c r="E38" s="56">
        <f t="shared" si="3"/>
        <v>226296.61901795364</v>
      </c>
      <c r="F38" s="56">
        <f t="shared" si="3"/>
        <v>229976.84983519954</v>
      </c>
      <c r="G38" s="56">
        <f t="shared" si="3"/>
        <v>233590.92467416142</v>
      </c>
      <c r="H38" s="56">
        <f t="shared" si="3"/>
        <v>237138.84353491367</v>
      </c>
      <c r="I38" s="56">
        <f t="shared" si="3"/>
        <v>240620.60641735708</v>
      </c>
      <c r="J38" s="56">
        <f t="shared" si="3"/>
        <v>244036.21332154126</v>
      </c>
      <c r="K38" s="56">
        <f t="shared" si="3"/>
        <v>247385.66424751584</v>
      </c>
      <c r="L38" s="56">
        <f t="shared" si="3"/>
        <v>250668.95919515673</v>
      </c>
      <c r="M38" s="56">
        <f t="shared" si="3"/>
        <v>253886.09816456318</v>
      </c>
      <c r="N38" s="56">
        <f t="shared" si="3"/>
        <v>257037.08115573524</v>
      </c>
      <c r="O38" s="56">
        <f t="shared" si="3"/>
        <v>260121.90816859846</v>
      </c>
      <c r="P38" s="56">
        <f t="shared" si="3"/>
        <v>263140.57920317759</v>
      </c>
      <c r="Q38" s="56">
        <f t="shared" si="3"/>
        <v>266093.09425954713</v>
      </c>
      <c r="R38" s="56">
        <f t="shared" si="3"/>
        <v>268979.45333763264</v>
      </c>
      <c r="S38" s="56">
        <f t="shared" si="3"/>
        <v>271799.65643743408</v>
      </c>
    </row>
    <row r="39" spans="1:19">
      <c r="A39">
        <v>16</v>
      </c>
      <c r="B39">
        <v>0.20363425710513902</v>
      </c>
      <c r="C39" s="56">
        <f>+$B39*C$5</f>
        <v>213917.12087911137</v>
      </c>
      <c r="D39" s="56">
        <f t="shared" si="3"/>
        <v>217645.64235818485</v>
      </c>
      <c r="E39" s="56">
        <f t="shared" si="3"/>
        <v>221309.46581277426</v>
      </c>
      <c r="F39" s="56">
        <f t="shared" si="3"/>
        <v>224908.59124278248</v>
      </c>
      <c r="G39" s="56">
        <f t="shared" si="3"/>
        <v>228443.01864823385</v>
      </c>
      <c r="H39" s="56">
        <f t="shared" si="3"/>
        <v>231912.74802920112</v>
      </c>
      <c r="I39" s="56">
        <f t="shared" si="3"/>
        <v>235317.77938558723</v>
      </c>
      <c r="J39" s="56">
        <f t="shared" si="3"/>
        <v>238658.11271744073</v>
      </c>
      <c r="K39" s="56">
        <f t="shared" si="3"/>
        <v>241933.74802481013</v>
      </c>
      <c r="L39" s="56">
        <f t="shared" si="3"/>
        <v>245144.68530757414</v>
      </c>
      <c r="M39" s="56">
        <f t="shared" si="3"/>
        <v>248290.92456582977</v>
      </c>
      <c r="N39" s="56">
        <f t="shared" si="3"/>
        <v>251372.46579957707</v>
      </c>
      <c r="O39" s="56">
        <f t="shared" si="3"/>
        <v>254389.30900874321</v>
      </c>
      <c r="P39" s="56">
        <f t="shared" si="3"/>
        <v>257341.45419335246</v>
      </c>
      <c r="Q39" s="56">
        <f t="shared" si="3"/>
        <v>260228.90135347762</v>
      </c>
      <c r="R39" s="56">
        <f t="shared" si="3"/>
        <v>263051.65048904589</v>
      </c>
      <c r="S39" s="56">
        <f t="shared" si="3"/>
        <v>265809.70160005731</v>
      </c>
    </row>
    <row r="40" spans="1:19">
      <c r="A40">
        <v>17</v>
      </c>
      <c r="B40">
        <v>0.19941361378031788</v>
      </c>
      <c r="C40" s="56">
        <f>+$B40*C$5</f>
        <v>209483.3488746435</v>
      </c>
      <c r="D40" s="56">
        <f t="shared" si="3"/>
        <v>213134.59082562668</v>
      </c>
      <c r="E40" s="56">
        <f t="shared" si="3"/>
        <v>216722.47572141577</v>
      </c>
      <c r="F40" s="56">
        <f t="shared" si="3"/>
        <v>220247.00356191571</v>
      </c>
      <c r="G40" s="56">
        <f t="shared" si="3"/>
        <v>223708.17434715023</v>
      </c>
      <c r="H40" s="56">
        <f t="shared" si="3"/>
        <v>227105.9880771907</v>
      </c>
      <c r="I40" s="56">
        <f t="shared" si="3"/>
        <v>230440.44475194201</v>
      </c>
      <c r="J40" s="56">
        <f t="shared" si="3"/>
        <v>233711.54437145166</v>
      </c>
      <c r="K40" s="56">
        <f t="shared" si="3"/>
        <v>236919.28693576728</v>
      </c>
      <c r="L40" s="56">
        <f t="shared" si="3"/>
        <v>240063.67244476991</v>
      </c>
      <c r="M40" s="56">
        <f t="shared" si="3"/>
        <v>243144.70089855473</v>
      </c>
      <c r="N40" s="56">
        <f t="shared" si="3"/>
        <v>246162.37229712168</v>
      </c>
      <c r="O40" s="56">
        <f t="shared" si="3"/>
        <v>249116.68664039948</v>
      </c>
      <c r="P40" s="56">
        <f t="shared" si="3"/>
        <v>252007.64392841188</v>
      </c>
      <c r="Q40" s="56">
        <f t="shared" si="3"/>
        <v>254835.24416123019</v>
      </c>
      <c r="R40" s="56">
        <f t="shared" si="3"/>
        <v>257599.48733878313</v>
      </c>
      <c r="S40" s="56">
        <f t="shared" si="3"/>
        <v>260300.37346107065</v>
      </c>
    </row>
    <row r="41" spans="1:19">
      <c r="A41">
        <v>18</v>
      </c>
      <c r="B41">
        <v>0.19589795526206702</v>
      </c>
      <c r="C41" s="56">
        <f>+$B41*C$5</f>
        <v>205790.16110304941</v>
      </c>
      <c r="D41" s="56">
        <f t="shared" si="3"/>
        <v>209377.03172238765</v>
      </c>
      <c r="E41" s="56">
        <f t="shared" si="3"/>
        <v>212901.66227030518</v>
      </c>
      <c r="F41" s="56">
        <f t="shared" si="3"/>
        <v>216364.05274670862</v>
      </c>
      <c r="G41" s="56">
        <f t="shared" si="3"/>
        <v>219764.2031516213</v>
      </c>
      <c r="H41" s="56">
        <f t="shared" si="3"/>
        <v>223102.11348511328</v>
      </c>
      <c r="I41" s="56">
        <f t="shared" si="3"/>
        <v>226377.78374709116</v>
      </c>
      <c r="J41" s="56">
        <f t="shared" si="3"/>
        <v>229591.21393760163</v>
      </c>
      <c r="K41" s="56">
        <f t="shared" si="3"/>
        <v>232742.40405669142</v>
      </c>
      <c r="L41" s="56">
        <f t="shared" si="3"/>
        <v>235831.35410424374</v>
      </c>
      <c r="M41" s="56">
        <f t="shared" si="3"/>
        <v>238858.06408035202</v>
      </c>
      <c r="N41" s="56">
        <f t="shared" si="3"/>
        <v>241822.53398501626</v>
      </c>
      <c r="O41" s="56">
        <f t="shared" si="3"/>
        <v>244724.76381816639</v>
      </c>
      <c r="P41" s="56">
        <f t="shared" si="3"/>
        <v>247564.75357982577</v>
      </c>
      <c r="Q41" s="56">
        <f t="shared" si="3"/>
        <v>250342.50327006445</v>
      </c>
      <c r="R41" s="56">
        <f t="shared" si="3"/>
        <v>253058.01288881237</v>
      </c>
      <c r="S41" s="56">
        <f t="shared" si="3"/>
        <v>255711.28243606954</v>
      </c>
    </row>
    <row r="42" spans="1:19">
      <c r="A42">
        <v>19</v>
      </c>
      <c r="B42">
        <v>0.19283106992925578</v>
      </c>
      <c r="C42" s="56">
        <f>+$B42*C$5</f>
        <v>202568.40809455328</v>
      </c>
      <c r="D42" s="56">
        <f t="shared" si="3"/>
        <v>206099.12437129806</v>
      </c>
      <c r="E42" s="56">
        <f t="shared" si="3"/>
        <v>209568.57497761527</v>
      </c>
      <c r="F42" s="56">
        <f t="shared" si="3"/>
        <v>212976.75991341291</v>
      </c>
      <c r="G42" s="56">
        <f t="shared" si="3"/>
        <v>216323.67917871402</v>
      </c>
      <c r="H42" s="56">
        <f t="shared" si="3"/>
        <v>219609.33277358752</v>
      </c>
      <c r="I42" s="56">
        <f t="shared" si="3"/>
        <v>222833.72069794149</v>
      </c>
      <c r="J42" s="56">
        <f t="shared" si="3"/>
        <v>225996.84295182186</v>
      </c>
      <c r="K42" s="56">
        <f t="shared" si="3"/>
        <v>229098.69953527465</v>
      </c>
      <c r="L42" s="56">
        <f t="shared" si="3"/>
        <v>232139.29044818491</v>
      </c>
      <c r="M42" s="56">
        <f t="shared" si="3"/>
        <v>235118.61569064457</v>
      </c>
      <c r="N42" s="56">
        <f t="shared" si="3"/>
        <v>238036.67526265368</v>
      </c>
      <c r="O42" s="56">
        <f t="shared" si="3"/>
        <v>240893.4691641432</v>
      </c>
      <c r="P42" s="56">
        <f t="shared" si="3"/>
        <v>243688.99739513619</v>
      </c>
      <c r="Q42" s="56">
        <f t="shared" si="3"/>
        <v>246423.25995570159</v>
      </c>
      <c r="R42" s="56">
        <f t="shared" si="3"/>
        <v>249096.2568457704</v>
      </c>
      <c r="S42" s="56">
        <f t="shared" si="3"/>
        <v>251707.98806534268</v>
      </c>
    </row>
    <row r="43" spans="1:19">
      <c r="A43">
        <v>20</v>
      </c>
      <c r="B43">
        <v>0.20926894439068197</v>
      </c>
      <c r="C43" s="56">
        <f>+$B43*C$6</f>
        <v>205247.98976571066</v>
      </c>
      <c r="D43" s="56">
        <f t="shared" ref="D43:S47" si="4">+$B43*D$6</f>
        <v>209775.88275512337</v>
      </c>
      <c r="E43" s="56">
        <f t="shared" si="4"/>
        <v>214222.43370112058</v>
      </c>
      <c r="F43" s="56">
        <f t="shared" si="4"/>
        <v>218587.64260365235</v>
      </c>
      <c r="G43" s="56">
        <f t="shared" si="4"/>
        <v>222871.50946271871</v>
      </c>
      <c r="H43" s="56">
        <f t="shared" si="4"/>
        <v>227074.03427831962</v>
      </c>
      <c r="I43" s="56">
        <f t="shared" si="4"/>
        <v>231195.21705048007</v>
      </c>
      <c r="J43" s="56">
        <f t="shared" si="4"/>
        <v>235235.05777915014</v>
      </c>
      <c r="K43" s="56">
        <f t="shared" si="4"/>
        <v>239193.55646432986</v>
      </c>
      <c r="L43" s="56">
        <f t="shared" si="4"/>
        <v>243070.7131060691</v>
      </c>
      <c r="M43" s="56">
        <f t="shared" si="4"/>
        <v>246866.52770436785</v>
      </c>
      <c r="N43" s="56">
        <f t="shared" si="4"/>
        <v>250581.00025920119</v>
      </c>
      <c r="O43" s="56">
        <f t="shared" si="4"/>
        <v>254214.13077056909</v>
      </c>
      <c r="P43" s="56">
        <f t="shared" si="4"/>
        <v>257765.91923847157</v>
      </c>
      <c r="Q43" s="56">
        <f t="shared" si="4"/>
        <v>261236.36566293359</v>
      </c>
      <c r="R43" s="56">
        <f t="shared" si="4"/>
        <v>264625.47004385531</v>
      </c>
      <c r="S43" s="56">
        <f t="shared" si="4"/>
        <v>267933.23238136154</v>
      </c>
    </row>
    <row r="44" spans="1:19">
      <c r="A44">
        <v>21</v>
      </c>
      <c r="B44">
        <v>0.20571086029849925</v>
      </c>
      <c r="C44" s="56">
        <f>+$B44*C$6</f>
        <v>201758.27174059133</v>
      </c>
      <c r="D44" s="56">
        <f t="shared" si="4"/>
        <v>206209.1794703725</v>
      </c>
      <c r="E44" s="56">
        <f t="shared" si="4"/>
        <v>210580.12817050327</v>
      </c>
      <c r="F44" s="56">
        <f t="shared" si="4"/>
        <v>214871.11784093457</v>
      </c>
      <c r="G44" s="56">
        <f t="shared" si="4"/>
        <v>219082.1484816664</v>
      </c>
      <c r="H44" s="56">
        <f t="shared" si="4"/>
        <v>223213.22009269879</v>
      </c>
      <c r="I44" s="56">
        <f t="shared" si="4"/>
        <v>227264.3326740562</v>
      </c>
      <c r="J44" s="56">
        <f t="shared" si="4"/>
        <v>231235.48622568967</v>
      </c>
      <c r="K44" s="56">
        <f t="shared" si="4"/>
        <v>235126.68074759911</v>
      </c>
      <c r="L44" s="56">
        <f t="shared" si="4"/>
        <v>238937.91623983363</v>
      </c>
      <c r="M44" s="56">
        <f t="shared" si="4"/>
        <v>242669.19270239319</v>
      </c>
      <c r="N44" s="56">
        <f t="shared" si="4"/>
        <v>246320.51013525331</v>
      </c>
      <c r="O44" s="56">
        <f t="shared" si="4"/>
        <v>249891.86853841395</v>
      </c>
      <c r="P44" s="56">
        <f t="shared" si="4"/>
        <v>253383.26791187513</v>
      </c>
      <c r="Q44" s="56">
        <f t="shared" si="4"/>
        <v>256794.70825566136</v>
      </c>
      <c r="R44" s="56">
        <f t="shared" si="4"/>
        <v>260126.18956967455</v>
      </c>
      <c r="S44" s="56">
        <f t="shared" si="4"/>
        <v>263377.71185403736</v>
      </c>
    </row>
    <row r="45" spans="1:19">
      <c r="A45">
        <v>22</v>
      </c>
      <c r="B45">
        <v>0.20116685990093805</v>
      </c>
      <c r="C45" s="56">
        <f>+$B45*C$6</f>
        <v>197301.58109397115</v>
      </c>
      <c r="D45" s="56">
        <f t="shared" si="4"/>
        <v>201654.17157174007</v>
      </c>
      <c r="E45" s="56">
        <f t="shared" si="4"/>
        <v>205928.56925554483</v>
      </c>
      <c r="F45" s="56">
        <f t="shared" si="4"/>
        <v>210124.77414533755</v>
      </c>
      <c r="G45" s="56">
        <f t="shared" si="4"/>
        <v>214242.78624111816</v>
      </c>
      <c r="H45" s="56">
        <f t="shared" si="4"/>
        <v>218282.60554288671</v>
      </c>
      <c r="I45" s="56">
        <f t="shared" si="4"/>
        <v>222244.23205066717</v>
      </c>
      <c r="J45" s="56">
        <f t="shared" si="4"/>
        <v>226127.66576441159</v>
      </c>
      <c r="K45" s="56">
        <f t="shared" si="4"/>
        <v>229932.90668411992</v>
      </c>
      <c r="L45" s="56">
        <f t="shared" si="4"/>
        <v>233659.95480984019</v>
      </c>
      <c r="M45" s="56">
        <f t="shared" si="4"/>
        <v>237308.81014157235</v>
      </c>
      <c r="N45" s="56">
        <f t="shared" si="4"/>
        <v>240879.47267929243</v>
      </c>
      <c r="O45" s="56">
        <f t="shared" si="4"/>
        <v>244371.94242300044</v>
      </c>
      <c r="P45" s="56">
        <f t="shared" si="4"/>
        <v>247786.21937269639</v>
      </c>
      <c r="Q45" s="56">
        <f t="shared" si="4"/>
        <v>251122.30352840424</v>
      </c>
      <c r="R45" s="56">
        <f t="shared" si="4"/>
        <v>254380.19489002807</v>
      </c>
      <c r="S45" s="56">
        <f t="shared" si="4"/>
        <v>257559.89345768778</v>
      </c>
    </row>
    <row r="46" spans="1:19">
      <c r="A46">
        <v>23</v>
      </c>
      <c r="B46">
        <v>0.19528375265835782</v>
      </c>
      <c r="C46" s="56">
        <f>+$B46*C$6</f>
        <v>191531.51359240522</v>
      </c>
      <c r="D46" s="56">
        <f t="shared" si="4"/>
        <v>195756.81294192187</v>
      </c>
      <c r="E46" s="56">
        <f t="shared" si="4"/>
        <v>199906.20623890249</v>
      </c>
      <c r="F46" s="56">
        <f t="shared" si="4"/>
        <v>203979.69348330048</v>
      </c>
      <c r="G46" s="56">
        <f t="shared" si="4"/>
        <v>207977.27467511586</v>
      </c>
      <c r="H46" s="56">
        <f t="shared" si="4"/>
        <v>211898.94981434863</v>
      </c>
      <c r="I46" s="56">
        <f t="shared" si="4"/>
        <v>215744.71890102208</v>
      </c>
      <c r="J46" s="56">
        <f t="shared" si="4"/>
        <v>219514.58193508961</v>
      </c>
      <c r="K46" s="56">
        <f t="shared" si="4"/>
        <v>223208.53891655125</v>
      </c>
      <c r="L46" s="56">
        <f t="shared" si="4"/>
        <v>226826.58984545356</v>
      </c>
      <c r="M46" s="56">
        <f t="shared" si="4"/>
        <v>230368.73472179656</v>
      </c>
      <c r="N46" s="56">
        <f t="shared" si="4"/>
        <v>233834.97354555692</v>
      </c>
      <c r="O46" s="56">
        <f t="shared" si="4"/>
        <v>237225.30631673467</v>
      </c>
      <c r="P46" s="56">
        <f t="shared" si="4"/>
        <v>240539.73303532982</v>
      </c>
      <c r="Q46" s="56">
        <f t="shared" si="4"/>
        <v>243778.25370136561</v>
      </c>
      <c r="R46" s="56">
        <f t="shared" si="4"/>
        <v>246940.86831474898</v>
      </c>
      <c r="S46" s="56">
        <f t="shared" si="4"/>
        <v>250027.57687559628</v>
      </c>
    </row>
    <row r="47" spans="1:19">
      <c r="A47">
        <v>24</v>
      </c>
      <c r="B47">
        <v>0.18856958275152291</v>
      </c>
      <c r="C47" s="56">
        <f>+$B47*C$6</f>
        <v>184946.35170736894</v>
      </c>
      <c r="D47" s="56">
        <f t="shared" si="4"/>
        <v>189026.37846070848</v>
      </c>
      <c r="E47" s="56">
        <f t="shared" si="4"/>
        <v>193033.10893383936</v>
      </c>
      <c r="F47" s="56">
        <f t="shared" si="4"/>
        <v>196966.54312671669</v>
      </c>
      <c r="G47" s="56">
        <f t="shared" si="4"/>
        <v>200826.68103934042</v>
      </c>
      <c r="H47" s="56">
        <f t="shared" si="4"/>
        <v>204613.52267171055</v>
      </c>
      <c r="I47" s="56">
        <f t="shared" si="4"/>
        <v>208327.0680238496</v>
      </c>
      <c r="J47" s="56">
        <f t="shared" si="4"/>
        <v>211967.31709571258</v>
      </c>
      <c r="K47" s="56">
        <f t="shared" si="4"/>
        <v>215534.26988729951</v>
      </c>
      <c r="L47" s="56">
        <f t="shared" si="4"/>
        <v>219027.92639865531</v>
      </c>
      <c r="M47" s="56">
        <f t="shared" si="4"/>
        <v>222448.28662978002</v>
      </c>
      <c r="N47" s="56">
        <f t="shared" si="4"/>
        <v>225795.35058065114</v>
      </c>
      <c r="O47" s="56">
        <f t="shared" si="4"/>
        <v>229069.11825126866</v>
      </c>
      <c r="P47" s="56">
        <f t="shared" si="4"/>
        <v>232269.58964163263</v>
      </c>
      <c r="Q47" s="56">
        <f t="shared" si="4"/>
        <v>235396.76475176547</v>
      </c>
      <c r="R47" s="56">
        <f t="shared" si="4"/>
        <v>238450.64358157729</v>
      </c>
      <c r="S47" s="56">
        <f t="shared" si="4"/>
        <v>241431.22613118051</v>
      </c>
    </row>
    <row r="48" spans="1:19">
      <c r="A48">
        <v>25</v>
      </c>
      <c r="B48">
        <v>0.21089604277821081</v>
      </c>
      <c r="C48" s="56">
        <f>+$B48*C$7</f>
        <v>182149.50890856722</v>
      </c>
      <c r="D48" s="56">
        <f t="shared" ref="D48:S52" si="5">+$B48*D$7</f>
        <v>185350.00965798076</v>
      </c>
      <c r="E48" s="56">
        <f t="shared" si="5"/>
        <v>188688.66650712164</v>
      </c>
      <c r="F48" s="56">
        <f t="shared" si="5"/>
        <v>192165.47945563789</v>
      </c>
      <c r="G48" s="56">
        <f t="shared" si="5"/>
        <v>195780.44850388152</v>
      </c>
      <c r="H48" s="56">
        <f t="shared" si="5"/>
        <v>199533.57365155083</v>
      </c>
      <c r="I48" s="56">
        <f t="shared" si="5"/>
        <v>203424.8548988972</v>
      </c>
      <c r="J48" s="56">
        <f t="shared" si="5"/>
        <v>207454.29224566926</v>
      </c>
      <c r="K48" s="56">
        <f t="shared" si="5"/>
        <v>211621.88569216867</v>
      </c>
      <c r="L48" s="56">
        <f t="shared" si="5"/>
        <v>215927.63523814402</v>
      </c>
      <c r="M48" s="56">
        <f t="shared" si="5"/>
        <v>220371.54088364562</v>
      </c>
      <c r="N48" s="56">
        <f t="shared" si="5"/>
        <v>224953.60262877401</v>
      </c>
      <c r="O48" s="56">
        <f t="shared" si="5"/>
        <v>229673.82047337838</v>
      </c>
      <c r="P48" s="56">
        <f t="shared" si="5"/>
        <v>234532.19441760951</v>
      </c>
      <c r="Q48" s="56">
        <f t="shared" si="5"/>
        <v>239528.7244613166</v>
      </c>
      <c r="R48" s="56">
        <f t="shared" si="5"/>
        <v>244663.4106047008</v>
      </c>
      <c r="S48" s="56">
        <f t="shared" si="5"/>
        <v>249936.25284756091</v>
      </c>
    </row>
    <row r="49" spans="1:19">
      <c r="A49">
        <v>26</v>
      </c>
      <c r="B49">
        <v>0.20332082058974793</v>
      </c>
      <c r="C49" s="56">
        <f>+$B49*C$7</f>
        <v>175606.83990764676</v>
      </c>
      <c r="D49" s="56">
        <f t="shared" si="5"/>
        <v>178692.38115392422</v>
      </c>
      <c r="E49" s="56">
        <f t="shared" si="5"/>
        <v>181911.11604004432</v>
      </c>
      <c r="F49" s="56">
        <f t="shared" si="5"/>
        <v>185263.04456566778</v>
      </c>
      <c r="G49" s="56">
        <f t="shared" si="5"/>
        <v>188748.16673113388</v>
      </c>
      <c r="H49" s="56">
        <f t="shared" si="5"/>
        <v>192366.48253615183</v>
      </c>
      <c r="I49" s="56">
        <f t="shared" si="5"/>
        <v>196117.991980964</v>
      </c>
      <c r="J49" s="56">
        <f t="shared" si="5"/>
        <v>200002.69506532795</v>
      </c>
      <c r="K49" s="56">
        <f t="shared" si="5"/>
        <v>204020.59178953458</v>
      </c>
      <c r="L49" s="56">
        <f t="shared" si="5"/>
        <v>208171.68215334151</v>
      </c>
      <c r="M49" s="56">
        <f t="shared" si="5"/>
        <v>212455.96615679722</v>
      </c>
      <c r="N49" s="56">
        <f t="shared" si="5"/>
        <v>216873.44379999864</v>
      </c>
      <c r="O49" s="56">
        <f t="shared" si="5"/>
        <v>221424.11508280036</v>
      </c>
      <c r="P49" s="56">
        <f t="shared" si="5"/>
        <v>226107.98000534781</v>
      </c>
      <c r="Q49" s="56">
        <f t="shared" si="5"/>
        <v>230925.03856749553</v>
      </c>
      <c r="R49" s="56">
        <f t="shared" si="5"/>
        <v>235875.29076943747</v>
      </c>
      <c r="S49" s="56">
        <f t="shared" si="5"/>
        <v>240958.73661097971</v>
      </c>
    </row>
    <row r="50" spans="1:19">
      <c r="A50">
        <v>27</v>
      </c>
      <c r="B50">
        <v>0.19764494931023435</v>
      </c>
      <c r="C50" s="56">
        <f>+$B50*C$7</f>
        <v>170704.62764907492</v>
      </c>
      <c r="D50" s="56">
        <f t="shared" si="5"/>
        <v>173704.03342289705</v>
      </c>
      <c r="E50" s="56">
        <f t="shared" si="5"/>
        <v>176832.91462436493</v>
      </c>
      <c r="F50" s="56">
        <f t="shared" si="5"/>
        <v>180091.27125314879</v>
      </c>
      <c r="G50" s="56">
        <f t="shared" si="5"/>
        <v>183479.10330957844</v>
      </c>
      <c r="H50" s="56">
        <f t="shared" si="5"/>
        <v>186996.41079337112</v>
      </c>
      <c r="I50" s="56">
        <f t="shared" si="5"/>
        <v>190643.19370476247</v>
      </c>
      <c r="J50" s="56">
        <f t="shared" si="5"/>
        <v>194419.45204351691</v>
      </c>
      <c r="K50" s="56">
        <f t="shared" si="5"/>
        <v>198325.18580991711</v>
      </c>
      <c r="L50" s="56">
        <f t="shared" si="5"/>
        <v>202360.39500372749</v>
      </c>
      <c r="M50" s="56">
        <f t="shared" si="5"/>
        <v>206525.07962499518</v>
      </c>
      <c r="N50" s="56">
        <f t="shared" si="5"/>
        <v>210819.23967381442</v>
      </c>
      <c r="O50" s="56">
        <f t="shared" si="5"/>
        <v>215242.87515004384</v>
      </c>
      <c r="P50" s="56">
        <f t="shared" si="5"/>
        <v>219795.9860538248</v>
      </c>
      <c r="Q50" s="56">
        <f t="shared" si="5"/>
        <v>224478.57238501593</v>
      </c>
      <c r="R50" s="56">
        <f t="shared" si="5"/>
        <v>229290.63414380574</v>
      </c>
      <c r="S50" s="56">
        <f t="shared" si="5"/>
        <v>234232.17133000575</v>
      </c>
    </row>
    <row r="51" spans="1:19">
      <c r="A51">
        <v>28</v>
      </c>
      <c r="B51">
        <v>0.19461692382529891</v>
      </c>
      <c r="C51" s="56">
        <f>+$B51*C$7</f>
        <v>168089.34218530895</v>
      </c>
      <c r="D51" s="56">
        <f t="shared" si="5"/>
        <v>171042.79547132659</v>
      </c>
      <c r="E51" s="56">
        <f t="shared" si="5"/>
        <v>174123.74055274468</v>
      </c>
      <c r="F51" s="56">
        <f t="shared" si="5"/>
        <v>177332.17742923836</v>
      </c>
      <c r="G51" s="56">
        <f t="shared" si="5"/>
        <v>180668.10610113249</v>
      </c>
      <c r="H51" s="56">
        <f t="shared" si="5"/>
        <v>184131.52656814866</v>
      </c>
      <c r="I51" s="56">
        <f t="shared" si="5"/>
        <v>187722.43883051883</v>
      </c>
      <c r="J51" s="56">
        <f t="shared" si="5"/>
        <v>191440.84288801104</v>
      </c>
      <c r="K51" s="56">
        <f t="shared" si="5"/>
        <v>195286.7387409037</v>
      </c>
      <c r="L51" s="56">
        <f t="shared" si="5"/>
        <v>199260.12638896477</v>
      </c>
      <c r="M51" s="56">
        <f t="shared" si="5"/>
        <v>203361.00583224068</v>
      </c>
      <c r="N51" s="56">
        <f t="shared" si="5"/>
        <v>207589.37707082421</v>
      </c>
      <c r="O51" s="56">
        <f t="shared" si="5"/>
        <v>211945.24010457617</v>
      </c>
      <c r="P51" s="56">
        <f t="shared" si="5"/>
        <v>216428.59493363576</v>
      </c>
      <c r="Q51" s="56">
        <f t="shared" si="5"/>
        <v>221039.44155786379</v>
      </c>
      <c r="R51" s="56">
        <f t="shared" si="5"/>
        <v>225777.77997744581</v>
      </c>
      <c r="S51" s="56">
        <f t="shared" si="5"/>
        <v>230643.6101921963</v>
      </c>
    </row>
    <row r="52" spans="1:19">
      <c r="A52">
        <v>29</v>
      </c>
      <c r="B52">
        <v>0.19352126349650797</v>
      </c>
      <c r="C52" s="56">
        <f>+$B52*C$7</f>
        <v>167143.02764952721</v>
      </c>
      <c r="D52" s="56">
        <f t="shared" si="5"/>
        <v>170079.85349362038</v>
      </c>
      <c r="E52" s="56">
        <f t="shared" si="5"/>
        <v>173143.45337589266</v>
      </c>
      <c r="F52" s="56">
        <f t="shared" si="5"/>
        <v>176333.82729602105</v>
      </c>
      <c r="G52" s="56">
        <f t="shared" si="5"/>
        <v>179650.97525432857</v>
      </c>
      <c r="H52" s="56">
        <f t="shared" si="5"/>
        <v>183094.89725053834</v>
      </c>
      <c r="I52" s="56">
        <f t="shared" si="5"/>
        <v>186665.59328488112</v>
      </c>
      <c r="J52" s="56">
        <f t="shared" si="5"/>
        <v>190363.06335712614</v>
      </c>
      <c r="K52" s="56">
        <f t="shared" si="5"/>
        <v>194187.3074675503</v>
      </c>
      <c r="L52" s="56">
        <f t="shared" si="5"/>
        <v>198138.32561592286</v>
      </c>
      <c r="M52" s="56">
        <f t="shared" si="5"/>
        <v>202216.11780228998</v>
      </c>
      <c r="N52" s="56">
        <f t="shared" si="5"/>
        <v>206420.68402674393</v>
      </c>
      <c r="O52" s="56">
        <f t="shared" si="5"/>
        <v>210752.0242891463</v>
      </c>
      <c r="P52" s="56">
        <f t="shared" si="5"/>
        <v>215210.13858963552</v>
      </c>
      <c r="Q52" s="56">
        <f t="shared" si="5"/>
        <v>219795.02692807312</v>
      </c>
      <c r="R52" s="56">
        <f t="shared" si="5"/>
        <v>224506.68930464372</v>
      </c>
      <c r="S52" s="56">
        <f t="shared" si="5"/>
        <v>229345.12571916272</v>
      </c>
    </row>
    <row r="53" spans="1:19">
      <c r="A53">
        <v>30</v>
      </c>
      <c r="B53">
        <v>0.20328615199309047</v>
      </c>
      <c r="C53" s="56">
        <f>+$B53*C$8</f>
        <v>159414.38723079753</v>
      </c>
      <c r="D53" s="56">
        <f t="shared" ref="D53:S57" si="6">+$B53*D$8</f>
        <v>163182.81175430529</v>
      </c>
      <c r="E53" s="56">
        <f t="shared" si="6"/>
        <v>167007.69473751434</v>
      </c>
      <c r="F53" s="56">
        <f t="shared" si="6"/>
        <v>170889.03618042465</v>
      </c>
      <c r="G53" s="56">
        <f t="shared" si="6"/>
        <v>174826.83608303621</v>
      </c>
      <c r="H53" s="56">
        <f t="shared" si="6"/>
        <v>178821.09444539752</v>
      </c>
      <c r="I53" s="56">
        <f t="shared" si="6"/>
        <v>182871.81126741163</v>
      </c>
      <c r="J53" s="56">
        <f t="shared" si="6"/>
        <v>186978.98654915125</v>
      </c>
      <c r="K53" s="56">
        <f t="shared" si="6"/>
        <v>191142.62029061635</v>
      </c>
      <c r="L53" s="56">
        <f t="shared" si="6"/>
        <v>195362.71249178273</v>
      </c>
      <c r="M53" s="56">
        <f t="shared" si="6"/>
        <v>199639.26315265038</v>
      </c>
      <c r="N53" s="56">
        <f t="shared" si="6"/>
        <v>203972.27227319506</v>
      </c>
      <c r="O53" s="56">
        <f t="shared" si="6"/>
        <v>208361.73985348947</v>
      </c>
      <c r="P53" s="56">
        <f t="shared" si="6"/>
        <v>212807.66589348513</v>
      </c>
      <c r="Q53" s="56">
        <f t="shared" si="6"/>
        <v>217310.05039315784</v>
      </c>
      <c r="R53" s="56">
        <f t="shared" si="6"/>
        <v>221868.89335255607</v>
      </c>
      <c r="S53" s="56">
        <f t="shared" si="6"/>
        <v>226484.19477167979</v>
      </c>
    </row>
    <row r="54" spans="1:19">
      <c r="A54">
        <v>31</v>
      </c>
      <c r="B54">
        <v>0.20213547155884315</v>
      </c>
      <c r="C54" s="56">
        <f>+$B54*C$8</f>
        <v>158512.03842579757</v>
      </c>
      <c r="D54" s="56">
        <f t="shared" si="6"/>
        <v>162259.1321684104</v>
      </c>
      <c r="E54" s="56">
        <f t="shared" si="6"/>
        <v>166062.36479339821</v>
      </c>
      <c r="F54" s="56">
        <f t="shared" si="6"/>
        <v>169921.73630076103</v>
      </c>
      <c r="G54" s="56">
        <f t="shared" si="6"/>
        <v>173837.24669049878</v>
      </c>
      <c r="H54" s="56">
        <f t="shared" si="6"/>
        <v>177808.89596265974</v>
      </c>
      <c r="I54" s="56">
        <f t="shared" si="6"/>
        <v>181836.68411714747</v>
      </c>
      <c r="J54" s="56">
        <f t="shared" si="6"/>
        <v>185920.61115403424</v>
      </c>
      <c r="K54" s="56">
        <f t="shared" si="6"/>
        <v>190060.67707332011</v>
      </c>
      <c r="L54" s="56">
        <f t="shared" si="6"/>
        <v>194256.88187498096</v>
      </c>
      <c r="M54" s="56">
        <f t="shared" si="6"/>
        <v>198509.22555901678</v>
      </c>
      <c r="N54" s="56">
        <f t="shared" si="6"/>
        <v>202817.70812540347</v>
      </c>
      <c r="O54" s="56">
        <f t="shared" si="6"/>
        <v>207182.32957421333</v>
      </c>
      <c r="P54" s="56">
        <f t="shared" si="6"/>
        <v>211603.08990539817</v>
      </c>
      <c r="Q54" s="56">
        <f t="shared" si="6"/>
        <v>216079.98911893391</v>
      </c>
      <c r="R54" s="56">
        <f t="shared" si="6"/>
        <v>220613.02721486869</v>
      </c>
      <c r="S54" s="56">
        <f t="shared" si="6"/>
        <v>225202.20419320255</v>
      </c>
    </row>
    <row r="55" spans="1:19">
      <c r="A55">
        <v>32</v>
      </c>
      <c r="B55">
        <v>0.20063692363384555</v>
      </c>
      <c r="C55" s="56">
        <f>+$B55*C$8</f>
        <v>157336.89640624871</v>
      </c>
      <c r="D55" s="56">
        <f t="shared" si="6"/>
        <v>161056.2107615553</v>
      </c>
      <c r="E55" s="56">
        <f t="shared" si="6"/>
        <v>164831.24780902025</v>
      </c>
      <c r="F55" s="56">
        <f t="shared" si="6"/>
        <v>168662.00754864357</v>
      </c>
      <c r="G55" s="56">
        <f t="shared" si="6"/>
        <v>172548.48998042525</v>
      </c>
      <c r="H55" s="56">
        <f t="shared" si="6"/>
        <v>176490.69510441308</v>
      </c>
      <c r="I55" s="56">
        <f t="shared" si="6"/>
        <v>180488.62292051147</v>
      </c>
      <c r="J55" s="56">
        <f t="shared" si="6"/>
        <v>184542.2734287921</v>
      </c>
      <c r="K55" s="56">
        <f t="shared" si="6"/>
        <v>188651.64662925503</v>
      </c>
      <c r="L55" s="56">
        <f t="shared" si="6"/>
        <v>192816.74252187629</v>
      </c>
      <c r="M55" s="56">
        <f t="shared" si="6"/>
        <v>197037.56110665595</v>
      </c>
      <c r="N55" s="56">
        <f t="shared" si="6"/>
        <v>201314.10238357002</v>
      </c>
      <c r="O55" s="56">
        <f t="shared" si="6"/>
        <v>205646.36635269027</v>
      </c>
      <c r="P55" s="56">
        <f t="shared" si="6"/>
        <v>210034.35301396888</v>
      </c>
      <c r="Q55" s="56">
        <f t="shared" si="6"/>
        <v>214478.06236738194</v>
      </c>
      <c r="R55" s="56">
        <f t="shared" si="6"/>
        <v>218977.49441297725</v>
      </c>
      <c r="S55" s="56">
        <f t="shared" si="6"/>
        <v>223532.64915075485</v>
      </c>
    </row>
    <row r="56" spans="1:19">
      <c r="A56">
        <v>33</v>
      </c>
      <c r="B56">
        <v>0.19841546357963258</v>
      </c>
      <c r="C56" s="56">
        <f>+$B56*C$8</f>
        <v>155594.85598771548</v>
      </c>
      <c r="D56" s="56">
        <f t="shared" si="6"/>
        <v>159272.9899455173</v>
      </c>
      <c r="E56" s="56">
        <f t="shared" si="6"/>
        <v>163006.22963159817</v>
      </c>
      <c r="F56" s="56">
        <f t="shared" si="6"/>
        <v>166794.57504595804</v>
      </c>
      <c r="G56" s="56">
        <f t="shared" si="6"/>
        <v>170638.02618859694</v>
      </c>
      <c r="H56" s="56">
        <f t="shared" si="6"/>
        <v>174536.58305956217</v>
      </c>
      <c r="I56" s="56">
        <f t="shared" si="6"/>
        <v>178490.24565875909</v>
      </c>
      <c r="J56" s="56">
        <f t="shared" si="6"/>
        <v>182499.01398625871</v>
      </c>
      <c r="K56" s="56">
        <f t="shared" si="6"/>
        <v>186562.88804206098</v>
      </c>
      <c r="L56" s="56">
        <f t="shared" si="6"/>
        <v>190681.86782614229</v>
      </c>
      <c r="M56" s="56">
        <f t="shared" si="6"/>
        <v>194855.95333850262</v>
      </c>
      <c r="N56" s="56">
        <f t="shared" si="6"/>
        <v>199085.14457911829</v>
      </c>
      <c r="O56" s="56">
        <f t="shared" si="6"/>
        <v>203369.44154806031</v>
      </c>
      <c r="P56" s="56">
        <f t="shared" si="6"/>
        <v>207708.84424528136</v>
      </c>
      <c r="Q56" s="56">
        <f t="shared" si="6"/>
        <v>212103.35267075777</v>
      </c>
      <c r="R56" s="56">
        <f t="shared" si="6"/>
        <v>216552.96682453682</v>
      </c>
      <c r="S56" s="56">
        <f t="shared" si="6"/>
        <v>221057.68670661858</v>
      </c>
    </row>
    <row r="57" spans="1:19">
      <c r="A57">
        <v>34</v>
      </c>
      <c r="B57">
        <v>0.19552598923458825</v>
      </c>
      <c r="C57" s="56">
        <f>+$B57*C$8</f>
        <v>153328.96734936882</v>
      </c>
      <c r="D57" s="56">
        <f t="shared" si="6"/>
        <v>156953.53757016666</v>
      </c>
      <c r="E57" s="56">
        <f t="shared" si="6"/>
        <v>160632.41102842323</v>
      </c>
      <c r="F57" s="56">
        <f t="shared" si="6"/>
        <v>164365.58772413855</v>
      </c>
      <c r="G57" s="56">
        <f t="shared" si="6"/>
        <v>168153.06765731255</v>
      </c>
      <c r="H57" s="56">
        <f t="shared" si="6"/>
        <v>171994.8508279919</v>
      </c>
      <c r="I57" s="56">
        <f t="shared" si="6"/>
        <v>175890.93723608338</v>
      </c>
      <c r="J57" s="56">
        <f t="shared" si="6"/>
        <v>179841.32688165689</v>
      </c>
      <c r="K57" s="56">
        <f t="shared" si="6"/>
        <v>183846.01976471243</v>
      </c>
      <c r="L57" s="56">
        <f t="shared" si="6"/>
        <v>187905.01588522669</v>
      </c>
      <c r="M57" s="56">
        <f t="shared" si="6"/>
        <v>192018.31524319967</v>
      </c>
      <c r="N57" s="56">
        <f t="shared" si="6"/>
        <v>196185.91783860806</v>
      </c>
      <c r="O57" s="56">
        <f t="shared" si="6"/>
        <v>200407.82367152182</v>
      </c>
      <c r="P57" s="56">
        <f t="shared" si="6"/>
        <v>204684.03274189431</v>
      </c>
      <c r="Q57" s="56">
        <f t="shared" si="6"/>
        <v>209014.54504970217</v>
      </c>
      <c r="R57" s="56">
        <f t="shared" si="6"/>
        <v>213399.36059499209</v>
      </c>
      <c r="S57" s="56">
        <f t="shared" si="6"/>
        <v>217838.47937776407</v>
      </c>
    </row>
    <row r="58" spans="1:19">
      <c r="A58">
        <v>35</v>
      </c>
      <c r="B58">
        <v>0.20945509508823928</v>
      </c>
      <c r="C58" s="56">
        <f>+$B58*C$9</f>
        <v>147849.38563094154</v>
      </c>
      <c r="D58" s="56">
        <f t="shared" ref="D58:S62" si="7">+$B58*D$9</f>
        <v>152187.00661108008</v>
      </c>
      <c r="E58" s="56">
        <f t="shared" si="7"/>
        <v>156394.94514464404</v>
      </c>
      <c r="F58" s="56">
        <f t="shared" si="7"/>
        <v>160473.20123173323</v>
      </c>
      <c r="G58" s="56">
        <f t="shared" si="7"/>
        <v>164421.77487234771</v>
      </c>
      <c r="H58" s="56">
        <f t="shared" si="7"/>
        <v>168240.66606658732</v>
      </c>
      <c r="I58" s="56">
        <f t="shared" si="7"/>
        <v>171929.8748142024</v>
      </c>
      <c r="J58" s="56">
        <f t="shared" si="7"/>
        <v>175489.40111534274</v>
      </c>
      <c r="K58" s="56">
        <f t="shared" si="7"/>
        <v>178919.24497000835</v>
      </c>
      <c r="L58" s="56">
        <f t="shared" si="7"/>
        <v>182219.40637829909</v>
      </c>
      <c r="M58" s="56">
        <f t="shared" si="7"/>
        <v>185389.88534001523</v>
      </c>
      <c r="N58" s="56">
        <f t="shared" si="7"/>
        <v>188430.68185525664</v>
      </c>
      <c r="O58" s="56">
        <f t="shared" si="7"/>
        <v>191341.79592397338</v>
      </c>
      <c r="P58" s="56">
        <f t="shared" si="7"/>
        <v>194123.22754631523</v>
      </c>
      <c r="Q58" s="56">
        <f t="shared" si="7"/>
        <v>196774.9767220825</v>
      </c>
      <c r="R58" s="56">
        <f t="shared" si="7"/>
        <v>199297.04345137504</v>
      </c>
      <c r="S58" s="56">
        <f t="shared" si="7"/>
        <v>201689.42773419284</v>
      </c>
    </row>
    <row r="59" spans="1:19">
      <c r="A59">
        <v>36</v>
      </c>
      <c r="B59">
        <v>0.20637779050475588</v>
      </c>
      <c r="C59" s="56">
        <f>+$B59*C$9</f>
        <v>145677.18928558347</v>
      </c>
      <c r="D59" s="56">
        <f t="shared" si="7"/>
        <v>149951.08213861214</v>
      </c>
      <c r="E59" s="56">
        <f t="shared" si="7"/>
        <v>154097.19783358197</v>
      </c>
      <c r="F59" s="56">
        <f t="shared" si="7"/>
        <v>158115.53637059138</v>
      </c>
      <c r="G59" s="56">
        <f t="shared" si="7"/>
        <v>162006.09774964035</v>
      </c>
      <c r="H59" s="56">
        <f t="shared" si="7"/>
        <v>165768.88197082732</v>
      </c>
      <c r="I59" s="56">
        <f t="shared" si="7"/>
        <v>169403.88903390625</v>
      </c>
      <c r="J59" s="56">
        <f t="shared" si="7"/>
        <v>172911.11893902472</v>
      </c>
      <c r="K59" s="56">
        <f t="shared" si="7"/>
        <v>176290.57168618278</v>
      </c>
      <c r="L59" s="56">
        <f t="shared" si="7"/>
        <v>179542.24727547882</v>
      </c>
      <c r="M59" s="56">
        <f t="shared" si="7"/>
        <v>182666.14570671602</v>
      </c>
      <c r="N59" s="56">
        <f t="shared" si="7"/>
        <v>185662.2669799928</v>
      </c>
      <c r="O59" s="56">
        <f t="shared" si="7"/>
        <v>188530.61109525993</v>
      </c>
      <c r="P59" s="56">
        <f t="shared" si="7"/>
        <v>191271.17805266505</v>
      </c>
      <c r="Q59" s="56">
        <f t="shared" si="7"/>
        <v>193883.96785201132</v>
      </c>
      <c r="R59" s="56">
        <f t="shared" si="7"/>
        <v>196368.98049339716</v>
      </c>
      <c r="S59" s="56">
        <f t="shared" si="7"/>
        <v>198726.2159768226</v>
      </c>
    </row>
    <row r="60" spans="1:19">
      <c r="A60">
        <v>37</v>
      </c>
      <c r="B60">
        <v>0.20177364216592175</v>
      </c>
      <c r="C60" s="56">
        <f>+$B60*C$9</f>
        <v>142427.23013341497</v>
      </c>
      <c r="D60" s="56">
        <f t="shared" si="7"/>
        <v>146605.77533962808</v>
      </c>
      <c r="E60" s="56">
        <f t="shared" si="7"/>
        <v>150659.39400939512</v>
      </c>
      <c r="F60" s="56">
        <f t="shared" si="7"/>
        <v>154588.08614281239</v>
      </c>
      <c r="G60" s="56">
        <f t="shared" si="7"/>
        <v>158391.85173987984</v>
      </c>
      <c r="H60" s="56">
        <f t="shared" si="7"/>
        <v>162070.6908006937</v>
      </c>
      <c r="I60" s="56">
        <f t="shared" si="7"/>
        <v>165624.60332501342</v>
      </c>
      <c r="J60" s="56">
        <f t="shared" si="7"/>
        <v>169053.58931298333</v>
      </c>
      <c r="K60" s="56">
        <f t="shared" si="7"/>
        <v>172357.64876460342</v>
      </c>
      <c r="L60" s="56">
        <f t="shared" si="7"/>
        <v>175536.78167996992</v>
      </c>
      <c r="M60" s="56">
        <f t="shared" si="7"/>
        <v>178590.98805889039</v>
      </c>
      <c r="N60" s="56">
        <f t="shared" si="7"/>
        <v>181520.26790146108</v>
      </c>
      <c r="O60" s="56">
        <f t="shared" si="7"/>
        <v>184324.62120763381</v>
      </c>
      <c r="P60" s="56">
        <f t="shared" si="7"/>
        <v>187004.04797755295</v>
      </c>
      <c r="Q60" s="56">
        <f t="shared" si="7"/>
        <v>189558.54821102609</v>
      </c>
      <c r="R60" s="56">
        <f t="shared" si="7"/>
        <v>191988.12190814939</v>
      </c>
      <c r="S60" s="56">
        <f t="shared" si="7"/>
        <v>194292.76906892291</v>
      </c>
    </row>
    <row r="61" spans="1:19">
      <c r="A61">
        <v>38</v>
      </c>
      <c r="B61">
        <v>0.19518506928658727</v>
      </c>
      <c r="C61" s="56">
        <f>+$B61*C$9</f>
        <v>137776.51274702762</v>
      </c>
      <c r="D61" s="56">
        <f t="shared" si="7"/>
        <v>141818.61471256171</v>
      </c>
      <c r="E61" s="56">
        <f t="shared" si="7"/>
        <v>145739.86940384228</v>
      </c>
      <c r="F61" s="56">
        <f t="shared" si="7"/>
        <v>149540.27682096243</v>
      </c>
      <c r="G61" s="56">
        <f t="shared" si="7"/>
        <v>153219.83696392219</v>
      </c>
      <c r="H61" s="56">
        <f t="shared" si="7"/>
        <v>156778.54983281458</v>
      </c>
      <c r="I61" s="56">
        <f t="shared" si="7"/>
        <v>160216.41542740696</v>
      </c>
      <c r="J61" s="56">
        <f t="shared" si="7"/>
        <v>163533.43374783892</v>
      </c>
      <c r="K61" s="56">
        <f t="shared" si="7"/>
        <v>166729.60479411043</v>
      </c>
      <c r="L61" s="56">
        <f t="shared" si="7"/>
        <v>169804.92856631463</v>
      </c>
      <c r="M61" s="56">
        <f t="shared" si="7"/>
        <v>172759.40506426533</v>
      </c>
      <c r="N61" s="56">
        <f t="shared" si="7"/>
        <v>175593.03428805561</v>
      </c>
      <c r="O61" s="56">
        <f t="shared" si="7"/>
        <v>178305.81623763894</v>
      </c>
      <c r="P61" s="56">
        <f t="shared" si="7"/>
        <v>180897.75091315492</v>
      </c>
      <c r="Q61" s="56">
        <f t="shared" si="7"/>
        <v>183368.8383144174</v>
      </c>
      <c r="R61" s="56">
        <f t="shared" si="7"/>
        <v>185719.07844151946</v>
      </c>
      <c r="S61" s="56">
        <f t="shared" si="7"/>
        <v>187948.47129446114</v>
      </c>
    </row>
    <row r="62" spans="1:19">
      <c r="A62">
        <v>39</v>
      </c>
      <c r="B62">
        <v>0.18720840295449581</v>
      </c>
      <c r="C62" s="56">
        <f>+$B62*C$9</f>
        <v>132145.97310278597</v>
      </c>
      <c r="D62" s="56">
        <f t="shared" si="7"/>
        <v>136022.88569816379</v>
      </c>
      <c r="E62" s="56">
        <f t="shared" si="7"/>
        <v>139783.88970843778</v>
      </c>
      <c r="F62" s="56">
        <f t="shared" si="7"/>
        <v>143428.98513369722</v>
      </c>
      <c r="G62" s="56">
        <f t="shared" si="7"/>
        <v>146958.17197394211</v>
      </c>
      <c r="H62" s="56">
        <f t="shared" si="7"/>
        <v>150371.45022926171</v>
      </c>
      <c r="I62" s="56">
        <f t="shared" si="7"/>
        <v>153668.81989943286</v>
      </c>
      <c r="J62" s="56">
        <f t="shared" si="7"/>
        <v>156850.28098458942</v>
      </c>
      <c r="K62" s="56">
        <f t="shared" si="7"/>
        <v>159915.83348473147</v>
      </c>
      <c r="L62" s="56">
        <f t="shared" si="7"/>
        <v>162865.47739994823</v>
      </c>
      <c r="M62" s="56">
        <f t="shared" si="7"/>
        <v>165699.21273006115</v>
      </c>
      <c r="N62" s="56">
        <f t="shared" si="7"/>
        <v>168417.03947515952</v>
      </c>
      <c r="O62" s="56">
        <f t="shared" si="7"/>
        <v>171018.95763519869</v>
      </c>
      <c r="P62" s="56">
        <f t="shared" si="7"/>
        <v>173504.96721031261</v>
      </c>
      <c r="Q62" s="56">
        <f t="shared" si="7"/>
        <v>175875.06820032268</v>
      </c>
      <c r="R62" s="56">
        <f t="shared" si="7"/>
        <v>178129.26060531821</v>
      </c>
      <c r="S62" s="56">
        <f t="shared" si="7"/>
        <v>180267.54442529919</v>
      </c>
    </row>
    <row r="63" spans="1:19">
      <c r="A63">
        <v>40</v>
      </c>
      <c r="B63">
        <v>0.21669227880146677</v>
      </c>
      <c r="C63" s="56">
        <f>+$B63*C$10</f>
        <v>128762.84664476072</v>
      </c>
      <c r="D63" s="56">
        <f t="shared" ref="D63:S67" si="8">+$B63*D$10</f>
        <v>134335.28160187192</v>
      </c>
      <c r="E63" s="56">
        <f t="shared" si="8"/>
        <v>139684.48806101936</v>
      </c>
      <c r="F63" s="56">
        <f t="shared" si="8"/>
        <v>144810.46602225481</v>
      </c>
      <c r="G63" s="56">
        <f t="shared" si="8"/>
        <v>149713.21548531984</v>
      </c>
      <c r="H63" s="56">
        <f t="shared" si="8"/>
        <v>154392.73645047285</v>
      </c>
      <c r="I63" s="56">
        <f t="shared" si="8"/>
        <v>158849.02891750715</v>
      </c>
      <c r="J63" s="56">
        <f t="shared" si="8"/>
        <v>163082.09288652605</v>
      </c>
      <c r="K63" s="56">
        <f t="shared" si="8"/>
        <v>167091.92835763292</v>
      </c>
      <c r="L63" s="56">
        <f t="shared" si="8"/>
        <v>170878.53533062109</v>
      </c>
      <c r="M63" s="56">
        <f t="shared" si="8"/>
        <v>174441.91380559385</v>
      </c>
      <c r="N63" s="56">
        <f t="shared" si="8"/>
        <v>177782.06378260293</v>
      </c>
      <c r="O63" s="56">
        <f t="shared" si="8"/>
        <v>180898.98526149328</v>
      </c>
      <c r="P63" s="56">
        <f t="shared" si="8"/>
        <v>183792.67824252325</v>
      </c>
      <c r="Q63" s="56">
        <f t="shared" si="8"/>
        <v>186463.14272538284</v>
      </c>
      <c r="R63" s="56">
        <f t="shared" si="8"/>
        <v>188910.37871022706</v>
      </c>
      <c r="S63" s="56">
        <f t="shared" si="8"/>
        <v>191134.38619710758</v>
      </c>
    </row>
    <row r="64" spans="1:19">
      <c r="A64">
        <v>41</v>
      </c>
      <c r="B64">
        <v>0.20663688778157818</v>
      </c>
      <c r="C64" s="56">
        <f>+$B64*C$10</f>
        <v>122787.73401495964</v>
      </c>
      <c r="D64" s="56">
        <f t="shared" si="8"/>
        <v>128101.58563566139</v>
      </c>
      <c r="E64" s="56">
        <f t="shared" si="8"/>
        <v>133202.56745620916</v>
      </c>
      <c r="F64" s="56">
        <f t="shared" si="8"/>
        <v>138090.67947665221</v>
      </c>
      <c r="G64" s="56">
        <f t="shared" si="8"/>
        <v>142765.92169674422</v>
      </c>
      <c r="H64" s="56">
        <f t="shared" si="8"/>
        <v>147228.2941167315</v>
      </c>
      <c r="I64" s="56">
        <f t="shared" si="8"/>
        <v>151477.79673641702</v>
      </c>
      <c r="J64" s="56">
        <f t="shared" si="8"/>
        <v>155514.42955589929</v>
      </c>
      <c r="K64" s="56">
        <f t="shared" si="8"/>
        <v>159338.19257527686</v>
      </c>
      <c r="L64" s="56">
        <f t="shared" si="8"/>
        <v>162949.08579435264</v>
      </c>
      <c r="M64" s="56">
        <f t="shared" si="8"/>
        <v>166347.10921322519</v>
      </c>
      <c r="N64" s="56">
        <f t="shared" si="8"/>
        <v>169532.26283194375</v>
      </c>
      <c r="O64" s="56">
        <f t="shared" si="8"/>
        <v>172504.54665036051</v>
      </c>
      <c r="P64" s="56">
        <f t="shared" si="8"/>
        <v>175263.96066872185</v>
      </c>
      <c r="Q64" s="56">
        <f t="shared" si="8"/>
        <v>177810.50488673215</v>
      </c>
      <c r="R64" s="56">
        <f t="shared" si="8"/>
        <v>180144.1793045392</v>
      </c>
      <c r="S64" s="56">
        <f t="shared" si="8"/>
        <v>182264.98392219224</v>
      </c>
    </row>
    <row r="65" spans="1:19">
      <c r="A65">
        <v>42</v>
      </c>
      <c r="B65">
        <v>0.1980501328868412</v>
      </c>
      <c r="C65" s="56">
        <f>+$B65*C$10</f>
        <v>117685.31407732925</v>
      </c>
      <c r="D65" s="56">
        <f t="shared" si="8"/>
        <v>122778.34964769348</v>
      </c>
      <c r="E65" s="56">
        <f t="shared" si="8"/>
        <v>127667.36118023607</v>
      </c>
      <c r="F65" s="56">
        <f t="shared" si="8"/>
        <v>132352.34867500426</v>
      </c>
      <c r="G65" s="56">
        <f t="shared" si="8"/>
        <v>136833.31213176195</v>
      </c>
      <c r="H65" s="56">
        <f t="shared" si="8"/>
        <v>141110.25155074525</v>
      </c>
      <c r="I65" s="56">
        <f t="shared" si="8"/>
        <v>145183.16693176527</v>
      </c>
      <c r="J65" s="56">
        <f t="shared" si="8"/>
        <v>149052.05827491646</v>
      </c>
      <c r="K65" s="56">
        <f t="shared" si="8"/>
        <v>152716.92558029323</v>
      </c>
      <c r="L65" s="56">
        <f t="shared" si="8"/>
        <v>156177.76884770673</v>
      </c>
      <c r="M65" s="56">
        <f t="shared" si="8"/>
        <v>159434.58807725136</v>
      </c>
      <c r="N65" s="56">
        <f t="shared" si="8"/>
        <v>162487.3832689744</v>
      </c>
      <c r="O65" s="56">
        <f t="shared" si="8"/>
        <v>165336.15442273417</v>
      </c>
      <c r="P65" s="56">
        <f t="shared" si="8"/>
        <v>167980.90153876672</v>
      </c>
      <c r="Q65" s="56">
        <f t="shared" si="8"/>
        <v>170421.62461678879</v>
      </c>
      <c r="R65" s="56">
        <f t="shared" si="8"/>
        <v>172658.32365694203</v>
      </c>
      <c r="S65" s="56">
        <f t="shared" si="8"/>
        <v>174690.99865927364</v>
      </c>
    </row>
    <row r="66" spans="1:19">
      <c r="A66">
        <v>43</v>
      </c>
      <c r="B66">
        <v>0.19168891004119923</v>
      </c>
      <c r="C66" s="56">
        <f>+$B66*C$10</f>
        <v>113905.34939064564</v>
      </c>
      <c r="D66" s="56">
        <f t="shared" si="8"/>
        <v>118834.80044959538</v>
      </c>
      <c r="E66" s="56">
        <f t="shared" si="8"/>
        <v>123566.78057094883</v>
      </c>
      <c r="F66" s="56">
        <f t="shared" si="8"/>
        <v>128101.28975475172</v>
      </c>
      <c r="G66" s="56">
        <f t="shared" si="8"/>
        <v>132438.32800077551</v>
      </c>
      <c r="H66" s="56">
        <f t="shared" si="8"/>
        <v>136577.89530924876</v>
      </c>
      <c r="I66" s="56">
        <f t="shared" si="8"/>
        <v>140519.9916799886</v>
      </c>
      <c r="J66" s="56">
        <f t="shared" si="8"/>
        <v>144264.61711308648</v>
      </c>
      <c r="K66" s="56">
        <f t="shared" si="8"/>
        <v>147811.7716086338</v>
      </c>
      <c r="L66" s="56">
        <f t="shared" si="8"/>
        <v>151161.45516644773</v>
      </c>
      <c r="M66" s="56">
        <f t="shared" si="8"/>
        <v>154313.66778661968</v>
      </c>
      <c r="N66" s="56">
        <f t="shared" si="8"/>
        <v>157268.40946919535</v>
      </c>
      <c r="O66" s="56">
        <f t="shared" si="8"/>
        <v>160025.68021403765</v>
      </c>
      <c r="P66" s="56">
        <f t="shared" si="8"/>
        <v>162585.48002137509</v>
      </c>
      <c r="Q66" s="56">
        <f t="shared" si="8"/>
        <v>164947.80889093343</v>
      </c>
      <c r="R66" s="56">
        <f t="shared" si="8"/>
        <v>167112.6668228498</v>
      </c>
      <c r="S66" s="56">
        <f t="shared" si="8"/>
        <v>169080.05381716989</v>
      </c>
    </row>
    <row r="67" spans="1:19">
      <c r="A67">
        <v>44</v>
      </c>
      <c r="B67">
        <v>0.18693179048891462</v>
      </c>
      <c r="C67" s="56">
        <f>+$B67*C$10</f>
        <v>111078.57467227727</v>
      </c>
      <c r="D67" s="56">
        <f t="shared" si="8"/>
        <v>115885.69216477541</v>
      </c>
      <c r="E67" s="56">
        <f t="shared" si="8"/>
        <v>120500.23933107959</v>
      </c>
      <c r="F67" s="56">
        <f t="shared" si="8"/>
        <v>124922.2161712344</v>
      </c>
      <c r="G67" s="56">
        <f t="shared" si="8"/>
        <v>129151.62268501698</v>
      </c>
      <c r="H67" s="56">
        <f t="shared" si="8"/>
        <v>133188.45887265017</v>
      </c>
      <c r="I67" s="56">
        <f t="shared" si="8"/>
        <v>137032.72473395572</v>
      </c>
      <c r="J67" s="56">
        <f t="shared" si="8"/>
        <v>140684.42026902275</v>
      </c>
      <c r="K67" s="56">
        <f t="shared" si="8"/>
        <v>144143.54547794041</v>
      </c>
      <c r="L67" s="56">
        <f t="shared" si="8"/>
        <v>147410.10036053043</v>
      </c>
      <c r="M67" s="56">
        <f t="shared" si="8"/>
        <v>150484.0849168819</v>
      </c>
      <c r="N67" s="56">
        <f t="shared" si="8"/>
        <v>153365.49914703943</v>
      </c>
      <c r="O67" s="56">
        <f t="shared" si="8"/>
        <v>156054.34305086933</v>
      </c>
      <c r="P67" s="56">
        <f t="shared" si="8"/>
        <v>158550.61662859441</v>
      </c>
      <c r="Q67" s="56">
        <f t="shared" si="8"/>
        <v>160854.31987994726</v>
      </c>
      <c r="R67" s="56">
        <f t="shared" si="8"/>
        <v>162965.45280506159</v>
      </c>
      <c r="S67" s="56">
        <f t="shared" si="8"/>
        <v>164884.01540398199</v>
      </c>
    </row>
    <row r="68" spans="1:19">
      <c r="A68">
        <v>45</v>
      </c>
      <c r="B68">
        <v>0.21297716178725695</v>
      </c>
      <c r="C68" s="56">
        <f>+$B68*C$11</f>
        <v>97102.727444601376</v>
      </c>
      <c r="D68" s="56">
        <f t="shared" ref="D68:S72" si="9">+$B68*D$11</f>
        <v>102321.18744486861</v>
      </c>
      <c r="E68" s="56">
        <f t="shared" si="9"/>
        <v>107420.5721696667</v>
      </c>
      <c r="F68" s="56">
        <f t="shared" si="9"/>
        <v>112400.88161874173</v>
      </c>
      <c r="G68" s="56">
        <f t="shared" si="9"/>
        <v>117262.11579229681</v>
      </c>
      <c r="H68" s="56">
        <f t="shared" si="9"/>
        <v>122004.27469023041</v>
      </c>
      <c r="I68" s="56">
        <f t="shared" si="9"/>
        <v>126627.35831259328</v>
      </c>
      <c r="J68" s="56">
        <f t="shared" si="9"/>
        <v>131131.36665938541</v>
      </c>
      <c r="K68" s="56">
        <f t="shared" si="9"/>
        <v>135516.29973055609</v>
      </c>
      <c r="L68" s="56">
        <f t="shared" si="9"/>
        <v>139782.15752620681</v>
      </c>
      <c r="M68" s="56">
        <f t="shared" si="9"/>
        <v>143928.94004623604</v>
      </c>
      <c r="N68" s="56">
        <f t="shared" si="9"/>
        <v>147956.64729069453</v>
      </c>
      <c r="O68" s="56">
        <f t="shared" si="9"/>
        <v>151865.27925953153</v>
      </c>
      <c r="P68" s="56">
        <f t="shared" si="9"/>
        <v>155654.83595279782</v>
      </c>
      <c r="Q68" s="56">
        <f t="shared" si="9"/>
        <v>159325.31737054416</v>
      </c>
      <c r="R68" s="56">
        <f t="shared" si="9"/>
        <v>162876.72351261825</v>
      </c>
      <c r="S68" s="56">
        <f t="shared" si="9"/>
        <v>166309.05437917236</v>
      </c>
    </row>
    <row r="69" spans="1:19">
      <c r="A69">
        <v>46</v>
      </c>
      <c r="B69">
        <v>0.20722371147295351</v>
      </c>
      <c r="C69" s="56">
        <f>+$B69*C$11</f>
        <v>94479.555490164668</v>
      </c>
      <c r="D69" s="56">
        <f t="shared" si="9"/>
        <v>99557.041922765013</v>
      </c>
      <c r="E69" s="56">
        <f t="shared" si="9"/>
        <v>104518.66982705973</v>
      </c>
      <c r="F69" s="56">
        <f t="shared" si="9"/>
        <v>109364.43920280178</v>
      </c>
      <c r="G69" s="56">
        <f t="shared" si="9"/>
        <v>114094.35005018876</v>
      </c>
      <c r="H69" s="56">
        <f t="shared" si="9"/>
        <v>118708.40236912189</v>
      </c>
      <c r="I69" s="56">
        <f t="shared" si="9"/>
        <v>123206.59615965057</v>
      </c>
      <c r="J69" s="56">
        <f t="shared" si="9"/>
        <v>127588.93142177479</v>
      </c>
      <c r="K69" s="56">
        <f t="shared" si="9"/>
        <v>131855.40815544515</v>
      </c>
      <c r="L69" s="56">
        <f t="shared" si="9"/>
        <v>136006.02636076047</v>
      </c>
      <c r="M69" s="56">
        <f t="shared" si="9"/>
        <v>140040.78603762193</v>
      </c>
      <c r="N69" s="56">
        <f t="shared" si="9"/>
        <v>143959.68718607893</v>
      </c>
      <c r="O69" s="56">
        <f t="shared" si="9"/>
        <v>147762.72980608206</v>
      </c>
      <c r="P69" s="56">
        <f t="shared" si="9"/>
        <v>151449.91389768073</v>
      </c>
      <c r="Q69" s="56">
        <f t="shared" si="9"/>
        <v>155021.23946092438</v>
      </c>
      <c r="R69" s="56">
        <f t="shared" si="9"/>
        <v>158476.70649566475</v>
      </c>
      <c r="S69" s="56">
        <f t="shared" si="9"/>
        <v>161816.31500205008</v>
      </c>
    </row>
    <row r="70" spans="1:19">
      <c r="A70">
        <v>47</v>
      </c>
      <c r="B70">
        <v>0.20086991566734505</v>
      </c>
      <c r="C70" s="56">
        <f>+$B70*C$11</f>
        <v>91582.667874736013</v>
      </c>
      <c r="D70" s="56">
        <f t="shared" si="9"/>
        <v>96504.470810649742</v>
      </c>
      <c r="E70" s="56">
        <f t="shared" si="9"/>
        <v>101313.96761786479</v>
      </c>
      <c r="F70" s="56">
        <f t="shared" si="9"/>
        <v>106011.15829614173</v>
      </c>
      <c r="G70" s="56">
        <f t="shared" si="9"/>
        <v>110596.04284567211</v>
      </c>
      <c r="H70" s="56">
        <f t="shared" si="9"/>
        <v>115068.62126636015</v>
      </c>
      <c r="I70" s="56">
        <f t="shared" si="9"/>
        <v>119428.89355825374</v>
      </c>
      <c r="J70" s="56">
        <f t="shared" si="9"/>
        <v>123676.85972135287</v>
      </c>
      <c r="K70" s="56">
        <f t="shared" si="9"/>
        <v>127812.51975560967</v>
      </c>
      <c r="L70" s="56">
        <f t="shared" si="9"/>
        <v>131835.8736611199</v>
      </c>
      <c r="M70" s="56">
        <f t="shared" si="9"/>
        <v>135746.92143778779</v>
      </c>
      <c r="N70" s="56">
        <f t="shared" si="9"/>
        <v>139545.66308566125</v>
      </c>
      <c r="O70" s="56">
        <f t="shared" si="9"/>
        <v>143232.09860469235</v>
      </c>
      <c r="P70" s="56">
        <f t="shared" si="9"/>
        <v>146806.22799492901</v>
      </c>
      <c r="Q70" s="56">
        <f t="shared" si="9"/>
        <v>150268.0512564191</v>
      </c>
      <c r="R70" s="56">
        <f t="shared" si="9"/>
        <v>153617.56838901897</v>
      </c>
      <c r="S70" s="56">
        <f t="shared" si="9"/>
        <v>156854.77939287227</v>
      </c>
    </row>
    <row r="71" spans="1:19">
      <c r="A71">
        <v>48</v>
      </c>
      <c r="B71">
        <v>0.19351777373831291</v>
      </c>
      <c r="C71" s="56">
        <f>+$B71*C$11</f>
        <v>88230.60407654359</v>
      </c>
      <c r="D71" s="56">
        <f t="shared" si="9"/>
        <v>92972.261600381316</v>
      </c>
      <c r="E71" s="56">
        <f t="shared" si="9"/>
        <v>97605.723569246416</v>
      </c>
      <c r="F71" s="56">
        <f t="shared" si="9"/>
        <v>102130.98998290818</v>
      </c>
      <c r="G71" s="56">
        <f t="shared" si="9"/>
        <v>106548.06084155118</v>
      </c>
      <c r="H71" s="56">
        <f t="shared" si="9"/>
        <v>110856.93614508313</v>
      </c>
      <c r="I71" s="56">
        <f t="shared" si="9"/>
        <v>115057.61589355017</v>
      </c>
      <c r="J71" s="56">
        <f t="shared" si="9"/>
        <v>119150.1000869523</v>
      </c>
      <c r="K71" s="56">
        <f t="shared" si="9"/>
        <v>123134.38872524338</v>
      </c>
      <c r="L71" s="56">
        <f t="shared" si="9"/>
        <v>127010.48180851569</v>
      </c>
      <c r="M71" s="56">
        <f t="shared" si="9"/>
        <v>130778.37933667694</v>
      </c>
      <c r="N71" s="56">
        <f t="shared" si="9"/>
        <v>134438.08130977329</v>
      </c>
      <c r="O71" s="56">
        <f t="shared" si="9"/>
        <v>137989.5877277586</v>
      </c>
      <c r="P71" s="56">
        <f t="shared" si="9"/>
        <v>141432.89859067899</v>
      </c>
      <c r="Q71" s="56">
        <f t="shared" si="9"/>
        <v>144768.0138985806</v>
      </c>
      <c r="R71" s="56">
        <f t="shared" si="9"/>
        <v>147994.93365132503</v>
      </c>
      <c r="S71" s="56">
        <f t="shared" si="9"/>
        <v>151113.65784905068</v>
      </c>
    </row>
    <row r="72" spans="1:19">
      <c r="A72">
        <v>49</v>
      </c>
      <c r="B72">
        <v>0.18541143733413157</v>
      </c>
      <c r="C72" s="56">
        <f>+$B72*C$11</f>
        <v>84534.680213985252</v>
      </c>
      <c r="D72" s="56">
        <f t="shared" si="9"/>
        <v>89077.712721323856</v>
      </c>
      <c r="E72" s="56">
        <f t="shared" si="9"/>
        <v>93517.081916641488</v>
      </c>
      <c r="F72" s="56">
        <f t="shared" si="9"/>
        <v>97852.787799717102</v>
      </c>
      <c r="G72" s="56">
        <f t="shared" si="9"/>
        <v>102084.83037072753</v>
      </c>
      <c r="H72" s="56">
        <f t="shared" si="9"/>
        <v>106213.20962958437</v>
      </c>
      <c r="I72" s="56">
        <f t="shared" si="9"/>
        <v>110237.92557633181</v>
      </c>
      <c r="J72" s="56">
        <f t="shared" si="9"/>
        <v>114158.97821096987</v>
      </c>
      <c r="K72" s="56">
        <f t="shared" si="9"/>
        <v>117976.36753345432</v>
      </c>
      <c r="L72" s="56">
        <f t="shared" si="9"/>
        <v>121690.09354387359</v>
      </c>
      <c r="M72" s="56">
        <f t="shared" si="9"/>
        <v>125300.15624213927</v>
      </c>
      <c r="N72" s="56">
        <f t="shared" si="9"/>
        <v>128806.55562829555</v>
      </c>
      <c r="O72" s="56">
        <f t="shared" si="9"/>
        <v>132209.29170229824</v>
      </c>
      <c r="P72" s="56">
        <f t="shared" si="9"/>
        <v>135508.36446419155</v>
      </c>
      <c r="Q72" s="56">
        <f t="shared" si="9"/>
        <v>138703.77391401966</v>
      </c>
      <c r="R72" s="56">
        <f t="shared" si="9"/>
        <v>141795.52005164995</v>
      </c>
      <c r="S72" s="56">
        <f t="shared" si="9"/>
        <v>144783.60287721507</v>
      </c>
    </row>
    <row r="73" spans="1:19">
      <c r="A73">
        <v>50</v>
      </c>
      <c r="B73">
        <v>0.22032343647095243</v>
      </c>
      <c r="C73" s="56">
        <f>+$B73*C$12</f>
        <v>79584.903241843524</v>
      </c>
      <c r="D73" s="56">
        <f t="shared" ref="D73:S77" si="10">+$B73*D$12</f>
        <v>83521.410051584055</v>
      </c>
      <c r="E73" s="56">
        <f t="shared" si="10"/>
        <v>87530.671669979391</v>
      </c>
      <c r="F73" s="56">
        <f t="shared" si="10"/>
        <v>91612.688096950733</v>
      </c>
      <c r="G73" s="56">
        <f t="shared" si="10"/>
        <v>95767.459332550614</v>
      </c>
      <c r="H73" s="56">
        <f t="shared" si="10"/>
        <v>99994.985376726516</v>
      </c>
      <c r="I73" s="56">
        <f t="shared" si="10"/>
        <v>104295.26622958347</v>
      </c>
      <c r="J73" s="56">
        <f t="shared" si="10"/>
        <v>108668.30189096394</v>
      </c>
      <c r="K73" s="56">
        <f t="shared" si="10"/>
        <v>113114.09236102545</v>
      </c>
      <c r="L73" s="56">
        <f t="shared" si="10"/>
        <v>117632.63763963671</v>
      </c>
      <c r="M73" s="56">
        <f t="shared" si="10"/>
        <v>122223.93772692906</v>
      </c>
      <c r="N73" s="56">
        <f t="shared" si="10"/>
        <v>126887.99262274487</v>
      </c>
      <c r="O73" s="56">
        <f t="shared" si="10"/>
        <v>131624.80232724178</v>
      </c>
      <c r="P73" s="56">
        <f t="shared" si="10"/>
        <v>136434.36684031467</v>
      </c>
      <c r="Q73" s="56">
        <f t="shared" si="10"/>
        <v>141316.68616201612</v>
      </c>
      <c r="R73" s="56">
        <f t="shared" si="10"/>
        <v>146271.76029229356</v>
      </c>
      <c r="S73" s="56">
        <f t="shared" si="10"/>
        <v>151299.58923122584</v>
      </c>
    </row>
    <row r="74" spans="1:19">
      <c r="A74">
        <v>51</v>
      </c>
      <c r="B74">
        <v>0.21057962192337498</v>
      </c>
      <c r="C74" s="56">
        <f>+$B74*C$12</f>
        <v>76065.257078019931</v>
      </c>
      <c r="D74" s="56">
        <f t="shared" si="10"/>
        <v>79827.671685252339</v>
      </c>
      <c r="E74" s="56">
        <f t="shared" si="10"/>
        <v>83659.62351623649</v>
      </c>
      <c r="F74" s="56">
        <f t="shared" si="10"/>
        <v>87561.112570897094</v>
      </c>
      <c r="G74" s="56">
        <f t="shared" si="10"/>
        <v>91532.138849284354</v>
      </c>
      <c r="H74" s="56">
        <f t="shared" si="10"/>
        <v>95572.702351348053</v>
      </c>
      <c r="I74" s="56">
        <f t="shared" si="10"/>
        <v>99682.803077188611</v>
      </c>
      <c r="J74" s="56">
        <f t="shared" si="10"/>
        <v>103862.44102665542</v>
      </c>
      <c r="K74" s="56">
        <f t="shared" si="10"/>
        <v>108111.61619989909</v>
      </c>
      <c r="L74" s="56">
        <f t="shared" si="10"/>
        <v>112430.32859679409</v>
      </c>
      <c r="M74" s="56">
        <f t="shared" si="10"/>
        <v>116818.57821746595</v>
      </c>
      <c r="N74" s="56">
        <f t="shared" si="10"/>
        <v>121276.36506176407</v>
      </c>
      <c r="O74" s="56">
        <f t="shared" si="10"/>
        <v>125803.68912983903</v>
      </c>
      <c r="P74" s="56">
        <f t="shared" si="10"/>
        <v>130400.55042159045</v>
      </c>
      <c r="Q74" s="56">
        <f t="shared" si="10"/>
        <v>135066.94893706852</v>
      </c>
      <c r="R74" s="56">
        <f t="shared" si="10"/>
        <v>139802.88467622304</v>
      </c>
      <c r="S74" s="56">
        <f t="shared" si="10"/>
        <v>144608.3576391293</v>
      </c>
    </row>
    <row r="75" spans="1:19">
      <c r="A75">
        <v>52</v>
      </c>
      <c r="B75">
        <v>0.20042340925475399</v>
      </c>
      <c r="C75" s="56">
        <f>+$B75*C$12</f>
        <v>72396.64507975732</v>
      </c>
      <c r="D75" s="56">
        <f t="shared" si="10"/>
        <v>75977.599189769899</v>
      </c>
      <c r="E75" s="56">
        <f t="shared" si="10"/>
        <v>79624.736757265884</v>
      </c>
      <c r="F75" s="56">
        <f t="shared" si="10"/>
        <v>83338.057782173593</v>
      </c>
      <c r="G75" s="56">
        <f t="shared" si="10"/>
        <v>87117.562264540815</v>
      </c>
      <c r="H75" s="56">
        <f t="shared" si="10"/>
        <v>90963.250204319775</v>
      </c>
      <c r="I75" s="56">
        <f t="shared" si="10"/>
        <v>94875.121601606035</v>
      </c>
      <c r="J75" s="56">
        <f t="shared" si="10"/>
        <v>98853.176456256231</v>
      </c>
      <c r="K75" s="56">
        <f t="shared" si="10"/>
        <v>102897.41476841374</v>
      </c>
      <c r="L75" s="56">
        <f t="shared" si="10"/>
        <v>107007.83653795907</v>
      </c>
      <c r="M75" s="56">
        <f t="shared" si="10"/>
        <v>111184.44176501171</v>
      </c>
      <c r="N75" s="56">
        <f t="shared" si="10"/>
        <v>115427.2304494283</v>
      </c>
      <c r="O75" s="56">
        <f t="shared" si="10"/>
        <v>119736.20259135218</v>
      </c>
      <c r="P75" s="56">
        <f t="shared" si="10"/>
        <v>124111.3581906878</v>
      </c>
      <c r="Q75" s="56">
        <f t="shared" si="10"/>
        <v>128552.69724748292</v>
      </c>
      <c r="R75" s="56">
        <f t="shared" si="10"/>
        <v>133060.21976168978</v>
      </c>
      <c r="S75" s="56">
        <f t="shared" si="10"/>
        <v>137633.92573338005</v>
      </c>
    </row>
    <row r="76" spans="1:19">
      <c r="A76">
        <v>53</v>
      </c>
      <c r="B76">
        <v>0.18978208343115235</v>
      </c>
      <c r="C76" s="56">
        <f>+$B76*C$12</f>
        <v>68552.80123090776</v>
      </c>
      <c r="D76" s="56">
        <f t="shared" si="10"/>
        <v>71943.627353447708</v>
      </c>
      <c r="E76" s="56">
        <f t="shared" si="10"/>
        <v>75397.122974009777</v>
      </c>
      <c r="F76" s="56">
        <f t="shared" si="10"/>
        <v>78913.288092526098</v>
      </c>
      <c r="G76" s="56">
        <f t="shared" si="10"/>
        <v>82492.122709041927</v>
      </c>
      <c r="H76" s="56">
        <f t="shared" si="10"/>
        <v>86133.626823512008</v>
      </c>
      <c r="I76" s="56">
        <f t="shared" si="10"/>
        <v>89837.800436026824</v>
      </c>
      <c r="J76" s="56">
        <f t="shared" si="10"/>
        <v>93604.64354645065</v>
      </c>
      <c r="K76" s="56">
        <f t="shared" si="10"/>
        <v>97434.156154919227</v>
      </c>
      <c r="L76" s="56">
        <f t="shared" si="10"/>
        <v>101326.33826131943</v>
      </c>
      <c r="M76" s="56">
        <f t="shared" si="10"/>
        <v>105281.18986576438</v>
      </c>
      <c r="N76" s="56">
        <f t="shared" si="10"/>
        <v>109298.71096811834</v>
      </c>
      <c r="O76" s="56">
        <f t="shared" si="10"/>
        <v>113378.90156851705</v>
      </c>
      <c r="P76" s="56">
        <f t="shared" si="10"/>
        <v>117521.76166686999</v>
      </c>
      <c r="Q76" s="56">
        <f t="shared" si="10"/>
        <v>121727.29126322245</v>
      </c>
      <c r="R76" s="56">
        <f t="shared" si="10"/>
        <v>125995.49035752917</v>
      </c>
      <c r="S76" s="56">
        <f t="shared" si="10"/>
        <v>130326.358949858</v>
      </c>
    </row>
    <row r="77" spans="1:19">
      <c r="A77">
        <v>54</v>
      </c>
      <c r="B77">
        <v>0.17889144891976624</v>
      </c>
      <c r="C77" s="56">
        <f>+$B77*C$12</f>
        <v>64618.902469550994</v>
      </c>
      <c r="D77" s="56">
        <f t="shared" si="10"/>
        <v>67815.146219905961</v>
      </c>
      <c r="E77" s="56">
        <f t="shared" si="10"/>
        <v>71070.463182555584</v>
      </c>
      <c r="F77" s="56">
        <f t="shared" si="10"/>
        <v>74384.853357435888</v>
      </c>
      <c r="G77" s="56">
        <f t="shared" si="10"/>
        <v>77758.316744589538</v>
      </c>
      <c r="H77" s="56">
        <f t="shared" si="10"/>
        <v>81190.853343973868</v>
      </c>
      <c r="I77" s="56">
        <f t="shared" si="10"/>
        <v>84682.463155674195</v>
      </c>
      <c r="J77" s="56">
        <f t="shared" si="10"/>
        <v>88233.146179562566</v>
      </c>
      <c r="K77" s="56">
        <f t="shared" si="10"/>
        <v>91842.902415766919</v>
      </c>
      <c r="L77" s="56">
        <f t="shared" si="10"/>
        <v>95511.731864180634</v>
      </c>
      <c r="M77" s="56">
        <f t="shared" si="10"/>
        <v>99239.634524910332</v>
      </c>
      <c r="N77" s="56">
        <f t="shared" si="10"/>
        <v>103026.61039782807</v>
      </c>
      <c r="O77" s="56">
        <f t="shared" si="10"/>
        <v>106872.65948306181</v>
      </c>
      <c r="P77" s="56">
        <f t="shared" si="10"/>
        <v>110777.78178052622</v>
      </c>
      <c r="Q77" s="56">
        <f t="shared" si="10"/>
        <v>114741.97729026398</v>
      </c>
      <c r="R77" s="56">
        <f t="shared" si="10"/>
        <v>118765.24601223243</v>
      </c>
      <c r="S77" s="56">
        <f t="shared" si="10"/>
        <v>122847.58794649554</v>
      </c>
    </row>
    <row r="78" spans="1:19">
      <c r="A78">
        <v>55</v>
      </c>
      <c r="B78">
        <v>0.22609613556288799</v>
      </c>
      <c r="C78" s="56">
        <f>+$B78*C$13</f>
        <v>55028.786371042981</v>
      </c>
      <c r="D78" s="56">
        <f t="shared" ref="D78:S82" si="11">+$B78*D$13</f>
        <v>57074.836114728336</v>
      </c>
      <c r="E78" s="56">
        <f t="shared" si="11"/>
        <v>59478.652379566265</v>
      </c>
      <c r="F78" s="56">
        <f t="shared" si="11"/>
        <v>62240.235165448947</v>
      </c>
      <c r="G78" s="56">
        <f t="shared" si="11"/>
        <v>65359.584472484195</v>
      </c>
      <c r="H78" s="56">
        <f t="shared" si="11"/>
        <v>68836.700300564204</v>
      </c>
      <c r="I78" s="56">
        <f t="shared" si="11"/>
        <v>72671.582649904594</v>
      </c>
      <c r="J78" s="56">
        <f t="shared" si="11"/>
        <v>76864.231520181929</v>
      </c>
      <c r="K78" s="56">
        <f t="shared" si="11"/>
        <v>81414.646911719654</v>
      </c>
      <c r="L78" s="56">
        <f t="shared" si="11"/>
        <v>86322.828824517754</v>
      </c>
      <c r="M78" s="56">
        <f t="shared" si="11"/>
        <v>91588.777258252798</v>
      </c>
      <c r="N78" s="56">
        <f t="shared" si="11"/>
        <v>97212.492213032601</v>
      </c>
      <c r="O78" s="56">
        <f t="shared" si="11"/>
        <v>103193.97368896498</v>
      </c>
      <c r="P78" s="56">
        <f t="shared" si="11"/>
        <v>109533.22168594212</v>
      </c>
      <c r="Q78" s="56">
        <f t="shared" si="11"/>
        <v>116230.23620417963</v>
      </c>
      <c r="R78" s="56">
        <f t="shared" si="11"/>
        <v>123285.01724335409</v>
      </c>
      <c r="S78" s="56">
        <f t="shared" si="11"/>
        <v>130697.56480378893</v>
      </c>
    </row>
    <row r="79" spans="1:19">
      <c r="A79">
        <v>56</v>
      </c>
      <c r="B79">
        <v>0.21195123315250824</v>
      </c>
      <c r="C79" s="56">
        <f>+$B79*C$13</f>
        <v>51586.105623571581</v>
      </c>
      <c r="D79" s="56">
        <f t="shared" si="11"/>
        <v>53504.151525532005</v>
      </c>
      <c r="E79" s="56">
        <f t="shared" si="11"/>
        <v>55757.581555797784</v>
      </c>
      <c r="F79" s="56">
        <f t="shared" si="11"/>
        <v>58346.395714267856</v>
      </c>
      <c r="G79" s="56">
        <f t="shared" si="11"/>
        <v>61270.59400104329</v>
      </c>
      <c r="H79" s="56">
        <f t="shared" si="11"/>
        <v>64530.176416023023</v>
      </c>
      <c r="I79" s="56">
        <f t="shared" si="11"/>
        <v>68125.142959409175</v>
      </c>
      <c r="J79" s="56">
        <f t="shared" si="11"/>
        <v>72055.493630898563</v>
      </c>
      <c r="K79" s="56">
        <f t="shared" si="11"/>
        <v>76321.228430794377</v>
      </c>
      <c r="L79" s="56">
        <f t="shared" si="11"/>
        <v>80922.347359096631</v>
      </c>
      <c r="M79" s="56">
        <f t="shared" si="11"/>
        <v>85858.850415502093</v>
      </c>
      <c r="N79" s="56">
        <f t="shared" si="11"/>
        <v>91130.737600111868</v>
      </c>
      <c r="O79" s="56">
        <f t="shared" si="11"/>
        <v>96738.008913026992</v>
      </c>
      <c r="P79" s="56">
        <f t="shared" si="11"/>
        <v>102680.66435414641</v>
      </c>
      <c r="Q79" s="56">
        <f t="shared" si="11"/>
        <v>108958.70392367226</v>
      </c>
      <c r="R79" s="56">
        <f t="shared" si="11"/>
        <v>115572.12762130135</v>
      </c>
      <c r="S79" s="56">
        <f t="shared" si="11"/>
        <v>122520.93544733686</v>
      </c>
    </row>
    <row r="80" spans="1:19">
      <c r="A80">
        <v>57</v>
      </c>
      <c r="B80">
        <v>0.19878082881270623</v>
      </c>
      <c r="C80" s="56">
        <f>+$B80*C$13</f>
        <v>48380.604720025025</v>
      </c>
      <c r="D80" s="56">
        <f t="shared" si="11"/>
        <v>50179.465469366201</v>
      </c>
      <c r="E80" s="56">
        <f t="shared" si="11"/>
        <v>52292.869965415353</v>
      </c>
      <c r="F80" s="56">
        <f t="shared" si="11"/>
        <v>54720.818208077697</v>
      </c>
      <c r="G80" s="56">
        <f t="shared" si="11"/>
        <v>57463.310197448031</v>
      </c>
      <c r="H80" s="56">
        <f t="shared" si="11"/>
        <v>60520.345933431548</v>
      </c>
      <c r="I80" s="56">
        <f t="shared" si="11"/>
        <v>63891.92541621784</v>
      </c>
      <c r="J80" s="56">
        <f t="shared" si="11"/>
        <v>67578.048645522547</v>
      </c>
      <c r="K80" s="56">
        <f t="shared" si="11"/>
        <v>71578.715621630006</v>
      </c>
      <c r="L80" s="56">
        <f t="shared" si="11"/>
        <v>75893.926344540247</v>
      </c>
      <c r="M80" s="56">
        <f t="shared" si="11"/>
        <v>80523.68081396888</v>
      </c>
      <c r="N80" s="56">
        <f t="shared" si="11"/>
        <v>85467.979030010712</v>
      </c>
      <c r="O80" s="56">
        <f t="shared" si="11"/>
        <v>90726.820992760535</v>
      </c>
      <c r="P80" s="56">
        <f t="shared" si="11"/>
        <v>96300.206702123556</v>
      </c>
      <c r="Q80" s="56">
        <f t="shared" si="11"/>
        <v>102188.13615828933</v>
      </c>
      <c r="R80" s="56">
        <f t="shared" si="11"/>
        <v>108390.60936097351</v>
      </c>
      <c r="S80" s="56">
        <f t="shared" si="11"/>
        <v>114907.62631046047</v>
      </c>
    </row>
    <row r="81" spans="1:19">
      <c r="A81">
        <v>58</v>
      </c>
      <c r="B81">
        <v>0.18692746490688442</v>
      </c>
      <c r="C81" s="56">
        <f>+$B81*C$13</f>
        <v>45495.653906833126</v>
      </c>
      <c r="D81" s="56">
        <f t="shared" si="11"/>
        <v>47187.248018816972</v>
      </c>
      <c r="E81" s="56">
        <f t="shared" si="11"/>
        <v>49174.629534071166</v>
      </c>
      <c r="F81" s="56">
        <f t="shared" si="11"/>
        <v>51457.798452506562</v>
      </c>
      <c r="G81" s="56">
        <f t="shared" si="11"/>
        <v>54036.754774212292</v>
      </c>
      <c r="H81" s="56">
        <f t="shared" si="11"/>
        <v>56911.498499099231</v>
      </c>
      <c r="I81" s="56">
        <f t="shared" si="11"/>
        <v>60082.029627345641</v>
      </c>
      <c r="J81" s="56">
        <f t="shared" si="11"/>
        <v>63548.348158684115</v>
      </c>
      <c r="K81" s="56">
        <f t="shared" si="11"/>
        <v>67310.454093382068</v>
      </c>
      <c r="L81" s="56">
        <f t="shared" si="11"/>
        <v>71368.347431439499</v>
      </c>
      <c r="M81" s="56">
        <f t="shared" si="11"/>
        <v>75722.028172588994</v>
      </c>
      <c r="N81" s="56">
        <f t="shared" si="11"/>
        <v>80371.496316919685</v>
      </c>
      <c r="O81" s="56">
        <f t="shared" si="11"/>
        <v>85316.751864520731</v>
      </c>
      <c r="P81" s="56">
        <f t="shared" si="11"/>
        <v>90557.794815302972</v>
      </c>
      <c r="Q81" s="56">
        <f t="shared" si="11"/>
        <v>96094.625169444684</v>
      </c>
      <c r="R81" s="56">
        <f t="shared" si="11"/>
        <v>101927.24292667847</v>
      </c>
      <c r="S81" s="56">
        <f t="shared" si="11"/>
        <v>108055.64808727172</v>
      </c>
    </row>
    <row r="82" spans="1:19">
      <c r="A82">
        <v>59</v>
      </c>
      <c r="B82">
        <v>0.17624433756501315</v>
      </c>
      <c r="C82" s="56">
        <f>+$B82*C$13</f>
        <v>42895.523078383092</v>
      </c>
      <c r="D82" s="56">
        <f t="shared" si="11"/>
        <v>44490.440571347448</v>
      </c>
      <c r="E82" s="56">
        <f t="shared" si="11"/>
        <v>46364.240865057131</v>
      </c>
      <c r="F82" s="56">
        <f t="shared" si="11"/>
        <v>48516.92395942811</v>
      </c>
      <c r="G82" s="56">
        <f t="shared" si="11"/>
        <v>50948.489854544408</v>
      </c>
      <c r="H82" s="56">
        <f t="shared" si="11"/>
        <v>53658.938550322004</v>
      </c>
      <c r="I82" s="56">
        <f t="shared" si="11"/>
        <v>56648.270046928963</v>
      </c>
      <c r="J82" s="56">
        <f t="shared" si="11"/>
        <v>59916.484344113174</v>
      </c>
      <c r="K82" s="56">
        <f t="shared" si="11"/>
        <v>63463.581442126757</v>
      </c>
      <c r="L82" s="56">
        <f t="shared" si="11"/>
        <v>67289.561340969711</v>
      </c>
      <c r="M82" s="56">
        <f t="shared" si="11"/>
        <v>71394.424040389902</v>
      </c>
      <c r="N82" s="56">
        <f t="shared" si="11"/>
        <v>75778.169540471397</v>
      </c>
      <c r="O82" s="56">
        <f t="shared" si="11"/>
        <v>80440.797841298219</v>
      </c>
      <c r="P82" s="56">
        <f t="shared" si="11"/>
        <v>85382.308942786331</v>
      </c>
      <c r="Q82" s="56">
        <f t="shared" si="11"/>
        <v>90602.702845103806</v>
      </c>
      <c r="R82" s="56">
        <f t="shared" si="11"/>
        <v>96101.979547998533</v>
      </c>
      <c r="S82" s="56">
        <f t="shared" si="11"/>
        <v>101880.13905172262</v>
      </c>
    </row>
    <row r="83" spans="1:19">
      <c r="A83">
        <v>60</v>
      </c>
      <c r="B83">
        <v>0.22289409953629827</v>
      </c>
      <c r="C83" s="56">
        <f>+$B83*C$14</f>
        <v>46546.46816777021</v>
      </c>
      <c r="D83" s="56">
        <f t="shared" ref="D83:S87" si="12">+$B83*D$14</f>
        <v>47964.008463714774</v>
      </c>
      <c r="E83" s="56">
        <f t="shared" si="12"/>
        <v>49623.192977915292</v>
      </c>
      <c r="F83" s="56">
        <f t="shared" si="12"/>
        <v>51524.02171111574</v>
      </c>
      <c r="G83" s="56">
        <f t="shared" si="12"/>
        <v>53666.494662997284</v>
      </c>
      <c r="H83" s="56">
        <f t="shared" si="12"/>
        <v>56050.61183345363</v>
      </c>
      <c r="I83" s="56">
        <f t="shared" si="12"/>
        <v>58676.37322237849</v>
      </c>
      <c r="J83" s="56">
        <f t="shared" si="12"/>
        <v>61543.778830197007</v>
      </c>
      <c r="K83" s="56">
        <f t="shared" si="12"/>
        <v>64652.828656696613</v>
      </c>
      <c r="L83" s="56">
        <f t="shared" si="12"/>
        <v>68003.5227018773</v>
      </c>
      <c r="M83" s="56">
        <f t="shared" si="12"/>
        <v>71595.86096542023</v>
      </c>
      <c r="N83" s="56">
        <f t="shared" si="12"/>
        <v>75429.843447963096</v>
      </c>
      <c r="O83" s="56">
        <f t="shared" si="12"/>
        <v>79505.470149080778</v>
      </c>
      <c r="P83" s="56">
        <f t="shared" si="12"/>
        <v>83822.741068879535</v>
      </c>
      <c r="Q83" s="56">
        <f t="shared" si="12"/>
        <v>88381.656207146807</v>
      </c>
      <c r="R83" s="56">
        <f t="shared" si="12"/>
        <v>93182.215564201455</v>
      </c>
      <c r="S83" s="56">
        <f t="shared" si="12"/>
        <v>98224.419140043465</v>
      </c>
    </row>
    <row r="84" spans="1:19">
      <c r="A84">
        <v>61</v>
      </c>
      <c r="B84">
        <v>0.20974336831434096</v>
      </c>
      <c r="C84" s="56">
        <f>+$B84*C$14</f>
        <v>43800.23085830723</v>
      </c>
      <c r="D84" s="56">
        <f t="shared" si="12"/>
        <v>45134.136408123282</v>
      </c>
      <c r="E84" s="56">
        <f t="shared" si="12"/>
        <v>46695.429189706032</v>
      </c>
      <c r="F84" s="56">
        <f t="shared" si="12"/>
        <v>48484.109203755572</v>
      </c>
      <c r="G84" s="56">
        <f t="shared" si="12"/>
        <v>50500.176449971856</v>
      </c>
      <c r="H84" s="56">
        <f t="shared" si="12"/>
        <v>52743.630928254875</v>
      </c>
      <c r="I84" s="56">
        <f t="shared" si="12"/>
        <v>55214.472638504616</v>
      </c>
      <c r="J84" s="56">
        <f t="shared" si="12"/>
        <v>57912.701581121131</v>
      </c>
      <c r="K84" s="56">
        <f t="shared" si="12"/>
        <v>60838.317755904391</v>
      </c>
      <c r="L84" s="56">
        <f t="shared" si="12"/>
        <v>63991.321162854401</v>
      </c>
      <c r="M84" s="56">
        <f t="shared" si="12"/>
        <v>67371.711801671117</v>
      </c>
      <c r="N84" s="56">
        <f t="shared" si="12"/>
        <v>70979.489672954616</v>
      </c>
      <c r="O84" s="56">
        <f t="shared" si="12"/>
        <v>74814.654776304858</v>
      </c>
      <c r="P84" s="56">
        <f t="shared" si="12"/>
        <v>78877.207111821845</v>
      </c>
      <c r="Q84" s="56">
        <f t="shared" si="12"/>
        <v>83167.146679305559</v>
      </c>
      <c r="R84" s="56">
        <f t="shared" si="12"/>
        <v>87684.473479056032</v>
      </c>
      <c r="S84" s="56">
        <f t="shared" si="12"/>
        <v>92429.187511073251</v>
      </c>
    </row>
    <row r="85" spans="1:19">
      <c r="A85">
        <v>62</v>
      </c>
      <c r="B85">
        <v>0.19823905983066439</v>
      </c>
      <c r="C85" s="56">
        <f>+$B85*C$14</f>
        <v>41397.812266959743</v>
      </c>
      <c r="D85" s="56">
        <f t="shared" si="12"/>
        <v>42658.553830440964</v>
      </c>
      <c r="E85" s="56">
        <f t="shared" si="12"/>
        <v>44134.210560991356</v>
      </c>
      <c r="F85" s="56">
        <f t="shared" si="12"/>
        <v>45824.782459272617</v>
      </c>
      <c r="G85" s="56">
        <f t="shared" si="12"/>
        <v>47730.269525001146</v>
      </c>
      <c r="H85" s="56">
        <f t="shared" si="12"/>
        <v>49850.671758082433</v>
      </c>
      <c r="I85" s="56">
        <f t="shared" si="12"/>
        <v>52185.989158421944</v>
      </c>
      <c r="J85" s="56">
        <f t="shared" si="12"/>
        <v>54736.221726397795</v>
      </c>
      <c r="K85" s="56">
        <f t="shared" si="12"/>
        <v>57501.369461820919</v>
      </c>
      <c r="L85" s="56">
        <f t="shared" si="12"/>
        <v>60481.432364691325</v>
      </c>
      <c r="M85" s="56">
        <f t="shared" si="12"/>
        <v>63676.410434725425</v>
      </c>
      <c r="N85" s="56">
        <f t="shared" si="12"/>
        <v>67086.303672490394</v>
      </c>
      <c r="O85" s="56">
        <f t="shared" si="12"/>
        <v>70711.112077608108</v>
      </c>
      <c r="P85" s="56">
        <f t="shared" si="12"/>
        <v>74550.835650173103</v>
      </c>
      <c r="Q85" s="56">
        <f t="shared" si="12"/>
        <v>78605.474389996336</v>
      </c>
      <c r="R85" s="56">
        <f t="shared" si="12"/>
        <v>82875.028297361365</v>
      </c>
      <c r="S85" s="56">
        <f t="shared" si="12"/>
        <v>87359.497372268204</v>
      </c>
    </row>
    <row r="86" spans="1:19">
      <c r="A86">
        <v>63</v>
      </c>
      <c r="B86">
        <v>0.18862710496179624</v>
      </c>
      <c r="C86" s="56">
        <f>+$B86*C$14</f>
        <v>39390.569579672025</v>
      </c>
      <c r="D86" s="56">
        <f t="shared" si="12"/>
        <v>40590.181963970099</v>
      </c>
      <c r="E86" s="56">
        <f t="shared" si="12"/>
        <v>41994.28899130808</v>
      </c>
      <c r="F86" s="56">
        <f t="shared" si="12"/>
        <v>43602.890662315571</v>
      </c>
      <c r="G86" s="56">
        <f t="shared" si="12"/>
        <v>45415.98697672275</v>
      </c>
      <c r="H86" s="56">
        <f t="shared" si="12"/>
        <v>47433.577934439665</v>
      </c>
      <c r="I86" s="56">
        <f t="shared" si="12"/>
        <v>49655.663535376378</v>
      </c>
      <c r="J86" s="56">
        <f t="shared" si="12"/>
        <v>52082.243779892655</v>
      </c>
      <c r="K86" s="56">
        <f t="shared" si="12"/>
        <v>54713.31866780862</v>
      </c>
      <c r="L86" s="56">
        <f t="shared" si="12"/>
        <v>57548.888199124267</v>
      </c>
      <c r="M86" s="56">
        <f t="shared" si="12"/>
        <v>60588.952373569758</v>
      </c>
      <c r="N86" s="56">
        <f t="shared" si="12"/>
        <v>63833.511191684767</v>
      </c>
      <c r="O86" s="56">
        <f t="shared" si="12"/>
        <v>67282.564653109526</v>
      </c>
      <c r="P86" s="56">
        <f t="shared" si="12"/>
        <v>70936.112757933952</v>
      </c>
      <c r="Q86" s="56">
        <f t="shared" si="12"/>
        <v>74794.155505978182</v>
      </c>
      <c r="R86" s="56">
        <f t="shared" si="12"/>
        <v>78856.692897512025</v>
      </c>
      <c r="S86" s="56">
        <f t="shared" si="12"/>
        <v>83123.724932535508</v>
      </c>
    </row>
    <row r="87" spans="1:19">
      <c r="A87">
        <v>64</v>
      </c>
      <c r="B87">
        <v>0.18049636735690014</v>
      </c>
      <c r="C87" s="56">
        <f>+$B87*C$14</f>
        <v>37692.64612681204</v>
      </c>
      <c r="D87" s="56">
        <f t="shared" si="12"/>
        <v>38840.549433953434</v>
      </c>
      <c r="E87" s="56">
        <f t="shared" si="12"/>
        <v>40184.132679140443</v>
      </c>
      <c r="F87" s="56">
        <f t="shared" si="12"/>
        <v>41723.395862975543</v>
      </c>
      <c r="G87" s="56">
        <f t="shared" si="12"/>
        <v>43458.338985200528</v>
      </c>
      <c r="H87" s="56">
        <f t="shared" si="12"/>
        <v>45388.962045729342</v>
      </c>
      <c r="I87" s="56">
        <f t="shared" si="12"/>
        <v>47515.265044475906</v>
      </c>
      <c r="J87" s="56">
        <f t="shared" si="12"/>
        <v>49837.247981784494</v>
      </c>
      <c r="K87" s="56">
        <f t="shared" si="12"/>
        <v>52354.910857482973</v>
      </c>
      <c r="L87" s="56">
        <f t="shared" si="12"/>
        <v>55068.253671571343</v>
      </c>
      <c r="M87" s="56">
        <f t="shared" si="12"/>
        <v>57977.276423791394</v>
      </c>
      <c r="N87" s="56">
        <f t="shared" si="12"/>
        <v>61081.979114659538</v>
      </c>
      <c r="O87" s="56">
        <f t="shared" si="12"/>
        <v>64382.361743831505</v>
      </c>
      <c r="P87" s="56">
        <f t="shared" si="12"/>
        <v>67878.424311393363</v>
      </c>
      <c r="Q87" s="56">
        <f t="shared" si="12"/>
        <v>71570.166817172969</v>
      </c>
      <c r="R87" s="56">
        <f t="shared" si="12"/>
        <v>75457.58926142854</v>
      </c>
      <c r="S87" s="56">
        <f t="shared" si="12"/>
        <v>79540.691644160062</v>
      </c>
    </row>
    <row r="88" spans="1:19">
      <c r="A88">
        <v>65</v>
      </c>
      <c r="B88">
        <v>0.21794992959144135</v>
      </c>
      <c r="C88" s="56">
        <f>+$B88*C$15</f>
        <v>35414.335121460652</v>
      </c>
      <c r="D88" s="56">
        <f t="shared" ref="D88:S92" si="13">+$B88*D$15</f>
        <v>36783.24964188032</v>
      </c>
      <c r="E88" s="56">
        <f t="shared" si="13"/>
        <v>38220.963675567938</v>
      </c>
      <c r="F88" s="56">
        <f t="shared" si="13"/>
        <v>39727.477222445545</v>
      </c>
      <c r="G88" s="56">
        <f t="shared" si="13"/>
        <v>41302.790282643058</v>
      </c>
      <c r="H88" s="56">
        <f t="shared" si="13"/>
        <v>42946.902856004584</v>
      </c>
      <c r="I88" s="56">
        <f t="shared" si="13"/>
        <v>44659.814942686018</v>
      </c>
      <c r="J88" s="56">
        <f t="shared" si="13"/>
        <v>46441.52654255744</v>
      </c>
      <c r="K88" s="56">
        <f t="shared" si="13"/>
        <v>48292.037655696804</v>
      </c>
      <c r="L88" s="56">
        <f t="shared" si="13"/>
        <v>50211.348282052153</v>
      </c>
      <c r="M88" s="56">
        <f t="shared" si="13"/>
        <v>52199.458421701413</v>
      </c>
      <c r="N88" s="56">
        <f t="shared" si="13"/>
        <v>54256.368074566657</v>
      </c>
      <c r="O88" s="56">
        <f t="shared" si="13"/>
        <v>56382.077240647872</v>
      </c>
      <c r="P88" s="56">
        <f t="shared" si="13"/>
        <v>58576.585920023012</v>
      </c>
      <c r="Q88" s="56">
        <f t="shared" si="13"/>
        <v>60839.894112588154</v>
      </c>
      <c r="R88" s="56">
        <f t="shared" si="13"/>
        <v>63172.001818473189</v>
      </c>
      <c r="S88" s="56">
        <f t="shared" si="13"/>
        <v>65572.909037522244</v>
      </c>
    </row>
    <row r="89" spans="1:19">
      <c r="A89">
        <v>66</v>
      </c>
      <c r="B89">
        <v>0.20900709756074509</v>
      </c>
      <c r="C89" s="56">
        <f t="shared" ref="C89:R92" si="14">+$B89*C$15</f>
        <v>33961.228662267524</v>
      </c>
      <c r="D89" s="56">
        <f t="shared" si="14"/>
        <v>35273.9744440992</v>
      </c>
      <c r="E89" s="56">
        <f t="shared" si="14"/>
        <v>36652.696785816348</v>
      </c>
      <c r="F89" s="56">
        <f t="shared" si="14"/>
        <v>38097.395687344222</v>
      </c>
      <c r="G89" s="56">
        <f t="shared" si="14"/>
        <v>39608.071148807401</v>
      </c>
      <c r="H89" s="56">
        <f t="shared" si="14"/>
        <v>41184.723170056386</v>
      </c>
      <c r="I89" s="56">
        <f t="shared" si="14"/>
        <v>42827.351751240676</v>
      </c>
      <c r="J89" s="56">
        <f t="shared" si="14"/>
        <v>44535.956892235692</v>
      </c>
      <c r="K89" s="56">
        <f t="shared" si="14"/>
        <v>46310.53859311618</v>
      </c>
      <c r="L89" s="56">
        <f t="shared" si="14"/>
        <v>48151.096853832307</v>
      </c>
      <c r="M89" s="56">
        <f t="shared" si="14"/>
        <v>50057.631674458818</v>
      </c>
      <c r="N89" s="56">
        <f t="shared" si="14"/>
        <v>52030.143054920976</v>
      </c>
      <c r="O89" s="56">
        <f t="shared" si="14"/>
        <v>54068.630995218773</v>
      </c>
      <c r="P89" s="56">
        <f t="shared" si="14"/>
        <v>56173.095495426962</v>
      </c>
      <c r="Q89" s="56">
        <f t="shared" si="14"/>
        <v>58343.536555445869</v>
      </c>
      <c r="R89" s="56">
        <f t="shared" si="14"/>
        <v>60579.954175400082</v>
      </c>
      <c r="S89" s="56">
        <f t="shared" si="13"/>
        <v>62882.348355140108</v>
      </c>
    </row>
    <row r="90" spans="1:19">
      <c r="A90">
        <v>67</v>
      </c>
      <c r="B90">
        <v>0.20017767528895861</v>
      </c>
      <c r="C90" s="56">
        <f t="shared" si="14"/>
        <v>32526.54997323062</v>
      </c>
      <c r="D90" s="56">
        <f t="shared" si="13"/>
        <v>33783.839328086513</v>
      </c>
      <c r="E90" s="56">
        <f t="shared" si="13"/>
        <v>35104.318089118417</v>
      </c>
      <c r="F90" s="56">
        <f t="shared" si="13"/>
        <v>36487.986256254757</v>
      </c>
      <c r="G90" s="56">
        <f t="shared" si="13"/>
        <v>37934.843829614838</v>
      </c>
      <c r="H90" s="56">
        <f t="shared" si="13"/>
        <v>39444.890809055483</v>
      </c>
      <c r="I90" s="56">
        <f t="shared" si="13"/>
        <v>41018.127194719877</v>
      </c>
      <c r="J90" s="56">
        <f t="shared" si="13"/>
        <v>42654.552986488699</v>
      </c>
      <c r="K90" s="56">
        <f t="shared" si="13"/>
        <v>44354.168184433533</v>
      </c>
      <c r="L90" s="56">
        <f t="shared" si="13"/>
        <v>46116.972788506668</v>
      </c>
      <c r="M90" s="56">
        <f t="shared" si="13"/>
        <v>47942.966798779678</v>
      </c>
      <c r="N90" s="56">
        <f t="shared" si="13"/>
        <v>49832.150215180984</v>
      </c>
      <c r="O90" s="56">
        <f t="shared" si="13"/>
        <v>51784.523037710576</v>
      </c>
      <c r="P90" s="56">
        <f t="shared" si="13"/>
        <v>53800.085266440059</v>
      </c>
      <c r="Q90" s="56">
        <f t="shared" si="13"/>
        <v>55878.836901273964</v>
      </c>
      <c r="R90" s="56">
        <f t="shared" si="13"/>
        <v>58020.777942331617</v>
      </c>
      <c r="S90" s="56">
        <f t="shared" si="13"/>
        <v>60225.908389469827</v>
      </c>
    </row>
    <row r="91" spans="1:19">
      <c r="A91">
        <v>68</v>
      </c>
      <c r="B91">
        <v>0.19109308105962519</v>
      </c>
      <c r="C91" s="56">
        <f t="shared" si="14"/>
        <v>31050.408801342233</v>
      </c>
      <c r="D91" s="56">
        <f t="shared" si="13"/>
        <v>32250.639028094862</v>
      </c>
      <c r="E91" s="56">
        <f t="shared" si="13"/>
        <v>33511.190958049774</v>
      </c>
      <c r="F91" s="56">
        <f t="shared" si="13"/>
        <v>34832.064591138624</v>
      </c>
      <c r="G91" s="56">
        <f t="shared" si="13"/>
        <v>36213.259927475316</v>
      </c>
      <c r="H91" s="56">
        <f t="shared" si="13"/>
        <v>37654.776966923171</v>
      </c>
      <c r="I91" s="56">
        <f t="shared" si="13"/>
        <v>39156.615709618869</v>
      </c>
      <c r="J91" s="56">
        <f t="shared" si="13"/>
        <v>40718.776155448511</v>
      </c>
      <c r="K91" s="56">
        <f t="shared" si="13"/>
        <v>42341.258304480434</v>
      </c>
      <c r="L91" s="56">
        <f t="shared" si="13"/>
        <v>44024.062156669082</v>
      </c>
      <c r="M91" s="56">
        <f t="shared" si="13"/>
        <v>45767.187712082785</v>
      </c>
      <c r="N91" s="56">
        <f t="shared" si="13"/>
        <v>47570.63497065322</v>
      </c>
      <c r="O91" s="56">
        <f t="shared" si="13"/>
        <v>49434.403932380366</v>
      </c>
      <c r="P91" s="56">
        <f t="shared" si="13"/>
        <v>51358.494597332581</v>
      </c>
      <c r="Q91" s="56">
        <f t="shared" si="13"/>
        <v>53342.906965418741</v>
      </c>
      <c r="R91" s="56">
        <f t="shared" si="13"/>
        <v>55387.641036752735</v>
      </c>
      <c r="S91" s="56">
        <f t="shared" si="13"/>
        <v>57492.6968111979</v>
      </c>
    </row>
    <row r="92" spans="1:19">
      <c r="A92">
        <v>69</v>
      </c>
      <c r="B92">
        <v>0.18177221649922976</v>
      </c>
      <c r="C92" s="56">
        <f t="shared" si="14"/>
        <v>29535.876441628399</v>
      </c>
      <c r="D92" s="56">
        <f t="shared" si="13"/>
        <v>30677.563557752321</v>
      </c>
      <c r="E92" s="56">
        <f t="shared" si="13"/>
        <v>31876.630091452676</v>
      </c>
      <c r="F92" s="56">
        <f t="shared" si="13"/>
        <v>33133.076042664456</v>
      </c>
      <c r="G92" s="56">
        <f t="shared" si="13"/>
        <v>34446.901411496008</v>
      </c>
      <c r="H92" s="56">
        <f t="shared" si="13"/>
        <v>35818.106197817324</v>
      </c>
      <c r="I92" s="56">
        <f t="shared" si="13"/>
        <v>37246.690401758402</v>
      </c>
      <c r="J92" s="56">
        <f t="shared" si="13"/>
        <v>38732.654023210911</v>
      </c>
      <c r="K92" s="56">
        <f t="shared" si="13"/>
        <v>40275.997062239861</v>
      </c>
      <c r="L92" s="56">
        <f t="shared" si="13"/>
        <v>41876.719518801896</v>
      </c>
      <c r="M92" s="56">
        <f t="shared" si="13"/>
        <v>43534.82139296204</v>
      </c>
      <c r="N92" s="56">
        <f t="shared" si="13"/>
        <v>45250.302684655282</v>
      </c>
      <c r="O92" s="56">
        <f t="shared" si="13"/>
        <v>47023.163393881616</v>
      </c>
      <c r="P92" s="56">
        <f t="shared" si="13"/>
        <v>48853.403520706051</v>
      </c>
      <c r="Q92" s="56">
        <f t="shared" si="13"/>
        <v>50741.023065041918</v>
      </c>
      <c r="R92" s="56">
        <f t="shared" si="13"/>
        <v>52686.022026997547</v>
      </c>
      <c r="S92" s="56">
        <f t="shared" si="13"/>
        <v>54688.400406442946</v>
      </c>
    </row>
    <row r="93" spans="1:19">
      <c r="A93">
        <v>70</v>
      </c>
      <c r="B93">
        <v>0.22571525361091435</v>
      </c>
      <c r="C93" s="56">
        <f>+$B93*C$16</f>
        <v>29470.627021916007</v>
      </c>
      <c r="D93" s="56">
        <f t="shared" ref="D93:S97" si="15">+$B93*D$16</f>
        <v>30733.717257069751</v>
      </c>
      <c r="E93" s="56">
        <f t="shared" si="15"/>
        <v>31998.888180574751</v>
      </c>
      <c r="F93" s="56">
        <f t="shared" si="15"/>
        <v>33266.139792430171</v>
      </c>
      <c r="G93" s="56">
        <f t="shared" si="15"/>
        <v>34535.472092636839</v>
      </c>
      <c r="H93" s="56">
        <f t="shared" si="15"/>
        <v>35806.88508119309</v>
      </c>
      <c r="I93" s="56">
        <f t="shared" si="15"/>
        <v>37080.378758100596</v>
      </c>
      <c r="J93" s="56">
        <f t="shared" si="15"/>
        <v>38355.953123360203</v>
      </c>
      <c r="K93" s="56">
        <f t="shared" si="15"/>
        <v>39633.608176969385</v>
      </c>
      <c r="L93" s="56">
        <f t="shared" si="15"/>
        <v>40913.343918929822</v>
      </c>
      <c r="M93" s="56">
        <f t="shared" si="15"/>
        <v>42195.160349241516</v>
      </c>
      <c r="N93" s="56">
        <f t="shared" si="15"/>
        <v>43479.057467903629</v>
      </c>
      <c r="O93" s="56">
        <f t="shared" si="15"/>
        <v>44765.035274916998</v>
      </c>
      <c r="P93" s="56">
        <f t="shared" si="15"/>
        <v>46053.093770280786</v>
      </c>
      <c r="Q93" s="56">
        <f t="shared" si="15"/>
        <v>47343.232953995823</v>
      </c>
      <c r="R93" s="56">
        <f t="shared" si="15"/>
        <v>48635.452826061286</v>
      </c>
      <c r="S93" s="56">
        <f t="shared" si="15"/>
        <v>49929.753386477161</v>
      </c>
    </row>
    <row r="94" spans="1:19">
      <c r="A94">
        <v>71</v>
      </c>
      <c r="B94">
        <v>0.21479473992177636</v>
      </c>
      <c r="C94" s="56">
        <f>+$B94*C$16</f>
        <v>28044.784591368141</v>
      </c>
      <c r="D94" s="56">
        <f t="shared" si="15"/>
        <v>29246.764228177522</v>
      </c>
      <c r="E94" s="56">
        <f t="shared" si="15"/>
        <v>30450.72388585885</v>
      </c>
      <c r="F94" s="56">
        <f t="shared" si="15"/>
        <v>31656.663564411323</v>
      </c>
      <c r="G94" s="56">
        <f t="shared" si="15"/>
        <v>32864.583263835746</v>
      </c>
      <c r="H94" s="56">
        <f t="shared" si="15"/>
        <v>34074.482984130511</v>
      </c>
      <c r="I94" s="56">
        <f t="shared" si="15"/>
        <v>35286.362725297229</v>
      </c>
      <c r="J94" s="56">
        <f t="shared" si="15"/>
        <v>36500.222487336694</v>
      </c>
      <c r="K94" s="56">
        <f t="shared" si="15"/>
        <v>37716.062270246504</v>
      </c>
      <c r="L94" s="56">
        <f t="shared" si="15"/>
        <v>38933.882074028268</v>
      </c>
      <c r="M94" s="56">
        <f t="shared" si="15"/>
        <v>40153.681898681971</v>
      </c>
      <c r="N94" s="56">
        <f t="shared" si="15"/>
        <v>41375.461744206827</v>
      </c>
      <c r="O94" s="56">
        <f t="shared" si="15"/>
        <v>42599.221610603629</v>
      </c>
      <c r="P94" s="56">
        <f t="shared" si="15"/>
        <v>43824.961497871576</v>
      </c>
      <c r="Q94" s="56">
        <f t="shared" si="15"/>
        <v>45052.681406011478</v>
      </c>
      <c r="R94" s="56">
        <f t="shared" si="15"/>
        <v>46282.381335022517</v>
      </c>
      <c r="S94" s="56">
        <f t="shared" si="15"/>
        <v>47514.06128490471</v>
      </c>
    </row>
    <row r="95" spans="1:19">
      <c r="A95">
        <v>72</v>
      </c>
      <c r="B95">
        <v>0.20212805272396908</v>
      </c>
      <c r="C95" s="56">
        <f>+$B95*C$16</f>
        <v>26390.952127509325</v>
      </c>
      <c r="D95" s="56">
        <f t="shared" si="15"/>
        <v>27522.0496743609</v>
      </c>
      <c r="E95" s="56">
        <f t="shared" si="15"/>
        <v>28655.010478028471</v>
      </c>
      <c r="F95" s="56">
        <f t="shared" si="15"/>
        <v>29789.834538511288</v>
      </c>
      <c r="G95" s="56">
        <f t="shared" si="15"/>
        <v>30926.521855810101</v>
      </c>
      <c r="H95" s="56">
        <f t="shared" si="15"/>
        <v>32065.072429923406</v>
      </c>
      <c r="I95" s="56">
        <f t="shared" si="15"/>
        <v>33205.486260852711</v>
      </c>
      <c r="J95" s="56">
        <f t="shared" si="15"/>
        <v>34347.763348598761</v>
      </c>
      <c r="K95" s="56">
        <f t="shared" si="15"/>
        <v>35491.903693159307</v>
      </c>
      <c r="L95" s="56">
        <f t="shared" si="15"/>
        <v>36637.907294535842</v>
      </c>
      <c r="M95" s="56">
        <f t="shared" si="15"/>
        <v>37785.77415272838</v>
      </c>
      <c r="N95" s="56">
        <f t="shared" si="15"/>
        <v>38935.504267736163</v>
      </c>
      <c r="O95" s="56">
        <f t="shared" si="15"/>
        <v>40087.097639559943</v>
      </c>
      <c r="P95" s="56">
        <f t="shared" si="15"/>
        <v>41240.554268198968</v>
      </c>
      <c r="Q95" s="56">
        <f t="shared" si="15"/>
        <v>42395.874153653989</v>
      </c>
      <c r="R95" s="56">
        <f t="shared" si="15"/>
        <v>43553.057295924256</v>
      </c>
      <c r="S95" s="56">
        <f t="shared" si="15"/>
        <v>44712.103695009762</v>
      </c>
    </row>
    <row r="96" spans="1:19">
      <c r="A96">
        <v>73</v>
      </c>
      <c r="B96">
        <v>0.18700070832435095</v>
      </c>
      <c r="C96" s="56">
        <f>+$B96*C$16</f>
        <v>24415.842703129423</v>
      </c>
      <c r="D96" s="56">
        <f t="shared" si="15"/>
        <v>25462.288456673748</v>
      </c>
      <c r="E96" s="56">
        <f t="shared" si="15"/>
        <v>26510.458020147893</v>
      </c>
      <c r="F96" s="56">
        <f t="shared" si="15"/>
        <v>27560.351393551169</v>
      </c>
      <c r="G96" s="56">
        <f t="shared" si="15"/>
        <v>28611.968576884265</v>
      </c>
      <c r="H96" s="56">
        <f t="shared" si="15"/>
        <v>29665.309570145797</v>
      </c>
      <c r="I96" s="56">
        <f t="shared" si="15"/>
        <v>30720.374373337148</v>
      </c>
      <c r="J96" s="56">
        <f t="shared" si="15"/>
        <v>31777.162986459025</v>
      </c>
      <c r="K96" s="56">
        <f t="shared" si="15"/>
        <v>32835.675409509335</v>
      </c>
      <c r="L96" s="56">
        <f t="shared" si="15"/>
        <v>33895.91164248946</v>
      </c>
      <c r="M96" s="56">
        <f t="shared" si="15"/>
        <v>34957.871685399419</v>
      </c>
      <c r="N96" s="56">
        <f t="shared" si="15"/>
        <v>36021.555538238499</v>
      </c>
      <c r="O96" s="56">
        <f t="shared" si="15"/>
        <v>37086.963201007406</v>
      </c>
      <c r="P96" s="56">
        <f t="shared" si="15"/>
        <v>38154.09467370544</v>
      </c>
      <c r="Q96" s="56">
        <f t="shared" si="15"/>
        <v>39222.949956333301</v>
      </c>
      <c r="R96" s="56">
        <f t="shared" si="15"/>
        <v>40293.52904889029</v>
      </c>
      <c r="S96" s="56">
        <f t="shared" si="15"/>
        <v>41365.831951376407</v>
      </c>
    </row>
    <row r="97" spans="1:19">
      <c r="A97">
        <v>74</v>
      </c>
      <c r="B97">
        <v>0.17036124541898925</v>
      </c>
      <c r="C97" s="56">
        <f>+$B97*C$16</f>
        <v>22243.302756076377</v>
      </c>
      <c r="D97" s="56">
        <f t="shared" si="15"/>
        <v>23196.634983716973</v>
      </c>
      <c r="E97" s="56">
        <f t="shared" si="15"/>
        <v>24151.537635390414</v>
      </c>
      <c r="F97" s="56">
        <f t="shared" si="15"/>
        <v>25108.010711096056</v>
      </c>
      <c r="G97" s="56">
        <f t="shared" si="15"/>
        <v>26066.054210834536</v>
      </c>
      <c r="H97" s="56">
        <f t="shared" si="15"/>
        <v>27025.668134604588</v>
      </c>
      <c r="I97" s="56">
        <f t="shared" si="15"/>
        <v>27986.852482407481</v>
      </c>
      <c r="J97" s="56">
        <f t="shared" si="15"/>
        <v>28949.607254243845</v>
      </c>
      <c r="K97" s="56">
        <f t="shared" si="15"/>
        <v>29913.932450111777</v>
      </c>
      <c r="L97" s="56">
        <f t="shared" si="15"/>
        <v>30879.828070012554</v>
      </c>
      <c r="M97" s="56">
        <f t="shared" si="15"/>
        <v>31847.294113946165</v>
      </c>
      <c r="N97" s="56">
        <f t="shared" si="15"/>
        <v>32816.330581911985</v>
      </c>
      <c r="O97" s="56">
        <f t="shared" si="15"/>
        <v>33786.937473910642</v>
      </c>
      <c r="P97" s="56">
        <f t="shared" si="15"/>
        <v>34759.114789941501</v>
      </c>
      <c r="Q97" s="56">
        <f t="shared" si="15"/>
        <v>35732.862530005201</v>
      </c>
      <c r="R97" s="56">
        <f t="shared" si="15"/>
        <v>36708.180694101102</v>
      </c>
      <c r="S97" s="56">
        <f t="shared" si="15"/>
        <v>37685.069282229211</v>
      </c>
    </row>
    <row r="98" spans="1:19">
      <c r="A98">
        <v>75</v>
      </c>
      <c r="B98">
        <v>0.33413432576071966</v>
      </c>
      <c r="C98" s="56">
        <f>+$B98*C$17</f>
        <v>29902.075458362677</v>
      </c>
      <c r="D98" s="56">
        <f t="shared" ref="D98:S102" si="16">+$B98*D$17</f>
        <v>31130.723895072446</v>
      </c>
      <c r="E98" s="56">
        <f t="shared" si="16"/>
        <v>32399.656768980745</v>
      </c>
      <c r="F98" s="56">
        <f t="shared" si="16"/>
        <v>33708.874080087575</v>
      </c>
      <c r="G98" s="56">
        <f t="shared" si="16"/>
        <v>35058.375828363052</v>
      </c>
      <c r="H98" s="56">
        <f t="shared" si="16"/>
        <v>36448.162013866939</v>
      </c>
      <c r="I98" s="56">
        <f t="shared" si="16"/>
        <v>37878.232636559391</v>
      </c>
      <c r="J98" s="56">
        <f t="shared" si="16"/>
        <v>39348.58769645037</v>
      </c>
      <c r="K98" s="56">
        <f t="shared" si="16"/>
        <v>40859.227193519961</v>
      </c>
      <c r="L98" s="56">
        <f t="shared" si="16"/>
        <v>42410.151127808</v>
      </c>
      <c r="M98" s="56">
        <f t="shared" si="16"/>
        <v>44001.359499294565</v>
      </c>
      <c r="N98" s="56">
        <f t="shared" si="16"/>
        <v>45632.852307959736</v>
      </c>
      <c r="O98" s="56">
        <f t="shared" si="16"/>
        <v>47304.629553833402</v>
      </c>
      <c r="P98" s="56">
        <f t="shared" si="16"/>
        <v>49016.691236915547</v>
      </c>
      <c r="Q98" s="56">
        <f t="shared" si="16"/>
        <v>50769.037357186266</v>
      </c>
      <c r="R98" s="56">
        <f t="shared" si="16"/>
        <v>52561.667914635596</v>
      </c>
      <c r="S98" s="56">
        <f t="shared" si="16"/>
        <v>54394.582909303368</v>
      </c>
    </row>
    <row r="99" spans="1:19">
      <c r="A99">
        <v>76</v>
      </c>
      <c r="B99">
        <v>0.3008607879623556</v>
      </c>
      <c r="C99" s="56">
        <f t="shared" ref="C99:R102" si="17">+$B99*C$17</f>
        <v>26924.387261413205</v>
      </c>
      <c r="D99" s="56">
        <f t="shared" si="17"/>
        <v>28030.685262840132</v>
      </c>
      <c r="E99" s="56">
        <f t="shared" si="17"/>
        <v>29173.256123963758</v>
      </c>
      <c r="F99" s="56">
        <f t="shared" si="17"/>
        <v>30352.099844784079</v>
      </c>
      <c r="G99" s="56">
        <f t="shared" si="17"/>
        <v>31567.2164252742</v>
      </c>
      <c r="H99" s="56">
        <f t="shared" si="17"/>
        <v>32818.605865487916</v>
      </c>
      <c r="I99" s="56">
        <f t="shared" si="17"/>
        <v>34106.268165389367</v>
      </c>
      <c r="J99" s="56">
        <f t="shared" si="17"/>
        <v>35430.203324987509</v>
      </c>
      <c r="K99" s="56">
        <f t="shared" si="17"/>
        <v>36790.411344264416</v>
      </c>
      <c r="L99" s="56">
        <f t="shared" si="17"/>
        <v>38186.892223255956</v>
      </c>
      <c r="M99" s="56">
        <f t="shared" si="17"/>
        <v>39619.645961944196</v>
      </c>
      <c r="N99" s="56">
        <f t="shared" si="17"/>
        <v>41088.672560311199</v>
      </c>
      <c r="O99" s="56">
        <f t="shared" si="17"/>
        <v>42593.972018383858</v>
      </c>
      <c r="P99" s="56">
        <f t="shared" si="17"/>
        <v>44135.544336162187</v>
      </c>
      <c r="Q99" s="56">
        <f t="shared" si="17"/>
        <v>45713.389513628252</v>
      </c>
      <c r="R99" s="56">
        <f t="shared" si="17"/>
        <v>47327.507550773073</v>
      </c>
      <c r="S99" s="56">
        <f t="shared" si="16"/>
        <v>48977.898447632528</v>
      </c>
    </row>
    <row r="100" spans="1:19">
      <c r="A100">
        <v>77</v>
      </c>
      <c r="B100">
        <v>0.2723329629580048</v>
      </c>
      <c r="C100" s="56">
        <f t="shared" si="17"/>
        <v>24371.398507561127</v>
      </c>
      <c r="D100" s="56">
        <f t="shared" si="16"/>
        <v>25372.79657835529</v>
      </c>
      <c r="E100" s="56">
        <f t="shared" si="16"/>
        <v>26407.028091563348</v>
      </c>
      <c r="F100" s="56">
        <f t="shared" si="16"/>
        <v>27474.093047185303</v>
      </c>
      <c r="G100" s="56">
        <f t="shared" si="16"/>
        <v>28573.991445196807</v>
      </c>
      <c r="H100" s="56">
        <f t="shared" si="16"/>
        <v>29706.723285646553</v>
      </c>
      <c r="I100" s="56">
        <f t="shared" si="16"/>
        <v>30872.288568502081</v>
      </c>
      <c r="J100" s="56">
        <f t="shared" si="16"/>
        <v>32070.687293771509</v>
      </c>
      <c r="K100" s="56">
        <f t="shared" si="16"/>
        <v>33301.9194614386</v>
      </c>
      <c r="L100" s="56">
        <f t="shared" si="16"/>
        <v>34565.985071535819</v>
      </c>
      <c r="M100" s="56">
        <f t="shared" si="16"/>
        <v>35862.884124046934</v>
      </c>
      <c r="N100" s="56">
        <f t="shared" si="16"/>
        <v>37192.616618955712</v>
      </c>
      <c r="O100" s="56">
        <f t="shared" si="16"/>
        <v>38555.182556286505</v>
      </c>
      <c r="P100" s="56">
        <f t="shared" si="16"/>
        <v>39950.581936039307</v>
      </c>
      <c r="Q100" s="56">
        <f t="shared" si="16"/>
        <v>41378.814758197892</v>
      </c>
      <c r="R100" s="56">
        <f t="shared" si="16"/>
        <v>42839.88102275414</v>
      </c>
      <c r="S100" s="56">
        <f t="shared" si="16"/>
        <v>44333.780729740523</v>
      </c>
    </row>
    <row r="101" spans="1:19">
      <c r="A101">
        <v>78</v>
      </c>
      <c r="B101">
        <v>0.2492268972810881</v>
      </c>
      <c r="C101" s="56">
        <f t="shared" si="17"/>
        <v>22303.609399560806</v>
      </c>
      <c r="D101" s="56">
        <f t="shared" si="16"/>
        <v>23220.043941367567</v>
      </c>
      <c r="E101" s="56">
        <f t="shared" si="16"/>
        <v>24166.526175128292</v>
      </c>
      <c r="F101" s="56">
        <f t="shared" si="16"/>
        <v>25143.056100842983</v>
      </c>
      <c r="G101" s="56">
        <f t="shared" si="16"/>
        <v>26149.633718489353</v>
      </c>
      <c r="H101" s="56">
        <f t="shared" si="16"/>
        <v>27186.259028111974</v>
      </c>
      <c r="I101" s="56">
        <f t="shared" si="16"/>
        <v>28252.932029681131</v>
      </c>
      <c r="J101" s="56">
        <f t="shared" si="16"/>
        <v>29349.652723204254</v>
      </c>
      <c r="K101" s="56">
        <f t="shared" si="16"/>
        <v>30476.421108666487</v>
      </c>
      <c r="L101" s="56">
        <f t="shared" si="16"/>
        <v>31633.23718609754</v>
      </c>
      <c r="M101" s="56">
        <f t="shared" si="16"/>
        <v>32820.100955482558</v>
      </c>
      <c r="N101" s="56">
        <f t="shared" si="16"/>
        <v>34037.01241680669</v>
      </c>
      <c r="O101" s="56">
        <f t="shared" si="16"/>
        <v>35283.97157009221</v>
      </c>
      <c r="P101" s="56">
        <f t="shared" si="16"/>
        <v>36560.978415339123</v>
      </c>
      <c r="Q101" s="56">
        <f t="shared" si="16"/>
        <v>37868.032952532572</v>
      </c>
      <c r="R101" s="56">
        <f t="shared" si="16"/>
        <v>39205.135181665137</v>
      </c>
      <c r="S101" s="56">
        <f t="shared" si="16"/>
        <v>40572.285102766517</v>
      </c>
    </row>
    <row r="102" spans="1:19">
      <c r="A102">
        <v>79</v>
      </c>
      <c r="B102">
        <v>0.23115436618964108</v>
      </c>
      <c r="C102" s="56">
        <f t="shared" si="17"/>
        <v>20686.277246721624</v>
      </c>
      <c r="D102" s="56">
        <f t="shared" si="16"/>
        <v>21536.257116377168</v>
      </c>
      <c r="E102" s="56">
        <f t="shared" si="16"/>
        <v>22414.105788577119</v>
      </c>
      <c r="F102" s="56">
        <f t="shared" si="16"/>
        <v>23319.823263321465</v>
      </c>
      <c r="G102" s="56">
        <f t="shared" si="16"/>
        <v>24253.40954058955</v>
      </c>
      <c r="H102" s="56">
        <f t="shared" si="16"/>
        <v>25214.864620422701</v>
      </c>
      <c r="I102" s="56">
        <f t="shared" si="16"/>
        <v>26204.188502793364</v>
      </c>
      <c r="J102" s="56">
        <f t="shared" si="16"/>
        <v>27221.38118770843</v>
      </c>
      <c r="K102" s="56">
        <f t="shared" si="16"/>
        <v>28266.442675154118</v>
      </c>
      <c r="L102" s="56">
        <f t="shared" si="16"/>
        <v>29339.372965157985</v>
      </c>
      <c r="M102" s="56">
        <f t="shared" si="16"/>
        <v>30440.172057706255</v>
      </c>
      <c r="N102" s="56">
        <f t="shared" si="16"/>
        <v>31568.839952785143</v>
      </c>
      <c r="O102" s="56">
        <f t="shared" si="16"/>
        <v>32725.376650415328</v>
      </c>
      <c r="P102" s="56">
        <f t="shared" si="16"/>
        <v>33909.782150596795</v>
      </c>
      <c r="Q102" s="56">
        <f t="shared" si="16"/>
        <v>35122.056453315781</v>
      </c>
      <c r="R102" s="56">
        <f t="shared" si="16"/>
        <v>36362.199558565393</v>
      </c>
      <c r="S102" s="56">
        <f t="shared" si="16"/>
        <v>37630.211466373177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0070C0"/>
  </sheetPr>
  <dimension ref="A1:CC102"/>
  <sheetViews>
    <sheetView workbookViewId="0">
      <selection activeCell="C28" sqref="C28"/>
    </sheetView>
  </sheetViews>
  <sheetFormatPr baseColWidth="10" defaultColWidth="11.5703125" defaultRowHeight="15"/>
  <cols>
    <col min="1" max="1" width="6.42578125" bestFit="1" customWidth="1"/>
    <col min="2" max="20" width="10" bestFit="1" customWidth="1"/>
  </cols>
  <sheetData>
    <row r="1" spans="2:21">
      <c r="B1" s="3" t="s">
        <v>21</v>
      </c>
      <c r="C1">
        <v>1995</v>
      </c>
      <c r="D1">
        <v>1996</v>
      </c>
      <c r="E1">
        <v>1997</v>
      </c>
      <c r="F1">
        <v>1998</v>
      </c>
      <c r="G1">
        <v>1999</v>
      </c>
      <c r="H1">
        <v>2000</v>
      </c>
      <c r="I1">
        <v>2001</v>
      </c>
      <c r="J1">
        <v>2002</v>
      </c>
      <c r="K1">
        <v>2003</v>
      </c>
      <c r="L1">
        <v>2004</v>
      </c>
      <c r="M1">
        <v>2005</v>
      </c>
      <c r="N1">
        <v>2006</v>
      </c>
      <c r="O1">
        <v>2007</v>
      </c>
      <c r="P1">
        <v>2008</v>
      </c>
      <c r="Q1">
        <v>2009</v>
      </c>
      <c r="R1">
        <v>2010</v>
      </c>
      <c r="S1">
        <v>2011</v>
      </c>
    </row>
    <row r="2" spans="2:21">
      <c r="B2" t="s">
        <v>90</v>
      </c>
      <c r="C2" s="1">
        <v>8367</v>
      </c>
      <c r="D2" s="1">
        <v>8416</v>
      </c>
      <c r="E2" s="1">
        <v>7589</v>
      </c>
      <c r="F2" s="1">
        <v>7577</v>
      </c>
      <c r="G2" s="1">
        <v>7113</v>
      </c>
      <c r="H2" s="1">
        <v>6846</v>
      </c>
      <c r="I2" s="1">
        <v>6658</v>
      </c>
      <c r="J2" s="1">
        <v>6108</v>
      </c>
      <c r="K2" s="1">
        <v>7281</v>
      </c>
      <c r="L2" s="1">
        <v>6425</v>
      </c>
      <c r="M2" s="1">
        <v>6137</v>
      </c>
      <c r="N2" s="1">
        <v>5712</v>
      </c>
      <c r="O2" s="1">
        <v>5749</v>
      </c>
      <c r="P2" s="1">
        <v>5567</v>
      </c>
      <c r="Q2" s="1">
        <v>5676</v>
      </c>
      <c r="R2" s="1">
        <v>5935</v>
      </c>
      <c r="S2" s="1">
        <v>5768</v>
      </c>
      <c r="T2" s="2"/>
      <c r="U2" s="2"/>
    </row>
    <row r="3" spans="2:21">
      <c r="B3" t="s">
        <v>3</v>
      </c>
      <c r="C3" s="1">
        <v>570</v>
      </c>
      <c r="D3" s="1">
        <v>632</v>
      </c>
      <c r="E3" s="1">
        <v>614</v>
      </c>
      <c r="F3" s="1">
        <v>575</v>
      </c>
      <c r="G3" s="1">
        <v>626</v>
      </c>
      <c r="H3" s="1">
        <v>588</v>
      </c>
      <c r="I3" s="1">
        <v>536</v>
      </c>
      <c r="J3" s="1">
        <v>509</v>
      </c>
      <c r="K3" s="1">
        <v>543</v>
      </c>
      <c r="L3" s="1">
        <v>572</v>
      </c>
      <c r="M3" s="1">
        <v>495</v>
      </c>
      <c r="N3" s="1">
        <v>491</v>
      </c>
      <c r="O3" s="1">
        <v>519</v>
      </c>
      <c r="P3" s="1">
        <v>432</v>
      </c>
      <c r="Q3" s="1">
        <v>439</v>
      </c>
      <c r="R3" s="1">
        <v>449</v>
      </c>
      <c r="S3" s="1">
        <v>401</v>
      </c>
      <c r="T3" s="2"/>
      <c r="U3" s="2"/>
    </row>
    <row r="4" spans="2:21">
      <c r="B4" t="s">
        <v>4</v>
      </c>
      <c r="C4" s="1">
        <v>670</v>
      </c>
      <c r="D4" s="1">
        <v>654</v>
      </c>
      <c r="E4" s="1">
        <v>647</v>
      </c>
      <c r="F4" s="1">
        <v>638</v>
      </c>
      <c r="G4" s="1">
        <v>616</v>
      </c>
      <c r="H4" s="1">
        <v>603</v>
      </c>
      <c r="I4" s="1">
        <v>635</v>
      </c>
      <c r="J4" s="1">
        <v>682</v>
      </c>
      <c r="K4" s="1">
        <v>693</v>
      </c>
      <c r="L4" s="1">
        <v>641</v>
      </c>
      <c r="M4" s="1">
        <v>632</v>
      </c>
      <c r="N4" s="1">
        <v>655</v>
      </c>
      <c r="O4" s="1">
        <v>667</v>
      </c>
      <c r="P4" s="1">
        <v>671</v>
      </c>
      <c r="Q4" s="1">
        <v>612</v>
      </c>
      <c r="R4" s="1">
        <v>598</v>
      </c>
      <c r="S4" s="1">
        <v>596</v>
      </c>
      <c r="T4" s="2"/>
      <c r="U4" s="2"/>
    </row>
    <row r="5" spans="2:21">
      <c r="B5" t="s">
        <v>5</v>
      </c>
      <c r="C5" s="1">
        <v>2137</v>
      </c>
      <c r="D5" s="1">
        <v>2130</v>
      </c>
      <c r="E5" s="1">
        <v>1884</v>
      </c>
      <c r="F5" s="1">
        <v>1875</v>
      </c>
      <c r="G5" s="1">
        <v>2162</v>
      </c>
      <c r="H5" s="1">
        <v>2643</v>
      </c>
      <c r="I5" s="1">
        <v>2699</v>
      </c>
      <c r="J5" s="1">
        <v>3007</v>
      </c>
      <c r="K5" s="1">
        <v>3402</v>
      </c>
      <c r="L5" s="1">
        <v>3036</v>
      </c>
      <c r="M5" s="1">
        <v>2927</v>
      </c>
      <c r="N5" s="1">
        <v>3255</v>
      </c>
      <c r="O5" s="1">
        <v>3665</v>
      </c>
      <c r="P5" s="1">
        <v>4087</v>
      </c>
      <c r="Q5" s="1">
        <v>4051</v>
      </c>
      <c r="R5" s="1">
        <v>3822</v>
      </c>
      <c r="S5" s="1">
        <v>3845</v>
      </c>
      <c r="T5" s="2"/>
      <c r="U5" s="2"/>
    </row>
    <row r="6" spans="2:21">
      <c r="B6" t="s">
        <v>6</v>
      </c>
      <c r="C6" s="1">
        <v>2788</v>
      </c>
      <c r="D6" s="1">
        <v>2666</v>
      </c>
      <c r="E6" s="1">
        <v>2476</v>
      </c>
      <c r="F6" s="1">
        <v>2721</v>
      </c>
      <c r="G6" s="1">
        <v>3141</v>
      </c>
      <c r="H6" s="1">
        <v>4041</v>
      </c>
      <c r="I6" s="1">
        <v>4132</v>
      </c>
      <c r="J6" s="1">
        <v>4658</v>
      </c>
      <c r="K6" s="1">
        <v>5314</v>
      </c>
      <c r="L6" s="1">
        <v>4648</v>
      </c>
      <c r="M6" s="1">
        <v>4391</v>
      </c>
      <c r="N6" s="1">
        <v>5060</v>
      </c>
      <c r="O6" s="1">
        <v>5680</v>
      </c>
      <c r="P6" s="1">
        <v>6239</v>
      </c>
      <c r="Q6" s="1">
        <v>6103</v>
      </c>
      <c r="R6" s="1">
        <v>5535</v>
      </c>
      <c r="S6" s="1">
        <v>5635</v>
      </c>
      <c r="T6" s="2"/>
      <c r="U6" s="2"/>
    </row>
    <row r="7" spans="2:21">
      <c r="B7" t="s">
        <v>7</v>
      </c>
      <c r="C7" s="1">
        <v>2426</v>
      </c>
      <c r="D7" s="1">
        <v>2466</v>
      </c>
      <c r="E7" s="1">
        <v>2274</v>
      </c>
      <c r="F7" s="1">
        <v>2380</v>
      </c>
      <c r="G7" s="1">
        <v>2830</v>
      </c>
      <c r="H7" s="1">
        <v>3300</v>
      </c>
      <c r="I7" s="1">
        <v>3438</v>
      </c>
      <c r="J7" s="1">
        <v>3573</v>
      </c>
      <c r="K7" s="1">
        <v>4242</v>
      </c>
      <c r="L7" s="1">
        <v>3908</v>
      </c>
      <c r="M7" s="1">
        <v>3859</v>
      </c>
      <c r="N7" s="1">
        <v>4458</v>
      </c>
      <c r="O7" s="1">
        <v>5029</v>
      </c>
      <c r="P7" s="1">
        <v>5161</v>
      </c>
      <c r="Q7" s="1">
        <v>5096</v>
      </c>
      <c r="R7" s="1">
        <v>4783</v>
      </c>
      <c r="S7" s="1">
        <v>4683</v>
      </c>
      <c r="T7" s="2"/>
      <c r="U7" s="2"/>
    </row>
    <row r="8" spans="2:21">
      <c r="B8" t="s">
        <v>8</v>
      </c>
      <c r="C8" s="1">
        <v>2300</v>
      </c>
      <c r="D8" s="1">
        <v>2170</v>
      </c>
      <c r="E8" s="1">
        <v>2090</v>
      </c>
      <c r="F8" s="1">
        <v>2253</v>
      </c>
      <c r="G8" s="1">
        <v>2502</v>
      </c>
      <c r="H8" s="1">
        <v>2865</v>
      </c>
      <c r="I8" s="1">
        <v>2829</v>
      </c>
      <c r="J8" s="1">
        <v>2802</v>
      </c>
      <c r="K8" s="1">
        <v>3242</v>
      </c>
      <c r="L8" s="1">
        <v>3112</v>
      </c>
      <c r="M8" s="1">
        <v>3018</v>
      </c>
      <c r="N8" s="1">
        <v>3237</v>
      </c>
      <c r="O8" s="1">
        <v>3701</v>
      </c>
      <c r="P8" s="1">
        <v>3943</v>
      </c>
      <c r="Q8" s="1">
        <v>4023</v>
      </c>
      <c r="R8" s="1">
        <v>3810</v>
      </c>
      <c r="S8" s="1">
        <v>3726</v>
      </c>
      <c r="T8" s="2"/>
      <c r="U8" s="2"/>
    </row>
    <row r="9" spans="2:21">
      <c r="B9" t="s">
        <v>9</v>
      </c>
      <c r="C9" s="1">
        <v>2193</v>
      </c>
      <c r="D9" s="1">
        <v>2125</v>
      </c>
      <c r="E9" s="1">
        <v>2130</v>
      </c>
      <c r="F9" s="1">
        <v>2270</v>
      </c>
      <c r="G9" s="1">
        <v>2399</v>
      </c>
      <c r="H9" s="1">
        <v>2626</v>
      </c>
      <c r="I9" s="1">
        <v>2794</v>
      </c>
      <c r="J9" s="1">
        <v>2526</v>
      </c>
      <c r="K9" s="1">
        <v>2983</v>
      </c>
      <c r="L9" s="1">
        <v>2785</v>
      </c>
      <c r="M9" s="1">
        <v>2705</v>
      </c>
      <c r="N9" s="1">
        <v>2857</v>
      </c>
      <c r="O9" s="1">
        <v>3193</v>
      </c>
      <c r="P9" s="1">
        <v>3245</v>
      </c>
      <c r="Q9" s="1">
        <v>3207</v>
      </c>
      <c r="R9" s="1">
        <v>3070</v>
      </c>
      <c r="S9" s="1">
        <v>3216</v>
      </c>
      <c r="T9" s="2"/>
      <c r="U9" s="2"/>
    </row>
    <row r="10" spans="2:21">
      <c r="B10" t="s">
        <v>10</v>
      </c>
      <c r="C10" s="1">
        <v>2226</v>
      </c>
      <c r="D10" s="1">
        <v>2242</v>
      </c>
      <c r="E10" s="1">
        <v>2302</v>
      </c>
      <c r="F10" s="1">
        <v>2533</v>
      </c>
      <c r="G10" s="1">
        <v>2572</v>
      </c>
      <c r="H10" s="1">
        <v>2806</v>
      </c>
      <c r="I10" s="1">
        <v>2911</v>
      </c>
      <c r="J10" s="1">
        <v>2786</v>
      </c>
      <c r="K10" s="1">
        <v>3038</v>
      </c>
      <c r="L10" s="1">
        <v>2888</v>
      </c>
      <c r="M10" s="1">
        <v>3020</v>
      </c>
      <c r="N10" s="1">
        <v>3144</v>
      </c>
      <c r="O10" s="1">
        <v>3249</v>
      </c>
      <c r="P10" s="1">
        <v>3326</v>
      </c>
      <c r="Q10" s="1">
        <v>3357</v>
      </c>
      <c r="R10" s="1">
        <v>3034</v>
      </c>
      <c r="S10" s="1">
        <v>3109</v>
      </c>
      <c r="T10" s="2"/>
      <c r="U10" s="2"/>
    </row>
    <row r="11" spans="2:21">
      <c r="B11" t="s">
        <v>11</v>
      </c>
      <c r="C11" s="1">
        <v>2251</v>
      </c>
      <c r="D11" s="1">
        <v>2438</v>
      </c>
      <c r="E11" s="1">
        <v>2448</v>
      </c>
      <c r="F11" s="1">
        <v>2792</v>
      </c>
      <c r="G11" s="1">
        <v>2941</v>
      </c>
      <c r="H11" s="1">
        <v>3047</v>
      </c>
      <c r="I11" s="1">
        <v>3371</v>
      </c>
      <c r="J11" s="1">
        <v>3222</v>
      </c>
      <c r="K11" s="1">
        <v>3400</v>
      </c>
      <c r="L11" s="1">
        <v>3356</v>
      </c>
      <c r="M11" s="1">
        <v>3424</v>
      </c>
      <c r="N11" s="1">
        <v>3648</v>
      </c>
      <c r="O11" s="1">
        <v>3747</v>
      </c>
      <c r="P11" s="1">
        <v>3837</v>
      </c>
      <c r="Q11" s="1">
        <v>3858</v>
      </c>
      <c r="R11" s="1">
        <v>3757</v>
      </c>
      <c r="S11" s="1">
        <v>3747</v>
      </c>
      <c r="T11" s="2"/>
      <c r="U11" s="2"/>
    </row>
    <row r="12" spans="2:21">
      <c r="B12" t="s">
        <v>12</v>
      </c>
      <c r="C12" s="1">
        <v>2631</v>
      </c>
      <c r="D12" s="1">
        <v>2668</v>
      </c>
      <c r="E12" s="1">
        <v>2721</v>
      </c>
      <c r="F12" s="1">
        <v>2932</v>
      </c>
      <c r="G12" s="1">
        <v>3077</v>
      </c>
      <c r="H12" s="1">
        <v>3301</v>
      </c>
      <c r="I12" s="1">
        <v>3624</v>
      </c>
      <c r="J12" s="1">
        <v>3651</v>
      </c>
      <c r="K12" s="1">
        <v>3804</v>
      </c>
      <c r="L12" s="1">
        <v>3906</v>
      </c>
      <c r="M12" s="1">
        <v>4027</v>
      </c>
      <c r="N12" s="1">
        <v>4239</v>
      </c>
      <c r="O12" s="1">
        <v>4366</v>
      </c>
      <c r="P12" s="1">
        <v>4585</v>
      </c>
      <c r="Q12" s="1">
        <v>4729</v>
      </c>
      <c r="R12" s="1">
        <v>4687</v>
      </c>
      <c r="S12" s="1">
        <v>4804</v>
      </c>
      <c r="T12" s="2"/>
      <c r="U12" s="2"/>
    </row>
    <row r="13" spans="2:21">
      <c r="B13" t="s">
        <v>13</v>
      </c>
      <c r="C13" s="1">
        <v>3106</v>
      </c>
      <c r="D13" s="1">
        <v>3199</v>
      </c>
      <c r="E13" s="1">
        <v>3147</v>
      </c>
      <c r="F13" s="1">
        <v>3435</v>
      </c>
      <c r="G13" s="1">
        <v>3415</v>
      </c>
      <c r="H13" s="1">
        <v>3432</v>
      </c>
      <c r="I13" s="1">
        <v>3652</v>
      </c>
      <c r="J13" s="1">
        <v>3761</v>
      </c>
      <c r="K13" s="1">
        <v>4070</v>
      </c>
      <c r="L13" s="1">
        <v>4173</v>
      </c>
      <c r="M13" s="1">
        <v>4356</v>
      </c>
      <c r="N13" s="1">
        <v>4730</v>
      </c>
      <c r="O13" s="1">
        <v>4959</v>
      </c>
      <c r="P13" s="1">
        <v>5279</v>
      </c>
      <c r="Q13" s="1">
        <v>5524</v>
      </c>
      <c r="R13" s="1">
        <v>5517</v>
      </c>
      <c r="S13" s="1">
        <v>5861</v>
      </c>
      <c r="T13" s="2"/>
      <c r="U13" s="2"/>
    </row>
    <row r="14" spans="2:21">
      <c r="B14" t="s">
        <v>14</v>
      </c>
      <c r="C14" s="1">
        <v>3960</v>
      </c>
      <c r="D14" s="1">
        <v>3910</v>
      </c>
      <c r="E14" s="1">
        <v>3864</v>
      </c>
      <c r="F14" s="1">
        <v>4075</v>
      </c>
      <c r="G14" s="1">
        <v>4270</v>
      </c>
      <c r="H14" s="1">
        <v>4090</v>
      </c>
      <c r="I14" s="1">
        <v>4280</v>
      </c>
      <c r="J14" s="1">
        <v>4062</v>
      </c>
      <c r="K14" s="1">
        <v>4574</v>
      </c>
      <c r="L14" s="1">
        <v>4511</v>
      </c>
      <c r="M14" s="1">
        <v>4646</v>
      </c>
      <c r="N14" s="1">
        <v>4683</v>
      </c>
      <c r="O14" s="1">
        <v>5094</v>
      </c>
      <c r="P14" s="1">
        <v>5377</v>
      </c>
      <c r="Q14" s="1">
        <v>5663</v>
      </c>
      <c r="R14" s="1">
        <v>6044</v>
      </c>
      <c r="S14" s="1">
        <v>6450</v>
      </c>
      <c r="T14" s="2"/>
      <c r="U14" s="2"/>
    </row>
    <row r="15" spans="2:21">
      <c r="B15" t="s">
        <v>15</v>
      </c>
      <c r="C15" s="1">
        <v>4445</v>
      </c>
      <c r="D15" s="1">
        <v>4794</v>
      </c>
      <c r="E15" s="1">
        <v>4643</v>
      </c>
      <c r="F15" s="1">
        <v>4839</v>
      </c>
      <c r="G15" s="1">
        <v>4976</v>
      </c>
      <c r="H15" s="1">
        <v>4735</v>
      </c>
      <c r="I15" s="1">
        <v>4962</v>
      </c>
      <c r="J15" s="1">
        <v>4725</v>
      </c>
      <c r="K15" s="1">
        <v>5273</v>
      </c>
      <c r="L15" s="1">
        <v>5062</v>
      </c>
      <c r="M15" s="1">
        <v>5140</v>
      </c>
      <c r="N15" s="1">
        <v>5259</v>
      </c>
      <c r="O15" s="1">
        <v>5574</v>
      </c>
      <c r="P15" s="1">
        <v>5771</v>
      </c>
      <c r="Q15" s="1">
        <v>5751</v>
      </c>
      <c r="R15" s="1">
        <v>5919</v>
      </c>
      <c r="S15" s="1">
        <v>6414</v>
      </c>
      <c r="T15" s="2"/>
      <c r="U15" s="2"/>
    </row>
    <row r="16" spans="2:21">
      <c r="B16" t="s">
        <v>16</v>
      </c>
      <c r="C16" s="1">
        <v>4574</v>
      </c>
      <c r="D16" s="1">
        <v>4850</v>
      </c>
      <c r="E16" s="1">
        <v>4978</v>
      </c>
      <c r="F16" s="1">
        <v>5168</v>
      </c>
      <c r="G16" s="1">
        <v>5171</v>
      </c>
      <c r="H16" s="1">
        <v>5542</v>
      </c>
      <c r="I16" s="1">
        <v>5649</v>
      </c>
      <c r="J16" s="1">
        <v>5389</v>
      </c>
      <c r="K16" s="1">
        <v>5827</v>
      </c>
      <c r="L16" s="1">
        <v>5603</v>
      </c>
      <c r="M16" s="1">
        <v>5557</v>
      </c>
      <c r="N16" s="1">
        <v>5832</v>
      </c>
      <c r="O16" s="1">
        <v>6045</v>
      </c>
      <c r="P16" s="1">
        <v>6222</v>
      </c>
      <c r="Q16" s="1">
        <v>6201</v>
      </c>
      <c r="R16" s="1">
        <v>6536</v>
      </c>
      <c r="S16" s="1">
        <v>6767</v>
      </c>
      <c r="T16" s="2"/>
      <c r="U16" s="2"/>
    </row>
    <row r="17" spans="1:81">
      <c r="B17" t="s">
        <v>17</v>
      </c>
      <c r="C17" s="1">
        <v>4350</v>
      </c>
      <c r="D17" s="1">
        <v>4580</v>
      </c>
      <c r="E17" s="1">
        <v>4778</v>
      </c>
      <c r="F17" s="1">
        <v>4741</v>
      </c>
      <c r="G17" s="1">
        <v>4947</v>
      </c>
      <c r="H17" s="1">
        <v>4863</v>
      </c>
      <c r="I17" s="1">
        <v>5092</v>
      </c>
      <c r="J17" s="1">
        <v>5047</v>
      </c>
      <c r="K17" s="1">
        <v>5741</v>
      </c>
      <c r="L17" s="1">
        <v>5835</v>
      </c>
      <c r="M17" s="1">
        <v>6016</v>
      </c>
      <c r="N17" s="1">
        <v>6091</v>
      </c>
      <c r="O17" s="1">
        <v>6255</v>
      </c>
      <c r="P17" s="1">
        <v>6676</v>
      </c>
      <c r="Q17" s="1">
        <v>6628</v>
      </c>
      <c r="R17" s="1">
        <v>6742</v>
      </c>
      <c r="S17" s="1">
        <v>6805</v>
      </c>
      <c r="T17" s="2"/>
      <c r="U17" s="2"/>
    </row>
    <row r="18" spans="1:81">
      <c r="B18" t="s">
        <v>18</v>
      </c>
      <c r="C18" s="1">
        <v>3869</v>
      </c>
      <c r="D18" s="1">
        <v>3880</v>
      </c>
      <c r="E18" s="1">
        <v>3710</v>
      </c>
      <c r="F18" s="1">
        <v>3900</v>
      </c>
      <c r="G18" s="1">
        <v>4107</v>
      </c>
      <c r="H18" s="1">
        <v>4120</v>
      </c>
      <c r="I18" s="1">
        <v>4340</v>
      </c>
      <c r="J18" s="1">
        <v>4149</v>
      </c>
      <c r="K18" s="1">
        <v>4801</v>
      </c>
      <c r="L18" s="1">
        <v>4751</v>
      </c>
      <c r="M18" s="1">
        <v>4881</v>
      </c>
      <c r="N18" s="1">
        <v>5041</v>
      </c>
      <c r="O18" s="1">
        <v>5305</v>
      </c>
      <c r="P18" s="1">
        <v>5749</v>
      </c>
      <c r="Q18" s="1">
        <v>5706</v>
      </c>
      <c r="R18" s="1">
        <v>6449</v>
      </c>
      <c r="S18" s="1">
        <v>6649</v>
      </c>
      <c r="T18" s="2"/>
      <c r="U18" s="2"/>
    </row>
    <row r="19" spans="1:81">
      <c r="A19" s="2"/>
      <c r="B19" t="s">
        <v>19</v>
      </c>
      <c r="C19" s="1">
        <v>4084</v>
      </c>
      <c r="D19" s="1">
        <v>4342</v>
      </c>
      <c r="E19" s="1">
        <v>4186</v>
      </c>
      <c r="F19" s="1">
        <v>4557</v>
      </c>
      <c r="G19" s="1">
        <v>4532</v>
      </c>
      <c r="H19" s="1">
        <v>4555</v>
      </c>
      <c r="I19" s="1">
        <v>4938</v>
      </c>
      <c r="J19" s="1">
        <v>4833</v>
      </c>
      <c r="K19" s="1">
        <v>5564</v>
      </c>
      <c r="L19" s="1">
        <v>5552</v>
      </c>
      <c r="M19" s="1">
        <v>5832</v>
      </c>
      <c r="N19" s="1">
        <v>5957</v>
      </c>
      <c r="O19" s="1">
        <v>6229</v>
      </c>
      <c r="P19" s="1">
        <v>6749</v>
      </c>
      <c r="Q19" s="1">
        <v>6622</v>
      </c>
      <c r="R19" s="1">
        <v>7476</v>
      </c>
      <c r="S19" s="1">
        <v>7960</v>
      </c>
      <c r="T19" s="2"/>
    </row>
    <row r="20" spans="1:81">
      <c r="B20" t="s">
        <v>23</v>
      </c>
      <c r="C20" s="1">
        <v>193</v>
      </c>
      <c r="D20" s="1">
        <v>45</v>
      </c>
      <c r="E20" s="1">
        <v>117</v>
      </c>
      <c r="F20" s="1">
        <v>188</v>
      </c>
      <c r="G20" s="1">
        <v>106</v>
      </c>
      <c r="H20" s="1">
        <v>98</v>
      </c>
      <c r="I20" s="1">
        <v>76</v>
      </c>
      <c r="J20" s="1">
        <v>83</v>
      </c>
      <c r="K20" s="1">
        <v>34</v>
      </c>
      <c r="L20" s="1">
        <v>71</v>
      </c>
      <c r="M20" s="1">
        <v>92</v>
      </c>
      <c r="N20" s="1">
        <v>29</v>
      </c>
      <c r="O20" s="1">
        <v>130</v>
      </c>
      <c r="P20" s="1">
        <v>190</v>
      </c>
      <c r="Q20" s="1">
        <v>79</v>
      </c>
      <c r="R20" s="1">
        <v>33</v>
      </c>
      <c r="S20" s="1">
        <v>68</v>
      </c>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row>
    <row r="22" spans="1:81">
      <c r="A22" t="s">
        <v>95</v>
      </c>
      <c r="C22" s="2">
        <v>1995</v>
      </c>
      <c r="D22" s="2">
        <v>1996</v>
      </c>
      <c r="E22" s="2">
        <v>1997</v>
      </c>
      <c r="F22" s="2">
        <v>1998</v>
      </c>
      <c r="G22" s="2">
        <v>1999</v>
      </c>
      <c r="H22" s="2">
        <v>2000</v>
      </c>
      <c r="I22" s="2">
        <v>2001</v>
      </c>
      <c r="J22" s="2">
        <v>2002</v>
      </c>
      <c r="K22" s="2">
        <v>2003</v>
      </c>
      <c r="L22" s="2">
        <v>2004</v>
      </c>
      <c r="M22" s="2">
        <v>2005</v>
      </c>
      <c r="N22" s="2">
        <v>2006</v>
      </c>
      <c r="O22" s="2">
        <v>2007</v>
      </c>
      <c r="P22" s="2">
        <v>2008</v>
      </c>
      <c r="Q22" s="2">
        <v>2009</v>
      </c>
      <c r="R22" s="2">
        <v>2010</v>
      </c>
      <c r="S22" s="2">
        <v>2011</v>
      </c>
    </row>
    <row r="23" spans="1:81">
      <c r="A23">
        <v>0</v>
      </c>
      <c r="C23" s="56">
        <f>+'Mortalidad M'!D42</f>
        <v>7061</v>
      </c>
      <c r="D23" s="56">
        <f>+'Mortalidad M'!E42</f>
        <v>6830</v>
      </c>
      <c r="E23" s="56">
        <f>+'Mortalidad M'!F42</f>
        <v>6324</v>
      </c>
      <c r="F23" s="56">
        <f>+'Mortalidad M'!G42</f>
        <v>6144</v>
      </c>
      <c r="G23" s="56">
        <f>+'Mortalidad M'!H42</f>
        <v>5835</v>
      </c>
      <c r="H23" s="56">
        <f>+'Mortalidad M'!I42</f>
        <v>5622</v>
      </c>
      <c r="I23" s="56">
        <f>+'Mortalidad M'!J42</f>
        <v>5375</v>
      </c>
      <c r="J23" s="56">
        <f>+'Mortalidad M'!K42</f>
        <v>4976</v>
      </c>
      <c r="K23" s="56">
        <f>+'Mortalidad M'!L42</f>
        <v>5848</v>
      </c>
      <c r="L23" s="56">
        <f>+'Mortalidad M'!M42</f>
        <v>5317</v>
      </c>
      <c r="M23" s="56">
        <f>+'Mortalidad M'!N42</f>
        <v>5204</v>
      </c>
      <c r="N23" s="56">
        <f>+'Mortalidad M'!O42</f>
        <v>4801</v>
      </c>
      <c r="O23" s="56">
        <f>+'Mortalidad M'!P42</f>
        <v>4847</v>
      </c>
      <c r="P23" s="56">
        <f>+'Mortalidad M'!Q42</f>
        <v>4781</v>
      </c>
      <c r="Q23" s="56">
        <f>+'Mortalidad M'!R42</f>
        <v>4888</v>
      </c>
      <c r="R23" s="56">
        <f>+'Mortalidad M'!S42</f>
        <v>5102</v>
      </c>
      <c r="S23" s="56">
        <f>+'Mortalidad M'!T42</f>
        <v>5033</v>
      </c>
    </row>
    <row r="24" spans="1:81">
      <c r="A24">
        <v>1</v>
      </c>
      <c r="C24" s="56">
        <f>+'Mortalidad M'!D43</f>
        <v>700</v>
      </c>
      <c r="D24" s="56">
        <f>+'Mortalidad M'!E43</f>
        <v>829</v>
      </c>
      <c r="E24" s="56">
        <f>+'Mortalidad M'!F43</f>
        <v>640</v>
      </c>
      <c r="F24" s="56">
        <f>+'Mortalidad M'!G43</f>
        <v>765</v>
      </c>
      <c r="G24" s="56">
        <f>+'Mortalidad M'!H43</f>
        <v>641</v>
      </c>
      <c r="H24" s="56">
        <f>+'Mortalidad M'!I43</f>
        <v>639</v>
      </c>
      <c r="I24" s="56">
        <f>+'Mortalidad M'!J43</f>
        <v>662</v>
      </c>
      <c r="J24" s="56">
        <f>+'Mortalidad M'!K43</f>
        <v>599</v>
      </c>
      <c r="K24" s="56">
        <f>+'Mortalidad M'!L43</f>
        <v>825</v>
      </c>
      <c r="L24" s="56">
        <f>+'Mortalidad M'!M43</f>
        <v>553</v>
      </c>
      <c r="M24" s="56">
        <f>+'Mortalidad M'!N43</f>
        <v>476</v>
      </c>
      <c r="N24" s="56">
        <f>+'Mortalidad M'!O43</f>
        <v>430</v>
      </c>
      <c r="O24" s="56">
        <f>+'Mortalidad M'!P43</f>
        <v>436</v>
      </c>
      <c r="P24" s="56">
        <f>+'Mortalidad M'!Q43</f>
        <v>369</v>
      </c>
      <c r="Q24" s="56">
        <f>+'Mortalidad M'!R43</f>
        <v>346</v>
      </c>
      <c r="R24" s="56">
        <f>+'Mortalidad M'!S43</f>
        <v>350</v>
      </c>
      <c r="S24" s="56">
        <f>+'Mortalidad M'!T43</f>
        <v>310</v>
      </c>
    </row>
    <row r="25" spans="1:81">
      <c r="A25">
        <v>2</v>
      </c>
      <c r="C25" s="56">
        <f>+'Mortalidad M'!D44</f>
        <v>276</v>
      </c>
      <c r="D25" s="56">
        <f>+'Mortalidad M'!E44</f>
        <v>359</v>
      </c>
      <c r="E25" s="56">
        <f>+'Mortalidad M'!F44</f>
        <v>293</v>
      </c>
      <c r="F25" s="56">
        <f>+'Mortalidad M'!G44</f>
        <v>305</v>
      </c>
      <c r="G25" s="56">
        <f>+'Mortalidad M'!H44</f>
        <v>298</v>
      </c>
      <c r="H25" s="56">
        <f>+'Mortalidad M'!I44</f>
        <v>273</v>
      </c>
      <c r="I25" s="56">
        <f>+'Mortalidad M'!J44</f>
        <v>298</v>
      </c>
      <c r="J25" s="56">
        <f>+'Mortalidad M'!K44</f>
        <v>251</v>
      </c>
      <c r="K25" s="56">
        <f>+'Mortalidad M'!L44</f>
        <v>308</v>
      </c>
      <c r="L25" s="56">
        <f>+'Mortalidad M'!M44</f>
        <v>267</v>
      </c>
      <c r="M25" s="56">
        <f>+'Mortalidad M'!N44</f>
        <v>208</v>
      </c>
      <c r="N25" s="56">
        <f>+'Mortalidad M'!O44</f>
        <v>231</v>
      </c>
      <c r="O25" s="56">
        <f>+'Mortalidad M'!P44</f>
        <v>206</v>
      </c>
      <c r="P25" s="56">
        <f>+'Mortalidad M'!Q44</f>
        <v>180</v>
      </c>
      <c r="Q25" s="56">
        <f>+'Mortalidad M'!R44</f>
        <v>184</v>
      </c>
      <c r="R25" s="56">
        <f>+'Mortalidad M'!S44</f>
        <v>227</v>
      </c>
      <c r="S25" s="56">
        <f>+'Mortalidad M'!T44</f>
        <v>192</v>
      </c>
    </row>
    <row r="26" spans="1:81">
      <c r="A26">
        <v>3</v>
      </c>
      <c r="C26" s="56">
        <f>+'Mortalidad M'!D45</f>
        <v>190</v>
      </c>
      <c r="D26" s="56">
        <f>+'Mortalidad M'!E45</f>
        <v>220</v>
      </c>
      <c r="E26" s="56">
        <f>+'Mortalidad M'!F45</f>
        <v>187</v>
      </c>
      <c r="F26" s="56">
        <f>+'Mortalidad M'!G45</f>
        <v>199</v>
      </c>
      <c r="G26" s="56">
        <f>+'Mortalidad M'!H45</f>
        <v>183</v>
      </c>
      <c r="H26" s="56">
        <f>+'Mortalidad M'!I45</f>
        <v>174</v>
      </c>
      <c r="I26" s="56">
        <f>+'Mortalidad M'!J45</f>
        <v>185</v>
      </c>
      <c r="J26" s="56">
        <f>+'Mortalidad M'!K45</f>
        <v>143</v>
      </c>
      <c r="K26" s="56">
        <f>+'Mortalidad M'!L45</f>
        <v>179</v>
      </c>
      <c r="L26" s="56">
        <f>+'Mortalidad M'!M45</f>
        <v>163</v>
      </c>
      <c r="M26" s="56">
        <f>+'Mortalidad M'!N45</f>
        <v>123</v>
      </c>
      <c r="N26" s="56">
        <f>+'Mortalidad M'!O45</f>
        <v>136</v>
      </c>
      <c r="O26" s="56">
        <f>+'Mortalidad M'!P45</f>
        <v>137</v>
      </c>
      <c r="P26" s="56">
        <f>+'Mortalidad M'!Q45</f>
        <v>149</v>
      </c>
      <c r="Q26" s="56">
        <f>+'Mortalidad M'!R45</f>
        <v>133</v>
      </c>
      <c r="R26" s="56">
        <f>+'Mortalidad M'!S45</f>
        <v>145</v>
      </c>
      <c r="S26" s="56">
        <f>+'Mortalidad M'!T45</f>
        <v>138</v>
      </c>
    </row>
    <row r="27" spans="1:81">
      <c r="A27">
        <v>4</v>
      </c>
      <c r="C27" s="56">
        <f>+'Mortalidad M'!D46</f>
        <v>140</v>
      </c>
      <c r="D27" s="56">
        <f>+'Mortalidad M'!E46</f>
        <v>178</v>
      </c>
      <c r="E27" s="56">
        <f>+'Mortalidad M'!F46</f>
        <v>145</v>
      </c>
      <c r="F27" s="56">
        <f>+'Mortalidad M'!G46</f>
        <v>164</v>
      </c>
      <c r="G27" s="56">
        <f>+'Mortalidad M'!H46</f>
        <v>156</v>
      </c>
      <c r="H27" s="56">
        <f>+'Mortalidad M'!I46</f>
        <v>138</v>
      </c>
      <c r="I27" s="56">
        <f>+'Mortalidad M'!J46</f>
        <v>138</v>
      </c>
      <c r="J27" s="56">
        <f>+'Mortalidad M'!K46</f>
        <v>139</v>
      </c>
      <c r="K27" s="56">
        <f>+'Mortalidad M'!L46</f>
        <v>121</v>
      </c>
      <c r="L27" s="56">
        <f>+'Mortalidad M'!M46</f>
        <v>125</v>
      </c>
      <c r="M27" s="56">
        <f>+'Mortalidad M'!N46</f>
        <v>126</v>
      </c>
      <c r="N27" s="56">
        <f>+'Mortalidad M'!O46</f>
        <v>114</v>
      </c>
      <c r="O27" s="56">
        <f>+'Mortalidad M'!P46</f>
        <v>123</v>
      </c>
      <c r="P27" s="56">
        <f>+'Mortalidad M'!Q46</f>
        <v>88</v>
      </c>
      <c r="Q27" s="56">
        <f>+'Mortalidad M'!R46</f>
        <v>125</v>
      </c>
      <c r="R27" s="56">
        <f>+'Mortalidad M'!S46</f>
        <v>111</v>
      </c>
      <c r="S27" s="56">
        <f>+'Mortalidad M'!T46</f>
        <v>95</v>
      </c>
    </row>
    <row r="28" spans="1:81">
      <c r="A28">
        <v>5</v>
      </c>
      <c r="B28">
        <v>0.20077275108348988</v>
      </c>
      <c r="C28" s="56">
        <f>+$B28*C$3</f>
        <v>114.44046811758923</v>
      </c>
      <c r="D28" s="56">
        <f t="shared" ref="D28:S32" si="0">+$B28*D$3</f>
        <v>126.8883786847656</v>
      </c>
      <c r="E28" s="56">
        <f t="shared" si="0"/>
        <v>123.27446916526279</v>
      </c>
      <c r="F28" s="56">
        <f t="shared" si="0"/>
        <v>115.44433187300667</v>
      </c>
      <c r="G28" s="56">
        <f t="shared" si="0"/>
        <v>125.68374217826467</v>
      </c>
      <c r="H28" s="56">
        <f t="shared" si="0"/>
        <v>118.05437763709205</v>
      </c>
      <c r="I28" s="56">
        <f t="shared" si="0"/>
        <v>107.61419458075058</v>
      </c>
      <c r="J28" s="56">
        <f t="shared" si="0"/>
        <v>102.19333030149635</v>
      </c>
      <c r="K28" s="56">
        <f t="shared" si="0"/>
        <v>109.019603838335</v>
      </c>
      <c r="L28" s="56">
        <f t="shared" si="0"/>
        <v>114.84201361975622</v>
      </c>
      <c r="M28" s="56">
        <f t="shared" si="0"/>
        <v>99.382511786327484</v>
      </c>
      <c r="N28" s="56">
        <f t="shared" si="0"/>
        <v>98.579420781993534</v>
      </c>
      <c r="O28" s="56">
        <f t="shared" si="0"/>
        <v>104.20105781233124</v>
      </c>
      <c r="P28" s="56">
        <f t="shared" si="0"/>
        <v>86.733828468067628</v>
      </c>
      <c r="Q28" s="56">
        <f t="shared" si="0"/>
        <v>88.139237725652052</v>
      </c>
      <c r="R28" s="56">
        <f t="shared" si="0"/>
        <v>90.146965236486963</v>
      </c>
      <c r="S28" s="56">
        <f t="shared" si="0"/>
        <v>80.509873184479446</v>
      </c>
    </row>
    <row r="29" spans="1:81">
      <c r="A29">
        <v>6</v>
      </c>
      <c r="B29">
        <v>0.19987826121455193</v>
      </c>
      <c r="C29" s="56">
        <f t="shared" ref="C29:R32" si="1">+$B29*C$3</f>
        <v>113.9306088922946</v>
      </c>
      <c r="D29" s="56">
        <f t="shared" si="1"/>
        <v>126.32306108759683</v>
      </c>
      <c r="E29" s="56">
        <f t="shared" si="1"/>
        <v>122.72525238573489</v>
      </c>
      <c r="F29" s="56">
        <f t="shared" si="1"/>
        <v>114.93000019836737</v>
      </c>
      <c r="G29" s="56">
        <f t="shared" si="1"/>
        <v>125.12379152030951</v>
      </c>
      <c r="H29" s="56">
        <f t="shared" si="1"/>
        <v>117.52841759415654</v>
      </c>
      <c r="I29" s="56">
        <f t="shared" si="1"/>
        <v>107.13474801099984</v>
      </c>
      <c r="J29" s="56">
        <f t="shared" si="1"/>
        <v>101.73803495820694</v>
      </c>
      <c r="K29" s="56">
        <f t="shared" si="1"/>
        <v>108.5338958395017</v>
      </c>
      <c r="L29" s="56">
        <f t="shared" si="1"/>
        <v>114.3303654147237</v>
      </c>
      <c r="M29" s="56">
        <f t="shared" si="1"/>
        <v>98.939739301203204</v>
      </c>
      <c r="N29" s="56">
        <f t="shared" si="1"/>
        <v>98.140226256345002</v>
      </c>
      <c r="O29" s="56">
        <f t="shared" si="1"/>
        <v>103.73681757035246</v>
      </c>
      <c r="P29" s="56">
        <f t="shared" si="1"/>
        <v>86.347408844686441</v>
      </c>
      <c r="Q29" s="56">
        <f t="shared" si="1"/>
        <v>87.746556673188294</v>
      </c>
      <c r="R29" s="56">
        <f t="shared" si="1"/>
        <v>89.745339285333813</v>
      </c>
      <c r="S29" s="56">
        <f t="shared" si="0"/>
        <v>80.151182747035321</v>
      </c>
    </row>
    <row r="30" spans="1:81">
      <c r="A30">
        <v>7</v>
      </c>
      <c r="B30">
        <v>0.19944662852625539</v>
      </c>
      <c r="C30" s="56">
        <f t="shared" si="1"/>
        <v>113.68457825996558</v>
      </c>
      <c r="D30" s="56">
        <f t="shared" si="0"/>
        <v>126.05026922859341</v>
      </c>
      <c r="E30" s="56">
        <f t="shared" si="0"/>
        <v>122.46022991512081</v>
      </c>
      <c r="F30" s="56">
        <f t="shared" si="0"/>
        <v>114.68181140259685</v>
      </c>
      <c r="G30" s="56">
        <f t="shared" si="0"/>
        <v>124.85358945743587</v>
      </c>
      <c r="H30" s="56">
        <f t="shared" si="0"/>
        <v>117.27461757343816</v>
      </c>
      <c r="I30" s="56">
        <f t="shared" si="0"/>
        <v>106.90339289007289</v>
      </c>
      <c r="J30" s="56">
        <f t="shared" si="0"/>
        <v>101.51833391986399</v>
      </c>
      <c r="K30" s="56">
        <f t="shared" si="0"/>
        <v>108.29951928975667</v>
      </c>
      <c r="L30" s="56">
        <f t="shared" si="0"/>
        <v>114.08347151701808</v>
      </c>
      <c r="M30" s="56">
        <f t="shared" si="0"/>
        <v>98.726081120496417</v>
      </c>
      <c r="N30" s="56">
        <f t="shared" si="0"/>
        <v>97.92829460639139</v>
      </c>
      <c r="O30" s="56">
        <f t="shared" si="0"/>
        <v>103.51280020512655</v>
      </c>
      <c r="P30" s="56">
        <f t="shared" si="0"/>
        <v>86.160943523342326</v>
      </c>
      <c r="Q30" s="56">
        <f t="shared" si="0"/>
        <v>87.55706992302612</v>
      </c>
      <c r="R30" s="56">
        <f t="shared" si="0"/>
        <v>89.551536208288667</v>
      </c>
      <c r="S30" s="56">
        <f t="shared" si="0"/>
        <v>79.97809803902841</v>
      </c>
    </row>
    <row r="31" spans="1:81">
      <c r="A31">
        <v>8</v>
      </c>
      <c r="B31">
        <v>0.19961854690763647</v>
      </c>
      <c r="C31" s="56">
        <f t="shared" si="1"/>
        <v>113.7825717373528</v>
      </c>
      <c r="D31" s="56">
        <f t="shared" si="0"/>
        <v>126.15892164562625</v>
      </c>
      <c r="E31" s="56">
        <f t="shared" si="0"/>
        <v>122.56578780128879</v>
      </c>
      <c r="F31" s="56">
        <f t="shared" si="0"/>
        <v>114.78066447189097</v>
      </c>
      <c r="G31" s="56">
        <f t="shared" si="0"/>
        <v>124.96121036418043</v>
      </c>
      <c r="H31" s="56">
        <f t="shared" si="0"/>
        <v>117.37570558169024</v>
      </c>
      <c r="I31" s="56">
        <f t="shared" si="0"/>
        <v>106.99554114249315</v>
      </c>
      <c r="J31" s="56">
        <f t="shared" si="0"/>
        <v>101.60584037598697</v>
      </c>
      <c r="K31" s="56">
        <f t="shared" si="0"/>
        <v>108.3928709708466</v>
      </c>
      <c r="L31" s="56">
        <f t="shared" si="0"/>
        <v>114.18180883116807</v>
      </c>
      <c r="M31" s="56">
        <f t="shared" si="0"/>
        <v>98.81118071928006</v>
      </c>
      <c r="N31" s="56">
        <f t="shared" si="0"/>
        <v>98.012706531649513</v>
      </c>
      <c r="O31" s="56">
        <f t="shared" si="0"/>
        <v>103.60202584506332</v>
      </c>
      <c r="P31" s="56">
        <f t="shared" si="0"/>
        <v>86.235212264098962</v>
      </c>
      <c r="Q31" s="56">
        <f t="shared" si="0"/>
        <v>87.632542092452411</v>
      </c>
      <c r="R31" s="56">
        <f t="shared" si="0"/>
        <v>89.628727561528777</v>
      </c>
      <c r="S31" s="56">
        <f t="shared" si="0"/>
        <v>80.047037309962221</v>
      </c>
    </row>
    <row r="32" spans="1:81">
      <c r="A32">
        <v>9</v>
      </c>
      <c r="B32">
        <v>0.2002838122680663</v>
      </c>
      <c r="C32" s="56">
        <f t="shared" si="1"/>
        <v>114.16177299279779</v>
      </c>
      <c r="D32" s="56">
        <f t="shared" si="0"/>
        <v>126.5793693534179</v>
      </c>
      <c r="E32" s="56">
        <f t="shared" si="0"/>
        <v>122.97426073259271</v>
      </c>
      <c r="F32" s="56">
        <f t="shared" si="0"/>
        <v>115.16319205413812</v>
      </c>
      <c r="G32" s="56">
        <f t="shared" si="0"/>
        <v>125.37766647980951</v>
      </c>
      <c r="H32" s="56">
        <f t="shared" si="0"/>
        <v>117.76688161362299</v>
      </c>
      <c r="I32" s="56">
        <f t="shared" si="0"/>
        <v>107.35212337568353</v>
      </c>
      <c r="J32" s="56">
        <f t="shared" si="0"/>
        <v>101.94446044444574</v>
      </c>
      <c r="K32" s="56">
        <f t="shared" si="0"/>
        <v>108.75411006156</v>
      </c>
      <c r="L32" s="56">
        <f t="shared" si="0"/>
        <v>114.56234061733392</v>
      </c>
      <c r="M32" s="56">
        <f t="shared" si="0"/>
        <v>99.140487072692821</v>
      </c>
      <c r="N32" s="56">
        <f t="shared" si="0"/>
        <v>98.339351823620547</v>
      </c>
      <c r="O32" s="56">
        <f t="shared" si="0"/>
        <v>103.94729856712641</v>
      </c>
      <c r="P32" s="56">
        <f t="shared" si="0"/>
        <v>86.522606899804643</v>
      </c>
      <c r="Q32" s="56">
        <f t="shared" si="0"/>
        <v>87.924593585681109</v>
      </c>
      <c r="R32" s="56">
        <f t="shared" si="0"/>
        <v>89.927431708361766</v>
      </c>
      <c r="S32" s="56">
        <f t="shared" si="0"/>
        <v>80.313808719494588</v>
      </c>
    </row>
    <row r="33" spans="1:19">
      <c r="A33">
        <v>10</v>
      </c>
      <c r="B33">
        <v>0.20207706478921078</v>
      </c>
      <c r="C33" s="56">
        <f>+$B33*C$4</f>
        <v>135.39163340877121</v>
      </c>
      <c r="D33" s="56">
        <f t="shared" ref="D33:S37" si="2">+$B33*D$4</f>
        <v>132.15840037214386</v>
      </c>
      <c r="E33" s="56">
        <f t="shared" si="2"/>
        <v>130.74386091861936</v>
      </c>
      <c r="F33" s="56">
        <f t="shared" si="2"/>
        <v>128.92516733551648</v>
      </c>
      <c r="G33" s="56">
        <f t="shared" si="2"/>
        <v>124.47947191015385</v>
      </c>
      <c r="H33" s="56">
        <f t="shared" si="2"/>
        <v>121.8524700678941</v>
      </c>
      <c r="I33" s="56">
        <f t="shared" si="2"/>
        <v>128.31893614114884</v>
      </c>
      <c r="J33" s="56">
        <f t="shared" si="2"/>
        <v>137.81655818624176</v>
      </c>
      <c r="K33" s="56">
        <f t="shared" si="2"/>
        <v>140.03940589892306</v>
      </c>
      <c r="L33" s="56">
        <f t="shared" si="2"/>
        <v>129.53139852988411</v>
      </c>
      <c r="M33" s="56">
        <f t="shared" si="2"/>
        <v>127.71270494678122</v>
      </c>
      <c r="N33" s="56">
        <f t="shared" si="2"/>
        <v>132.36047743693305</v>
      </c>
      <c r="O33" s="56">
        <f t="shared" si="2"/>
        <v>134.7854022144036</v>
      </c>
      <c r="P33" s="56">
        <f t="shared" si="2"/>
        <v>135.59371047356044</v>
      </c>
      <c r="Q33" s="56">
        <f t="shared" si="2"/>
        <v>123.671163650997</v>
      </c>
      <c r="R33" s="56">
        <f t="shared" si="2"/>
        <v>120.84208474394805</v>
      </c>
      <c r="S33" s="56">
        <f t="shared" si="2"/>
        <v>120.43793061436962</v>
      </c>
    </row>
    <row r="34" spans="1:19">
      <c r="A34">
        <v>11</v>
      </c>
      <c r="B34">
        <v>0.20237241705216291</v>
      </c>
      <c r="C34" s="56">
        <f t="shared" ref="C34:R37" si="3">+$B34*C$4</f>
        <v>135.58951942494915</v>
      </c>
      <c r="D34" s="56">
        <f t="shared" si="3"/>
        <v>132.35156075211455</v>
      </c>
      <c r="E34" s="56">
        <f t="shared" si="3"/>
        <v>130.93495383274941</v>
      </c>
      <c r="F34" s="56">
        <f t="shared" si="3"/>
        <v>129.11360207927993</v>
      </c>
      <c r="G34" s="56">
        <f t="shared" si="3"/>
        <v>124.66140890413236</v>
      </c>
      <c r="H34" s="56">
        <f t="shared" si="3"/>
        <v>122.03056748245423</v>
      </c>
      <c r="I34" s="56">
        <f t="shared" si="3"/>
        <v>128.50648482812346</v>
      </c>
      <c r="J34" s="56">
        <f t="shared" si="3"/>
        <v>138.0179884295751</v>
      </c>
      <c r="K34" s="56">
        <f t="shared" si="3"/>
        <v>140.2440850171489</v>
      </c>
      <c r="L34" s="56">
        <f t="shared" si="3"/>
        <v>129.72071933043642</v>
      </c>
      <c r="M34" s="56">
        <f t="shared" si="3"/>
        <v>127.89936757696697</v>
      </c>
      <c r="N34" s="56">
        <f t="shared" si="3"/>
        <v>132.5539331691667</v>
      </c>
      <c r="O34" s="56">
        <f t="shared" si="3"/>
        <v>134.98240217379265</v>
      </c>
      <c r="P34" s="56">
        <f t="shared" si="3"/>
        <v>135.79189184200132</v>
      </c>
      <c r="Q34" s="56">
        <f t="shared" si="3"/>
        <v>123.8519192359237</v>
      </c>
      <c r="R34" s="56">
        <f t="shared" si="3"/>
        <v>121.01870539719341</v>
      </c>
      <c r="S34" s="56">
        <f t="shared" si="2"/>
        <v>120.61396056308909</v>
      </c>
    </row>
    <row r="35" spans="1:19">
      <c r="A35">
        <v>12</v>
      </c>
      <c r="B35">
        <v>0.20146420884358512</v>
      </c>
      <c r="C35" s="56">
        <f t="shared" si="3"/>
        <v>134.98101992520202</v>
      </c>
      <c r="D35" s="56">
        <f t="shared" si="2"/>
        <v>131.75759258370468</v>
      </c>
      <c r="E35" s="56">
        <f t="shared" si="2"/>
        <v>130.34734312179958</v>
      </c>
      <c r="F35" s="56">
        <f t="shared" si="2"/>
        <v>128.53416524220731</v>
      </c>
      <c r="G35" s="56">
        <f t="shared" si="2"/>
        <v>124.10195264764843</v>
      </c>
      <c r="H35" s="56">
        <f t="shared" si="2"/>
        <v>121.48291793268183</v>
      </c>
      <c r="I35" s="56">
        <f t="shared" si="2"/>
        <v>127.92977261567655</v>
      </c>
      <c r="J35" s="56">
        <f t="shared" si="2"/>
        <v>137.39859043132506</v>
      </c>
      <c r="K35" s="56">
        <f t="shared" si="2"/>
        <v>139.61469672860449</v>
      </c>
      <c r="L35" s="56">
        <f t="shared" si="2"/>
        <v>129.13855786873808</v>
      </c>
      <c r="M35" s="56">
        <f t="shared" si="2"/>
        <v>127.3253799891458</v>
      </c>
      <c r="N35" s="56">
        <f t="shared" si="2"/>
        <v>131.95905679254827</v>
      </c>
      <c r="O35" s="56">
        <f t="shared" si="2"/>
        <v>134.37662729867128</v>
      </c>
      <c r="P35" s="56">
        <f t="shared" si="2"/>
        <v>135.18248413404561</v>
      </c>
      <c r="Q35" s="56">
        <f t="shared" si="2"/>
        <v>123.29609581227409</v>
      </c>
      <c r="R35" s="56">
        <f t="shared" si="2"/>
        <v>120.4755968884639</v>
      </c>
      <c r="S35" s="56">
        <f t="shared" si="2"/>
        <v>120.07266847077673</v>
      </c>
    </row>
    <row r="36" spans="1:19">
      <c r="A36">
        <v>13</v>
      </c>
      <c r="B36">
        <v>0.19892454857252559</v>
      </c>
      <c r="C36" s="56">
        <f t="shared" si="3"/>
        <v>133.27944754359214</v>
      </c>
      <c r="D36" s="56">
        <f t="shared" si="2"/>
        <v>130.09665476643173</v>
      </c>
      <c r="E36" s="56">
        <f t="shared" si="2"/>
        <v>128.70418292642407</v>
      </c>
      <c r="F36" s="56">
        <f t="shared" si="2"/>
        <v>126.91386198927133</v>
      </c>
      <c r="G36" s="56">
        <f t="shared" si="2"/>
        <v>122.53752192067576</v>
      </c>
      <c r="H36" s="56">
        <f t="shared" si="2"/>
        <v>119.95150278923293</v>
      </c>
      <c r="I36" s="56">
        <f t="shared" si="2"/>
        <v>126.31708834355375</v>
      </c>
      <c r="J36" s="56">
        <f t="shared" si="2"/>
        <v>135.66654212646245</v>
      </c>
      <c r="K36" s="56">
        <f t="shared" si="2"/>
        <v>137.85471216076024</v>
      </c>
      <c r="L36" s="56">
        <f t="shared" si="2"/>
        <v>127.5106356349889</v>
      </c>
      <c r="M36" s="56">
        <f t="shared" si="2"/>
        <v>125.72031469783617</v>
      </c>
      <c r="N36" s="56">
        <f t="shared" si="2"/>
        <v>130.29557931500426</v>
      </c>
      <c r="O36" s="56">
        <f t="shared" si="2"/>
        <v>132.68267389787457</v>
      </c>
      <c r="P36" s="56">
        <f t="shared" si="2"/>
        <v>133.47837209216468</v>
      </c>
      <c r="Q36" s="56">
        <f t="shared" si="2"/>
        <v>121.74182372638566</v>
      </c>
      <c r="R36" s="56">
        <f t="shared" si="2"/>
        <v>118.9568800463703</v>
      </c>
      <c r="S36" s="56">
        <f t="shared" si="2"/>
        <v>118.55903094922525</v>
      </c>
    </row>
    <row r="37" spans="1:19">
      <c r="A37">
        <v>14</v>
      </c>
      <c r="B37">
        <v>0.19516176074251559</v>
      </c>
      <c r="C37" s="56">
        <f t="shared" si="3"/>
        <v>130.75837969748545</v>
      </c>
      <c r="D37" s="56">
        <f t="shared" si="2"/>
        <v>127.6357915256052</v>
      </c>
      <c r="E37" s="56">
        <f t="shared" si="2"/>
        <v>126.26965920040759</v>
      </c>
      <c r="F37" s="56">
        <f t="shared" si="2"/>
        <v>124.51320335372495</v>
      </c>
      <c r="G37" s="56">
        <f t="shared" si="2"/>
        <v>120.2196446173896</v>
      </c>
      <c r="H37" s="56">
        <f t="shared" si="2"/>
        <v>117.6825417277369</v>
      </c>
      <c r="I37" s="56">
        <f t="shared" si="2"/>
        <v>123.92771807149741</v>
      </c>
      <c r="J37" s="56">
        <f t="shared" si="2"/>
        <v>133.10032082639563</v>
      </c>
      <c r="K37" s="56">
        <f t="shared" si="2"/>
        <v>135.2471001945633</v>
      </c>
      <c r="L37" s="56">
        <f t="shared" si="2"/>
        <v>125.0986886359525</v>
      </c>
      <c r="M37" s="56">
        <f t="shared" si="2"/>
        <v>123.34223278926986</v>
      </c>
      <c r="N37" s="56">
        <f t="shared" si="2"/>
        <v>127.83095328634771</v>
      </c>
      <c r="O37" s="56">
        <f t="shared" si="2"/>
        <v>130.1728944152579</v>
      </c>
      <c r="P37" s="56">
        <f t="shared" si="2"/>
        <v>130.95354145822796</v>
      </c>
      <c r="Q37" s="56">
        <f t="shared" si="2"/>
        <v>119.43899757441955</v>
      </c>
      <c r="R37" s="56">
        <f t="shared" si="2"/>
        <v>116.70673292402432</v>
      </c>
      <c r="S37" s="56">
        <f t="shared" si="2"/>
        <v>116.31640940253929</v>
      </c>
    </row>
    <row r="38" spans="1:19">
      <c r="A38">
        <v>15</v>
      </c>
      <c r="B38">
        <v>0.2082231039232203</v>
      </c>
      <c r="C38" s="56">
        <f>+$B38*C$5</f>
        <v>444.97277308392177</v>
      </c>
      <c r="D38" s="56">
        <f t="shared" ref="D38:S42" si="4">+$B38*D$5</f>
        <v>443.51521135645925</v>
      </c>
      <c r="E38" s="56">
        <f t="shared" si="4"/>
        <v>392.29232779134702</v>
      </c>
      <c r="F38" s="56">
        <f t="shared" si="4"/>
        <v>390.41831985603807</v>
      </c>
      <c r="G38" s="56">
        <f t="shared" si="4"/>
        <v>450.1783506820023</v>
      </c>
      <c r="H38" s="56">
        <f t="shared" si="4"/>
        <v>550.33366366907126</v>
      </c>
      <c r="I38" s="56">
        <f t="shared" si="4"/>
        <v>561.99415748877163</v>
      </c>
      <c r="J38" s="56">
        <f t="shared" si="4"/>
        <v>626.12687349712348</v>
      </c>
      <c r="K38" s="56">
        <f t="shared" si="4"/>
        <v>708.37499954679549</v>
      </c>
      <c r="L38" s="56">
        <f t="shared" si="4"/>
        <v>632.16534351089683</v>
      </c>
      <c r="M38" s="56">
        <f t="shared" si="4"/>
        <v>609.46902518326579</v>
      </c>
      <c r="N38" s="56">
        <f t="shared" si="4"/>
        <v>677.76620327008209</v>
      </c>
      <c r="O38" s="56">
        <f t="shared" si="4"/>
        <v>763.13767587860241</v>
      </c>
      <c r="P38" s="56">
        <f t="shared" si="4"/>
        <v>851.00782573420133</v>
      </c>
      <c r="Q38" s="56">
        <f t="shared" si="4"/>
        <v>843.51179399296541</v>
      </c>
      <c r="R38" s="56">
        <f t="shared" si="4"/>
        <v>795.82870319454798</v>
      </c>
      <c r="S38" s="56">
        <f t="shared" si="4"/>
        <v>800.61783458478203</v>
      </c>
    </row>
    <row r="39" spans="1:19">
      <c r="A39">
        <v>16</v>
      </c>
      <c r="B39">
        <v>0.20363425710513902</v>
      </c>
      <c r="C39" s="56">
        <f t="shared" ref="C39:R42" si="5">+$B39*C$5</f>
        <v>435.16640743368208</v>
      </c>
      <c r="D39" s="56">
        <f t="shared" si="5"/>
        <v>433.74096763394613</v>
      </c>
      <c r="E39" s="56">
        <f t="shared" si="5"/>
        <v>383.64694038608189</v>
      </c>
      <c r="F39" s="56">
        <f t="shared" si="5"/>
        <v>381.81423207213567</v>
      </c>
      <c r="G39" s="56">
        <f t="shared" si="5"/>
        <v>440.25726386131055</v>
      </c>
      <c r="H39" s="56">
        <f t="shared" si="5"/>
        <v>538.2053415288824</v>
      </c>
      <c r="I39" s="56">
        <f t="shared" si="5"/>
        <v>549.60885992677026</v>
      </c>
      <c r="J39" s="56">
        <f t="shared" si="5"/>
        <v>612.32821111515307</v>
      </c>
      <c r="K39" s="56">
        <f t="shared" si="5"/>
        <v>692.76374267168296</v>
      </c>
      <c r="L39" s="56">
        <f t="shared" si="5"/>
        <v>618.23360457120202</v>
      </c>
      <c r="M39" s="56">
        <f t="shared" si="5"/>
        <v>596.03747054674193</v>
      </c>
      <c r="N39" s="56">
        <f t="shared" si="5"/>
        <v>662.82950687722746</v>
      </c>
      <c r="O39" s="56">
        <f t="shared" si="5"/>
        <v>746.31955229033451</v>
      </c>
      <c r="P39" s="56">
        <f t="shared" si="5"/>
        <v>832.2532087887032</v>
      </c>
      <c r="Q39" s="56">
        <f t="shared" si="5"/>
        <v>824.92237553291818</v>
      </c>
      <c r="R39" s="56">
        <f t="shared" si="5"/>
        <v>778.29013065584138</v>
      </c>
      <c r="S39" s="56">
        <f t="shared" si="4"/>
        <v>782.97371856925952</v>
      </c>
    </row>
    <row r="40" spans="1:19">
      <c r="A40">
        <v>17</v>
      </c>
      <c r="B40">
        <v>0.19941361378031788</v>
      </c>
      <c r="C40" s="56">
        <f t="shared" si="5"/>
        <v>426.14689264853934</v>
      </c>
      <c r="D40" s="56">
        <f t="shared" si="4"/>
        <v>424.75099735207709</v>
      </c>
      <c r="E40" s="56">
        <f t="shared" si="4"/>
        <v>375.69524836211889</v>
      </c>
      <c r="F40" s="56">
        <f t="shared" si="4"/>
        <v>373.90052583809603</v>
      </c>
      <c r="G40" s="56">
        <f t="shared" si="4"/>
        <v>431.13223299304724</v>
      </c>
      <c r="H40" s="56">
        <f t="shared" si="4"/>
        <v>527.05018122138017</v>
      </c>
      <c r="I40" s="56">
        <f t="shared" si="4"/>
        <v>538.217343593078</v>
      </c>
      <c r="J40" s="56">
        <f t="shared" si="4"/>
        <v>599.63673663741588</v>
      </c>
      <c r="K40" s="56">
        <f t="shared" si="4"/>
        <v>678.4051140806414</v>
      </c>
      <c r="L40" s="56">
        <f t="shared" si="4"/>
        <v>605.41973143704513</v>
      </c>
      <c r="M40" s="56">
        <f t="shared" si="4"/>
        <v>583.68364753499043</v>
      </c>
      <c r="N40" s="56">
        <f t="shared" si="4"/>
        <v>649.0913128549347</v>
      </c>
      <c r="O40" s="56">
        <f t="shared" si="4"/>
        <v>730.8508945048651</v>
      </c>
      <c r="P40" s="56">
        <f t="shared" si="4"/>
        <v>815.00343952015919</v>
      </c>
      <c r="Q40" s="56">
        <f t="shared" si="4"/>
        <v>807.82454942406775</v>
      </c>
      <c r="R40" s="56">
        <f t="shared" si="4"/>
        <v>762.15883186837493</v>
      </c>
      <c r="S40" s="56">
        <f t="shared" si="4"/>
        <v>766.74534498532228</v>
      </c>
    </row>
    <row r="41" spans="1:19">
      <c r="A41">
        <v>18</v>
      </c>
      <c r="B41">
        <v>0.19589795526206702</v>
      </c>
      <c r="C41" s="56">
        <f t="shared" si="5"/>
        <v>418.63393039503723</v>
      </c>
      <c r="D41" s="56">
        <f t="shared" si="4"/>
        <v>417.26264470820274</v>
      </c>
      <c r="E41" s="56">
        <f t="shared" si="4"/>
        <v>369.07174771373428</v>
      </c>
      <c r="F41" s="56">
        <f t="shared" si="4"/>
        <v>367.30866611637566</v>
      </c>
      <c r="G41" s="56">
        <f t="shared" si="4"/>
        <v>423.53137927658889</v>
      </c>
      <c r="H41" s="56">
        <f t="shared" si="4"/>
        <v>517.75829575764317</v>
      </c>
      <c r="I41" s="56">
        <f t="shared" si="4"/>
        <v>528.72858125231892</v>
      </c>
      <c r="J41" s="56">
        <f t="shared" si="4"/>
        <v>589.06515147303548</v>
      </c>
      <c r="K41" s="56">
        <f t="shared" si="4"/>
        <v>666.444843801552</v>
      </c>
      <c r="L41" s="56">
        <f t="shared" si="4"/>
        <v>594.74619217563543</v>
      </c>
      <c r="M41" s="56">
        <f t="shared" si="4"/>
        <v>573.39331505207019</v>
      </c>
      <c r="N41" s="56">
        <f t="shared" si="4"/>
        <v>637.64784437802814</v>
      </c>
      <c r="O41" s="56">
        <f t="shared" si="4"/>
        <v>717.96600603547563</v>
      </c>
      <c r="P41" s="56">
        <f t="shared" si="4"/>
        <v>800.63494315606795</v>
      </c>
      <c r="Q41" s="56">
        <f t="shared" si="4"/>
        <v>793.58261676663346</v>
      </c>
      <c r="R41" s="56">
        <f t="shared" si="4"/>
        <v>748.72198501162018</v>
      </c>
      <c r="S41" s="56">
        <f t="shared" si="4"/>
        <v>753.22763798264771</v>
      </c>
    </row>
    <row r="42" spans="1:19">
      <c r="A42">
        <v>19</v>
      </c>
      <c r="B42">
        <v>0.19283106992925578</v>
      </c>
      <c r="C42" s="56">
        <f t="shared" si="5"/>
        <v>412.07999643881959</v>
      </c>
      <c r="D42" s="56">
        <f t="shared" si="4"/>
        <v>410.73017894931479</v>
      </c>
      <c r="E42" s="56">
        <f t="shared" si="4"/>
        <v>363.29373574671786</v>
      </c>
      <c r="F42" s="56">
        <f t="shared" si="4"/>
        <v>361.55825611735457</v>
      </c>
      <c r="G42" s="56">
        <f t="shared" si="4"/>
        <v>416.90077318705102</v>
      </c>
      <c r="H42" s="56">
        <f t="shared" si="4"/>
        <v>509.652517823023</v>
      </c>
      <c r="I42" s="56">
        <f t="shared" si="4"/>
        <v>520.4510577390613</v>
      </c>
      <c r="J42" s="56">
        <f t="shared" si="4"/>
        <v>579.84302727727209</v>
      </c>
      <c r="K42" s="56">
        <f t="shared" si="4"/>
        <v>656.01129989932815</v>
      </c>
      <c r="L42" s="56">
        <f t="shared" si="4"/>
        <v>585.43512830522059</v>
      </c>
      <c r="M42" s="56">
        <f t="shared" si="4"/>
        <v>564.41654168293167</v>
      </c>
      <c r="N42" s="56">
        <f t="shared" si="4"/>
        <v>627.6651326197275</v>
      </c>
      <c r="O42" s="56">
        <f t="shared" si="4"/>
        <v>706.72587129072247</v>
      </c>
      <c r="P42" s="56">
        <f t="shared" si="4"/>
        <v>788.10058280086832</v>
      </c>
      <c r="Q42" s="56">
        <f t="shared" si="4"/>
        <v>781.15866428341519</v>
      </c>
      <c r="R42" s="56">
        <f t="shared" si="4"/>
        <v>737.00034926961553</v>
      </c>
      <c r="S42" s="56">
        <f t="shared" si="4"/>
        <v>741.43546387798847</v>
      </c>
    </row>
    <row r="43" spans="1:19">
      <c r="A43">
        <v>20</v>
      </c>
      <c r="B43">
        <v>0.20926894439068197</v>
      </c>
      <c r="C43" s="56">
        <f>+$B43*C$6</f>
        <v>583.44181696122132</v>
      </c>
      <c r="D43" s="56">
        <f t="shared" ref="D43:S47" si="6">+$B43*D$6</f>
        <v>557.9110057455581</v>
      </c>
      <c r="E43" s="56">
        <f t="shared" si="6"/>
        <v>518.14990631132855</v>
      </c>
      <c r="F43" s="56">
        <f t="shared" si="6"/>
        <v>569.42079768704559</v>
      </c>
      <c r="G43" s="56">
        <f t="shared" si="6"/>
        <v>657.31375433113203</v>
      </c>
      <c r="H43" s="56">
        <f t="shared" si="6"/>
        <v>845.65580428274586</v>
      </c>
      <c r="I43" s="56">
        <f t="shared" si="6"/>
        <v>864.69927822229795</v>
      </c>
      <c r="J43" s="56">
        <f t="shared" si="6"/>
        <v>974.77474297179663</v>
      </c>
      <c r="K43" s="56">
        <f t="shared" si="6"/>
        <v>1112.055170492084</v>
      </c>
      <c r="L43" s="56">
        <f t="shared" si="6"/>
        <v>972.68205352788982</v>
      </c>
      <c r="M43" s="56">
        <f t="shared" si="6"/>
        <v>918.89993481948454</v>
      </c>
      <c r="N43" s="56">
        <f t="shared" si="6"/>
        <v>1058.9008586168509</v>
      </c>
      <c r="O43" s="56">
        <f t="shared" si="6"/>
        <v>1188.6476041390736</v>
      </c>
      <c r="P43" s="56">
        <f t="shared" si="6"/>
        <v>1305.6289440534649</v>
      </c>
      <c r="Q43" s="56">
        <f t="shared" si="6"/>
        <v>1277.168367616332</v>
      </c>
      <c r="R43" s="56">
        <f t="shared" si="6"/>
        <v>1158.3036072024247</v>
      </c>
      <c r="S43" s="56">
        <f t="shared" si="6"/>
        <v>1179.230501641493</v>
      </c>
    </row>
    <row r="44" spans="1:19">
      <c r="A44">
        <v>21</v>
      </c>
      <c r="B44">
        <v>0.20571086029849925</v>
      </c>
      <c r="C44" s="56">
        <f t="shared" ref="C44:R47" si="7">+$B44*C$6</f>
        <v>573.52187851221595</v>
      </c>
      <c r="D44" s="56">
        <f t="shared" si="7"/>
        <v>548.42515355579894</v>
      </c>
      <c r="E44" s="56">
        <f t="shared" si="7"/>
        <v>509.34009009908414</v>
      </c>
      <c r="F44" s="56">
        <f t="shared" si="7"/>
        <v>559.73925087221642</v>
      </c>
      <c r="G44" s="56">
        <f t="shared" si="7"/>
        <v>646.13781219758619</v>
      </c>
      <c r="H44" s="56">
        <f t="shared" si="7"/>
        <v>831.27758646623545</v>
      </c>
      <c r="I44" s="56">
        <f t="shared" si="7"/>
        <v>849.99727475339887</v>
      </c>
      <c r="J44" s="56">
        <f t="shared" si="7"/>
        <v>958.20118727040949</v>
      </c>
      <c r="K44" s="56">
        <f t="shared" si="7"/>
        <v>1093.147511626225</v>
      </c>
      <c r="L44" s="56">
        <f t="shared" si="7"/>
        <v>956.14407866742454</v>
      </c>
      <c r="M44" s="56">
        <f t="shared" si="7"/>
        <v>903.2763875707102</v>
      </c>
      <c r="N44" s="56">
        <f t="shared" si="7"/>
        <v>1040.8969531104062</v>
      </c>
      <c r="O44" s="56">
        <f t="shared" si="7"/>
        <v>1168.4376864954756</v>
      </c>
      <c r="P44" s="56">
        <f t="shared" si="7"/>
        <v>1283.4300574023368</v>
      </c>
      <c r="Q44" s="56">
        <f t="shared" si="7"/>
        <v>1255.453380401741</v>
      </c>
      <c r="R44" s="56">
        <f t="shared" si="7"/>
        <v>1138.6096117521934</v>
      </c>
      <c r="S44" s="56">
        <f t="shared" si="6"/>
        <v>1159.1806977820434</v>
      </c>
    </row>
    <row r="45" spans="1:19">
      <c r="A45">
        <v>22</v>
      </c>
      <c r="B45">
        <v>0.20116685990093805</v>
      </c>
      <c r="C45" s="56">
        <f t="shared" si="7"/>
        <v>560.85320540381531</v>
      </c>
      <c r="D45" s="56">
        <f t="shared" si="6"/>
        <v>536.31084849590081</v>
      </c>
      <c r="E45" s="56">
        <f t="shared" si="6"/>
        <v>498.08914511472261</v>
      </c>
      <c r="F45" s="56">
        <f t="shared" si="6"/>
        <v>547.37502579045247</v>
      </c>
      <c r="G45" s="56">
        <f t="shared" si="6"/>
        <v>631.86510694884646</v>
      </c>
      <c r="H45" s="56">
        <f t="shared" si="6"/>
        <v>812.91528085969071</v>
      </c>
      <c r="I45" s="56">
        <f t="shared" si="6"/>
        <v>831.22146511067604</v>
      </c>
      <c r="J45" s="56">
        <f t="shared" si="6"/>
        <v>937.03523341856942</v>
      </c>
      <c r="K45" s="56">
        <f t="shared" si="6"/>
        <v>1069.0006935135848</v>
      </c>
      <c r="L45" s="56">
        <f t="shared" si="6"/>
        <v>935.02356481956008</v>
      </c>
      <c r="M45" s="56">
        <f t="shared" si="6"/>
        <v>883.32368182501898</v>
      </c>
      <c r="N45" s="56">
        <f t="shared" si="6"/>
        <v>1017.9043110987466</v>
      </c>
      <c r="O45" s="56">
        <f t="shared" si="6"/>
        <v>1142.6277642373282</v>
      </c>
      <c r="P45" s="56">
        <f t="shared" si="6"/>
        <v>1255.0800389219526</v>
      </c>
      <c r="Q45" s="56">
        <f t="shared" si="6"/>
        <v>1227.7213459754248</v>
      </c>
      <c r="R45" s="56">
        <f t="shared" si="6"/>
        <v>1113.4585695516921</v>
      </c>
      <c r="S45" s="56">
        <f t="shared" si="6"/>
        <v>1133.575255541786</v>
      </c>
    </row>
    <row r="46" spans="1:19">
      <c r="A46">
        <v>23</v>
      </c>
      <c r="B46">
        <v>0.19528375265835782</v>
      </c>
      <c r="C46" s="56">
        <f t="shared" si="7"/>
        <v>544.45110241150155</v>
      </c>
      <c r="D46" s="56">
        <f t="shared" si="6"/>
        <v>520.62648458718195</v>
      </c>
      <c r="E46" s="56">
        <f t="shared" si="6"/>
        <v>483.52257158209397</v>
      </c>
      <c r="F46" s="56">
        <f t="shared" si="6"/>
        <v>531.36709098339168</v>
      </c>
      <c r="G46" s="56">
        <f t="shared" si="6"/>
        <v>613.38626709990194</v>
      </c>
      <c r="H46" s="56">
        <f t="shared" si="6"/>
        <v>789.14164449242389</v>
      </c>
      <c r="I46" s="56">
        <f t="shared" si="6"/>
        <v>806.91246598433452</v>
      </c>
      <c r="J46" s="56">
        <f t="shared" si="6"/>
        <v>909.6317198826307</v>
      </c>
      <c r="K46" s="56">
        <f t="shared" si="6"/>
        <v>1037.7378616265134</v>
      </c>
      <c r="L46" s="56">
        <f t="shared" si="6"/>
        <v>907.6788823560471</v>
      </c>
      <c r="M46" s="56">
        <f t="shared" si="6"/>
        <v>857.49095792284913</v>
      </c>
      <c r="N46" s="56">
        <f t="shared" si="6"/>
        <v>988.13578845129052</v>
      </c>
      <c r="O46" s="56">
        <f t="shared" si="6"/>
        <v>1109.2117150994725</v>
      </c>
      <c r="P46" s="56">
        <f t="shared" si="6"/>
        <v>1218.3753328354944</v>
      </c>
      <c r="Q46" s="56">
        <f t="shared" si="6"/>
        <v>1191.8167424739577</v>
      </c>
      <c r="R46" s="56">
        <f t="shared" si="6"/>
        <v>1080.8955709640106</v>
      </c>
      <c r="S46" s="56">
        <f t="shared" si="6"/>
        <v>1100.4239462298463</v>
      </c>
    </row>
    <row r="47" spans="1:19">
      <c r="A47">
        <v>24</v>
      </c>
      <c r="B47">
        <v>0.18856958275152291</v>
      </c>
      <c r="C47" s="56">
        <f t="shared" si="7"/>
        <v>525.73199671124587</v>
      </c>
      <c r="D47" s="56">
        <f t="shared" si="6"/>
        <v>502.72650761556008</v>
      </c>
      <c r="E47" s="56">
        <f t="shared" si="6"/>
        <v>466.89828689277073</v>
      </c>
      <c r="F47" s="56">
        <f t="shared" si="6"/>
        <v>513.09783466689385</v>
      </c>
      <c r="G47" s="56">
        <f t="shared" si="6"/>
        <v>592.29705942253349</v>
      </c>
      <c r="H47" s="56">
        <f t="shared" si="6"/>
        <v>762.00968389890409</v>
      </c>
      <c r="I47" s="56">
        <f t="shared" si="6"/>
        <v>779.16951592929263</v>
      </c>
      <c r="J47" s="56">
        <f t="shared" si="6"/>
        <v>878.35711645659376</v>
      </c>
      <c r="K47" s="56">
        <f t="shared" si="6"/>
        <v>1002.0587627415928</v>
      </c>
      <c r="L47" s="56">
        <f t="shared" si="6"/>
        <v>876.47142062907847</v>
      </c>
      <c r="M47" s="56">
        <f t="shared" si="6"/>
        <v>828.00903786193714</v>
      </c>
      <c r="N47" s="56">
        <f t="shared" si="6"/>
        <v>954.1620887227059</v>
      </c>
      <c r="O47" s="56">
        <f t="shared" si="6"/>
        <v>1071.0752300286501</v>
      </c>
      <c r="P47" s="56">
        <f t="shared" si="6"/>
        <v>1176.4856267867515</v>
      </c>
      <c r="Q47" s="56">
        <f t="shared" si="6"/>
        <v>1150.8401635325442</v>
      </c>
      <c r="R47" s="56">
        <f t="shared" si="6"/>
        <v>1043.7326405296794</v>
      </c>
      <c r="S47" s="56">
        <f t="shared" si="6"/>
        <v>1062.5895988048317</v>
      </c>
    </row>
    <row r="48" spans="1:19">
      <c r="A48">
        <v>25</v>
      </c>
      <c r="B48">
        <v>0.21089604277821081</v>
      </c>
      <c r="C48" s="56">
        <f>+$B48*C$7</f>
        <v>511.63379977993941</v>
      </c>
      <c r="D48" s="56">
        <f t="shared" ref="D48:S52" si="8">+$B48*D$7</f>
        <v>520.06964149106784</v>
      </c>
      <c r="E48" s="56">
        <f t="shared" si="8"/>
        <v>479.57760127765135</v>
      </c>
      <c r="F48" s="56">
        <f t="shared" si="8"/>
        <v>501.93258181214173</v>
      </c>
      <c r="G48" s="56">
        <f t="shared" si="8"/>
        <v>596.8358010623366</v>
      </c>
      <c r="H48" s="56">
        <f t="shared" si="8"/>
        <v>695.95694116809568</v>
      </c>
      <c r="I48" s="56">
        <f t="shared" si="8"/>
        <v>725.06059507148871</v>
      </c>
      <c r="J48" s="56">
        <f t="shared" si="8"/>
        <v>753.53156084654722</v>
      </c>
      <c r="K48" s="56">
        <f t="shared" si="8"/>
        <v>894.62101346517022</v>
      </c>
      <c r="L48" s="56">
        <f t="shared" si="8"/>
        <v>824.18173517724779</v>
      </c>
      <c r="M48" s="56">
        <f t="shared" si="8"/>
        <v>813.84782908111549</v>
      </c>
      <c r="N48" s="56">
        <f t="shared" si="8"/>
        <v>940.17455870526373</v>
      </c>
      <c r="O48" s="56">
        <f t="shared" si="8"/>
        <v>1060.5961991316221</v>
      </c>
      <c r="P48" s="56">
        <f t="shared" si="8"/>
        <v>1088.4344767783459</v>
      </c>
      <c r="Q48" s="56">
        <f t="shared" si="8"/>
        <v>1074.7262339977622</v>
      </c>
      <c r="R48" s="56">
        <f t="shared" si="8"/>
        <v>1008.7157726081823</v>
      </c>
      <c r="S48" s="56">
        <f t="shared" si="8"/>
        <v>987.62616833036122</v>
      </c>
    </row>
    <row r="49" spans="1:19">
      <c r="A49">
        <v>26</v>
      </c>
      <c r="B49">
        <v>0.20332082058974793</v>
      </c>
      <c r="C49" s="56">
        <f t="shared" ref="C49:R52" si="9">+$B49*C$7</f>
        <v>493.25631075072846</v>
      </c>
      <c r="D49" s="56">
        <f t="shared" si="9"/>
        <v>501.38914357431838</v>
      </c>
      <c r="E49" s="56">
        <f t="shared" si="9"/>
        <v>462.35154602108679</v>
      </c>
      <c r="F49" s="56">
        <f t="shared" si="9"/>
        <v>483.90355300360005</v>
      </c>
      <c r="G49" s="56">
        <f t="shared" si="9"/>
        <v>575.39792226898669</v>
      </c>
      <c r="H49" s="56">
        <f t="shared" si="9"/>
        <v>670.95870794616815</v>
      </c>
      <c r="I49" s="56">
        <f t="shared" si="9"/>
        <v>699.01698118755337</v>
      </c>
      <c r="J49" s="56">
        <f t="shared" si="9"/>
        <v>726.46529196716938</v>
      </c>
      <c r="K49" s="56">
        <f t="shared" si="9"/>
        <v>862.48692094171076</v>
      </c>
      <c r="L49" s="56">
        <f t="shared" si="9"/>
        <v>794.57776686473494</v>
      </c>
      <c r="M49" s="56">
        <f t="shared" si="9"/>
        <v>784.61504665583732</v>
      </c>
      <c r="N49" s="56">
        <f t="shared" si="9"/>
        <v>906.40421818909624</v>
      </c>
      <c r="O49" s="56">
        <f t="shared" si="9"/>
        <v>1022.5004067458424</v>
      </c>
      <c r="P49" s="56">
        <f t="shared" si="9"/>
        <v>1049.3387550636892</v>
      </c>
      <c r="Q49" s="56">
        <f t="shared" si="9"/>
        <v>1036.1229017253554</v>
      </c>
      <c r="R49" s="56">
        <f t="shared" si="9"/>
        <v>972.48348488076431</v>
      </c>
      <c r="S49" s="56">
        <f t="shared" si="8"/>
        <v>952.15140282178959</v>
      </c>
    </row>
    <row r="50" spans="1:19">
      <c r="A50">
        <v>27</v>
      </c>
      <c r="B50">
        <v>0.19764494931023435</v>
      </c>
      <c r="C50" s="56">
        <f t="shared" si="9"/>
        <v>479.48664702662853</v>
      </c>
      <c r="D50" s="56">
        <f t="shared" si="8"/>
        <v>487.39244499903793</v>
      </c>
      <c r="E50" s="56">
        <f t="shared" si="8"/>
        <v>449.44461473147294</v>
      </c>
      <c r="F50" s="56">
        <f t="shared" si="8"/>
        <v>470.39497935835777</v>
      </c>
      <c r="G50" s="56">
        <f t="shared" si="8"/>
        <v>559.33520654796325</v>
      </c>
      <c r="H50" s="56">
        <f t="shared" si="8"/>
        <v>652.22833272377341</v>
      </c>
      <c r="I50" s="56">
        <f t="shared" si="8"/>
        <v>679.50333572858574</v>
      </c>
      <c r="J50" s="56">
        <f t="shared" si="8"/>
        <v>706.18540388546739</v>
      </c>
      <c r="K50" s="56">
        <f t="shared" si="8"/>
        <v>838.40987497401409</v>
      </c>
      <c r="L50" s="56">
        <f t="shared" si="8"/>
        <v>772.39646190439589</v>
      </c>
      <c r="M50" s="56">
        <f t="shared" si="8"/>
        <v>762.7118593881944</v>
      </c>
      <c r="N50" s="56">
        <f t="shared" si="8"/>
        <v>881.10118402502474</v>
      </c>
      <c r="O50" s="56">
        <f t="shared" si="8"/>
        <v>993.95645008116855</v>
      </c>
      <c r="P50" s="56">
        <f t="shared" si="8"/>
        <v>1020.0455833901195</v>
      </c>
      <c r="Q50" s="56">
        <f t="shared" si="8"/>
        <v>1007.1986616849542</v>
      </c>
      <c r="R50" s="56">
        <f t="shared" si="8"/>
        <v>945.3357925508509</v>
      </c>
      <c r="S50" s="56">
        <f t="shared" si="8"/>
        <v>925.57129761982742</v>
      </c>
    </row>
    <row r="51" spans="1:19">
      <c r="A51">
        <v>28</v>
      </c>
      <c r="B51">
        <v>0.19461692382529891</v>
      </c>
      <c r="C51" s="56">
        <f t="shared" si="9"/>
        <v>472.14065720017516</v>
      </c>
      <c r="D51" s="56">
        <f t="shared" si="8"/>
        <v>479.92533415318712</v>
      </c>
      <c r="E51" s="56">
        <f t="shared" si="8"/>
        <v>442.55888477872975</v>
      </c>
      <c r="F51" s="56">
        <f t="shared" si="8"/>
        <v>463.18827870421143</v>
      </c>
      <c r="G51" s="56">
        <f t="shared" si="8"/>
        <v>550.76589442559589</v>
      </c>
      <c r="H51" s="56">
        <f t="shared" si="8"/>
        <v>642.23584862348639</v>
      </c>
      <c r="I51" s="56">
        <f t="shared" si="8"/>
        <v>669.09298411137763</v>
      </c>
      <c r="J51" s="56">
        <f t="shared" si="8"/>
        <v>695.36626882779296</v>
      </c>
      <c r="K51" s="56">
        <f t="shared" si="8"/>
        <v>825.56499086691792</v>
      </c>
      <c r="L51" s="56">
        <f t="shared" si="8"/>
        <v>760.56293830926813</v>
      </c>
      <c r="M51" s="56">
        <f t="shared" si="8"/>
        <v>751.02670904182844</v>
      </c>
      <c r="N51" s="56">
        <f t="shared" si="8"/>
        <v>867.60224641318257</v>
      </c>
      <c r="O51" s="56">
        <f t="shared" si="8"/>
        <v>978.72850991742825</v>
      </c>
      <c r="P51" s="56">
        <f t="shared" si="8"/>
        <v>1004.4179438623677</v>
      </c>
      <c r="Q51" s="56">
        <f t="shared" si="8"/>
        <v>991.76784381372329</v>
      </c>
      <c r="R51" s="56">
        <f t="shared" si="8"/>
        <v>930.85274665640463</v>
      </c>
      <c r="S51" s="56">
        <f t="shared" si="8"/>
        <v>911.39105427387483</v>
      </c>
    </row>
    <row r="52" spans="1:19">
      <c r="A52">
        <v>29</v>
      </c>
      <c r="B52">
        <v>0.19352126349650797</v>
      </c>
      <c r="C52" s="56">
        <f t="shared" si="9"/>
        <v>469.48258524252833</v>
      </c>
      <c r="D52" s="56">
        <f t="shared" si="8"/>
        <v>477.22343578238866</v>
      </c>
      <c r="E52" s="56">
        <f t="shared" si="8"/>
        <v>440.06735319105911</v>
      </c>
      <c r="F52" s="56">
        <f t="shared" si="8"/>
        <v>460.58060712168896</v>
      </c>
      <c r="G52" s="56">
        <f t="shared" si="8"/>
        <v>547.66517569511757</v>
      </c>
      <c r="H52" s="56">
        <f t="shared" si="8"/>
        <v>638.62016953847626</v>
      </c>
      <c r="I52" s="56">
        <f t="shared" si="8"/>
        <v>665.32610390099444</v>
      </c>
      <c r="J52" s="56">
        <f t="shared" si="8"/>
        <v>691.45147447302304</v>
      </c>
      <c r="K52" s="56">
        <f t="shared" si="8"/>
        <v>820.91719975218678</v>
      </c>
      <c r="L52" s="56">
        <f t="shared" si="8"/>
        <v>756.28109774435313</v>
      </c>
      <c r="M52" s="56">
        <f t="shared" si="8"/>
        <v>746.79855583302424</v>
      </c>
      <c r="N52" s="56">
        <f t="shared" si="8"/>
        <v>862.71779266743249</v>
      </c>
      <c r="O52" s="56">
        <f t="shared" si="8"/>
        <v>973.21843412393855</v>
      </c>
      <c r="P52" s="56">
        <f t="shared" si="8"/>
        <v>998.76324090547769</v>
      </c>
      <c r="Q52" s="56">
        <f t="shared" si="8"/>
        <v>986.18435877820468</v>
      </c>
      <c r="R52" s="56">
        <f t="shared" si="8"/>
        <v>925.61220330379763</v>
      </c>
      <c r="S52" s="56">
        <f t="shared" si="8"/>
        <v>906.26007695414683</v>
      </c>
    </row>
    <row r="53" spans="1:19">
      <c r="A53">
        <v>30</v>
      </c>
      <c r="B53">
        <v>0.20328615199309047</v>
      </c>
      <c r="C53" s="56">
        <f>+$B53*C$8</f>
        <v>467.55814958410809</v>
      </c>
      <c r="D53" s="56">
        <f t="shared" ref="D53:S57" si="10">+$B53*D$8</f>
        <v>441.13094982500633</v>
      </c>
      <c r="E53" s="56">
        <f t="shared" si="10"/>
        <v>424.86805766555909</v>
      </c>
      <c r="F53" s="56">
        <f t="shared" si="10"/>
        <v>458.00370044043285</v>
      </c>
      <c r="G53" s="56">
        <f t="shared" si="10"/>
        <v>508.62195228671237</v>
      </c>
      <c r="H53" s="56">
        <f t="shared" si="10"/>
        <v>582.41482546020416</v>
      </c>
      <c r="I53" s="56">
        <f t="shared" si="10"/>
        <v>575.09652398845299</v>
      </c>
      <c r="J53" s="56">
        <f t="shared" si="10"/>
        <v>569.60779788463947</v>
      </c>
      <c r="K53" s="56">
        <f t="shared" si="10"/>
        <v>659.05370476159931</v>
      </c>
      <c r="L53" s="56">
        <f t="shared" si="10"/>
        <v>632.62650500249754</v>
      </c>
      <c r="M53" s="56">
        <f t="shared" si="10"/>
        <v>613.51760671514705</v>
      </c>
      <c r="N53" s="56">
        <f t="shared" si="10"/>
        <v>658.03727400163382</v>
      </c>
      <c r="O53" s="56">
        <f t="shared" si="10"/>
        <v>752.36204852642777</v>
      </c>
      <c r="P53" s="56">
        <f t="shared" si="10"/>
        <v>801.55729730875566</v>
      </c>
      <c r="Q53" s="56">
        <f t="shared" si="10"/>
        <v>817.82018946820301</v>
      </c>
      <c r="R53" s="56">
        <f t="shared" si="10"/>
        <v>774.52023909367472</v>
      </c>
      <c r="S53" s="56">
        <f t="shared" si="10"/>
        <v>757.44420232625509</v>
      </c>
    </row>
    <row r="54" spans="1:19">
      <c r="A54">
        <v>31</v>
      </c>
      <c r="B54">
        <v>0.20213547155884315</v>
      </c>
      <c r="C54" s="56">
        <f t="shared" ref="C54:R57" si="11">+$B54*C$8</f>
        <v>464.91158458533926</v>
      </c>
      <c r="D54" s="56">
        <f t="shared" si="11"/>
        <v>438.63397328268962</v>
      </c>
      <c r="E54" s="56">
        <f t="shared" si="11"/>
        <v>422.46313555798218</v>
      </c>
      <c r="F54" s="56">
        <f t="shared" si="11"/>
        <v>455.41121742207361</v>
      </c>
      <c r="G54" s="56">
        <f t="shared" si="11"/>
        <v>505.74294984022555</v>
      </c>
      <c r="H54" s="56">
        <f t="shared" si="11"/>
        <v>579.11812601608563</v>
      </c>
      <c r="I54" s="56">
        <f t="shared" si="11"/>
        <v>571.84124903996724</v>
      </c>
      <c r="J54" s="56">
        <f t="shared" si="11"/>
        <v>566.38359130787853</v>
      </c>
      <c r="K54" s="56">
        <f t="shared" si="11"/>
        <v>655.32319879376951</v>
      </c>
      <c r="L54" s="56">
        <f t="shared" si="11"/>
        <v>629.04558749111993</v>
      </c>
      <c r="M54" s="56">
        <f t="shared" si="11"/>
        <v>610.04485316458863</v>
      </c>
      <c r="N54" s="56">
        <f t="shared" si="11"/>
        <v>654.31252143597533</v>
      </c>
      <c r="O54" s="56">
        <f t="shared" si="11"/>
        <v>748.10338023927852</v>
      </c>
      <c r="P54" s="56">
        <f t="shared" si="11"/>
        <v>797.02016435651853</v>
      </c>
      <c r="Q54" s="56">
        <f t="shared" si="11"/>
        <v>813.19100208122597</v>
      </c>
      <c r="R54" s="56">
        <f t="shared" si="11"/>
        <v>770.13614663919236</v>
      </c>
      <c r="S54" s="56">
        <f t="shared" si="10"/>
        <v>753.15676702824953</v>
      </c>
    </row>
    <row r="55" spans="1:19">
      <c r="A55">
        <v>32</v>
      </c>
      <c r="B55">
        <v>0.20063692363384555</v>
      </c>
      <c r="C55" s="56">
        <f t="shared" si="11"/>
        <v>461.46492435784478</v>
      </c>
      <c r="D55" s="56">
        <f t="shared" si="10"/>
        <v>435.38212428544483</v>
      </c>
      <c r="E55" s="56">
        <f t="shared" si="10"/>
        <v>419.33117039473723</v>
      </c>
      <c r="F55" s="56">
        <f t="shared" si="10"/>
        <v>452.03498894705405</v>
      </c>
      <c r="G55" s="56">
        <f t="shared" si="10"/>
        <v>501.99358293188158</v>
      </c>
      <c r="H55" s="56">
        <f t="shared" si="10"/>
        <v>574.82478621096755</v>
      </c>
      <c r="I55" s="56">
        <f t="shared" si="10"/>
        <v>567.60185696014912</v>
      </c>
      <c r="J55" s="56">
        <f t="shared" si="10"/>
        <v>562.18466002203525</v>
      </c>
      <c r="K55" s="56">
        <f t="shared" si="10"/>
        <v>650.46490642092726</v>
      </c>
      <c r="L55" s="56">
        <f t="shared" si="10"/>
        <v>624.38210634852737</v>
      </c>
      <c r="M55" s="56">
        <f t="shared" si="10"/>
        <v>605.52223552694591</v>
      </c>
      <c r="N55" s="56">
        <f t="shared" si="10"/>
        <v>649.46172180275801</v>
      </c>
      <c r="O55" s="56">
        <f t="shared" si="10"/>
        <v>742.55725436886235</v>
      </c>
      <c r="P55" s="56">
        <f t="shared" si="10"/>
        <v>791.11138988825303</v>
      </c>
      <c r="Q55" s="56">
        <f t="shared" si="10"/>
        <v>807.16234377896069</v>
      </c>
      <c r="R55" s="56">
        <f t="shared" si="10"/>
        <v>764.42667904495158</v>
      </c>
      <c r="S55" s="56">
        <f t="shared" si="10"/>
        <v>747.57317745970852</v>
      </c>
    </row>
    <row r="56" spans="1:19">
      <c r="A56">
        <v>33</v>
      </c>
      <c r="B56">
        <v>0.19841546357963258</v>
      </c>
      <c r="C56" s="56">
        <f t="shared" si="11"/>
        <v>456.35556623315495</v>
      </c>
      <c r="D56" s="56">
        <f t="shared" si="10"/>
        <v>430.56155596780269</v>
      </c>
      <c r="E56" s="56">
        <f t="shared" si="10"/>
        <v>414.68831888143211</v>
      </c>
      <c r="F56" s="56">
        <f t="shared" si="10"/>
        <v>447.03003944491218</v>
      </c>
      <c r="G56" s="56">
        <f t="shared" si="10"/>
        <v>496.43548987624069</v>
      </c>
      <c r="H56" s="56">
        <f t="shared" si="10"/>
        <v>568.46030315564735</v>
      </c>
      <c r="I56" s="56">
        <f t="shared" si="10"/>
        <v>561.31734646678058</v>
      </c>
      <c r="J56" s="56">
        <f t="shared" si="10"/>
        <v>555.96012895013052</v>
      </c>
      <c r="K56" s="56">
        <f t="shared" si="10"/>
        <v>643.2629329251688</v>
      </c>
      <c r="L56" s="56">
        <f t="shared" si="10"/>
        <v>617.4689226598166</v>
      </c>
      <c r="M56" s="56">
        <f t="shared" si="10"/>
        <v>598.81786908333117</v>
      </c>
      <c r="N56" s="56">
        <f t="shared" si="10"/>
        <v>642.27085560727062</v>
      </c>
      <c r="O56" s="56">
        <f t="shared" si="10"/>
        <v>734.33563070822015</v>
      </c>
      <c r="P56" s="56">
        <f t="shared" si="10"/>
        <v>782.35217289449122</v>
      </c>
      <c r="Q56" s="56">
        <f t="shared" si="10"/>
        <v>798.22540998086185</v>
      </c>
      <c r="R56" s="56">
        <f t="shared" si="10"/>
        <v>755.96291623840011</v>
      </c>
      <c r="S56" s="56">
        <f t="shared" si="10"/>
        <v>739.29601729771093</v>
      </c>
    </row>
    <row r="57" spans="1:19">
      <c r="A57">
        <v>34</v>
      </c>
      <c r="B57">
        <v>0.19552598923458825</v>
      </c>
      <c r="C57" s="56">
        <f t="shared" si="11"/>
        <v>449.70977523955298</v>
      </c>
      <c r="D57" s="56">
        <f t="shared" si="10"/>
        <v>424.29139663905647</v>
      </c>
      <c r="E57" s="56">
        <f t="shared" si="10"/>
        <v>408.64931750028944</v>
      </c>
      <c r="F57" s="56">
        <f t="shared" si="10"/>
        <v>440.52005374552732</v>
      </c>
      <c r="G57" s="56">
        <f t="shared" si="10"/>
        <v>489.20602506493981</v>
      </c>
      <c r="H57" s="56">
        <f t="shared" si="10"/>
        <v>560.18195915709532</v>
      </c>
      <c r="I57" s="56">
        <f t="shared" si="10"/>
        <v>553.14302354465019</v>
      </c>
      <c r="J57" s="56">
        <f t="shared" si="10"/>
        <v>547.86382183531623</v>
      </c>
      <c r="K57" s="56">
        <f t="shared" si="10"/>
        <v>633.89525709853513</v>
      </c>
      <c r="L57" s="56">
        <f t="shared" si="10"/>
        <v>608.47687849803867</v>
      </c>
      <c r="M57" s="56">
        <f t="shared" si="10"/>
        <v>590.09743550998735</v>
      </c>
      <c r="N57" s="56">
        <f t="shared" si="10"/>
        <v>632.91762715236212</v>
      </c>
      <c r="O57" s="56">
        <f t="shared" si="10"/>
        <v>723.6416861572111</v>
      </c>
      <c r="P57" s="56">
        <f t="shared" si="10"/>
        <v>770.95897555198144</v>
      </c>
      <c r="Q57" s="56">
        <f t="shared" si="10"/>
        <v>786.60105469074847</v>
      </c>
      <c r="R57" s="56">
        <f t="shared" si="10"/>
        <v>744.95401898378122</v>
      </c>
      <c r="S57" s="56">
        <f t="shared" si="10"/>
        <v>728.52983588807581</v>
      </c>
    </row>
    <row r="58" spans="1:19">
      <c r="A58">
        <v>35</v>
      </c>
      <c r="B58">
        <v>0.20945509508823928</v>
      </c>
      <c r="C58" s="56">
        <f>+$B58*C$9</f>
        <v>459.33502352850877</v>
      </c>
      <c r="D58" s="56">
        <f t="shared" ref="D58:S62" si="12">+$B58*D$9</f>
        <v>445.09207706250851</v>
      </c>
      <c r="E58" s="56">
        <f t="shared" si="12"/>
        <v>446.13935253794966</v>
      </c>
      <c r="F58" s="56">
        <f t="shared" si="12"/>
        <v>475.46306585030317</v>
      </c>
      <c r="G58" s="56">
        <f t="shared" si="12"/>
        <v>502.48277311668602</v>
      </c>
      <c r="H58" s="56">
        <f t="shared" si="12"/>
        <v>550.02907970171634</v>
      </c>
      <c r="I58" s="56">
        <f t="shared" si="12"/>
        <v>585.21753567654059</v>
      </c>
      <c r="J58" s="56">
        <f t="shared" si="12"/>
        <v>529.08357019289247</v>
      </c>
      <c r="K58" s="56">
        <f t="shared" si="12"/>
        <v>624.80454864821775</v>
      </c>
      <c r="L58" s="56">
        <f t="shared" si="12"/>
        <v>583.33243982074646</v>
      </c>
      <c r="M58" s="56">
        <f t="shared" si="12"/>
        <v>566.57603221368731</v>
      </c>
      <c r="N58" s="56">
        <f t="shared" si="12"/>
        <v>598.41320666709964</v>
      </c>
      <c r="O58" s="56">
        <f t="shared" si="12"/>
        <v>668.79011861674803</v>
      </c>
      <c r="P58" s="56">
        <f t="shared" si="12"/>
        <v>679.68178356133649</v>
      </c>
      <c r="Q58" s="56">
        <f t="shared" si="12"/>
        <v>671.72248994798338</v>
      </c>
      <c r="R58" s="56">
        <f t="shared" si="12"/>
        <v>643.02714192089456</v>
      </c>
      <c r="S58" s="56">
        <f t="shared" si="12"/>
        <v>673.60758580377751</v>
      </c>
    </row>
    <row r="59" spans="1:19">
      <c r="A59">
        <v>36</v>
      </c>
      <c r="B59">
        <v>0.20637779050475588</v>
      </c>
      <c r="C59" s="56">
        <f t="shared" ref="C59:R62" si="13">+$B59*C$9</f>
        <v>452.58649457692962</v>
      </c>
      <c r="D59" s="56">
        <f t="shared" si="13"/>
        <v>438.55280482260622</v>
      </c>
      <c r="E59" s="56">
        <f t="shared" si="13"/>
        <v>439.58469377513001</v>
      </c>
      <c r="F59" s="56">
        <f t="shared" si="13"/>
        <v>468.47758444579586</v>
      </c>
      <c r="G59" s="56">
        <f t="shared" si="13"/>
        <v>495.10031942090939</v>
      </c>
      <c r="H59" s="56">
        <f t="shared" si="13"/>
        <v>541.94807786548893</v>
      </c>
      <c r="I59" s="56">
        <f t="shared" si="13"/>
        <v>576.61954667028795</v>
      </c>
      <c r="J59" s="56">
        <f t="shared" si="13"/>
        <v>521.31029881501331</v>
      </c>
      <c r="K59" s="56">
        <f t="shared" si="13"/>
        <v>615.6249490756868</v>
      </c>
      <c r="L59" s="56">
        <f t="shared" si="13"/>
        <v>574.76214655574518</v>
      </c>
      <c r="M59" s="56">
        <f t="shared" si="13"/>
        <v>558.25192331536471</v>
      </c>
      <c r="N59" s="56">
        <f t="shared" si="13"/>
        <v>589.62134747208756</v>
      </c>
      <c r="O59" s="56">
        <f t="shared" si="13"/>
        <v>658.96428508168549</v>
      </c>
      <c r="P59" s="56">
        <f t="shared" si="13"/>
        <v>669.69593018793285</v>
      </c>
      <c r="Q59" s="56">
        <f t="shared" si="13"/>
        <v>661.85357414875216</v>
      </c>
      <c r="R59" s="56">
        <f t="shared" si="13"/>
        <v>633.57981684960055</v>
      </c>
      <c r="S59" s="56">
        <f t="shared" si="12"/>
        <v>663.71097426329493</v>
      </c>
    </row>
    <row r="60" spans="1:19">
      <c r="A60">
        <v>37</v>
      </c>
      <c r="B60">
        <v>0.20177364216592175</v>
      </c>
      <c r="C60" s="56">
        <f t="shared" si="13"/>
        <v>442.48959726986641</v>
      </c>
      <c r="D60" s="56">
        <f t="shared" si="12"/>
        <v>428.7689896025837</v>
      </c>
      <c r="E60" s="56">
        <f t="shared" si="12"/>
        <v>429.77785781341333</v>
      </c>
      <c r="F60" s="56">
        <f t="shared" si="12"/>
        <v>458.02616771664236</v>
      </c>
      <c r="G60" s="56">
        <f t="shared" si="12"/>
        <v>484.05496755604628</v>
      </c>
      <c r="H60" s="56">
        <f t="shared" si="12"/>
        <v>529.85758432771047</v>
      </c>
      <c r="I60" s="56">
        <f t="shared" si="12"/>
        <v>563.75555621158537</v>
      </c>
      <c r="J60" s="56">
        <f t="shared" si="12"/>
        <v>509.68022011111833</v>
      </c>
      <c r="K60" s="56">
        <f t="shared" si="12"/>
        <v>601.89077458094459</v>
      </c>
      <c r="L60" s="56">
        <f t="shared" si="12"/>
        <v>561.93959343209212</v>
      </c>
      <c r="M60" s="56">
        <f t="shared" si="12"/>
        <v>545.79770205881834</v>
      </c>
      <c r="N60" s="56">
        <f t="shared" si="12"/>
        <v>576.46729566803845</v>
      </c>
      <c r="O60" s="56">
        <f t="shared" si="12"/>
        <v>644.26323943578814</v>
      </c>
      <c r="P60" s="56">
        <f t="shared" si="12"/>
        <v>654.75546882841604</v>
      </c>
      <c r="Q60" s="56">
        <f t="shared" si="12"/>
        <v>647.08807042611102</v>
      </c>
      <c r="R60" s="56">
        <f t="shared" si="12"/>
        <v>619.44508144937981</v>
      </c>
      <c r="S60" s="56">
        <f t="shared" si="12"/>
        <v>648.90403320560438</v>
      </c>
    </row>
    <row r="61" spans="1:19">
      <c r="A61">
        <v>38</v>
      </c>
      <c r="B61">
        <v>0.19518506928658727</v>
      </c>
      <c r="C61" s="56">
        <f t="shared" si="13"/>
        <v>428.04085694548587</v>
      </c>
      <c r="D61" s="56">
        <f t="shared" si="12"/>
        <v>414.76827223399795</v>
      </c>
      <c r="E61" s="56">
        <f t="shared" si="12"/>
        <v>415.74419758043086</v>
      </c>
      <c r="F61" s="56">
        <f t="shared" si="12"/>
        <v>443.07010728055309</v>
      </c>
      <c r="G61" s="56">
        <f t="shared" si="12"/>
        <v>468.24898121852289</v>
      </c>
      <c r="H61" s="56">
        <f t="shared" si="12"/>
        <v>512.55599194657816</v>
      </c>
      <c r="I61" s="56">
        <f t="shared" si="12"/>
        <v>545.34708358672481</v>
      </c>
      <c r="J61" s="56">
        <f t="shared" si="12"/>
        <v>493.03748501791944</v>
      </c>
      <c r="K61" s="56">
        <f t="shared" si="12"/>
        <v>582.23706168188983</v>
      </c>
      <c r="L61" s="56">
        <f t="shared" si="12"/>
        <v>543.59041796314557</v>
      </c>
      <c r="M61" s="56">
        <f t="shared" si="12"/>
        <v>527.97561242021857</v>
      </c>
      <c r="N61" s="56">
        <f t="shared" si="12"/>
        <v>557.64374295177981</v>
      </c>
      <c r="O61" s="56">
        <f t="shared" si="12"/>
        <v>623.22592623207311</v>
      </c>
      <c r="P61" s="56">
        <f t="shared" si="12"/>
        <v>633.37554983497569</v>
      </c>
      <c r="Q61" s="56">
        <f t="shared" si="12"/>
        <v>625.95851720208543</v>
      </c>
      <c r="R61" s="56">
        <f t="shared" si="12"/>
        <v>599.21816270982288</v>
      </c>
      <c r="S61" s="56">
        <f t="shared" si="12"/>
        <v>627.71518282566467</v>
      </c>
    </row>
    <row r="62" spans="1:19">
      <c r="A62">
        <v>39</v>
      </c>
      <c r="B62">
        <v>0.18720840295449581</v>
      </c>
      <c r="C62" s="56">
        <f t="shared" si="13"/>
        <v>410.54802767920933</v>
      </c>
      <c r="D62" s="56">
        <f t="shared" si="12"/>
        <v>397.81785627830362</v>
      </c>
      <c r="E62" s="56">
        <f t="shared" si="12"/>
        <v>398.75389829307608</v>
      </c>
      <c r="F62" s="56">
        <f t="shared" si="12"/>
        <v>424.96307470670547</v>
      </c>
      <c r="G62" s="56">
        <f t="shared" si="12"/>
        <v>449.11295868783543</v>
      </c>
      <c r="H62" s="56">
        <f t="shared" si="12"/>
        <v>491.60926615850599</v>
      </c>
      <c r="I62" s="56">
        <f t="shared" si="12"/>
        <v>523.06027785486128</v>
      </c>
      <c r="J62" s="56">
        <f t="shared" si="12"/>
        <v>472.8884258630564</v>
      </c>
      <c r="K62" s="56">
        <f t="shared" si="12"/>
        <v>558.44266601326103</v>
      </c>
      <c r="L62" s="56">
        <f t="shared" si="12"/>
        <v>521.37540222827079</v>
      </c>
      <c r="M62" s="56">
        <f t="shared" si="12"/>
        <v>506.39872999191118</v>
      </c>
      <c r="N62" s="56">
        <f t="shared" si="12"/>
        <v>534.85440724099453</v>
      </c>
      <c r="O62" s="56">
        <f t="shared" si="12"/>
        <v>597.75643063370512</v>
      </c>
      <c r="P62" s="56">
        <f t="shared" si="12"/>
        <v>607.49126758733894</v>
      </c>
      <c r="Q62" s="56">
        <f t="shared" si="12"/>
        <v>600.37734827506802</v>
      </c>
      <c r="R62" s="56">
        <f t="shared" si="12"/>
        <v>574.7297970703022</v>
      </c>
      <c r="S62" s="56">
        <f t="shared" si="12"/>
        <v>602.06222390165851</v>
      </c>
    </row>
    <row r="63" spans="1:19">
      <c r="A63">
        <v>40</v>
      </c>
      <c r="B63">
        <v>0.21669227880146677</v>
      </c>
      <c r="C63" s="56">
        <f>+$B63*C$10</f>
        <v>482.35701261206503</v>
      </c>
      <c r="D63" s="56">
        <f t="shared" ref="D63:S67" si="14">+$B63*D$10</f>
        <v>485.82408907288851</v>
      </c>
      <c r="E63" s="56">
        <f t="shared" si="14"/>
        <v>498.82562580097652</v>
      </c>
      <c r="F63" s="56">
        <f t="shared" si="14"/>
        <v>548.88154220411536</v>
      </c>
      <c r="G63" s="56">
        <f t="shared" si="14"/>
        <v>557.33254107737253</v>
      </c>
      <c r="H63" s="56">
        <f t="shared" si="14"/>
        <v>608.03853431691573</v>
      </c>
      <c r="I63" s="56">
        <f t="shared" si="14"/>
        <v>630.79122359106975</v>
      </c>
      <c r="J63" s="56">
        <f t="shared" si="14"/>
        <v>603.70468874088647</v>
      </c>
      <c r="K63" s="56">
        <f t="shared" si="14"/>
        <v>658.3111429988561</v>
      </c>
      <c r="L63" s="56">
        <f t="shared" si="14"/>
        <v>625.80730117863607</v>
      </c>
      <c r="M63" s="56">
        <f t="shared" si="14"/>
        <v>654.41068198042967</v>
      </c>
      <c r="N63" s="56">
        <f t="shared" si="14"/>
        <v>681.28052455181148</v>
      </c>
      <c r="O63" s="56">
        <f t="shared" si="14"/>
        <v>704.0332138259655</v>
      </c>
      <c r="P63" s="56">
        <f t="shared" si="14"/>
        <v>720.71851929367847</v>
      </c>
      <c r="Q63" s="56">
        <f t="shared" si="14"/>
        <v>727.43597993652395</v>
      </c>
      <c r="R63" s="56">
        <f t="shared" si="14"/>
        <v>657.4443738836502</v>
      </c>
      <c r="S63" s="56">
        <f t="shared" si="14"/>
        <v>673.69629479376022</v>
      </c>
    </row>
    <row r="64" spans="1:19">
      <c r="A64">
        <v>41</v>
      </c>
      <c r="B64">
        <v>0.20663688778157818</v>
      </c>
      <c r="C64" s="56">
        <f t="shared" ref="C64:R67" si="15">+$B64*C$10</f>
        <v>459.97371220179303</v>
      </c>
      <c r="D64" s="56">
        <f t="shared" si="15"/>
        <v>463.27990240629828</v>
      </c>
      <c r="E64" s="56">
        <f t="shared" si="15"/>
        <v>475.67811567319296</v>
      </c>
      <c r="F64" s="56">
        <f t="shared" si="15"/>
        <v>523.41123675073754</v>
      </c>
      <c r="G64" s="56">
        <f t="shared" si="15"/>
        <v>531.47007537421905</v>
      </c>
      <c r="H64" s="56">
        <f t="shared" si="15"/>
        <v>579.82310711510843</v>
      </c>
      <c r="I64" s="56">
        <f t="shared" si="15"/>
        <v>601.5199803321741</v>
      </c>
      <c r="J64" s="56">
        <f t="shared" si="15"/>
        <v>575.69036935947679</v>
      </c>
      <c r="K64" s="56">
        <f t="shared" si="15"/>
        <v>627.76286508043449</v>
      </c>
      <c r="L64" s="56">
        <f t="shared" si="15"/>
        <v>596.76733191319784</v>
      </c>
      <c r="M64" s="56">
        <f t="shared" si="15"/>
        <v>624.04340110036605</v>
      </c>
      <c r="N64" s="56">
        <f t="shared" si="15"/>
        <v>649.66637518528182</v>
      </c>
      <c r="O64" s="56">
        <f t="shared" si="15"/>
        <v>671.36324840234749</v>
      </c>
      <c r="P64" s="56">
        <f t="shared" si="15"/>
        <v>687.27428876152908</v>
      </c>
      <c r="Q64" s="56">
        <f t="shared" si="15"/>
        <v>693.68003228275791</v>
      </c>
      <c r="R64" s="56">
        <f t="shared" si="15"/>
        <v>626.93631752930821</v>
      </c>
      <c r="S64" s="56">
        <f t="shared" si="14"/>
        <v>642.4340841129266</v>
      </c>
    </row>
    <row r="65" spans="1:19">
      <c r="A65">
        <v>42</v>
      </c>
      <c r="B65">
        <v>0.1980501328868412</v>
      </c>
      <c r="C65" s="56">
        <f t="shared" si="15"/>
        <v>440.85959580610853</v>
      </c>
      <c r="D65" s="56">
        <f t="shared" si="14"/>
        <v>444.02839793229799</v>
      </c>
      <c r="E65" s="56">
        <f t="shared" si="14"/>
        <v>455.91140590550845</v>
      </c>
      <c r="F65" s="56">
        <f t="shared" si="14"/>
        <v>501.66098660236878</v>
      </c>
      <c r="G65" s="56">
        <f t="shared" si="14"/>
        <v>509.38494178495557</v>
      </c>
      <c r="H65" s="56">
        <f t="shared" si="14"/>
        <v>555.72867288047644</v>
      </c>
      <c r="I65" s="56">
        <f t="shared" si="14"/>
        <v>576.52393683359469</v>
      </c>
      <c r="J65" s="56">
        <f t="shared" si="14"/>
        <v>551.76767022273964</v>
      </c>
      <c r="K65" s="56">
        <f t="shared" si="14"/>
        <v>601.67630371022358</v>
      </c>
      <c r="L65" s="56">
        <f t="shared" si="14"/>
        <v>571.96878377719736</v>
      </c>
      <c r="M65" s="56">
        <f t="shared" si="14"/>
        <v>598.11140131826039</v>
      </c>
      <c r="N65" s="56">
        <f t="shared" si="14"/>
        <v>622.66961779622875</v>
      </c>
      <c r="O65" s="56">
        <f t="shared" si="14"/>
        <v>643.46488174934711</v>
      </c>
      <c r="P65" s="56">
        <f t="shared" si="14"/>
        <v>658.71474198163389</v>
      </c>
      <c r="Q65" s="56">
        <f t="shared" si="14"/>
        <v>664.8542961011259</v>
      </c>
      <c r="R65" s="56">
        <f t="shared" si="14"/>
        <v>600.88410317867624</v>
      </c>
      <c r="S65" s="56">
        <f t="shared" si="14"/>
        <v>615.73786314518929</v>
      </c>
    </row>
    <row r="66" spans="1:19">
      <c r="A66">
        <v>43</v>
      </c>
      <c r="B66">
        <v>0.19168891004119923</v>
      </c>
      <c r="C66" s="56">
        <f t="shared" si="15"/>
        <v>426.6995137517095</v>
      </c>
      <c r="D66" s="56">
        <f t="shared" si="14"/>
        <v>429.76653631236866</v>
      </c>
      <c r="E66" s="56">
        <f t="shared" si="14"/>
        <v>441.26787091484061</v>
      </c>
      <c r="F66" s="56">
        <f t="shared" si="14"/>
        <v>485.54800913435764</v>
      </c>
      <c r="G66" s="56">
        <f t="shared" si="14"/>
        <v>493.02387662596442</v>
      </c>
      <c r="H66" s="56">
        <f t="shared" si="14"/>
        <v>537.87908157560503</v>
      </c>
      <c r="I66" s="56">
        <f t="shared" si="14"/>
        <v>558.00641712993092</v>
      </c>
      <c r="J66" s="56">
        <f t="shared" si="14"/>
        <v>534.04530337478104</v>
      </c>
      <c r="K66" s="56">
        <f t="shared" si="14"/>
        <v>582.35090870516331</v>
      </c>
      <c r="L66" s="56">
        <f t="shared" si="14"/>
        <v>553.59757219898336</v>
      </c>
      <c r="M66" s="56">
        <f t="shared" si="14"/>
        <v>578.90050832442171</v>
      </c>
      <c r="N66" s="56">
        <f t="shared" si="14"/>
        <v>602.6699331695304</v>
      </c>
      <c r="O66" s="56">
        <f t="shared" si="14"/>
        <v>622.79726872385629</v>
      </c>
      <c r="P66" s="56">
        <f t="shared" si="14"/>
        <v>637.55731479702865</v>
      </c>
      <c r="Q66" s="56">
        <f t="shared" si="14"/>
        <v>643.49967100830577</v>
      </c>
      <c r="R66" s="56">
        <f t="shared" si="14"/>
        <v>581.58415306499842</v>
      </c>
      <c r="S66" s="56">
        <f t="shared" si="14"/>
        <v>595.96082131808839</v>
      </c>
    </row>
    <row r="67" spans="1:19">
      <c r="A67">
        <v>44</v>
      </c>
      <c r="B67">
        <v>0.18693179048891462</v>
      </c>
      <c r="C67" s="56">
        <f t="shared" si="15"/>
        <v>416.11016562832395</v>
      </c>
      <c r="D67" s="56">
        <f t="shared" si="14"/>
        <v>419.10107427614656</v>
      </c>
      <c r="E67" s="56">
        <f t="shared" si="14"/>
        <v>430.31698170548145</v>
      </c>
      <c r="F67" s="56">
        <f t="shared" si="14"/>
        <v>473.49822530842073</v>
      </c>
      <c r="G67" s="56">
        <f t="shared" si="14"/>
        <v>480.78856513748838</v>
      </c>
      <c r="H67" s="56">
        <f t="shared" si="14"/>
        <v>524.53060411189438</v>
      </c>
      <c r="I67" s="56">
        <f t="shared" si="14"/>
        <v>544.15844211323042</v>
      </c>
      <c r="J67" s="56">
        <f t="shared" si="14"/>
        <v>520.79196830211617</v>
      </c>
      <c r="K67" s="56">
        <f t="shared" si="14"/>
        <v>567.89877950532264</v>
      </c>
      <c r="L67" s="56">
        <f t="shared" si="14"/>
        <v>539.85901093198538</v>
      </c>
      <c r="M67" s="56">
        <f t="shared" si="14"/>
        <v>564.53400727652217</v>
      </c>
      <c r="N67" s="56">
        <f t="shared" si="14"/>
        <v>587.71354929714755</v>
      </c>
      <c r="O67" s="56">
        <f t="shared" si="14"/>
        <v>607.3413872984836</v>
      </c>
      <c r="P67" s="56">
        <f t="shared" si="14"/>
        <v>621.73513516613002</v>
      </c>
      <c r="Q67" s="56">
        <f t="shared" si="14"/>
        <v>627.53002067128637</v>
      </c>
      <c r="R67" s="56">
        <f t="shared" si="14"/>
        <v>567.15105234336693</v>
      </c>
      <c r="S67" s="56">
        <f t="shared" si="14"/>
        <v>581.1709366300355</v>
      </c>
    </row>
    <row r="68" spans="1:19">
      <c r="A68">
        <v>45</v>
      </c>
      <c r="B68">
        <v>0.21297716178725695</v>
      </c>
      <c r="C68" s="56">
        <f>+$B68*C$11</f>
        <v>479.41159118311538</v>
      </c>
      <c r="D68" s="56">
        <f t="shared" ref="D68:S72" si="16">+$B68*D$11</f>
        <v>519.2383204373325</v>
      </c>
      <c r="E68" s="56">
        <f t="shared" si="16"/>
        <v>521.36809205520501</v>
      </c>
      <c r="F68" s="56">
        <f t="shared" si="16"/>
        <v>594.6322357100214</v>
      </c>
      <c r="G68" s="56">
        <f t="shared" si="16"/>
        <v>626.36583281632272</v>
      </c>
      <c r="H68" s="56">
        <f t="shared" si="16"/>
        <v>648.94141196577198</v>
      </c>
      <c r="I68" s="56">
        <f t="shared" si="16"/>
        <v>717.94601238484313</v>
      </c>
      <c r="J68" s="56">
        <f t="shared" si="16"/>
        <v>686.21241527854193</v>
      </c>
      <c r="K68" s="56">
        <f t="shared" si="16"/>
        <v>724.12235007667368</v>
      </c>
      <c r="L68" s="56">
        <f t="shared" si="16"/>
        <v>714.75135495803431</v>
      </c>
      <c r="M68" s="56">
        <f t="shared" si="16"/>
        <v>729.23380195956781</v>
      </c>
      <c r="N68" s="56">
        <f t="shared" si="16"/>
        <v>776.94068619991333</v>
      </c>
      <c r="O68" s="56">
        <f t="shared" si="16"/>
        <v>798.02542521685177</v>
      </c>
      <c r="P68" s="56">
        <f t="shared" si="16"/>
        <v>817.1933697777049</v>
      </c>
      <c r="Q68" s="56">
        <f t="shared" si="16"/>
        <v>821.66589017523734</v>
      </c>
      <c r="R68" s="56">
        <f t="shared" si="16"/>
        <v>800.15519683472439</v>
      </c>
      <c r="S68" s="56">
        <f t="shared" si="16"/>
        <v>798.02542521685177</v>
      </c>
    </row>
    <row r="69" spans="1:19">
      <c r="A69">
        <v>46</v>
      </c>
      <c r="B69">
        <v>0.20722371147295351</v>
      </c>
      <c r="C69" s="56">
        <f t="shared" ref="C69:R72" si="17">+$B69*C$11</f>
        <v>466.46057452561837</v>
      </c>
      <c r="D69" s="56">
        <f t="shared" si="17"/>
        <v>505.21140857106064</v>
      </c>
      <c r="E69" s="56">
        <f t="shared" si="17"/>
        <v>507.28364568579019</v>
      </c>
      <c r="F69" s="56">
        <f t="shared" si="17"/>
        <v>578.56860243248616</v>
      </c>
      <c r="G69" s="56">
        <f t="shared" si="17"/>
        <v>609.44493544195632</v>
      </c>
      <c r="H69" s="56">
        <f t="shared" si="17"/>
        <v>631.4106488580893</v>
      </c>
      <c r="I69" s="56">
        <f t="shared" si="17"/>
        <v>698.55113137532635</v>
      </c>
      <c r="J69" s="56">
        <f t="shared" si="17"/>
        <v>667.67479836585619</v>
      </c>
      <c r="K69" s="56">
        <f t="shared" si="17"/>
        <v>704.56061900804195</v>
      </c>
      <c r="L69" s="56">
        <f t="shared" si="17"/>
        <v>695.44277570323197</v>
      </c>
      <c r="M69" s="56">
        <f t="shared" si="17"/>
        <v>709.53398808339284</v>
      </c>
      <c r="N69" s="56">
        <f t="shared" si="17"/>
        <v>755.95209945333443</v>
      </c>
      <c r="O69" s="56">
        <f t="shared" si="17"/>
        <v>776.46724688915685</v>
      </c>
      <c r="P69" s="56">
        <f t="shared" si="17"/>
        <v>795.11738092172266</v>
      </c>
      <c r="Q69" s="56">
        <f t="shared" si="17"/>
        <v>799.46907886265467</v>
      </c>
      <c r="R69" s="56">
        <f t="shared" si="17"/>
        <v>778.5394840038864</v>
      </c>
      <c r="S69" s="56">
        <f t="shared" si="16"/>
        <v>776.46724688915685</v>
      </c>
    </row>
    <row r="70" spans="1:19">
      <c r="A70">
        <v>47</v>
      </c>
      <c r="B70">
        <v>0.20086991566734505</v>
      </c>
      <c r="C70" s="56">
        <f t="shared" si="17"/>
        <v>452.15818016719373</v>
      </c>
      <c r="D70" s="56">
        <f t="shared" si="16"/>
        <v>489.72085439698725</v>
      </c>
      <c r="E70" s="56">
        <f t="shared" si="16"/>
        <v>491.72955355366071</v>
      </c>
      <c r="F70" s="56">
        <f t="shared" si="16"/>
        <v>560.82880454322742</v>
      </c>
      <c r="G70" s="56">
        <f t="shared" si="16"/>
        <v>590.75842197766178</v>
      </c>
      <c r="H70" s="56">
        <f t="shared" si="16"/>
        <v>612.05063303840041</v>
      </c>
      <c r="I70" s="56">
        <f t="shared" si="16"/>
        <v>677.1324857146202</v>
      </c>
      <c r="J70" s="56">
        <f t="shared" si="16"/>
        <v>647.20286828018573</v>
      </c>
      <c r="K70" s="56">
        <f t="shared" si="16"/>
        <v>682.95771326897318</v>
      </c>
      <c r="L70" s="56">
        <f t="shared" si="16"/>
        <v>674.11943697960999</v>
      </c>
      <c r="M70" s="56">
        <f t="shared" si="16"/>
        <v>687.77859124498946</v>
      </c>
      <c r="N70" s="56">
        <f t="shared" si="16"/>
        <v>732.77345235447478</v>
      </c>
      <c r="O70" s="56">
        <f t="shared" si="16"/>
        <v>752.65957400554191</v>
      </c>
      <c r="P70" s="56">
        <f t="shared" si="16"/>
        <v>770.73786641560298</v>
      </c>
      <c r="Q70" s="56">
        <f t="shared" si="16"/>
        <v>774.95613464461724</v>
      </c>
      <c r="R70" s="56">
        <f t="shared" si="16"/>
        <v>754.66827316221531</v>
      </c>
      <c r="S70" s="56">
        <f t="shared" si="16"/>
        <v>752.65957400554191</v>
      </c>
    </row>
    <row r="71" spans="1:19">
      <c r="A71">
        <v>48</v>
      </c>
      <c r="B71">
        <v>0.19351777373831291</v>
      </c>
      <c r="C71" s="56">
        <f t="shared" si="17"/>
        <v>435.60850868494236</v>
      </c>
      <c r="D71" s="56">
        <f t="shared" si="16"/>
        <v>471.79633237400691</v>
      </c>
      <c r="E71" s="56">
        <f t="shared" si="16"/>
        <v>473.73151011139004</v>
      </c>
      <c r="F71" s="56">
        <f t="shared" si="16"/>
        <v>540.30162427736968</v>
      </c>
      <c r="G71" s="56">
        <f t="shared" si="16"/>
        <v>569.13577256437827</v>
      </c>
      <c r="H71" s="56">
        <f t="shared" si="16"/>
        <v>589.64865658063945</v>
      </c>
      <c r="I71" s="56">
        <f t="shared" si="16"/>
        <v>652.34841527185279</v>
      </c>
      <c r="J71" s="56">
        <f t="shared" si="16"/>
        <v>623.5142669848442</v>
      </c>
      <c r="K71" s="56">
        <f t="shared" si="16"/>
        <v>657.96043071026395</v>
      </c>
      <c r="L71" s="56">
        <f t="shared" si="16"/>
        <v>649.44564866577809</v>
      </c>
      <c r="M71" s="56">
        <f t="shared" si="16"/>
        <v>662.60485727998343</v>
      </c>
      <c r="N71" s="56">
        <f t="shared" si="16"/>
        <v>705.95283859736548</v>
      </c>
      <c r="O71" s="56">
        <f t="shared" si="16"/>
        <v>725.11109819745855</v>
      </c>
      <c r="P71" s="56">
        <f t="shared" si="16"/>
        <v>742.5276978339067</v>
      </c>
      <c r="Q71" s="56">
        <f t="shared" si="16"/>
        <v>746.59157108241118</v>
      </c>
      <c r="R71" s="56">
        <f t="shared" si="16"/>
        <v>727.04627593484167</v>
      </c>
      <c r="S71" s="56">
        <f t="shared" si="16"/>
        <v>725.11109819745855</v>
      </c>
    </row>
    <row r="72" spans="1:19">
      <c r="A72">
        <v>49</v>
      </c>
      <c r="B72">
        <v>0.18541143733413157</v>
      </c>
      <c r="C72" s="56">
        <f t="shared" si="17"/>
        <v>417.36114543913015</v>
      </c>
      <c r="D72" s="56">
        <f t="shared" si="16"/>
        <v>452.03308422061275</v>
      </c>
      <c r="E72" s="56">
        <f t="shared" si="16"/>
        <v>453.88719859395405</v>
      </c>
      <c r="F72" s="56">
        <f t="shared" si="16"/>
        <v>517.66873303689533</v>
      </c>
      <c r="G72" s="56">
        <f t="shared" si="16"/>
        <v>545.29503719968091</v>
      </c>
      <c r="H72" s="56">
        <f t="shared" si="16"/>
        <v>564.94864955709886</v>
      </c>
      <c r="I72" s="56">
        <f t="shared" si="16"/>
        <v>625.02195525335753</v>
      </c>
      <c r="J72" s="56">
        <f t="shared" si="16"/>
        <v>597.39565109057196</v>
      </c>
      <c r="K72" s="56">
        <f t="shared" si="16"/>
        <v>630.39888693604735</v>
      </c>
      <c r="L72" s="56">
        <f t="shared" si="16"/>
        <v>622.24078369334552</v>
      </c>
      <c r="M72" s="56">
        <f t="shared" si="16"/>
        <v>634.84876143206645</v>
      </c>
      <c r="N72" s="56">
        <f t="shared" si="16"/>
        <v>676.38092339491197</v>
      </c>
      <c r="O72" s="56">
        <f t="shared" si="16"/>
        <v>694.73665569099103</v>
      </c>
      <c r="P72" s="56">
        <f t="shared" si="16"/>
        <v>711.42368505106288</v>
      </c>
      <c r="Q72" s="56">
        <f t="shared" si="16"/>
        <v>715.31732523507958</v>
      </c>
      <c r="R72" s="56">
        <f t="shared" si="16"/>
        <v>696.59077006433233</v>
      </c>
      <c r="S72" s="56">
        <f t="shared" si="16"/>
        <v>694.73665569099103</v>
      </c>
    </row>
    <row r="73" spans="1:19">
      <c r="A73">
        <v>50</v>
      </c>
      <c r="B73">
        <v>0.22032343647095243</v>
      </c>
      <c r="C73" s="56">
        <f>+$B73*C$12</f>
        <v>579.67096135507586</v>
      </c>
      <c r="D73" s="56">
        <f t="shared" ref="D73:S77" si="18">+$B73*D$12</f>
        <v>587.82292850450108</v>
      </c>
      <c r="E73" s="56">
        <f t="shared" si="18"/>
        <v>599.50007063746159</v>
      </c>
      <c r="F73" s="56">
        <f t="shared" si="18"/>
        <v>645.98831573283246</v>
      </c>
      <c r="G73" s="56">
        <f t="shared" si="18"/>
        <v>677.9352140211206</v>
      </c>
      <c r="H73" s="56">
        <f t="shared" si="18"/>
        <v>727.28766379061392</v>
      </c>
      <c r="I73" s="56">
        <f t="shared" si="18"/>
        <v>798.45213377073162</v>
      </c>
      <c r="J73" s="56">
        <f t="shared" si="18"/>
        <v>804.40086655544735</v>
      </c>
      <c r="K73" s="56">
        <f t="shared" si="18"/>
        <v>838.11035233550308</v>
      </c>
      <c r="L73" s="56">
        <f t="shared" si="18"/>
        <v>860.5833428555402</v>
      </c>
      <c r="M73" s="56">
        <f t="shared" si="18"/>
        <v>887.24247866852545</v>
      </c>
      <c r="N73" s="56">
        <f t="shared" si="18"/>
        <v>933.95104720036738</v>
      </c>
      <c r="O73" s="56">
        <f t="shared" si="18"/>
        <v>961.93212363217833</v>
      </c>
      <c r="P73" s="56">
        <f t="shared" si="18"/>
        <v>1010.1829562193169</v>
      </c>
      <c r="Q73" s="56">
        <f t="shared" si="18"/>
        <v>1041.9095310711341</v>
      </c>
      <c r="R73" s="56">
        <f t="shared" si="18"/>
        <v>1032.655946739354</v>
      </c>
      <c r="S73" s="56">
        <f t="shared" si="18"/>
        <v>1058.4337888064554</v>
      </c>
    </row>
    <row r="74" spans="1:19">
      <c r="A74">
        <v>51</v>
      </c>
      <c r="B74">
        <v>0.21057962192337498</v>
      </c>
      <c r="C74" s="56">
        <f t="shared" ref="C74:R77" si="19">+$B74*C$12</f>
        <v>554.03498528039961</v>
      </c>
      <c r="D74" s="56">
        <f t="shared" si="19"/>
        <v>561.8264312915644</v>
      </c>
      <c r="E74" s="56">
        <f t="shared" si="19"/>
        <v>572.98715125350327</v>
      </c>
      <c r="F74" s="56">
        <f t="shared" si="19"/>
        <v>617.41945147933541</v>
      </c>
      <c r="G74" s="56">
        <f t="shared" si="19"/>
        <v>647.95349665822482</v>
      </c>
      <c r="H74" s="56">
        <f t="shared" si="19"/>
        <v>695.12333196906081</v>
      </c>
      <c r="I74" s="56">
        <f t="shared" si="19"/>
        <v>763.14054985031089</v>
      </c>
      <c r="J74" s="56">
        <f t="shared" si="19"/>
        <v>768.82619964224205</v>
      </c>
      <c r="K74" s="56">
        <f t="shared" si="19"/>
        <v>801.04488179651844</v>
      </c>
      <c r="L74" s="56">
        <f t="shared" si="19"/>
        <v>822.52400323270263</v>
      </c>
      <c r="M74" s="56">
        <f t="shared" si="19"/>
        <v>848.0041374854311</v>
      </c>
      <c r="N74" s="56">
        <f t="shared" si="19"/>
        <v>892.64701733318657</v>
      </c>
      <c r="O74" s="56">
        <f t="shared" si="19"/>
        <v>919.39062931745514</v>
      </c>
      <c r="P74" s="56">
        <f t="shared" si="19"/>
        <v>965.50756651867425</v>
      </c>
      <c r="Q74" s="56">
        <f t="shared" si="19"/>
        <v>995.83103207564034</v>
      </c>
      <c r="R74" s="56">
        <f t="shared" si="19"/>
        <v>986.98668795485855</v>
      </c>
      <c r="S74" s="56">
        <f t="shared" si="18"/>
        <v>1011.6245037198934</v>
      </c>
    </row>
    <row r="75" spans="1:19">
      <c r="A75">
        <v>52</v>
      </c>
      <c r="B75">
        <v>0.20042340925475399</v>
      </c>
      <c r="C75" s="56">
        <f t="shared" si="19"/>
        <v>527.31398974925776</v>
      </c>
      <c r="D75" s="56">
        <f t="shared" si="18"/>
        <v>534.72965589168371</v>
      </c>
      <c r="E75" s="56">
        <f t="shared" si="18"/>
        <v>545.3520965821856</v>
      </c>
      <c r="F75" s="56">
        <f t="shared" si="18"/>
        <v>587.64143593493873</v>
      </c>
      <c r="G75" s="56">
        <f t="shared" si="18"/>
        <v>616.70283027687799</v>
      </c>
      <c r="H75" s="56">
        <f t="shared" si="18"/>
        <v>661.59767394994287</v>
      </c>
      <c r="I75" s="56">
        <f t="shared" si="18"/>
        <v>726.3344351392285</v>
      </c>
      <c r="J75" s="56">
        <f t="shared" si="18"/>
        <v>731.74586718910678</v>
      </c>
      <c r="K75" s="56">
        <f t="shared" si="18"/>
        <v>762.41064880508418</v>
      </c>
      <c r="L75" s="56">
        <f t="shared" si="18"/>
        <v>782.85383654906911</v>
      </c>
      <c r="M75" s="56">
        <f t="shared" si="18"/>
        <v>807.1050690688943</v>
      </c>
      <c r="N75" s="56">
        <f t="shared" si="18"/>
        <v>849.59483183090219</v>
      </c>
      <c r="O75" s="56">
        <f t="shared" si="18"/>
        <v>875.04860480625598</v>
      </c>
      <c r="P75" s="56">
        <f t="shared" si="18"/>
        <v>918.94133143304703</v>
      </c>
      <c r="Q75" s="56">
        <f t="shared" si="18"/>
        <v>947.80230236573163</v>
      </c>
      <c r="R75" s="56">
        <f t="shared" si="18"/>
        <v>939.38451917703196</v>
      </c>
      <c r="S75" s="56">
        <f t="shared" si="18"/>
        <v>962.83405805983818</v>
      </c>
    </row>
    <row r="76" spans="1:19">
      <c r="A76">
        <v>53</v>
      </c>
      <c r="B76">
        <v>0.18978208343115235</v>
      </c>
      <c r="C76" s="56">
        <f t="shared" si="19"/>
        <v>499.31666150736186</v>
      </c>
      <c r="D76" s="56">
        <f t="shared" si="18"/>
        <v>506.33859859431448</v>
      </c>
      <c r="E76" s="56">
        <f t="shared" si="18"/>
        <v>516.39704901616551</v>
      </c>
      <c r="F76" s="56">
        <f t="shared" si="18"/>
        <v>556.44106862013871</v>
      </c>
      <c r="G76" s="56">
        <f t="shared" si="18"/>
        <v>583.95947071765579</v>
      </c>
      <c r="H76" s="56">
        <f t="shared" si="18"/>
        <v>626.47065740623395</v>
      </c>
      <c r="I76" s="56">
        <f t="shared" si="18"/>
        <v>687.77027035449612</v>
      </c>
      <c r="J76" s="56">
        <f t="shared" si="18"/>
        <v>692.89438660713722</v>
      </c>
      <c r="K76" s="56">
        <f t="shared" si="18"/>
        <v>721.93104537210354</v>
      </c>
      <c r="L76" s="56">
        <f t="shared" si="18"/>
        <v>741.28881788208105</v>
      </c>
      <c r="M76" s="56">
        <f t="shared" si="18"/>
        <v>764.25244997725054</v>
      </c>
      <c r="N76" s="56">
        <f t="shared" si="18"/>
        <v>804.48625166465479</v>
      </c>
      <c r="O76" s="56">
        <f t="shared" si="18"/>
        <v>828.58857626041117</v>
      </c>
      <c r="P76" s="56">
        <f t="shared" si="18"/>
        <v>870.15085253183349</v>
      </c>
      <c r="Q76" s="56">
        <f t="shared" si="18"/>
        <v>897.47947254591952</v>
      </c>
      <c r="R76" s="56">
        <f t="shared" si="18"/>
        <v>889.50862504181111</v>
      </c>
      <c r="S76" s="56">
        <f t="shared" si="18"/>
        <v>911.71312880325593</v>
      </c>
    </row>
    <row r="77" spans="1:19">
      <c r="A77">
        <v>54</v>
      </c>
      <c r="B77">
        <v>0.17889144891976624</v>
      </c>
      <c r="C77" s="56">
        <f t="shared" si="19"/>
        <v>470.66340210790497</v>
      </c>
      <c r="D77" s="56">
        <f t="shared" si="18"/>
        <v>477.28238571793634</v>
      </c>
      <c r="E77" s="56">
        <f t="shared" si="18"/>
        <v>486.76363251068398</v>
      </c>
      <c r="F77" s="56">
        <f t="shared" si="18"/>
        <v>524.50972823275458</v>
      </c>
      <c r="G77" s="56">
        <f t="shared" si="18"/>
        <v>550.44898832612068</v>
      </c>
      <c r="H77" s="56">
        <f t="shared" si="18"/>
        <v>590.52067288414833</v>
      </c>
      <c r="I77" s="56">
        <f t="shared" si="18"/>
        <v>648.30261088523287</v>
      </c>
      <c r="J77" s="56">
        <f t="shared" si="18"/>
        <v>653.13268000606661</v>
      </c>
      <c r="K77" s="56">
        <f t="shared" si="18"/>
        <v>680.50307169079076</v>
      </c>
      <c r="L77" s="56">
        <f t="shared" si="18"/>
        <v>698.7499994806069</v>
      </c>
      <c r="M77" s="56">
        <f t="shared" si="18"/>
        <v>720.39586479989862</v>
      </c>
      <c r="N77" s="56">
        <f t="shared" si="18"/>
        <v>758.32085197088907</v>
      </c>
      <c r="O77" s="56">
        <f t="shared" si="18"/>
        <v>781.04006598369938</v>
      </c>
      <c r="P77" s="56">
        <f t="shared" si="18"/>
        <v>820.21729329712821</v>
      </c>
      <c r="Q77" s="56">
        <f t="shared" si="18"/>
        <v>845.97766194157452</v>
      </c>
      <c r="R77" s="56">
        <f t="shared" si="18"/>
        <v>838.46422108694435</v>
      </c>
      <c r="S77" s="56">
        <f t="shared" si="18"/>
        <v>859.39452061055704</v>
      </c>
    </row>
    <row r="78" spans="1:19">
      <c r="A78">
        <v>55</v>
      </c>
      <c r="B78">
        <v>0.22609613556288799</v>
      </c>
      <c r="C78" s="56">
        <f>+$B78*C$13</f>
        <v>702.25459705833009</v>
      </c>
      <c r="D78" s="56">
        <f t="shared" ref="D78:S82" si="20">+$B78*D$13</f>
        <v>723.28153766567868</v>
      </c>
      <c r="E78" s="56">
        <f t="shared" si="20"/>
        <v>711.52453861640845</v>
      </c>
      <c r="F78" s="56">
        <f t="shared" si="20"/>
        <v>776.64022565852019</v>
      </c>
      <c r="G78" s="56">
        <f t="shared" si="20"/>
        <v>772.11830294726246</v>
      </c>
      <c r="H78" s="56">
        <f t="shared" si="20"/>
        <v>775.96193725183161</v>
      </c>
      <c r="I78" s="56">
        <f t="shared" si="20"/>
        <v>825.70308707566699</v>
      </c>
      <c r="J78" s="56">
        <f t="shared" si="20"/>
        <v>850.34756585202172</v>
      </c>
      <c r="K78" s="56">
        <f t="shared" si="20"/>
        <v>920.21127174095409</v>
      </c>
      <c r="L78" s="56">
        <f t="shared" si="20"/>
        <v>943.49917370393155</v>
      </c>
      <c r="M78" s="56">
        <f t="shared" si="20"/>
        <v>984.87476651194004</v>
      </c>
      <c r="N78" s="56">
        <f t="shared" si="20"/>
        <v>1069.4347212124601</v>
      </c>
      <c r="O78" s="56">
        <f t="shared" si="20"/>
        <v>1121.2107362563615</v>
      </c>
      <c r="P78" s="56">
        <f t="shared" si="20"/>
        <v>1193.5614996364857</v>
      </c>
      <c r="Q78" s="56">
        <f t="shared" si="20"/>
        <v>1248.9550528493933</v>
      </c>
      <c r="R78" s="56">
        <f t="shared" si="20"/>
        <v>1247.3723799004531</v>
      </c>
      <c r="S78" s="56">
        <f t="shared" si="20"/>
        <v>1325.1494505340866</v>
      </c>
    </row>
    <row r="79" spans="1:19">
      <c r="A79">
        <v>56</v>
      </c>
      <c r="B79">
        <v>0.21195123315250824</v>
      </c>
      <c r="C79" s="56">
        <f t="shared" ref="C79:R82" si="21">+$B79*C$13</f>
        <v>658.32053017169062</v>
      </c>
      <c r="D79" s="56">
        <f t="shared" si="21"/>
        <v>678.03199485487391</v>
      </c>
      <c r="E79" s="56">
        <f t="shared" si="21"/>
        <v>667.0105307309434</v>
      </c>
      <c r="F79" s="56">
        <f t="shared" si="21"/>
        <v>728.05248587886581</v>
      </c>
      <c r="G79" s="56">
        <f t="shared" si="21"/>
        <v>723.81346121581566</v>
      </c>
      <c r="H79" s="56">
        <f t="shared" si="21"/>
        <v>727.41663217940834</v>
      </c>
      <c r="I79" s="56">
        <f t="shared" si="21"/>
        <v>774.04590347296016</v>
      </c>
      <c r="J79" s="56">
        <f t="shared" si="21"/>
        <v>797.14858788658353</v>
      </c>
      <c r="K79" s="56">
        <f t="shared" si="21"/>
        <v>862.64151893070857</v>
      </c>
      <c r="L79" s="56">
        <f t="shared" si="21"/>
        <v>884.47249594541688</v>
      </c>
      <c r="M79" s="56">
        <f t="shared" si="21"/>
        <v>923.25957161232589</v>
      </c>
      <c r="N79" s="56">
        <f t="shared" si="21"/>
        <v>1002.529332811364</v>
      </c>
      <c r="O79" s="56">
        <f t="shared" si="21"/>
        <v>1051.0661652032884</v>
      </c>
      <c r="P79" s="56">
        <f t="shared" si="21"/>
        <v>1118.8905598120909</v>
      </c>
      <c r="Q79" s="56">
        <f t="shared" si="21"/>
        <v>1170.8186119344555</v>
      </c>
      <c r="R79" s="56">
        <f t="shared" si="21"/>
        <v>1169.3349533023879</v>
      </c>
      <c r="S79" s="56">
        <f t="shared" si="20"/>
        <v>1242.2461775068509</v>
      </c>
    </row>
    <row r="80" spans="1:19">
      <c r="A80">
        <v>57</v>
      </c>
      <c r="B80">
        <v>0.19878082881270623</v>
      </c>
      <c r="C80" s="56">
        <f t="shared" si="21"/>
        <v>617.41325429226549</v>
      </c>
      <c r="D80" s="56">
        <f t="shared" si="20"/>
        <v>635.89987137184721</v>
      </c>
      <c r="E80" s="56">
        <f t="shared" si="20"/>
        <v>625.56326827358646</v>
      </c>
      <c r="F80" s="56">
        <f t="shared" si="20"/>
        <v>682.81214697164592</v>
      </c>
      <c r="G80" s="56">
        <f t="shared" si="20"/>
        <v>678.83653039539172</v>
      </c>
      <c r="H80" s="56">
        <f t="shared" si="20"/>
        <v>682.21580448520774</v>
      </c>
      <c r="I80" s="56">
        <f t="shared" si="20"/>
        <v>725.94758682400311</v>
      </c>
      <c r="J80" s="56">
        <f t="shared" si="20"/>
        <v>747.61469716458816</v>
      </c>
      <c r="K80" s="56">
        <f t="shared" si="20"/>
        <v>809.03797326771439</v>
      </c>
      <c r="L80" s="56">
        <f t="shared" si="20"/>
        <v>829.5123986354231</v>
      </c>
      <c r="M80" s="56">
        <f t="shared" si="20"/>
        <v>865.88929030814836</v>
      </c>
      <c r="N80" s="56">
        <f t="shared" si="20"/>
        <v>940.2333202841005</v>
      </c>
      <c r="O80" s="56">
        <f t="shared" si="20"/>
        <v>985.75413008221017</v>
      </c>
      <c r="P80" s="56">
        <f t="shared" si="20"/>
        <v>1049.3639953022762</v>
      </c>
      <c r="Q80" s="56">
        <f t="shared" si="20"/>
        <v>1098.0652983613893</v>
      </c>
      <c r="R80" s="56">
        <f t="shared" si="20"/>
        <v>1096.6738325597003</v>
      </c>
      <c r="S80" s="56">
        <f t="shared" si="20"/>
        <v>1165.0544376712712</v>
      </c>
    </row>
    <row r="81" spans="1:19">
      <c r="A81">
        <v>58</v>
      </c>
      <c r="B81">
        <v>0.18692746490688442</v>
      </c>
      <c r="C81" s="56">
        <f t="shared" si="21"/>
        <v>580.596706000783</v>
      </c>
      <c r="D81" s="56">
        <f t="shared" si="20"/>
        <v>597.98096023712321</v>
      </c>
      <c r="E81" s="56">
        <f t="shared" si="20"/>
        <v>588.26073206196531</v>
      </c>
      <c r="F81" s="56">
        <f t="shared" si="20"/>
        <v>642.09584195514799</v>
      </c>
      <c r="G81" s="56">
        <f t="shared" si="20"/>
        <v>638.35729265701025</v>
      </c>
      <c r="H81" s="56">
        <f t="shared" si="20"/>
        <v>641.53505956042727</v>
      </c>
      <c r="I81" s="56">
        <f t="shared" si="20"/>
        <v>682.65910183994185</v>
      </c>
      <c r="J81" s="56">
        <f t="shared" si="20"/>
        <v>703.03419551479226</v>
      </c>
      <c r="K81" s="56">
        <f t="shared" si="20"/>
        <v>760.79478217101962</v>
      </c>
      <c r="L81" s="56">
        <f t="shared" si="20"/>
        <v>780.0483110564287</v>
      </c>
      <c r="M81" s="56">
        <f t="shared" si="20"/>
        <v>814.25603713438852</v>
      </c>
      <c r="N81" s="56">
        <f t="shared" si="20"/>
        <v>884.16690900956326</v>
      </c>
      <c r="O81" s="56">
        <f t="shared" si="20"/>
        <v>926.97329847323977</v>
      </c>
      <c r="P81" s="56">
        <f t="shared" si="20"/>
        <v>986.79008724344283</v>
      </c>
      <c r="Q81" s="56">
        <f t="shared" si="20"/>
        <v>1032.5873161456295</v>
      </c>
      <c r="R81" s="56">
        <f t="shared" si="20"/>
        <v>1031.2788238912813</v>
      </c>
      <c r="S81" s="56">
        <f t="shared" si="20"/>
        <v>1095.5818718192495</v>
      </c>
    </row>
    <row r="82" spans="1:19">
      <c r="A82">
        <v>59</v>
      </c>
      <c r="B82">
        <v>0.17624433756501315</v>
      </c>
      <c r="C82" s="56">
        <f t="shared" si="21"/>
        <v>547.41491247693079</v>
      </c>
      <c r="D82" s="56">
        <f t="shared" si="20"/>
        <v>563.80563587047709</v>
      </c>
      <c r="E82" s="56">
        <f t="shared" si="20"/>
        <v>554.64093031709638</v>
      </c>
      <c r="F82" s="56">
        <f t="shared" si="20"/>
        <v>605.39929953582021</v>
      </c>
      <c r="G82" s="56">
        <f t="shared" si="20"/>
        <v>601.8744127845199</v>
      </c>
      <c r="H82" s="56">
        <f t="shared" si="20"/>
        <v>604.87056652312515</v>
      </c>
      <c r="I82" s="56">
        <f t="shared" si="20"/>
        <v>643.644320787428</v>
      </c>
      <c r="J82" s="56">
        <f t="shared" si="20"/>
        <v>662.85495358201445</v>
      </c>
      <c r="K82" s="56">
        <f t="shared" si="20"/>
        <v>717.31445388960356</v>
      </c>
      <c r="L82" s="56">
        <f t="shared" si="20"/>
        <v>735.46762065879989</v>
      </c>
      <c r="M82" s="56">
        <f t="shared" si="20"/>
        <v>767.72033443319731</v>
      </c>
      <c r="N82" s="56">
        <f t="shared" si="20"/>
        <v>833.63571668251222</v>
      </c>
      <c r="O82" s="56">
        <f t="shared" si="20"/>
        <v>873.99566998490025</v>
      </c>
      <c r="P82" s="56">
        <f t="shared" si="20"/>
        <v>930.39385800570437</v>
      </c>
      <c r="Q82" s="56">
        <f t="shared" si="20"/>
        <v>973.57372070913266</v>
      </c>
      <c r="R82" s="56">
        <f t="shared" si="20"/>
        <v>972.34001034617756</v>
      </c>
      <c r="S82" s="56">
        <f t="shared" si="20"/>
        <v>1032.968062468542</v>
      </c>
    </row>
    <row r="83" spans="1:19">
      <c r="A83">
        <v>60</v>
      </c>
      <c r="B83">
        <v>0.22289409953629827</v>
      </c>
      <c r="C83" s="56">
        <f>+$B83*C$14</f>
        <v>882.66063416374118</v>
      </c>
      <c r="D83" s="56">
        <f t="shared" ref="D83:S87" si="22">+$B83*D$14</f>
        <v>871.5159291869262</v>
      </c>
      <c r="E83" s="56">
        <f t="shared" si="22"/>
        <v>861.2628006082565</v>
      </c>
      <c r="F83" s="56">
        <f t="shared" si="22"/>
        <v>908.29345561041544</v>
      </c>
      <c r="G83" s="56">
        <f t="shared" si="22"/>
        <v>951.75780501999361</v>
      </c>
      <c r="H83" s="56">
        <f t="shared" si="22"/>
        <v>911.63686710345996</v>
      </c>
      <c r="I83" s="56">
        <f t="shared" si="22"/>
        <v>953.98674601535663</v>
      </c>
      <c r="J83" s="56">
        <f t="shared" si="22"/>
        <v>905.3958323164436</v>
      </c>
      <c r="K83" s="56">
        <f t="shared" si="22"/>
        <v>1019.5176112790283</v>
      </c>
      <c r="L83" s="56">
        <f t="shared" si="22"/>
        <v>1005.4752830082415</v>
      </c>
      <c r="M83" s="56">
        <f t="shared" si="22"/>
        <v>1035.5659864456418</v>
      </c>
      <c r="N83" s="56">
        <f t="shared" si="22"/>
        <v>1043.8130681284847</v>
      </c>
      <c r="O83" s="56">
        <f t="shared" si="22"/>
        <v>1135.4225430379033</v>
      </c>
      <c r="P83" s="56">
        <f t="shared" si="22"/>
        <v>1198.5015732066759</v>
      </c>
      <c r="Q83" s="56">
        <f t="shared" si="22"/>
        <v>1262.2492856740571</v>
      </c>
      <c r="R83" s="56">
        <f t="shared" si="22"/>
        <v>1347.1719375973867</v>
      </c>
      <c r="S83" s="56">
        <f t="shared" si="22"/>
        <v>1437.6669420091239</v>
      </c>
    </row>
    <row r="84" spans="1:19">
      <c r="A84">
        <v>61</v>
      </c>
      <c r="B84">
        <v>0.20974336831434096</v>
      </c>
      <c r="C84" s="56">
        <f t="shared" ref="C84:R87" si="23">+$B84*C$14</f>
        <v>830.58373852479019</v>
      </c>
      <c r="D84" s="56">
        <f t="shared" si="23"/>
        <v>820.09657010907313</v>
      </c>
      <c r="E84" s="56">
        <f t="shared" si="23"/>
        <v>810.44837516661346</v>
      </c>
      <c r="F84" s="56">
        <f t="shared" si="23"/>
        <v>854.70422588093936</v>
      </c>
      <c r="G84" s="56">
        <f t="shared" si="23"/>
        <v>895.6041827022359</v>
      </c>
      <c r="H84" s="56">
        <f t="shared" si="23"/>
        <v>857.85037640565452</v>
      </c>
      <c r="I84" s="56">
        <f t="shared" si="23"/>
        <v>897.70161638537934</v>
      </c>
      <c r="J84" s="56">
        <f t="shared" si="23"/>
        <v>851.97756209285296</v>
      </c>
      <c r="K84" s="56">
        <f t="shared" si="23"/>
        <v>959.36616666979558</v>
      </c>
      <c r="L84" s="56">
        <f t="shared" si="23"/>
        <v>946.152334465992</v>
      </c>
      <c r="M84" s="56">
        <f t="shared" si="23"/>
        <v>974.46768918842804</v>
      </c>
      <c r="N84" s="56">
        <f t="shared" si="23"/>
        <v>982.22819381605871</v>
      </c>
      <c r="O84" s="56">
        <f t="shared" si="23"/>
        <v>1068.4327181932529</v>
      </c>
      <c r="P84" s="56">
        <f t="shared" si="23"/>
        <v>1127.7900914262113</v>
      </c>
      <c r="Q84" s="56">
        <f t="shared" si="23"/>
        <v>1187.7766947641128</v>
      </c>
      <c r="R84" s="56">
        <f t="shared" si="23"/>
        <v>1267.6889180918768</v>
      </c>
      <c r="S84" s="56">
        <f t="shared" si="22"/>
        <v>1352.8447256274992</v>
      </c>
    </row>
    <row r="85" spans="1:19">
      <c r="A85">
        <v>62</v>
      </c>
      <c r="B85">
        <v>0.19823905983066439</v>
      </c>
      <c r="C85" s="56">
        <f t="shared" si="23"/>
        <v>785.02667692943101</v>
      </c>
      <c r="D85" s="56">
        <f t="shared" si="22"/>
        <v>775.11472393789779</v>
      </c>
      <c r="E85" s="56">
        <f t="shared" si="22"/>
        <v>765.9957271856872</v>
      </c>
      <c r="F85" s="56">
        <f t="shared" si="22"/>
        <v>807.82416880995743</v>
      </c>
      <c r="G85" s="56">
        <f t="shared" si="22"/>
        <v>846.48078547693694</v>
      </c>
      <c r="H85" s="56">
        <f t="shared" si="22"/>
        <v>810.79775470741743</v>
      </c>
      <c r="I85" s="56">
        <f t="shared" si="22"/>
        <v>848.46317607524361</v>
      </c>
      <c r="J85" s="56">
        <f t="shared" si="22"/>
        <v>805.24706103215874</v>
      </c>
      <c r="K85" s="56">
        <f t="shared" si="22"/>
        <v>906.74545966545895</v>
      </c>
      <c r="L85" s="56">
        <f t="shared" si="22"/>
        <v>894.25639889612705</v>
      </c>
      <c r="M85" s="56">
        <f t="shared" si="22"/>
        <v>921.01867197326681</v>
      </c>
      <c r="N85" s="56">
        <f t="shared" si="22"/>
        <v>928.35351718700133</v>
      </c>
      <c r="O85" s="56">
        <f t="shared" si="22"/>
        <v>1009.8297707774044</v>
      </c>
      <c r="P85" s="56">
        <f t="shared" si="22"/>
        <v>1065.9314247094824</v>
      </c>
      <c r="Q85" s="56">
        <f t="shared" si="22"/>
        <v>1122.6277958210524</v>
      </c>
      <c r="R85" s="56">
        <f t="shared" si="22"/>
        <v>1198.1568776165357</v>
      </c>
      <c r="S85" s="56">
        <f t="shared" si="22"/>
        <v>1278.6419359077854</v>
      </c>
    </row>
    <row r="86" spans="1:19">
      <c r="A86">
        <v>63</v>
      </c>
      <c r="B86">
        <v>0.18862710496179624</v>
      </c>
      <c r="C86" s="56">
        <f t="shared" si="23"/>
        <v>746.96333564871316</v>
      </c>
      <c r="D86" s="56">
        <f t="shared" si="22"/>
        <v>737.5319804006233</v>
      </c>
      <c r="E86" s="56">
        <f t="shared" si="22"/>
        <v>728.85513357238074</v>
      </c>
      <c r="F86" s="56">
        <f t="shared" si="22"/>
        <v>768.65545271931967</v>
      </c>
      <c r="G86" s="56">
        <f t="shared" si="22"/>
        <v>805.43773818686998</v>
      </c>
      <c r="H86" s="56">
        <f t="shared" si="22"/>
        <v>771.48485929374658</v>
      </c>
      <c r="I86" s="56">
        <f t="shared" si="22"/>
        <v>807.32400923648788</v>
      </c>
      <c r="J86" s="56">
        <f t="shared" si="22"/>
        <v>766.20330035481629</v>
      </c>
      <c r="K86" s="56">
        <f t="shared" si="22"/>
        <v>862.78037809525597</v>
      </c>
      <c r="L86" s="56">
        <f t="shared" si="22"/>
        <v>850.89687048266285</v>
      </c>
      <c r="M86" s="56">
        <f t="shared" si="22"/>
        <v>876.3615296525054</v>
      </c>
      <c r="N86" s="56">
        <f t="shared" si="22"/>
        <v>883.34073253609176</v>
      </c>
      <c r="O86" s="56">
        <f t="shared" si="22"/>
        <v>960.86647267539001</v>
      </c>
      <c r="P86" s="56">
        <f t="shared" si="22"/>
        <v>1014.2479433795784</v>
      </c>
      <c r="Q86" s="56">
        <f t="shared" si="22"/>
        <v>1068.1952953986522</v>
      </c>
      <c r="R86" s="56">
        <f t="shared" si="22"/>
        <v>1140.0622223890964</v>
      </c>
      <c r="S86" s="56">
        <f t="shared" si="22"/>
        <v>1216.6448270035858</v>
      </c>
    </row>
    <row r="87" spans="1:19">
      <c r="A87">
        <v>64</v>
      </c>
      <c r="B87">
        <v>0.18049636735690014</v>
      </c>
      <c r="C87" s="56">
        <f t="shared" si="23"/>
        <v>714.76561473332458</v>
      </c>
      <c r="D87" s="56">
        <f t="shared" si="22"/>
        <v>705.74079636547958</v>
      </c>
      <c r="E87" s="56">
        <f t="shared" si="22"/>
        <v>697.4379634670621</v>
      </c>
      <c r="F87" s="56">
        <f t="shared" si="22"/>
        <v>735.52269697936811</v>
      </c>
      <c r="G87" s="56">
        <f t="shared" si="22"/>
        <v>770.71948861396356</v>
      </c>
      <c r="H87" s="56">
        <f t="shared" si="22"/>
        <v>738.23014248972152</v>
      </c>
      <c r="I87" s="56">
        <f t="shared" si="22"/>
        <v>772.52445228753254</v>
      </c>
      <c r="J87" s="56">
        <f t="shared" si="22"/>
        <v>733.1762442037284</v>
      </c>
      <c r="K87" s="56">
        <f t="shared" si="22"/>
        <v>825.5903842904612</v>
      </c>
      <c r="L87" s="56">
        <f t="shared" si="22"/>
        <v>814.2191131469765</v>
      </c>
      <c r="M87" s="56">
        <f t="shared" si="22"/>
        <v>838.58612274015809</v>
      </c>
      <c r="N87" s="56">
        <f t="shared" si="22"/>
        <v>845.26448833236338</v>
      </c>
      <c r="O87" s="56">
        <f t="shared" si="22"/>
        <v>919.44849531604928</v>
      </c>
      <c r="P87" s="56">
        <f t="shared" si="22"/>
        <v>970.52896727805205</v>
      </c>
      <c r="Q87" s="56">
        <f t="shared" si="22"/>
        <v>1022.1509283421254</v>
      </c>
      <c r="R87" s="56">
        <f t="shared" si="22"/>
        <v>1090.9200443051045</v>
      </c>
      <c r="S87" s="56">
        <f t="shared" si="22"/>
        <v>1164.201569452006</v>
      </c>
    </row>
    <row r="88" spans="1:19">
      <c r="A88">
        <v>65</v>
      </c>
      <c r="B88">
        <v>0.21794992959144135</v>
      </c>
      <c r="C88" s="56">
        <f>+$B88*C$15</f>
        <v>968.78743703395685</v>
      </c>
      <c r="D88" s="56">
        <f t="shared" ref="D88:S92" si="24">+$B88*D$15</f>
        <v>1044.8519624613698</v>
      </c>
      <c r="E88" s="56">
        <f t="shared" si="24"/>
        <v>1011.9415230930622</v>
      </c>
      <c r="F88" s="56">
        <f t="shared" si="24"/>
        <v>1054.6597092929846</v>
      </c>
      <c r="G88" s="56">
        <f t="shared" si="24"/>
        <v>1084.5188496470121</v>
      </c>
      <c r="H88" s="56">
        <f t="shared" si="24"/>
        <v>1031.9929166154748</v>
      </c>
      <c r="I88" s="56">
        <f t="shared" si="24"/>
        <v>1081.4675506327319</v>
      </c>
      <c r="J88" s="56">
        <f t="shared" si="24"/>
        <v>1029.8134173195604</v>
      </c>
      <c r="K88" s="56">
        <f t="shared" si="24"/>
        <v>1149.2499787356703</v>
      </c>
      <c r="L88" s="56">
        <f t="shared" si="24"/>
        <v>1103.2625435918762</v>
      </c>
      <c r="M88" s="56">
        <f t="shared" si="24"/>
        <v>1120.2626381000086</v>
      </c>
      <c r="N88" s="56">
        <f t="shared" si="24"/>
        <v>1146.1986797213901</v>
      </c>
      <c r="O88" s="56">
        <f t="shared" si="24"/>
        <v>1214.8529075426941</v>
      </c>
      <c r="P88" s="56">
        <f t="shared" si="24"/>
        <v>1257.789043672208</v>
      </c>
      <c r="Q88" s="56">
        <f t="shared" si="24"/>
        <v>1253.4300450803792</v>
      </c>
      <c r="R88" s="56">
        <f t="shared" si="24"/>
        <v>1290.0456332517415</v>
      </c>
      <c r="S88" s="56">
        <f t="shared" si="24"/>
        <v>1397.9308483995048</v>
      </c>
    </row>
    <row r="89" spans="1:19">
      <c r="A89">
        <v>66</v>
      </c>
      <c r="B89">
        <v>0.20900709756074509</v>
      </c>
      <c r="C89" s="56">
        <f t="shared" ref="C89:R92" si="25">+$B89*C$15</f>
        <v>929.03654865751196</v>
      </c>
      <c r="D89" s="56">
        <f t="shared" si="25"/>
        <v>1001.980025706212</v>
      </c>
      <c r="E89" s="56">
        <f t="shared" si="25"/>
        <v>970.41995397453945</v>
      </c>
      <c r="F89" s="56">
        <f t="shared" si="25"/>
        <v>1011.3853450964455</v>
      </c>
      <c r="G89" s="56">
        <f t="shared" si="25"/>
        <v>1040.0193174622675</v>
      </c>
      <c r="H89" s="56">
        <f t="shared" si="25"/>
        <v>989.64860695012806</v>
      </c>
      <c r="I89" s="56">
        <f t="shared" si="25"/>
        <v>1037.0932180964171</v>
      </c>
      <c r="J89" s="56">
        <f t="shared" si="25"/>
        <v>987.55853597452051</v>
      </c>
      <c r="K89" s="56">
        <f t="shared" si="25"/>
        <v>1102.0944254378089</v>
      </c>
      <c r="L89" s="56">
        <f t="shared" si="25"/>
        <v>1057.9939278524917</v>
      </c>
      <c r="M89" s="56">
        <f t="shared" si="25"/>
        <v>1074.2964814622298</v>
      </c>
      <c r="N89" s="56">
        <f t="shared" si="25"/>
        <v>1099.1683260719585</v>
      </c>
      <c r="O89" s="56">
        <f t="shared" si="25"/>
        <v>1165.0055618035931</v>
      </c>
      <c r="P89" s="56">
        <f t="shared" si="25"/>
        <v>1206.1799600230599</v>
      </c>
      <c r="Q89" s="56">
        <f t="shared" si="25"/>
        <v>1201.9998180718451</v>
      </c>
      <c r="R89" s="56">
        <f t="shared" si="25"/>
        <v>1237.1130104620502</v>
      </c>
      <c r="S89" s="56">
        <f t="shared" si="24"/>
        <v>1340.571523754619</v>
      </c>
    </row>
    <row r="90" spans="1:19">
      <c r="A90">
        <v>67</v>
      </c>
      <c r="B90">
        <v>0.20017767528895861</v>
      </c>
      <c r="C90" s="56">
        <f t="shared" si="25"/>
        <v>889.78976665942105</v>
      </c>
      <c r="D90" s="56">
        <f t="shared" si="24"/>
        <v>959.65177533526753</v>
      </c>
      <c r="E90" s="56">
        <f t="shared" si="24"/>
        <v>929.4249463666348</v>
      </c>
      <c r="F90" s="56">
        <f t="shared" si="24"/>
        <v>968.65977072327064</v>
      </c>
      <c r="G90" s="56">
        <f t="shared" si="24"/>
        <v>996.08411223785799</v>
      </c>
      <c r="H90" s="56">
        <f t="shared" si="24"/>
        <v>947.84129249321904</v>
      </c>
      <c r="I90" s="56">
        <f t="shared" si="24"/>
        <v>993.28162478381262</v>
      </c>
      <c r="J90" s="56">
        <f t="shared" si="24"/>
        <v>945.83951574032938</v>
      </c>
      <c r="K90" s="56">
        <f t="shared" si="24"/>
        <v>1055.5368817986787</v>
      </c>
      <c r="L90" s="56">
        <f t="shared" si="24"/>
        <v>1013.2993923127085</v>
      </c>
      <c r="M90" s="56">
        <f t="shared" si="24"/>
        <v>1028.9132509852473</v>
      </c>
      <c r="N90" s="56">
        <f t="shared" si="24"/>
        <v>1052.7343943446333</v>
      </c>
      <c r="O90" s="56">
        <f t="shared" si="24"/>
        <v>1115.7903620606553</v>
      </c>
      <c r="P90" s="56">
        <f t="shared" si="24"/>
        <v>1155.2253640925801</v>
      </c>
      <c r="Q90" s="56">
        <f t="shared" si="24"/>
        <v>1151.221810586801</v>
      </c>
      <c r="R90" s="56">
        <f t="shared" si="24"/>
        <v>1184.851660035346</v>
      </c>
      <c r="S90" s="56">
        <f t="shared" si="24"/>
        <v>1283.9396093033804</v>
      </c>
    </row>
    <row r="91" spans="1:19">
      <c r="A91">
        <v>68</v>
      </c>
      <c r="B91">
        <v>0.19109308105962519</v>
      </c>
      <c r="C91" s="56">
        <f t="shared" si="25"/>
        <v>849.40874531003396</v>
      </c>
      <c r="D91" s="56">
        <f t="shared" si="24"/>
        <v>916.10023059984314</v>
      </c>
      <c r="E91" s="56">
        <f t="shared" si="24"/>
        <v>887.24517535983978</v>
      </c>
      <c r="F91" s="56">
        <f t="shared" si="24"/>
        <v>924.69941924752629</v>
      </c>
      <c r="G91" s="56">
        <f t="shared" si="24"/>
        <v>950.87917135269493</v>
      </c>
      <c r="H91" s="56">
        <f t="shared" si="24"/>
        <v>904.82573881732526</v>
      </c>
      <c r="I91" s="56">
        <f t="shared" si="24"/>
        <v>948.20386821786019</v>
      </c>
      <c r="J91" s="56">
        <f t="shared" si="24"/>
        <v>902.914808006729</v>
      </c>
      <c r="K91" s="56">
        <f t="shared" si="24"/>
        <v>1007.6338164274036</v>
      </c>
      <c r="L91" s="56">
        <f t="shared" si="24"/>
        <v>967.31317632382274</v>
      </c>
      <c r="M91" s="56">
        <f t="shared" si="24"/>
        <v>982.21843664647349</v>
      </c>
      <c r="N91" s="56">
        <f t="shared" si="24"/>
        <v>1004.9585132925689</v>
      </c>
      <c r="O91" s="56">
        <f t="shared" si="24"/>
        <v>1065.1528338263508</v>
      </c>
      <c r="P91" s="56">
        <f t="shared" si="24"/>
        <v>1102.7981707950969</v>
      </c>
      <c r="Q91" s="56">
        <f t="shared" si="24"/>
        <v>1098.9763091739044</v>
      </c>
      <c r="R91" s="56">
        <f t="shared" si="24"/>
        <v>1131.0799467919214</v>
      </c>
      <c r="S91" s="56">
        <f t="shared" si="24"/>
        <v>1225.6710219164361</v>
      </c>
    </row>
    <row r="92" spans="1:19">
      <c r="A92">
        <v>69</v>
      </c>
      <c r="B92">
        <v>0.18177221649922976</v>
      </c>
      <c r="C92" s="56">
        <f t="shared" si="25"/>
        <v>807.9775023390763</v>
      </c>
      <c r="D92" s="56">
        <f t="shared" si="24"/>
        <v>871.4160058973074</v>
      </c>
      <c r="E92" s="56">
        <f t="shared" si="24"/>
        <v>843.96840120592378</v>
      </c>
      <c r="F92" s="56">
        <f t="shared" si="24"/>
        <v>879.59575563977273</v>
      </c>
      <c r="G92" s="56">
        <f t="shared" si="24"/>
        <v>904.49854930016727</v>
      </c>
      <c r="H92" s="56">
        <f t="shared" si="24"/>
        <v>860.69144512385287</v>
      </c>
      <c r="I92" s="56">
        <f t="shared" si="24"/>
        <v>901.95373826917807</v>
      </c>
      <c r="J92" s="56">
        <f t="shared" si="24"/>
        <v>858.87372295886064</v>
      </c>
      <c r="K92" s="56">
        <f t="shared" si="24"/>
        <v>958.48489760043844</v>
      </c>
      <c r="L92" s="56">
        <f t="shared" si="24"/>
        <v>920.13095991910097</v>
      </c>
      <c r="M92" s="56">
        <f t="shared" si="24"/>
        <v>934.30919280604098</v>
      </c>
      <c r="N92" s="56">
        <f t="shared" si="24"/>
        <v>955.94008656944925</v>
      </c>
      <c r="O92" s="56">
        <f t="shared" si="24"/>
        <v>1013.1983347667067</v>
      </c>
      <c r="P92" s="56">
        <f t="shared" si="24"/>
        <v>1049.0074614170549</v>
      </c>
      <c r="Q92" s="56">
        <f t="shared" si="24"/>
        <v>1045.3720170870704</v>
      </c>
      <c r="R92" s="56">
        <f t="shared" si="24"/>
        <v>1075.909749458941</v>
      </c>
      <c r="S92" s="56">
        <f t="shared" si="24"/>
        <v>1165.8869966260597</v>
      </c>
    </row>
    <row r="93" spans="1:19">
      <c r="A93">
        <v>70</v>
      </c>
      <c r="B93">
        <v>0.22571525361091435</v>
      </c>
      <c r="C93" s="56">
        <f>+$B93*C$16</f>
        <v>1032.4215700163222</v>
      </c>
      <c r="D93" s="56">
        <f t="shared" ref="D93:S97" si="26">+$B93*D$16</f>
        <v>1094.7189800129347</v>
      </c>
      <c r="E93" s="56">
        <f t="shared" si="26"/>
        <v>1123.6105324751315</v>
      </c>
      <c r="F93" s="56">
        <f t="shared" si="26"/>
        <v>1166.4964306612053</v>
      </c>
      <c r="G93" s="56">
        <f t="shared" si="26"/>
        <v>1167.1735764220382</v>
      </c>
      <c r="H93" s="56">
        <f t="shared" si="26"/>
        <v>1250.9139355116874</v>
      </c>
      <c r="I93" s="56">
        <f t="shared" si="26"/>
        <v>1275.0654676480551</v>
      </c>
      <c r="J93" s="56">
        <f t="shared" si="26"/>
        <v>1216.3795017092175</v>
      </c>
      <c r="K93" s="56">
        <f t="shared" si="26"/>
        <v>1315.2427827907979</v>
      </c>
      <c r="L93" s="56">
        <f t="shared" si="26"/>
        <v>1264.6825659819531</v>
      </c>
      <c r="M93" s="56">
        <f t="shared" si="26"/>
        <v>1254.299664315851</v>
      </c>
      <c r="N93" s="56">
        <f t="shared" si="26"/>
        <v>1316.3713590588525</v>
      </c>
      <c r="O93" s="56">
        <f t="shared" si="26"/>
        <v>1364.4487080779772</v>
      </c>
      <c r="P93" s="56">
        <f t="shared" si="26"/>
        <v>1404.400307967109</v>
      </c>
      <c r="Q93" s="56">
        <f t="shared" si="26"/>
        <v>1399.6602876412799</v>
      </c>
      <c r="R93" s="56">
        <f t="shared" si="26"/>
        <v>1475.2748976009361</v>
      </c>
      <c r="S93" s="56">
        <f t="shared" si="26"/>
        <v>1527.4151211850574</v>
      </c>
    </row>
    <row r="94" spans="1:19">
      <c r="A94">
        <v>71</v>
      </c>
      <c r="B94">
        <v>0.21479473992177636</v>
      </c>
      <c r="C94" s="56">
        <f t="shared" ref="C94:R97" si="27">+$B94*C$16</f>
        <v>982.47114040220504</v>
      </c>
      <c r="D94" s="56">
        <f t="shared" si="27"/>
        <v>1041.7544886206153</v>
      </c>
      <c r="E94" s="56">
        <f t="shared" si="27"/>
        <v>1069.2482153306028</v>
      </c>
      <c r="F94" s="56">
        <f t="shared" si="27"/>
        <v>1110.0592159157402</v>
      </c>
      <c r="G94" s="56">
        <f t="shared" si="27"/>
        <v>1110.7036001355057</v>
      </c>
      <c r="H94" s="56">
        <f t="shared" si="27"/>
        <v>1190.3924486464846</v>
      </c>
      <c r="I94" s="56">
        <f t="shared" si="27"/>
        <v>1213.3754858181146</v>
      </c>
      <c r="J94" s="56">
        <f t="shared" si="27"/>
        <v>1157.5288534384529</v>
      </c>
      <c r="K94" s="56">
        <f t="shared" si="27"/>
        <v>1251.6089495241908</v>
      </c>
      <c r="L94" s="56">
        <f t="shared" si="27"/>
        <v>1203.4949277817129</v>
      </c>
      <c r="M94" s="56">
        <f t="shared" si="27"/>
        <v>1193.6143697453113</v>
      </c>
      <c r="N94" s="56">
        <f t="shared" si="27"/>
        <v>1252.6829232237997</v>
      </c>
      <c r="O94" s="56">
        <f t="shared" si="27"/>
        <v>1298.4342028271381</v>
      </c>
      <c r="P94" s="56">
        <f t="shared" si="27"/>
        <v>1336.4528717932926</v>
      </c>
      <c r="Q94" s="56">
        <f t="shared" si="27"/>
        <v>1331.9421822549352</v>
      </c>
      <c r="R94" s="56">
        <f t="shared" si="27"/>
        <v>1403.8984201287303</v>
      </c>
      <c r="S94" s="56">
        <f t="shared" si="26"/>
        <v>1453.5160050506606</v>
      </c>
    </row>
    <row r="95" spans="1:19">
      <c r="A95">
        <v>72</v>
      </c>
      <c r="B95">
        <v>0.20212805272396908</v>
      </c>
      <c r="C95" s="56">
        <f t="shared" si="27"/>
        <v>924.53371315943457</v>
      </c>
      <c r="D95" s="56">
        <f t="shared" si="26"/>
        <v>980.3210557112501</v>
      </c>
      <c r="E95" s="56">
        <f t="shared" si="26"/>
        <v>1006.1934464599181</v>
      </c>
      <c r="F95" s="56">
        <f t="shared" si="26"/>
        <v>1044.5977764774723</v>
      </c>
      <c r="G95" s="56">
        <f t="shared" si="26"/>
        <v>1045.204160635644</v>
      </c>
      <c r="H95" s="56">
        <f t="shared" si="26"/>
        <v>1120.1936681962366</v>
      </c>
      <c r="I95" s="56">
        <f t="shared" si="26"/>
        <v>1141.8213698377012</v>
      </c>
      <c r="J95" s="56">
        <f t="shared" si="26"/>
        <v>1089.2680761294694</v>
      </c>
      <c r="K95" s="56">
        <f t="shared" si="26"/>
        <v>1177.8001632225678</v>
      </c>
      <c r="L95" s="56">
        <f t="shared" si="26"/>
        <v>1132.5234794123987</v>
      </c>
      <c r="M95" s="56">
        <f t="shared" si="26"/>
        <v>1123.2255889870962</v>
      </c>
      <c r="N95" s="56">
        <f t="shared" si="26"/>
        <v>1178.8108034861878</v>
      </c>
      <c r="O95" s="56">
        <f t="shared" si="26"/>
        <v>1221.8640787163931</v>
      </c>
      <c r="P95" s="56">
        <f t="shared" si="26"/>
        <v>1257.6407440485357</v>
      </c>
      <c r="Q95" s="56">
        <f t="shared" si="26"/>
        <v>1253.3960549413323</v>
      </c>
      <c r="R95" s="56">
        <f t="shared" si="26"/>
        <v>1321.108952603862</v>
      </c>
      <c r="S95" s="56">
        <f t="shared" si="26"/>
        <v>1367.8005327830988</v>
      </c>
    </row>
    <row r="96" spans="1:19">
      <c r="A96">
        <v>73</v>
      </c>
      <c r="B96">
        <v>0.18700070832435095</v>
      </c>
      <c r="C96" s="56">
        <f t="shared" si="27"/>
        <v>855.34123987558121</v>
      </c>
      <c r="D96" s="56">
        <f t="shared" si="26"/>
        <v>906.95343537310214</v>
      </c>
      <c r="E96" s="56">
        <f t="shared" si="26"/>
        <v>930.88952603861901</v>
      </c>
      <c r="F96" s="56">
        <f t="shared" si="26"/>
        <v>966.41966062024574</v>
      </c>
      <c r="G96" s="56">
        <f t="shared" si="26"/>
        <v>966.98066274521875</v>
      </c>
      <c r="H96" s="56">
        <f t="shared" si="26"/>
        <v>1036.357925533553</v>
      </c>
      <c r="I96" s="56">
        <f t="shared" si="26"/>
        <v>1056.3670013242586</v>
      </c>
      <c r="J96" s="56">
        <f t="shared" si="26"/>
        <v>1007.7468171599272</v>
      </c>
      <c r="K96" s="56">
        <f t="shared" si="26"/>
        <v>1089.653127405993</v>
      </c>
      <c r="L96" s="56">
        <f t="shared" si="26"/>
        <v>1047.7649687413384</v>
      </c>
      <c r="M96" s="56">
        <f t="shared" si="26"/>
        <v>1039.1629361584182</v>
      </c>
      <c r="N96" s="56">
        <f t="shared" si="26"/>
        <v>1090.5881309476147</v>
      </c>
      <c r="O96" s="56">
        <f t="shared" si="26"/>
        <v>1130.4192818207016</v>
      </c>
      <c r="P96" s="56">
        <f t="shared" si="26"/>
        <v>1163.5184071941117</v>
      </c>
      <c r="Q96" s="56">
        <f t="shared" si="26"/>
        <v>1159.5913923193002</v>
      </c>
      <c r="R96" s="56">
        <f t="shared" si="26"/>
        <v>1222.2366296079579</v>
      </c>
      <c r="S96" s="56">
        <f t="shared" si="26"/>
        <v>1265.4337932308829</v>
      </c>
    </row>
    <row r="97" spans="1:19">
      <c r="A97">
        <v>74</v>
      </c>
      <c r="B97">
        <v>0.17036124541898925</v>
      </c>
      <c r="C97" s="56">
        <f t="shared" si="27"/>
        <v>779.23233654645685</v>
      </c>
      <c r="D97" s="56">
        <f t="shared" si="26"/>
        <v>826.25204028209794</v>
      </c>
      <c r="E97" s="56">
        <f t="shared" si="26"/>
        <v>848.05827969572852</v>
      </c>
      <c r="F97" s="56">
        <f t="shared" si="26"/>
        <v>880.42691632533649</v>
      </c>
      <c r="G97" s="56">
        <f t="shared" si="26"/>
        <v>880.93800006159347</v>
      </c>
      <c r="H97" s="56">
        <f t="shared" si="26"/>
        <v>944.14202211203849</v>
      </c>
      <c r="I97" s="56">
        <f t="shared" si="26"/>
        <v>962.37067537187033</v>
      </c>
      <c r="J97" s="56">
        <f t="shared" si="26"/>
        <v>918.07675156293305</v>
      </c>
      <c r="K97" s="56">
        <f t="shared" si="26"/>
        <v>992.6949770564504</v>
      </c>
      <c r="L97" s="56">
        <f t="shared" si="26"/>
        <v>954.53405808259674</v>
      </c>
      <c r="M97" s="56">
        <f t="shared" si="26"/>
        <v>946.69744079332327</v>
      </c>
      <c r="N97" s="56">
        <f t="shared" si="26"/>
        <v>993.54678328354532</v>
      </c>
      <c r="O97" s="56">
        <f t="shared" si="26"/>
        <v>1029.83372855779</v>
      </c>
      <c r="P97" s="56">
        <f t="shared" si="26"/>
        <v>1059.9876689969512</v>
      </c>
      <c r="Q97" s="56">
        <f t="shared" si="26"/>
        <v>1056.4100828431524</v>
      </c>
      <c r="R97" s="56">
        <f t="shared" si="26"/>
        <v>1113.4811000585137</v>
      </c>
      <c r="S97" s="56">
        <f t="shared" si="26"/>
        <v>1152.8345477503003</v>
      </c>
    </row>
    <row r="98" spans="1:19">
      <c r="A98">
        <v>75</v>
      </c>
      <c r="B98">
        <v>0.33413432576071966</v>
      </c>
      <c r="C98" s="56">
        <f>+$B98*C$17</f>
        <v>1453.4843170591305</v>
      </c>
      <c r="D98" s="56">
        <f t="shared" ref="D98:S102" si="28">+$B98*D$17</f>
        <v>1530.3352119840961</v>
      </c>
      <c r="E98" s="56">
        <f t="shared" si="28"/>
        <v>1596.4938084847186</v>
      </c>
      <c r="F98" s="56">
        <f t="shared" si="28"/>
        <v>1584.1308384315719</v>
      </c>
      <c r="G98" s="56">
        <f t="shared" si="28"/>
        <v>1652.9625095382801</v>
      </c>
      <c r="H98" s="56">
        <f t="shared" si="28"/>
        <v>1624.8952261743798</v>
      </c>
      <c r="I98" s="56">
        <f t="shared" si="28"/>
        <v>1701.4119867735844</v>
      </c>
      <c r="J98" s="56">
        <f t="shared" si="28"/>
        <v>1686.3759421143523</v>
      </c>
      <c r="K98" s="56">
        <f t="shared" si="28"/>
        <v>1918.2651641922916</v>
      </c>
      <c r="L98" s="56">
        <f t="shared" si="28"/>
        <v>1949.6737908137993</v>
      </c>
      <c r="M98" s="56">
        <f t="shared" si="28"/>
        <v>2010.1521037764894</v>
      </c>
      <c r="N98" s="56">
        <f t="shared" si="28"/>
        <v>2035.2121782085435</v>
      </c>
      <c r="O98" s="56">
        <f t="shared" si="28"/>
        <v>2090.0102076333014</v>
      </c>
      <c r="P98" s="56">
        <f t="shared" si="28"/>
        <v>2230.6807587785643</v>
      </c>
      <c r="Q98" s="56">
        <f t="shared" si="28"/>
        <v>2214.6423111420499</v>
      </c>
      <c r="R98" s="56">
        <f t="shared" si="28"/>
        <v>2252.7336242787719</v>
      </c>
      <c r="S98" s="56">
        <f t="shared" si="28"/>
        <v>2273.7840868016974</v>
      </c>
    </row>
    <row r="99" spans="1:19">
      <c r="A99">
        <v>76</v>
      </c>
      <c r="B99">
        <v>0.3008607879623556</v>
      </c>
      <c r="C99" s="56">
        <f t="shared" ref="C99:R102" si="29">+$B99*C$17</f>
        <v>1308.7444276362469</v>
      </c>
      <c r="D99" s="56">
        <f t="shared" si="29"/>
        <v>1377.9424088675887</v>
      </c>
      <c r="E99" s="56">
        <f t="shared" si="29"/>
        <v>1437.5128448841351</v>
      </c>
      <c r="F99" s="56">
        <f t="shared" si="29"/>
        <v>1426.380995729528</v>
      </c>
      <c r="G99" s="56">
        <f t="shared" si="29"/>
        <v>1488.3583180497731</v>
      </c>
      <c r="H99" s="56">
        <f t="shared" si="29"/>
        <v>1463.0860118609353</v>
      </c>
      <c r="I99" s="56">
        <f t="shared" si="29"/>
        <v>1531.9831323043147</v>
      </c>
      <c r="J99" s="56">
        <f t="shared" si="29"/>
        <v>1518.4443968460087</v>
      </c>
      <c r="K99" s="56">
        <f t="shared" si="29"/>
        <v>1727.2417836918835</v>
      </c>
      <c r="L99" s="56">
        <f t="shared" si="29"/>
        <v>1755.522697760345</v>
      </c>
      <c r="M99" s="56">
        <f t="shared" si="29"/>
        <v>1809.9785003815314</v>
      </c>
      <c r="N99" s="56">
        <f t="shared" si="29"/>
        <v>1832.5430594787081</v>
      </c>
      <c r="O99" s="56">
        <f t="shared" si="29"/>
        <v>1881.8842287045343</v>
      </c>
      <c r="P99" s="56">
        <f t="shared" si="29"/>
        <v>2008.546620436686</v>
      </c>
      <c r="Q99" s="56">
        <f t="shared" si="29"/>
        <v>1994.105302614493</v>
      </c>
      <c r="R99" s="56">
        <f t="shared" si="29"/>
        <v>2028.4034324422014</v>
      </c>
      <c r="S99" s="56">
        <f t="shared" si="28"/>
        <v>2047.3576620838298</v>
      </c>
    </row>
    <row r="100" spans="1:19">
      <c r="A100">
        <v>77</v>
      </c>
      <c r="B100">
        <v>0.2723329629580048</v>
      </c>
      <c r="C100" s="56">
        <f t="shared" si="29"/>
        <v>1184.6483888673208</v>
      </c>
      <c r="D100" s="56">
        <f t="shared" si="28"/>
        <v>1247.284970347662</v>
      </c>
      <c r="E100" s="56">
        <f t="shared" si="28"/>
        <v>1301.2068970133469</v>
      </c>
      <c r="F100" s="56">
        <f t="shared" si="28"/>
        <v>1291.1305773839008</v>
      </c>
      <c r="G100" s="56">
        <f t="shared" si="28"/>
        <v>1347.2311677532498</v>
      </c>
      <c r="H100" s="56">
        <f t="shared" si="28"/>
        <v>1324.3551988647773</v>
      </c>
      <c r="I100" s="56">
        <f t="shared" si="28"/>
        <v>1386.7194473821605</v>
      </c>
      <c r="J100" s="56">
        <f t="shared" si="28"/>
        <v>1374.4644640490503</v>
      </c>
      <c r="K100" s="56">
        <f t="shared" si="28"/>
        <v>1563.4635403419056</v>
      </c>
      <c r="L100" s="56">
        <f t="shared" si="28"/>
        <v>1589.062838859958</v>
      </c>
      <c r="M100" s="56">
        <f t="shared" si="28"/>
        <v>1638.3551051553568</v>
      </c>
      <c r="N100" s="56">
        <f t="shared" si="28"/>
        <v>1658.7800773772071</v>
      </c>
      <c r="O100" s="56">
        <f t="shared" si="28"/>
        <v>1703.4426833023201</v>
      </c>
      <c r="P100" s="56">
        <f t="shared" si="28"/>
        <v>1818.09486070764</v>
      </c>
      <c r="Q100" s="56">
        <f t="shared" si="28"/>
        <v>1805.0228784856558</v>
      </c>
      <c r="R100" s="56">
        <f t="shared" si="28"/>
        <v>1836.0688362628684</v>
      </c>
      <c r="S100" s="56">
        <f t="shared" si="28"/>
        <v>1853.2258129292227</v>
      </c>
    </row>
    <row r="101" spans="1:19">
      <c r="A101">
        <v>78</v>
      </c>
      <c r="B101">
        <v>0.2492268972810881</v>
      </c>
      <c r="C101" s="56">
        <f t="shared" si="29"/>
        <v>1084.1370031727333</v>
      </c>
      <c r="D101" s="56">
        <f t="shared" si="28"/>
        <v>1141.4591895473834</v>
      </c>
      <c r="E101" s="56">
        <f t="shared" si="28"/>
        <v>1190.806115209039</v>
      </c>
      <c r="F101" s="56">
        <f t="shared" si="28"/>
        <v>1181.5847200096387</v>
      </c>
      <c r="G101" s="56">
        <f t="shared" si="28"/>
        <v>1232.9254608495428</v>
      </c>
      <c r="H101" s="56">
        <f t="shared" si="28"/>
        <v>1211.9904014779315</v>
      </c>
      <c r="I101" s="56">
        <f t="shared" si="28"/>
        <v>1269.0633609553006</v>
      </c>
      <c r="J101" s="56">
        <f t="shared" si="28"/>
        <v>1257.8481505776517</v>
      </c>
      <c r="K101" s="56">
        <f t="shared" si="28"/>
        <v>1430.8116172907269</v>
      </c>
      <c r="L101" s="56">
        <f t="shared" si="28"/>
        <v>1454.2389456351491</v>
      </c>
      <c r="M101" s="56">
        <f t="shared" si="28"/>
        <v>1499.349014043026</v>
      </c>
      <c r="N101" s="56">
        <f t="shared" si="28"/>
        <v>1518.0410313391076</v>
      </c>
      <c r="O101" s="56">
        <f t="shared" si="28"/>
        <v>1558.9142424932061</v>
      </c>
      <c r="P101" s="56">
        <f t="shared" si="28"/>
        <v>1663.8387662485441</v>
      </c>
      <c r="Q101" s="56">
        <f t="shared" si="28"/>
        <v>1651.8758751790519</v>
      </c>
      <c r="R101" s="56">
        <f t="shared" si="28"/>
        <v>1680.2877414690959</v>
      </c>
      <c r="S101" s="56">
        <f t="shared" si="28"/>
        <v>1695.9890359978044</v>
      </c>
    </row>
    <row r="102" spans="1:19">
      <c r="A102">
        <v>79</v>
      </c>
      <c r="B102">
        <v>0.23115436618964108</v>
      </c>
      <c r="C102" s="56">
        <f t="shared" si="29"/>
        <v>1005.5214929249387</v>
      </c>
      <c r="D102" s="56">
        <f t="shared" si="28"/>
        <v>1058.6869971485562</v>
      </c>
      <c r="E102" s="56">
        <f t="shared" si="28"/>
        <v>1104.4555616541052</v>
      </c>
      <c r="F102" s="56">
        <f t="shared" si="28"/>
        <v>1095.9028501050884</v>
      </c>
      <c r="G102" s="56">
        <f t="shared" si="28"/>
        <v>1143.5206495401544</v>
      </c>
      <c r="H102" s="56">
        <f t="shared" si="28"/>
        <v>1124.1036827802245</v>
      </c>
      <c r="I102" s="56">
        <f t="shared" si="28"/>
        <v>1177.0380326376523</v>
      </c>
      <c r="J102" s="56">
        <f t="shared" si="28"/>
        <v>1166.6360861591186</v>
      </c>
      <c r="K102" s="56">
        <f t="shared" si="28"/>
        <v>1327.0572162947294</v>
      </c>
      <c r="L102" s="56">
        <f t="shared" si="28"/>
        <v>1348.7857267165557</v>
      </c>
      <c r="M102" s="56">
        <f t="shared" si="28"/>
        <v>1390.6246669968807</v>
      </c>
      <c r="N102" s="56">
        <f t="shared" si="28"/>
        <v>1407.9612444611039</v>
      </c>
      <c r="O102" s="56">
        <f t="shared" si="28"/>
        <v>1445.8705605162049</v>
      </c>
      <c r="P102" s="56">
        <f t="shared" si="28"/>
        <v>1543.1865486820438</v>
      </c>
      <c r="Q102" s="56">
        <f t="shared" si="28"/>
        <v>1532.091139104941</v>
      </c>
      <c r="R102" s="56">
        <f t="shared" si="28"/>
        <v>1558.4427368505601</v>
      </c>
      <c r="S102" s="56">
        <f t="shared" si="28"/>
        <v>1573.0054619205075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C00000"/>
  </sheetPr>
  <dimension ref="A1:CC102"/>
  <sheetViews>
    <sheetView workbookViewId="0">
      <selection activeCell="C22" sqref="C22"/>
    </sheetView>
  </sheetViews>
  <sheetFormatPr baseColWidth="10" defaultColWidth="11.5703125" defaultRowHeight="15"/>
  <cols>
    <col min="1" max="1" width="6.42578125" bestFit="1" customWidth="1"/>
    <col min="2" max="20" width="10" bestFit="1" customWidth="1"/>
  </cols>
  <sheetData>
    <row r="1" spans="2:21">
      <c r="B1" s="3" t="s">
        <v>21</v>
      </c>
      <c r="C1">
        <v>1995</v>
      </c>
      <c r="D1">
        <v>1996</v>
      </c>
      <c r="E1">
        <v>1997</v>
      </c>
      <c r="F1">
        <v>1998</v>
      </c>
      <c r="G1">
        <v>1999</v>
      </c>
      <c r="H1">
        <v>2000</v>
      </c>
      <c r="I1">
        <v>2001</v>
      </c>
      <c r="J1">
        <v>2002</v>
      </c>
      <c r="K1">
        <v>2003</v>
      </c>
      <c r="L1">
        <v>2004</v>
      </c>
      <c r="M1">
        <v>2005</v>
      </c>
      <c r="N1">
        <v>2006</v>
      </c>
      <c r="O1">
        <v>2007</v>
      </c>
      <c r="P1">
        <v>2008</v>
      </c>
      <c r="Q1">
        <v>2009</v>
      </c>
      <c r="R1">
        <v>2010</v>
      </c>
      <c r="S1">
        <v>2011</v>
      </c>
    </row>
    <row r="2" spans="2:21">
      <c r="B2" t="s">
        <v>90</v>
      </c>
      <c r="C2" s="1">
        <v>6432</v>
      </c>
      <c r="D2" s="1">
        <v>6393</v>
      </c>
      <c r="E2" s="1">
        <v>5871</v>
      </c>
      <c r="F2" s="1">
        <v>5710</v>
      </c>
      <c r="G2" s="1">
        <v>5348</v>
      </c>
      <c r="H2" s="1">
        <v>5061</v>
      </c>
      <c r="I2" s="1">
        <v>5033</v>
      </c>
      <c r="J2" s="1">
        <v>4955</v>
      </c>
      <c r="K2" s="1">
        <v>5708</v>
      </c>
      <c r="L2" s="1">
        <v>4932</v>
      </c>
      <c r="M2" s="1">
        <v>4651</v>
      </c>
      <c r="N2" s="1">
        <v>4309</v>
      </c>
      <c r="O2" s="1">
        <v>4200</v>
      </c>
      <c r="P2" s="1">
        <v>4153</v>
      </c>
      <c r="Q2" s="1">
        <v>4365</v>
      </c>
      <c r="R2" s="1">
        <v>4483</v>
      </c>
      <c r="S2" s="1">
        <v>4527</v>
      </c>
      <c r="T2" s="2"/>
      <c r="U2" s="2"/>
    </row>
    <row r="3" spans="2:21">
      <c r="B3" t="s">
        <v>3</v>
      </c>
      <c r="C3" s="1">
        <v>419</v>
      </c>
      <c r="D3" s="1">
        <v>426</v>
      </c>
      <c r="E3" s="1">
        <v>399</v>
      </c>
      <c r="F3" s="1">
        <v>406</v>
      </c>
      <c r="G3" s="1">
        <v>416</v>
      </c>
      <c r="H3" s="1">
        <v>398</v>
      </c>
      <c r="I3" s="1">
        <v>438</v>
      </c>
      <c r="J3" s="1">
        <v>368</v>
      </c>
      <c r="K3" s="1">
        <v>378</v>
      </c>
      <c r="L3" s="1">
        <v>370</v>
      </c>
      <c r="M3" s="1">
        <v>339</v>
      </c>
      <c r="N3" s="1">
        <v>351</v>
      </c>
      <c r="O3" s="1">
        <v>309</v>
      </c>
      <c r="P3" s="1">
        <v>301</v>
      </c>
      <c r="Q3" s="1">
        <v>327</v>
      </c>
      <c r="R3" s="1">
        <v>335</v>
      </c>
      <c r="S3" s="1">
        <v>286</v>
      </c>
      <c r="T3" s="2"/>
      <c r="U3" s="2"/>
    </row>
    <row r="4" spans="2:21">
      <c r="B4" t="s">
        <v>4</v>
      </c>
      <c r="C4" s="1">
        <v>416</v>
      </c>
      <c r="D4" s="1">
        <v>414</v>
      </c>
      <c r="E4" s="1">
        <v>405</v>
      </c>
      <c r="F4" s="1">
        <v>407</v>
      </c>
      <c r="G4" s="1">
        <v>387</v>
      </c>
      <c r="H4" s="1">
        <v>363</v>
      </c>
      <c r="I4" s="1">
        <v>422</v>
      </c>
      <c r="J4" s="1">
        <v>422</v>
      </c>
      <c r="K4" s="1">
        <v>423</v>
      </c>
      <c r="L4" s="1">
        <v>425</v>
      </c>
      <c r="M4" s="1">
        <v>347</v>
      </c>
      <c r="N4" s="1">
        <v>413</v>
      </c>
      <c r="O4" s="1">
        <v>391</v>
      </c>
      <c r="P4" s="1">
        <v>389</v>
      </c>
      <c r="Q4" s="1">
        <v>354</v>
      </c>
      <c r="R4" s="1">
        <v>341</v>
      </c>
      <c r="S4" s="1">
        <v>373</v>
      </c>
      <c r="T4" s="2"/>
      <c r="U4" s="2"/>
    </row>
    <row r="5" spans="2:21">
      <c r="B5" t="s">
        <v>5</v>
      </c>
      <c r="C5" s="1">
        <v>647</v>
      </c>
      <c r="D5" s="1">
        <v>674</v>
      </c>
      <c r="E5" s="1">
        <v>619</v>
      </c>
      <c r="F5" s="1">
        <v>591</v>
      </c>
      <c r="G5" s="1">
        <v>642</v>
      </c>
      <c r="H5" s="1">
        <v>655</v>
      </c>
      <c r="I5" s="1">
        <v>651</v>
      </c>
      <c r="J5" s="1">
        <v>762</v>
      </c>
      <c r="K5" s="1">
        <v>702</v>
      </c>
      <c r="L5" s="1">
        <v>712</v>
      </c>
      <c r="M5" s="1">
        <v>645</v>
      </c>
      <c r="N5" s="1">
        <v>710</v>
      </c>
      <c r="O5" s="1">
        <v>690</v>
      </c>
      <c r="P5" s="1">
        <v>753</v>
      </c>
      <c r="Q5" s="1">
        <v>762</v>
      </c>
      <c r="R5" s="1">
        <v>762</v>
      </c>
      <c r="S5" s="1">
        <v>681</v>
      </c>
      <c r="T5" s="2"/>
      <c r="U5" s="2"/>
    </row>
    <row r="6" spans="2:21">
      <c r="B6" t="s">
        <v>6</v>
      </c>
      <c r="C6" s="1">
        <v>671</v>
      </c>
      <c r="D6" s="1">
        <v>676</v>
      </c>
      <c r="E6" s="1">
        <v>694</v>
      </c>
      <c r="F6" s="1">
        <v>667</v>
      </c>
      <c r="G6" s="1">
        <v>734</v>
      </c>
      <c r="H6" s="1">
        <v>701</v>
      </c>
      <c r="I6" s="1">
        <v>728</v>
      </c>
      <c r="J6" s="1">
        <v>921</v>
      </c>
      <c r="K6" s="1">
        <v>876</v>
      </c>
      <c r="L6" s="1">
        <v>821</v>
      </c>
      <c r="M6" s="1">
        <v>814</v>
      </c>
      <c r="N6" s="1">
        <v>760</v>
      </c>
      <c r="O6" s="1">
        <v>792</v>
      </c>
      <c r="P6" s="1">
        <v>869</v>
      </c>
      <c r="Q6" s="1">
        <v>855</v>
      </c>
      <c r="R6" s="1">
        <v>853</v>
      </c>
      <c r="S6" s="1">
        <v>790</v>
      </c>
      <c r="T6" s="2"/>
      <c r="U6" s="2"/>
    </row>
    <row r="7" spans="2:21">
      <c r="B7" t="s">
        <v>7</v>
      </c>
      <c r="C7" s="1">
        <v>708</v>
      </c>
      <c r="D7" s="1">
        <v>767</v>
      </c>
      <c r="E7" s="1">
        <v>748</v>
      </c>
      <c r="F7" s="1">
        <v>750</v>
      </c>
      <c r="G7" s="1">
        <v>745</v>
      </c>
      <c r="H7" s="1">
        <v>742</v>
      </c>
      <c r="I7" s="1">
        <v>796</v>
      </c>
      <c r="J7" s="1">
        <v>950</v>
      </c>
      <c r="K7" s="1">
        <v>896</v>
      </c>
      <c r="L7" s="1">
        <v>846</v>
      </c>
      <c r="M7" s="1">
        <v>835</v>
      </c>
      <c r="N7" s="1">
        <v>900</v>
      </c>
      <c r="O7" s="1">
        <v>876</v>
      </c>
      <c r="P7" s="1">
        <v>916</v>
      </c>
      <c r="Q7" s="1">
        <v>1023</v>
      </c>
      <c r="R7" s="1">
        <v>952</v>
      </c>
      <c r="S7" s="1">
        <v>944</v>
      </c>
      <c r="T7" s="2"/>
      <c r="U7" s="2"/>
    </row>
    <row r="8" spans="2:21">
      <c r="B8" t="s">
        <v>8</v>
      </c>
      <c r="C8" s="1">
        <v>836</v>
      </c>
      <c r="D8" s="1">
        <v>919</v>
      </c>
      <c r="E8" s="1">
        <v>853</v>
      </c>
      <c r="F8" s="1">
        <v>816</v>
      </c>
      <c r="G8" s="1">
        <v>863</v>
      </c>
      <c r="H8" s="1">
        <v>864</v>
      </c>
      <c r="I8" s="1">
        <v>898</v>
      </c>
      <c r="J8" s="1">
        <v>974</v>
      </c>
      <c r="K8" s="1">
        <v>957</v>
      </c>
      <c r="L8" s="1">
        <v>899</v>
      </c>
      <c r="M8" s="1">
        <v>872</v>
      </c>
      <c r="N8" s="1">
        <v>952</v>
      </c>
      <c r="O8" s="1">
        <v>982</v>
      </c>
      <c r="P8" s="1">
        <v>990</v>
      </c>
      <c r="Q8" s="1">
        <v>1026</v>
      </c>
      <c r="R8" s="1">
        <v>1087</v>
      </c>
      <c r="S8" s="1">
        <v>1141</v>
      </c>
      <c r="T8" s="2"/>
      <c r="U8" s="2"/>
    </row>
    <row r="9" spans="2:21">
      <c r="B9" t="s">
        <v>9</v>
      </c>
      <c r="C9" s="1">
        <v>1035</v>
      </c>
      <c r="D9" s="1">
        <v>1098</v>
      </c>
      <c r="E9" s="1">
        <v>1147</v>
      </c>
      <c r="F9" s="1">
        <v>1103</v>
      </c>
      <c r="G9" s="1">
        <v>1086</v>
      </c>
      <c r="H9" s="1">
        <v>1083</v>
      </c>
      <c r="I9" s="1">
        <v>1103</v>
      </c>
      <c r="J9" s="1">
        <v>1180</v>
      </c>
      <c r="K9" s="1">
        <v>1144</v>
      </c>
      <c r="L9" s="1">
        <v>1077</v>
      </c>
      <c r="M9" s="1">
        <v>1109</v>
      </c>
      <c r="N9" s="1">
        <v>1084</v>
      </c>
      <c r="O9" s="1">
        <v>1152</v>
      </c>
      <c r="P9" s="1">
        <v>1158</v>
      </c>
      <c r="Q9" s="1">
        <v>1170</v>
      </c>
      <c r="R9" s="1">
        <v>1225</v>
      </c>
      <c r="S9" s="1">
        <v>1266</v>
      </c>
      <c r="T9" s="2"/>
      <c r="U9" s="2"/>
    </row>
    <row r="10" spans="2:21">
      <c r="B10" t="s">
        <v>10</v>
      </c>
      <c r="C10" s="1">
        <v>1288</v>
      </c>
      <c r="D10" s="1">
        <v>1295</v>
      </c>
      <c r="E10" s="1">
        <v>1432</v>
      </c>
      <c r="F10" s="1">
        <v>1312</v>
      </c>
      <c r="G10" s="1">
        <v>1386</v>
      </c>
      <c r="H10" s="1">
        <v>1374</v>
      </c>
      <c r="I10" s="1">
        <v>1467</v>
      </c>
      <c r="J10" s="1">
        <v>1519</v>
      </c>
      <c r="K10" s="1">
        <v>1492</v>
      </c>
      <c r="L10" s="1">
        <v>1427</v>
      </c>
      <c r="M10" s="1">
        <v>1420</v>
      </c>
      <c r="N10" s="1">
        <v>1504</v>
      </c>
      <c r="O10" s="1">
        <v>1433</v>
      </c>
      <c r="P10" s="1">
        <v>1487</v>
      </c>
      <c r="Q10" s="1">
        <v>1542</v>
      </c>
      <c r="R10" s="1">
        <v>1548</v>
      </c>
      <c r="S10" s="1">
        <v>1596</v>
      </c>
      <c r="T10" s="2"/>
      <c r="U10" s="2"/>
    </row>
    <row r="11" spans="2:21">
      <c r="B11" t="s">
        <v>11</v>
      </c>
      <c r="C11" s="1">
        <v>1476</v>
      </c>
      <c r="D11" s="1">
        <v>1484</v>
      </c>
      <c r="E11" s="1">
        <v>1550</v>
      </c>
      <c r="F11" s="1">
        <v>1649</v>
      </c>
      <c r="G11" s="1">
        <v>1727</v>
      </c>
      <c r="H11" s="1">
        <v>1687</v>
      </c>
      <c r="I11" s="1">
        <v>1779</v>
      </c>
      <c r="J11" s="1">
        <v>1921</v>
      </c>
      <c r="K11" s="1">
        <v>1877</v>
      </c>
      <c r="L11" s="1">
        <v>1875</v>
      </c>
      <c r="M11" s="1">
        <v>1851</v>
      </c>
      <c r="N11" s="1">
        <v>1965</v>
      </c>
      <c r="O11" s="1">
        <v>2007</v>
      </c>
      <c r="P11" s="1">
        <v>2010</v>
      </c>
      <c r="Q11" s="1">
        <v>2079</v>
      </c>
      <c r="R11" s="1">
        <v>2000</v>
      </c>
      <c r="S11" s="1">
        <v>2024</v>
      </c>
      <c r="T11" s="2"/>
      <c r="U11" s="2"/>
    </row>
    <row r="12" spans="2:21">
      <c r="B12" t="s">
        <v>12</v>
      </c>
      <c r="C12" s="1">
        <v>1564</v>
      </c>
      <c r="D12" s="1">
        <v>1701</v>
      </c>
      <c r="E12" s="1">
        <v>1719</v>
      </c>
      <c r="F12" s="1">
        <v>1770</v>
      </c>
      <c r="G12" s="1">
        <v>1853</v>
      </c>
      <c r="H12" s="1">
        <v>1948</v>
      </c>
      <c r="I12" s="1">
        <v>2029</v>
      </c>
      <c r="J12" s="1">
        <v>2200</v>
      </c>
      <c r="K12" s="1">
        <v>2345</v>
      </c>
      <c r="L12" s="1">
        <v>2259</v>
      </c>
      <c r="M12" s="1">
        <v>2358</v>
      </c>
      <c r="N12" s="1">
        <v>2459</v>
      </c>
      <c r="O12" s="1">
        <v>2458</v>
      </c>
      <c r="P12" s="1">
        <v>2461</v>
      </c>
      <c r="Q12" s="1">
        <v>2537</v>
      </c>
      <c r="R12" s="1">
        <v>2600</v>
      </c>
      <c r="S12" s="1">
        <v>2808</v>
      </c>
      <c r="T12" s="2"/>
      <c r="U12" s="2"/>
    </row>
    <row r="13" spans="2:21">
      <c r="B13" t="s">
        <v>13</v>
      </c>
      <c r="C13" s="1">
        <v>2120</v>
      </c>
      <c r="D13" s="1">
        <v>2110</v>
      </c>
      <c r="E13" s="1">
        <v>2046</v>
      </c>
      <c r="F13" s="1">
        <v>2070</v>
      </c>
      <c r="G13" s="1">
        <v>2187</v>
      </c>
      <c r="H13" s="1">
        <v>2043</v>
      </c>
      <c r="I13" s="1">
        <v>2104</v>
      </c>
      <c r="J13" s="1">
        <v>2351</v>
      </c>
      <c r="K13" s="1">
        <v>2474</v>
      </c>
      <c r="L13" s="1">
        <v>2473</v>
      </c>
      <c r="M13" s="1">
        <v>2676</v>
      </c>
      <c r="N13" s="1">
        <v>2697</v>
      </c>
      <c r="O13" s="1">
        <v>2779</v>
      </c>
      <c r="P13" s="1">
        <v>3113</v>
      </c>
      <c r="Q13" s="1">
        <v>3139</v>
      </c>
      <c r="R13" s="1">
        <v>3282</v>
      </c>
      <c r="S13" s="1">
        <v>3354</v>
      </c>
      <c r="T13" s="2"/>
      <c r="U13" s="2"/>
    </row>
    <row r="14" spans="2:21">
      <c r="B14" t="s">
        <v>14</v>
      </c>
      <c r="C14" s="1">
        <v>2581</v>
      </c>
      <c r="D14" s="1">
        <v>2593</v>
      </c>
      <c r="E14" s="1">
        <v>2679</v>
      </c>
      <c r="F14" s="1">
        <v>2611</v>
      </c>
      <c r="G14" s="1">
        <v>2785</v>
      </c>
      <c r="H14" s="1">
        <v>2793</v>
      </c>
      <c r="I14" s="1">
        <v>2796</v>
      </c>
      <c r="J14" s="1">
        <v>2738</v>
      </c>
      <c r="K14" s="1">
        <v>2828</v>
      </c>
      <c r="L14" s="1">
        <v>2719</v>
      </c>
      <c r="M14" s="1">
        <v>2881</v>
      </c>
      <c r="N14" s="1">
        <v>2935</v>
      </c>
      <c r="O14" s="1">
        <v>3060</v>
      </c>
      <c r="P14" s="1">
        <v>3226</v>
      </c>
      <c r="Q14" s="1">
        <v>3421</v>
      </c>
      <c r="R14" s="1">
        <v>3612</v>
      </c>
      <c r="S14" s="1">
        <v>3955</v>
      </c>
      <c r="T14" s="2"/>
      <c r="U14" s="2"/>
    </row>
    <row r="15" spans="2:21">
      <c r="B15" t="s">
        <v>15</v>
      </c>
      <c r="C15" s="1">
        <v>3306</v>
      </c>
      <c r="D15" s="1">
        <v>3399</v>
      </c>
      <c r="E15" s="1">
        <v>3319</v>
      </c>
      <c r="F15" s="1">
        <v>3475</v>
      </c>
      <c r="G15" s="1">
        <v>3451</v>
      </c>
      <c r="H15" s="1">
        <v>3317</v>
      </c>
      <c r="I15" s="1">
        <v>3391</v>
      </c>
      <c r="J15" s="1">
        <v>3546</v>
      </c>
      <c r="K15" s="1">
        <v>3662</v>
      </c>
      <c r="L15" s="1">
        <v>3548</v>
      </c>
      <c r="M15" s="1">
        <v>3567</v>
      </c>
      <c r="N15" s="1">
        <v>3522</v>
      </c>
      <c r="O15" s="1">
        <v>3574</v>
      </c>
      <c r="P15" s="1">
        <v>3743</v>
      </c>
      <c r="Q15" s="1">
        <v>3726</v>
      </c>
      <c r="R15" s="1">
        <v>3953</v>
      </c>
      <c r="S15" s="1">
        <v>4067</v>
      </c>
      <c r="T15" s="2"/>
      <c r="U15" s="2"/>
    </row>
    <row r="16" spans="2:21">
      <c r="B16" t="s">
        <v>16</v>
      </c>
      <c r="C16" s="1">
        <v>3673</v>
      </c>
      <c r="D16" s="1">
        <v>3620</v>
      </c>
      <c r="E16" s="1">
        <v>3719</v>
      </c>
      <c r="F16" s="1">
        <v>3898</v>
      </c>
      <c r="G16" s="1">
        <v>4116</v>
      </c>
      <c r="H16" s="1">
        <v>4041</v>
      </c>
      <c r="I16" s="1">
        <v>4308</v>
      </c>
      <c r="J16" s="1">
        <v>4135</v>
      </c>
      <c r="K16" s="1">
        <v>4429</v>
      </c>
      <c r="L16" s="1">
        <v>4311</v>
      </c>
      <c r="M16" s="1">
        <v>4182</v>
      </c>
      <c r="N16" s="1">
        <v>4198</v>
      </c>
      <c r="O16" s="1">
        <v>4391</v>
      </c>
      <c r="P16" s="1">
        <v>4446</v>
      </c>
      <c r="Q16" s="1">
        <v>4516</v>
      </c>
      <c r="R16" s="1">
        <v>4909</v>
      </c>
      <c r="S16" s="1">
        <v>4840</v>
      </c>
      <c r="T16" s="2"/>
      <c r="U16" s="2"/>
    </row>
    <row r="17" spans="1:81">
      <c r="B17" t="s">
        <v>17</v>
      </c>
      <c r="C17" s="1">
        <v>3813</v>
      </c>
      <c r="D17" s="1">
        <v>4131</v>
      </c>
      <c r="E17" s="1">
        <v>3974</v>
      </c>
      <c r="F17" s="1">
        <v>4171</v>
      </c>
      <c r="G17" s="1">
        <v>4401</v>
      </c>
      <c r="H17" s="1">
        <v>4205</v>
      </c>
      <c r="I17" s="1">
        <v>4531</v>
      </c>
      <c r="J17" s="1">
        <v>4575</v>
      </c>
      <c r="K17" s="1">
        <v>4997</v>
      </c>
      <c r="L17" s="1">
        <v>4980</v>
      </c>
      <c r="M17" s="1">
        <v>5117</v>
      </c>
      <c r="N17" s="1">
        <v>4963</v>
      </c>
      <c r="O17" s="1">
        <v>5200</v>
      </c>
      <c r="P17" s="1">
        <v>5338</v>
      </c>
      <c r="Q17" s="1">
        <v>5256</v>
      </c>
      <c r="R17" s="1">
        <v>5494</v>
      </c>
      <c r="S17" s="1">
        <v>5797</v>
      </c>
      <c r="T17" s="2"/>
      <c r="U17" s="2"/>
    </row>
    <row r="18" spans="1:81">
      <c r="B18" t="s">
        <v>18</v>
      </c>
      <c r="C18" s="1">
        <v>4085</v>
      </c>
      <c r="D18" s="1">
        <v>4144</v>
      </c>
      <c r="E18" s="1">
        <v>4035</v>
      </c>
      <c r="F18" s="1">
        <v>3974</v>
      </c>
      <c r="G18" s="1">
        <v>4351</v>
      </c>
      <c r="H18" s="1">
        <v>4260</v>
      </c>
      <c r="I18" s="1">
        <v>4535</v>
      </c>
      <c r="J18" s="1">
        <v>4301</v>
      </c>
      <c r="K18" s="1">
        <v>4832</v>
      </c>
      <c r="L18" s="1">
        <v>4884</v>
      </c>
      <c r="M18" s="1">
        <v>4897</v>
      </c>
      <c r="N18" s="1">
        <v>5114</v>
      </c>
      <c r="O18" s="1">
        <v>5196</v>
      </c>
      <c r="P18" s="1">
        <v>5631</v>
      </c>
      <c r="Q18" s="1">
        <v>5821</v>
      </c>
      <c r="R18" s="1">
        <v>6326</v>
      </c>
      <c r="S18" s="1">
        <v>6685</v>
      </c>
      <c r="T18" s="2"/>
      <c r="U18" s="2"/>
    </row>
    <row r="19" spans="1:81">
      <c r="A19" s="2"/>
      <c r="B19" t="s">
        <v>19</v>
      </c>
      <c r="C19" s="1">
        <v>5856</v>
      </c>
      <c r="D19" s="1">
        <v>5962</v>
      </c>
      <c r="E19" s="1">
        <v>6170</v>
      </c>
      <c r="F19" s="1">
        <v>6078</v>
      </c>
      <c r="G19" s="1">
        <v>6617</v>
      </c>
      <c r="H19" s="1">
        <v>6293</v>
      </c>
      <c r="I19" s="1">
        <v>7044</v>
      </c>
      <c r="J19" s="1">
        <v>6890</v>
      </c>
      <c r="K19" s="1">
        <v>8014</v>
      </c>
      <c r="L19" s="1">
        <v>7824</v>
      </c>
      <c r="M19" s="1">
        <v>8102</v>
      </c>
      <c r="N19" s="1">
        <v>8365</v>
      </c>
      <c r="O19" s="1">
        <v>8781</v>
      </c>
      <c r="P19" s="1">
        <v>9543</v>
      </c>
      <c r="Q19" s="1">
        <v>9478</v>
      </c>
      <c r="R19" s="1">
        <v>10543</v>
      </c>
      <c r="S19" s="1">
        <v>11376</v>
      </c>
      <c r="T19" s="2"/>
    </row>
    <row r="20" spans="1:81">
      <c r="B20" t="s">
        <v>23</v>
      </c>
      <c r="C20" s="1">
        <v>70</v>
      </c>
      <c r="D20" s="1">
        <v>32</v>
      </c>
      <c r="E20" s="1">
        <v>34</v>
      </c>
      <c r="F20" s="1">
        <v>56</v>
      </c>
      <c r="G20" s="1">
        <v>27</v>
      </c>
      <c r="H20" s="1">
        <v>19</v>
      </c>
      <c r="I20" s="1">
        <v>3</v>
      </c>
      <c r="J20" s="1">
        <v>12</v>
      </c>
      <c r="K20" s="1">
        <v>4</v>
      </c>
      <c r="L20" s="1">
        <v>10</v>
      </c>
      <c r="M20" s="1">
        <v>13</v>
      </c>
      <c r="N20" s="1">
        <v>7</v>
      </c>
      <c r="O20" s="1">
        <v>36</v>
      </c>
      <c r="P20" s="1">
        <v>18</v>
      </c>
      <c r="Q20" s="1">
        <v>9</v>
      </c>
      <c r="R20" s="1">
        <v>3</v>
      </c>
      <c r="S20" s="1">
        <v>6</v>
      </c>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row>
    <row r="22" spans="1:81">
      <c r="A22" t="s">
        <v>95</v>
      </c>
      <c r="C22" s="2">
        <v>1995</v>
      </c>
      <c r="D22" s="2">
        <v>1996</v>
      </c>
      <c r="E22" s="2">
        <v>1997</v>
      </c>
      <c r="F22" s="2">
        <v>1998</v>
      </c>
      <c r="G22" s="2">
        <v>1999</v>
      </c>
      <c r="H22" s="2">
        <v>2000</v>
      </c>
      <c r="I22" s="2">
        <v>2001</v>
      </c>
      <c r="J22" s="2">
        <v>2002</v>
      </c>
      <c r="K22" s="2">
        <v>2003</v>
      </c>
      <c r="L22" s="2">
        <v>2004</v>
      </c>
      <c r="M22" s="2">
        <v>2005</v>
      </c>
      <c r="N22" s="2">
        <v>2006</v>
      </c>
      <c r="O22" s="2">
        <v>2007</v>
      </c>
      <c r="P22" s="2">
        <v>2008</v>
      </c>
      <c r="Q22" s="2">
        <v>2009</v>
      </c>
      <c r="R22" s="2">
        <v>2010</v>
      </c>
      <c r="S22" s="2">
        <v>2011</v>
      </c>
    </row>
    <row r="23" spans="1:81">
      <c r="A23">
        <v>0</v>
      </c>
      <c r="C23" s="56">
        <f>+'Mortalidad F'!D42</f>
        <v>5291</v>
      </c>
      <c r="D23" s="56">
        <f>+'Mortalidad F'!E42</f>
        <v>5083</v>
      </c>
      <c r="E23" s="56">
        <f>+'Mortalidad F'!F42</f>
        <v>4745</v>
      </c>
      <c r="F23" s="56">
        <f>+'Mortalidad F'!G42</f>
        <v>4577</v>
      </c>
      <c r="G23" s="56">
        <f>+'Mortalidad F'!H42</f>
        <v>4273</v>
      </c>
      <c r="H23" s="56">
        <f>+'Mortalidad F'!I42</f>
        <v>4027</v>
      </c>
      <c r="I23" s="56">
        <f>+'Mortalidad F'!J42</f>
        <v>3978</v>
      </c>
      <c r="J23" s="56">
        <f>+'Mortalidad F'!K42</f>
        <v>3973</v>
      </c>
      <c r="K23" s="56">
        <f>+'Mortalidad F'!L42</f>
        <v>4428</v>
      </c>
      <c r="L23" s="56">
        <f>+'Mortalidad F'!M42</f>
        <v>3955</v>
      </c>
      <c r="M23" s="56">
        <f>+'Mortalidad F'!N42</f>
        <v>3889</v>
      </c>
      <c r="N23" s="56">
        <f>+'Mortalidad F'!O42</f>
        <v>3570</v>
      </c>
      <c r="O23" s="56">
        <f>+'Mortalidad F'!P42</f>
        <v>3476</v>
      </c>
      <c r="P23" s="56">
        <f>+'Mortalidad F'!Q42</f>
        <v>3526</v>
      </c>
      <c r="Q23" s="56">
        <f>+'Mortalidad F'!R42</f>
        <v>3689</v>
      </c>
      <c r="R23" s="56">
        <f>+'Mortalidad F'!S42</f>
        <v>3863</v>
      </c>
      <c r="S23" s="56">
        <f>+'Mortalidad F'!T42</f>
        <v>3867</v>
      </c>
    </row>
    <row r="24" spans="1:81">
      <c r="A24">
        <v>1</v>
      </c>
      <c r="C24" s="56">
        <f>+'Mortalidad F'!D43</f>
        <v>637</v>
      </c>
      <c r="D24" s="56">
        <f>+'Mortalidad F'!E43</f>
        <v>740</v>
      </c>
      <c r="E24" s="56">
        <f>+'Mortalidad F'!F43</f>
        <v>582</v>
      </c>
      <c r="F24" s="56">
        <f>+'Mortalidad F'!G43</f>
        <v>608</v>
      </c>
      <c r="G24" s="56">
        <f>+'Mortalidad F'!H43</f>
        <v>564</v>
      </c>
      <c r="H24" s="56">
        <f>+'Mortalidad F'!I43</f>
        <v>568</v>
      </c>
      <c r="I24" s="56">
        <f>+'Mortalidad F'!J43</f>
        <v>581</v>
      </c>
      <c r="J24" s="56">
        <f>+'Mortalidad F'!K43</f>
        <v>545</v>
      </c>
      <c r="K24" s="56">
        <f>+'Mortalidad F'!L43</f>
        <v>714</v>
      </c>
      <c r="L24" s="56">
        <f>+'Mortalidad F'!M43</f>
        <v>501</v>
      </c>
      <c r="M24" s="56">
        <f>+'Mortalidad F'!N43</f>
        <v>402</v>
      </c>
      <c r="N24" s="56">
        <f>+'Mortalidad F'!O43</f>
        <v>391</v>
      </c>
      <c r="O24" s="56">
        <f>+'Mortalidad F'!P43</f>
        <v>364</v>
      </c>
      <c r="P24" s="56">
        <f>+'Mortalidad F'!Q43</f>
        <v>293</v>
      </c>
      <c r="Q24" s="56">
        <f>+'Mortalidad F'!R43</f>
        <v>308</v>
      </c>
      <c r="R24" s="56">
        <f>+'Mortalidad F'!S43</f>
        <v>290</v>
      </c>
      <c r="S24" s="56">
        <f>+'Mortalidad F'!T43</f>
        <v>297</v>
      </c>
    </row>
    <row r="25" spans="1:81">
      <c r="A25">
        <v>2</v>
      </c>
      <c r="C25" s="56">
        <f>+'Mortalidad F'!D44</f>
        <v>249</v>
      </c>
      <c r="D25" s="56">
        <f>+'Mortalidad F'!E44</f>
        <v>279</v>
      </c>
      <c r="E25" s="56">
        <f>+'Mortalidad F'!F44</f>
        <v>256</v>
      </c>
      <c r="F25" s="56">
        <f>+'Mortalidad F'!G44</f>
        <v>255</v>
      </c>
      <c r="G25" s="56">
        <f>+'Mortalidad F'!H44</f>
        <v>229</v>
      </c>
      <c r="H25" s="56">
        <f>+'Mortalidad F'!I44</f>
        <v>220</v>
      </c>
      <c r="I25" s="56">
        <f>+'Mortalidad F'!J44</f>
        <v>235</v>
      </c>
      <c r="J25" s="56">
        <f>+'Mortalidad F'!K44</f>
        <v>187</v>
      </c>
      <c r="K25" s="56">
        <f>+'Mortalidad F'!L44</f>
        <v>282</v>
      </c>
      <c r="L25" s="56">
        <f>+'Mortalidad F'!M44</f>
        <v>208</v>
      </c>
      <c r="M25" s="56">
        <f>+'Mortalidad F'!N44</f>
        <v>171</v>
      </c>
      <c r="N25" s="56">
        <f>+'Mortalidad F'!O44</f>
        <v>148</v>
      </c>
      <c r="O25" s="56">
        <f>+'Mortalidad F'!P44</f>
        <v>165</v>
      </c>
      <c r="P25" s="56">
        <f>+'Mortalidad F'!Q44</f>
        <v>149</v>
      </c>
      <c r="Q25" s="56">
        <f>+'Mortalidad F'!R44</f>
        <v>176</v>
      </c>
      <c r="R25" s="56">
        <f>+'Mortalidad F'!S44</f>
        <v>138</v>
      </c>
      <c r="S25" s="56">
        <f>+'Mortalidad F'!T44</f>
        <v>164</v>
      </c>
    </row>
    <row r="26" spans="1:81">
      <c r="A26">
        <v>3</v>
      </c>
      <c r="C26" s="56">
        <f>+'Mortalidad F'!D45</f>
        <v>157</v>
      </c>
      <c r="D26" s="56">
        <f>+'Mortalidad F'!E45</f>
        <v>162</v>
      </c>
      <c r="E26" s="56">
        <f>+'Mortalidad F'!F45</f>
        <v>158</v>
      </c>
      <c r="F26" s="56">
        <f>+'Mortalidad F'!G45</f>
        <v>162</v>
      </c>
      <c r="G26" s="56">
        <f>+'Mortalidad F'!H45</f>
        <v>163</v>
      </c>
      <c r="H26" s="56">
        <f>+'Mortalidad F'!I45</f>
        <v>144</v>
      </c>
      <c r="I26" s="56">
        <f>+'Mortalidad F'!J45</f>
        <v>127</v>
      </c>
      <c r="J26" s="56">
        <f>+'Mortalidad F'!K45</f>
        <v>139</v>
      </c>
      <c r="K26" s="56">
        <f>+'Mortalidad F'!L45</f>
        <v>176</v>
      </c>
      <c r="L26" s="56">
        <f>+'Mortalidad F'!M45</f>
        <v>144</v>
      </c>
      <c r="M26" s="56">
        <f>+'Mortalidad F'!N45</f>
        <v>107</v>
      </c>
      <c r="N26" s="56">
        <f>+'Mortalidad F'!O45</f>
        <v>101</v>
      </c>
      <c r="O26" s="56">
        <f>+'Mortalidad F'!P45</f>
        <v>115</v>
      </c>
      <c r="P26" s="56">
        <f>+'Mortalidad F'!Q45</f>
        <v>105</v>
      </c>
      <c r="Q26" s="56">
        <f>+'Mortalidad F'!R45</f>
        <v>113</v>
      </c>
      <c r="R26" s="56">
        <f>+'Mortalidad F'!S45</f>
        <v>88</v>
      </c>
      <c r="S26" s="56">
        <f>+'Mortalidad F'!T45</f>
        <v>106</v>
      </c>
    </row>
    <row r="27" spans="1:81">
      <c r="A27">
        <v>4</v>
      </c>
      <c r="C27" s="56">
        <f>+'Mortalidad F'!D46</f>
        <v>98</v>
      </c>
      <c r="D27" s="56">
        <f>+'Mortalidad F'!E46</f>
        <v>129</v>
      </c>
      <c r="E27" s="56">
        <f>+'Mortalidad F'!F46</f>
        <v>130</v>
      </c>
      <c r="F27" s="56">
        <f>+'Mortalidad F'!G46</f>
        <v>108</v>
      </c>
      <c r="G27" s="56">
        <f>+'Mortalidad F'!H46</f>
        <v>119</v>
      </c>
      <c r="H27" s="56">
        <f>+'Mortalidad F'!I46</f>
        <v>102</v>
      </c>
      <c r="I27" s="56">
        <f>+'Mortalidad F'!J46</f>
        <v>112</v>
      </c>
      <c r="J27" s="56">
        <f>+'Mortalidad F'!K46</f>
        <v>111</v>
      </c>
      <c r="K27" s="56">
        <f>+'Mortalidad F'!L46</f>
        <v>108</v>
      </c>
      <c r="L27" s="56">
        <f>+'Mortalidad F'!M46</f>
        <v>124</v>
      </c>
      <c r="M27" s="56">
        <f>+'Mortalidad F'!N46</f>
        <v>82</v>
      </c>
      <c r="N27" s="56">
        <f>+'Mortalidad F'!O46</f>
        <v>99</v>
      </c>
      <c r="O27" s="56">
        <f>+'Mortalidad F'!P46</f>
        <v>80</v>
      </c>
      <c r="P27" s="56">
        <f>+'Mortalidad F'!Q46</f>
        <v>80</v>
      </c>
      <c r="Q27" s="56">
        <f>+'Mortalidad F'!R46</f>
        <v>79</v>
      </c>
      <c r="R27" s="56">
        <f>+'Mortalidad F'!S46</f>
        <v>104</v>
      </c>
      <c r="S27" s="56">
        <f>+'Mortalidad F'!T46</f>
        <v>93</v>
      </c>
    </row>
    <row r="28" spans="1:81">
      <c r="A28">
        <v>5</v>
      </c>
      <c r="B28">
        <v>0.20077275108348988</v>
      </c>
      <c r="C28" s="56">
        <f>+$B28*C$3</f>
        <v>84.123782703982258</v>
      </c>
      <c r="D28" s="56">
        <f t="shared" ref="D28:S32" si="0">+$B28*D$3</f>
        <v>85.529191961566696</v>
      </c>
      <c r="E28" s="56">
        <f t="shared" si="0"/>
        <v>80.108327682312463</v>
      </c>
      <c r="F28" s="56">
        <f t="shared" si="0"/>
        <v>81.513736939896887</v>
      </c>
      <c r="G28" s="56">
        <f t="shared" si="0"/>
        <v>83.521464450731784</v>
      </c>
      <c r="H28" s="56">
        <f t="shared" si="0"/>
        <v>79.907554931228972</v>
      </c>
      <c r="I28" s="56">
        <f t="shared" si="0"/>
        <v>87.938464974568575</v>
      </c>
      <c r="J28" s="56">
        <f t="shared" si="0"/>
        <v>73.884372398724281</v>
      </c>
      <c r="K28" s="56">
        <f t="shared" si="0"/>
        <v>75.892099909559178</v>
      </c>
      <c r="L28" s="56">
        <f t="shared" si="0"/>
        <v>74.285917900891249</v>
      </c>
      <c r="M28" s="56">
        <f t="shared" si="0"/>
        <v>68.061962617303067</v>
      </c>
      <c r="N28" s="56">
        <f t="shared" si="0"/>
        <v>70.471235630304946</v>
      </c>
      <c r="O28" s="56">
        <f t="shared" si="0"/>
        <v>62.038780084798375</v>
      </c>
      <c r="P28" s="56">
        <f t="shared" si="0"/>
        <v>60.432598076130454</v>
      </c>
      <c r="Q28" s="56">
        <f t="shared" si="0"/>
        <v>65.652689604301187</v>
      </c>
      <c r="R28" s="56">
        <f t="shared" si="0"/>
        <v>67.258871612969116</v>
      </c>
      <c r="S28" s="56">
        <f t="shared" si="0"/>
        <v>57.421006809878108</v>
      </c>
    </row>
    <row r="29" spans="1:81">
      <c r="A29">
        <v>6</v>
      </c>
      <c r="B29">
        <v>0.19987826121455193</v>
      </c>
      <c r="C29" s="56">
        <f t="shared" ref="C29:R32" si="1">+$B29*C$3</f>
        <v>83.748991448897257</v>
      </c>
      <c r="D29" s="56">
        <f t="shared" si="1"/>
        <v>85.148139277399125</v>
      </c>
      <c r="E29" s="56">
        <f t="shared" si="1"/>
        <v>79.75142622460622</v>
      </c>
      <c r="F29" s="56">
        <f t="shared" si="1"/>
        <v>81.150574053108087</v>
      </c>
      <c r="G29" s="56">
        <f t="shared" si="1"/>
        <v>83.149356665253606</v>
      </c>
      <c r="H29" s="56">
        <f t="shared" si="1"/>
        <v>79.55154796339167</v>
      </c>
      <c r="I29" s="56">
        <f t="shared" si="1"/>
        <v>87.546678411973744</v>
      </c>
      <c r="J29" s="56">
        <f t="shared" si="1"/>
        <v>73.555200126955114</v>
      </c>
      <c r="K29" s="56">
        <f t="shared" si="1"/>
        <v>75.553982739100633</v>
      </c>
      <c r="L29" s="56">
        <f t="shared" si="1"/>
        <v>73.954956649384215</v>
      </c>
      <c r="M29" s="56">
        <f t="shared" si="1"/>
        <v>67.758730551733109</v>
      </c>
      <c r="N29" s="56">
        <f t="shared" si="1"/>
        <v>70.157269686307728</v>
      </c>
      <c r="O29" s="56">
        <f t="shared" si="1"/>
        <v>61.762382715296546</v>
      </c>
      <c r="P29" s="56">
        <f t="shared" si="1"/>
        <v>60.163356625580128</v>
      </c>
      <c r="Q29" s="56">
        <f t="shared" si="1"/>
        <v>65.360191417158475</v>
      </c>
      <c r="R29" s="56">
        <f t="shared" si="1"/>
        <v>66.959217506874893</v>
      </c>
      <c r="S29" s="56">
        <f t="shared" si="0"/>
        <v>57.165182707361851</v>
      </c>
    </row>
    <row r="30" spans="1:81">
      <c r="A30">
        <v>7</v>
      </c>
      <c r="B30">
        <v>0.19944662852625539</v>
      </c>
      <c r="C30" s="56">
        <f t="shared" si="1"/>
        <v>83.568137352501012</v>
      </c>
      <c r="D30" s="56">
        <f t="shared" si="0"/>
        <v>84.964263752184792</v>
      </c>
      <c r="E30" s="56">
        <f t="shared" si="0"/>
        <v>79.579204781975903</v>
      </c>
      <c r="F30" s="56">
        <f t="shared" si="0"/>
        <v>80.975331181659683</v>
      </c>
      <c r="G30" s="56">
        <f t="shared" si="0"/>
        <v>82.969797466922245</v>
      </c>
      <c r="H30" s="56">
        <f t="shared" si="0"/>
        <v>79.379758153449643</v>
      </c>
      <c r="I30" s="56">
        <f t="shared" si="0"/>
        <v>87.357623294499859</v>
      </c>
      <c r="J30" s="56">
        <f t="shared" si="0"/>
        <v>73.396359297661988</v>
      </c>
      <c r="K30" s="56">
        <f t="shared" si="0"/>
        <v>75.390825582924535</v>
      </c>
      <c r="L30" s="56">
        <f t="shared" si="0"/>
        <v>73.795252554714494</v>
      </c>
      <c r="M30" s="56">
        <f t="shared" si="0"/>
        <v>67.612407070400579</v>
      </c>
      <c r="N30" s="56">
        <f t="shared" si="0"/>
        <v>70.005766612715647</v>
      </c>
      <c r="O30" s="56">
        <f t="shared" si="0"/>
        <v>61.629008214612917</v>
      </c>
      <c r="P30" s="56">
        <f t="shared" si="0"/>
        <v>60.033435186402869</v>
      </c>
      <c r="Q30" s="56">
        <f t="shared" si="0"/>
        <v>65.219047528085511</v>
      </c>
      <c r="R30" s="56">
        <f t="shared" si="0"/>
        <v>66.814620556295552</v>
      </c>
      <c r="S30" s="56">
        <f t="shared" si="0"/>
        <v>57.041735758509041</v>
      </c>
    </row>
    <row r="31" spans="1:81">
      <c r="A31">
        <v>8</v>
      </c>
      <c r="B31">
        <v>0.19961854690763647</v>
      </c>
      <c r="C31" s="56">
        <f t="shared" si="1"/>
        <v>83.640171154299679</v>
      </c>
      <c r="D31" s="56">
        <f t="shared" si="0"/>
        <v>85.037500982653143</v>
      </c>
      <c r="E31" s="56">
        <f t="shared" si="0"/>
        <v>79.647800216146948</v>
      </c>
      <c r="F31" s="56">
        <f t="shared" si="0"/>
        <v>81.045130044500411</v>
      </c>
      <c r="G31" s="56">
        <f t="shared" si="0"/>
        <v>83.041315513576777</v>
      </c>
      <c r="H31" s="56">
        <f t="shared" si="0"/>
        <v>79.448181669239318</v>
      </c>
      <c r="I31" s="56">
        <f t="shared" si="0"/>
        <v>87.432923545544782</v>
      </c>
      <c r="J31" s="56">
        <f t="shared" si="0"/>
        <v>73.459625262010221</v>
      </c>
      <c r="K31" s="56">
        <f t="shared" si="0"/>
        <v>75.455810731086586</v>
      </c>
      <c r="L31" s="56">
        <f t="shared" si="0"/>
        <v>73.858862355825494</v>
      </c>
      <c r="M31" s="56">
        <f t="shared" si="0"/>
        <v>67.670687401688767</v>
      </c>
      <c r="N31" s="56">
        <f t="shared" si="0"/>
        <v>70.066109964580406</v>
      </c>
      <c r="O31" s="56">
        <f t="shared" si="0"/>
        <v>61.682130994459669</v>
      </c>
      <c r="P31" s="56">
        <f t="shared" si="0"/>
        <v>60.085182619198577</v>
      </c>
      <c r="Q31" s="56">
        <f t="shared" si="0"/>
        <v>65.275264838797128</v>
      </c>
      <c r="R31" s="56">
        <f t="shared" si="0"/>
        <v>66.87221321405822</v>
      </c>
      <c r="S31" s="56">
        <f t="shared" si="0"/>
        <v>57.090904415584035</v>
      </c>
    </row>
    <row r="32" spans="1:81">
      <c r="A32">
        <v>9</v>
      </c>
      <c r="B32">
        <v>0.2002838122680663</v>
      </c>
      <c r="C32" s="56">
        <f t="shared" si="1"/>
        <v>83.91891734031978</v>
      </c>
      <c r="D32" s="56">
        <f t="shared" si="0"/>
        <v>85.320904026196246</v>
      </c>
      <c r="E32" s="56">
        <f t="shared" si="0"/>
        <v>79.913241094958451</v>
      </c>
      <c r="F32" s="56">
        <f t="shared" si="0"/>
        <v>81.315227780834917</v>
      </c>
      <c r="G32" s="56">
        <f t="shared" si="0"/>
        <v>83.318065903515574</v>
      </c>
      <c r="H32" s="56">
        <f t="shared" si="0"/>
        <v>79.712957282690382</v>
      </c>
      <c r="I32" s="56">
        <f t="shared" si="0"/>
        <v>87.72430977341304</v>
      </c>
      <c r="J32" s="56">
        <f t="shared" si="0"/>
        <v>73.704442914648396</v>
      </c>
      <c r="K32" s="56">
        <f t="shared" si="0"/>
        <v>75.707281037329054</v>
      </c>
      <c r="L32" s="56">
        <f t="shared" si="0"/>
        <v>74.105010539184534</v>
      </c>
      <c r="M32" s="56">
        <f t="shared" si="0"/>
        <v>67.896212358874479</v>
      </c>
      <c r="N32" s="56">
        <f t="shared" si="0"/>
        <v>70.299618106091273</v>
      </c>
      <c r="O32" s="56">
        <f t="shared" si="0"/>
        <v>61.887697990832486</v>
      </c>
      <c r="P32" s="56">
        <f t="shared" si="0"/>
        <v>60.285427492687958</v>
      </c>
      <c r="Q32" s="56">
        <f t="shared" si="0"/>
        <v>65.492806611657684</v>
      </c>
      <c r="R32" s="56">
        <f t="shared" si="0"/>
        <v>67.095077109802205</v>
      </c>
      <c r="S32" s="56">
        <f t="shared" si="0"/>
        <v>57.281170308666958</v>
      </c>
    </row>
    <row r="33" spans="1:19">
      <c r="A33">
        <v>10</v>
      </c>
      <c r="B33">
        <v>0.20207706478921078</v>
      </c>
      <c r="C33" s="56">
        <f>+$B33*C$4</f>
        <v>84.064058952311683</v>
      </c>
      <c r="D33" s="56">
        <f t="shared" ref="D33:S37" si="2">+$B33*D$4</f>
        <v>83.659904822733267</v>
      </c>
      <c r="E33" s="56">
        <f t="shared" si="2"/>
        <v>81.841211239630368</v>
      </c>
      <c r="F33" s="56">
        <f t="shared" si="2"/>
        <v>82.245365369208784</v>
      </c>
      <c r="G33" s="56">
        <f t="shared" si="2"/>
        <v>78.20382407342457</v>
      </c>
      <c r="H33" s="56">
        <f t="shared" si="2"/>
        <v>73.353974518483511</v>
      </c>
      <c r="I33" s="56">
        <f t="shared" si="2"/>
        <v>85.276521341046944</v>
      </c>
      <c r="J33" s="56">
        <f t="shared" si="2"/>
        <v>85.276521341046944</v>
      </c>
      <c r="K33" s="56">
        <f t="shared" si="2"/>
        <v>85.478598405836166</v>
      </c>
      <c r="L33" s="56">
        <f t="shared" si="2"/>
        <v>85.882752535414582</v>
      </c>
      <c r="M33" s="56">
        <f t="shared" si="2"/>
        <v>70.120741481856143</v>
      </c>
      <c r="N33" s="56">
        <f t="shared" si="2"/>
        <v>83.457827757944059</v>
      </c>
      <c r="O33" s="56">
        <f t="shared" si="2"/>
        <v>79.012132332581416</v>
      </c>
      <c r="P33" s="56">
        <f t="shared" si="2"/>
        <v>78.607978203003</v>
      </c>
      <c r="Q33" s="56">
        <f t="shared" si="2"/>
        <v>71.535280935380612</v>
      </c>
      <c r="R33" s="56">
        <f t="shared" si="2"/>
        <v>68.908279093120882</v>
      </c>
      <c r="S33" s="56">
        <f t="shared" si="2"/>
        <v>75.374745166375618</v>
      </c>
    </row>
    <row r="34" spans="1:19">
      <c r="A34">
        <v>11</v>
      </c>
      <c r="B34">
        <v>0.20237241705216291</v>
      </c>
      <c r="C34" s="56">
        <f t="shared" ref="C34:R37" si="3">+$B34*C$4</f>
        <v>84.186925493699775</v>
      </c>
      <c r="D34" s="56">
        <f t="shared" si="3"/>
        <v>83.78218065959544</v>
      </c>
      <c r="E34" s="56">
        <f t="shared" si="3"/>
        <v>81.960828906125982</v>
      </c>
      <c r="F34" s="56">
        <f t="shared" si="3"/>
        <v>82.365573740230303</v>
      </c>
      <c r="G34" s="56">
        <f t="shared" si="3"/>
        <v>78.318125399187053</v>
      </c>
      <c r="H34" s="56">
        <f t="shared" si="3"/>
        <v>73.461187389935134</v>
      </c>
      <c r="I34" s="56">
        <f t="shared" si="3"/>
        <v>85.401159996012751</v>
      </c>
      <c r="J34" s="56">
        <f t="shared" si="3"/>
        <v>85.401159996012751</v>
      </c>
      <c r="K34" s="56">
        <f t="shared" si="3"/>
        <v>85.603532413064912</v>
      </c>
      <c r="L34" s="56">
        <f t="shared" si="3"/>
        <v>86.008277247169232</v>
      </c>
      <c r="M34" s="56">
        <f t="shared" si="3"/>
        <v>70.223228717100525</v>
      </c>
      <c r="N34" s="56">
        <f t="shared" si="3"/>
        <v>83.57980824254328</v>
      </c>
      <c r="O34" s="56">
        <f t="shared" si="3"/>
        <v>79.127615067395695</v>
      </c>
      <c r="P34" s="56">
        <f t="shared" si="3"/>
        <v>78.722870233291374</v>
      </c>
      <c r="Q34" s="56">
        <f t="shared" si="3"/>
        <v>71.639835636465676</v>
      </c>
      <c r="R34" s="56">
        <f t="shared" si="3"/>
        <v>69.008994214787549</v>
      </c>
      <c r="S34" s="56">
        <f t="shared" si="2"/>
        <v>75.484911560456766</v>
      </c>
    </row>
    <row r="35" spans="1:19">
      <c r="A35">
        <v>12</v>
      </c>
      <c r="B35">
        <v>0.20146420884358512</v>
      </c>
      <c r="C35" s="56">
        <f t="shared" si="3"/>
        <v>83.809110878931406</v>
      </c>
      <c r="D35" s="56">
        <f t="shared" si="2"/>
        <v>83.406182461244242</v>
      </c>
      <c r="E35" s="56">
        <f t="shared" si="2"/>
        <v>81.593004581651982</v>
      </c>
      <c r="F35" s="56">
        <f t="shared" si="2"/>
        <v>81.995932999339146</v>
      </c>
      <c r="G35" s="56">
        <f t="shared" si="2"/>
        <v>77.966648822467448</v>
      </c>
      <c r="H35" s="56">
        <f t="shared" si="2"/>
        <v>73.131507810221393</v>
      </c>
      <c r="I35" s="56">
        <f t="shared" si="2"/>
        <v>85.017896131992927</v>
      </c>
      <c r="J35" s="56">
        <f t="shared" si="2"/>
        <v>85.017896131992927</v>
      </c>
      <c r="K35" s="56">
        <f t="shared" si="2"/>
        <v>85.219360340836502</v>
      </c>
      <c r="L35" s="56">
        <f t="shared" si="2"/>
        <v>85.62228875852368</v>
      </c>
      <c r="M35" s="56">
        <f t="shared" si="2"/>
        <v>69.908080468724037</v>
      </c>
      <c r="N35" s="56">
        <f t="shared" si="2"/>
        <v>83.204718252400653</v>
      </c>
      <c r="O35" s="56">
        <f t="shared" si="2"/>
        <v>78.772505657841791</v>
      </c>
      <c r="P35" s="56">
        <f t="shared" si="2"/>
        <v>78.369577240154612</v>
      </c>
      <c r="Q35" s="56">
        <f t="shared" si="2"/>
        <v>71.318329930629133</v>
      </c>
      <c r="R35" s="56">
        <f t="shared" si="2"/>
        <v>68.699295215662531</v>
      </c>
      <c r="S35" s="56">
        <f t="shared" si="2"/>
        <v>75.146149898657256</v>
      </c>
    </row>
    <row r="36" spans="1:19">
      <c r="A36">
        <v>13</v>
      </c>
      <c r="B36">
        <v>0.19892454857252559</v>
      </c>
      <c r="C36" s="56">
        <f t="shared" si="3"/>
        <v>82.752612206170639</v>
      </c>
      <c r="D36" s="56">
        <f t="shared" si="2"/>
        <v>82.354763109025598</v>
      </c>
      <c r="E36" s="56">
        <f t="shared" si="2"/>
        <v>80.564442171872869</v>
      </c>
      <c r="F36" s="56">
        <f t="shared" si="2"/>
        <v>80.962291269017911</v>
      </c>
      <c r="G36" s="56">
        <f t="shared" si="2"/>
        <v>76.983800297567399</v>
      </c>
      <c r="H36" s="56">
        <f t="shared" si="2"/>
        <v>72.20961113182679</v>
      </c>
      <c r="I36" s="56">
        <f t="shared" si="2"/>
        <v>83.946159497605805</v>
      </c>
      <c r="J36" s="56">
        <f t="shared" si="2"/>
        <v>83.946159497605805</v>
      </c>
      <c r="K36" s="56">
        <f t="shared" si="2"/>
        <v>84.145084046178326</v>
      </c>
      <c r="L36" s="56">
        <f t="shared" si="2"/>
        <v>84.542933143323381</v>
      </c>
      <c r="M36" s="56">
        <f t="shared" si="2"/>
        <v>69.026818354666375</v>
      </c>
      <c r="N36" s="56">
        <f t="shared" si="2"/>
        <v>82.155838560453063</v>
      </c>
      <c r="O36" s="56">
        <f t="shared" si="2"/>
        <v>77.77949849185751</v>
      </c>
      <c r="P36" s="56">
        <f t="shared" si="2"/>
        <v>77.381649394712454</v>
      </c>
      <c r="Q36" s="56">
        <f t="shared" si="2"/>
        <v>70.419290194674062</v>
      </c>
      <c r="R36" s="56">
        <f t="shared" si="2"/>
        <v>67.833271063231223</v>
      </c>
      <c r="S36" s="56">
        <f t="shared" si="2"/>
        <v>74.198856617552039</v>
      </c>
    </row>
    <row r="37" spans="1:19">
      <c r="A37">
        <v>14</v>
      </c>
      <c r="B37">
        <v>0.19516176074251559</v>
      </c>
      <c r="C37" s="56">
        <f t="shared" si="3"/>
        <v>81.187292468886483</v>
      </c>
      <c r="D37" s="56">
        <f t="shared" si="2"/>
        <v>80.796968947401453</v>
      </c>
      <c r="E37" s="56">
        <f t="shared" si="2"/>
        <v>79.040513100718812</v>
      </c>
      <c r="F37" s="56">
        <f t="shared" si="2"/>
        <v>79.430836622203842</v>
      </c>
      <c r="G37" s="56">
        <f t="shared" si="2"/>
        <v>75.527601407353529</v>
      </c>
      <c r="H37" s="56">
        <f t="shared" si="2"/>
        <v>70.843719149533158</v>
      </c>
      <c r="I37" s="56">
        <f t="shared" si="2"/>
        <v>82.358263033341586</v>
      </c>
      <c r="J37" s="56">
        <f t="shared" si="2"/>
        <v>82.358263033341586</v>
      </c>
      <c r="K37" s="56">
        <f t="shared" si="2"/>
        <v>82.553424794084094</v>
      </c>
      <c r="L37" s="56">
        <f t="shared" si="2"/>
        <v>82.943748315569124</v>
      </c>
      <c r="M37" s="56">
        <f t="shared" si="2"/>
        <v>67.721130977652905</v>
      </c>
      <c r="N37" s="56">
        <f t="shared" si="2"/>
        <v>80.601807186658945</v>
      </c>
      <c r="O37" s="56">
        <f t="shared" si="2"/>
        <v>76.308248450323603</v>
      </c>
      <c r="P37" s="56">
        <f t="shared" si="2"/>
        <v>75.917924928838559</v>
      </c>
      <c r="Q37" s="56">
        <f t="shared" si="2"/>
        <v>69.087263302850516</v>
      </c>
      <c r="R37" s="56">
        <f t="shared" si="2"/>
        <v>66.550160413197816</v>
      </c>
      <c r="S37" s="56">
        <f t="shared" si="2"/>
        <v>72.795336756958321</v>
      </c>
    </row>
    <row r="38" spans="1:19">
      <c r="A38">
        <v>15</v>
      </c>
      <c r="B38">
        <v>0.2082231039232203</v>
      </c>
      <c r="C38" s="56">
        <f>+$B38*C$5</f>
        <v>134.72034823832354</v>
      </c>
      <c r="D38" s="56">
        <f t="shared" ref="D38:S42" si="4">+$B38*D$5</f>
        <v>140.34237204425048</v>
      </c>
      <c r="E38" s="56">
        <f t="shared" si="4"/>
        <v>128.89010132847338</v>
      </c>
      <c r="F38" s="56">
        <f t="shared" si="4"/>
        <v>123.0598544186232</v>
      </c>
      <c r="G38" s="56">
        <f t="shared" si="4"/>
        <v>133.67923271870742</v>
      </c>
      <c r="H38" s="56">
        <f t="shared" si="4"/>
        <v>136.3861330697093</v>
      </c>
      <c r="I38" s="56">
        <f t="shared" si="4"/>
        <v>135.55324065401641</v>
      </c>
      <c r="J38" s="56">
        <f t="shared" si="4"/>
        <v>158.66600518949386</v>
      </c>
      <c r="K38" s="56">
        <f t="shared" si="4"/>
        <v>146.17261895410064</v>
      </c>
      <c r="L38" s="56">
        <f t="shared" si="4"/>
        <v>148.25484999333284</v>
      </c>
      <c r="M38" s="56">
        <f t="shared" si="4"/>
        <v>134.3039020304771</v>
      </c>
      <c r="N38" s="56">
        <f t="shared" si="4"/>
        <v>147.83840378548641</v>
      </c>
      <c r="O38" s="56">
        <f t="shared" si="4"/>
        <v>143.67394170702201</v>
      </c>
      <c r="P38" s="56">
        <f t="shared" si="4"/>
        <v>156.79199725418488</v>
      </c>
      <c r="Q38" s="56">
        <f t="shared" si="4"/>
        <v>158.66600518949386</v>
      </c>
      <c r="R38" s="56">
        <f t="shared" si="4"/>
        <v>158.66600518949386</v>
      </c>
      <c r="S38" s="56">
        <f t="shared" si="4"/>
        <v>141.79993377171303</v>
      </c>
    </row>
    <row r="39" spans="1:19">
      <c r="A39">
        <v>16</v>
      </c>
      <c r="B39">
        <v>0.20363425710513902</v>
      </c>
      <c r="C39" s="56">
        <f t="shared" ref="C39:R42" si="5">+$B39*C$5</f>
        <v>131.75136434702495</v>
      </c>
      <c r="D39" s="56">
        <f t="shared" si="5"/>
        <v>137.24948928886371</v>
      </c>
      <c r="E39" s="56">
        <f t="shared" si="5"/>
        <v>126.04960514808106</v>
      </c>
      <c r="F39" s="56">
        <f t="shared" si="5"/>
        <v>120.34784594913717</v>
      </c>
      <c r="G39" s="56">
        <f t="shared" si="5"/>
        <v>130.73319306149926</v>
      </c>
      <c r="H39" s="56">
        <f t="shared" si="5"/>
        <v>133.38043840386607</v>
      </c>
      <c r="I39" s="56">
        <f t="shared" si="5"/>
        <v>132.56590137544549</v>
      </c>
      <c r="J39" s="56">
        <f t="shared" si="5"/>
        <v>155.16930391411594</v>
      </c>
      <c r="K39" s="56">
        <f t="shared" si="5"/>
        <v>142.95124848780759</v>
      </c>
      <c r="L39" s="56">
        <f t="shared" si="5"/>
        <v>144.98759105885898</v>
      </c>
      <c r="M39" s="56">
        <f t="shared" si="5"/>
        <v>131.34409583281467</v>
      </c>
      <c r="N39" s="56">
        <f t="shared" si="5"/>
        <v>144.58032254464871</v>
      </c>
      <c r="O39" s="56">
        <f t="shared" si="5"/>
        <v>140.50763740254592</v>
      </c>
      <c r="P39" s="56">
        <f t="shared" si="5"/>
        <v>153.33659560016969</v>
      </c>
      <c r="Q39" s="56">
        <f t="shared" si="5"/>
        <v>155.16930391411594</v>
      </c>
      <c r="R39" s="56">
        <f t="shared" si="5"/>
        <v>155.16930391411594</v>
      </c>
      <c r="S39" s="56">
        <f t="shared" si="4"/>
        <v>138.67492908859967</v>
      </c>
    </row>
    <row r="40" spans="1:19">
      <c r="A40">
        <v>17</v>
      </c>
      <c r="B40">
        <v>0.19941361378031788</v>
      </c>
      <c r="C40" s="56">
        <f t="shared" si="5"/>
        <v>129.02060811586568</v>
      </c>
      <c r="D40" s="56">
        <f t="shared" si="4"/>
        <v>134.40477568793426</v>
      </c>
      <c r="E40" s="56">
        <f t="shared" si="4"/>
        <v>123.43702693001677</v>
      </c>
      <c r="F40" s="56">
        <f t="shared" si="4"/>
        <v>117.85344574416787</v>
      </c>
      <c r="G40" s="56">
        <f t="shared" si="4"/>
        <v>128.02354004696409</v>
      </c>
      <c r="H40" s="56">
        <f t="shared" si="4"/>
        <v>130.61591702610821</v>
      </c>
      <c r="I40" s="56">
        <f t="shared" si="4"/>
        <v>129.81826257098695</v>
      </c>
      <c r="J40" s="56">
        <f t="shared" si="4"/>
        <v>151.95317370060224</v>
      </c>
      <c r="K40" s="56">
        <f t="shared" si="4"/>
        <v>139.98835687378315</v>
      </c>
      <c r="L40" s="56">
        <f t="shared" si="4"/>
        <v>141.98249301158634</v>
      </c>
      <c r="M40" s="56">
        <f t="shared" si="4"/>
        <v>128.62178088830504</v>
      </c>
      <c r="N40" s="56">
        <f t="shared" si="4"/>
        <v>141.5836657840257</v>
      </c>
      <c r="O40" s="56">
        <f t="shared" si="4"/>
        <v>137.59539350841933</v>
      </c>
      <c r="P40" s="56">
        <f t="shared" si="4"/>
        <v>150.15845117657938</v>
      </c>
      <c r="Q40" s="56">
        <f t="shared" si="4"/>
        <v>151.95317370060224</v>
      </c>
      <c r="R40" s="56">
        <f t="shared" si="4"/>
        <v>151.95317370060224</v>
      </c>
      <c r="S40" s="56">
        <f t="shared" si="4"/>
        <v>135.80067098439648</v>
      </c>
    </row>
    <row r="41" spans="1:19">
      <c r="A41">
        <v>18</v>
      </c>
      <c r="B41">
        <v>0.19589795526206702</v>
      </c>
      <c r="C41" s="56">
        <f t="shared" si="5"/>
        <v>126.74597705455736</v>
      </c>
      <c r="D41" s="56">
        <f t="shared" si="4"/>
        <v>132.03522184663316</v>
      </c>
      <c r="E41" s="56">
        <f t="shared" si="4"/>
        <v>121.26083430721948</v>
      </c>
      <c r="F41" s="56">
        <f t="shared" si="4"/>
        <v>115.77569155988161</v>
      </c>
      <c r="G41" s="56">
        <f t="shared" si="4"/>
        <v>125.76648727824703</v>
      </c>
      <c r="H41" s="56">
        <f t="shared" si="4"/>
        <v>128.31316069665391</v>
      </c>
      <c r="I41" s="56">
        <f t="shared" si="4"/>
        <v>127.52956887560563</v>
      </c>
      <c r="J41" s="56">
        <f t="shared" si="4"/>
        <v>149.27424190969506</v>
      </c>
      <c r="K41" s="56">
        <f t="shared" si="4"/>
        <v>137.52036459397104</v>
      </c>
      <c r="L41" s="56">
        <f t="shared" si="4"/>
        <v>139.47934414659173</v>
      </c>
      <c r="M41" s="56">
        <f t="shared" si="4"/>
        <v>126.35418114403323</v>
      </c>
      <c r="N41" s="56">
        <f t="shared" si="4"/>
        <v>139.08754823606759</v>
      </c>
      <c r="O41" s="56">
        <f t="shared" si="4"/>
        <v>135.16958913082624</v>
      </c>
      <c r="P41" s="56">
        <f t="shared" si="4"/>
        <v>147.51116031233647</v>
      </c>
      <c r="Q41" s="56">
        <f t="shared" si="4"/>
        <v>149.27424190969506</v>
      </c>
      <c r="R41" s="56">
        <f t="shared" si="4"/>
        <v>149.27424190969506</v>
      </c>
      <c r="S41" s="56">
        <f t="shared" si="4"/>
        <v>133.40650753346765</v>
      </c>
    </row>
    <row r="42" spans="1:19">
      <c r="A42">
        <v>19</v>
      </c>
      <c r="B42">
        <v>0.19283106992925578</v>
      </c>
      <c r="C42" s="56">
        <f t="shared" si="5"/>
        <v>124.76170224422849</v>
      </c>
      <c r="D42" s="56">
        <f t="shared" si="4"/>
        <v>129.96814113231841</v>
      </c>
      <c r="E42" s="56">
        <f t="shared" si="4"/>
        <v>119.36243228620933</v>
      </c>
      <c r="F42" s="56">
        <f t="shared" si="4"/>
        <v>113.96316232819017</v>
      </c>
      <c r="G42" s="56">
        <f t="shared" si="4"/>
        <v>123.79754689458221</v>
      </c>
      <c r="H42" s="56">
        <f t="shared" si="4"/>
        <v>126.30435080366253</v>
      </c>
      <c r="I42" s="56">
        <f t="shared" si="4"/>
        <v>125.53302652394551</v>
      </c>
      <c r="J42" s="56">
        <f t="shared" si="4"/>
        <v>146.9372752860929</v>
      </c>
      <c r="K42" s="56">
        <f t="shared" si="4"/>
        <v>135.36741109033755</v>
      </c>
      <c r="L42" s="56">
        <f t="shared" si="4"/>
        <v>137.29572178963011</v>
      </c>
      <c r="M42" s="56">
        <f t="shared" si="4"/>
        <v>124.37604010436998</v>
      </c>
      <c r="N42" s="56">
        <f t="shared" si="4"/>
        <v>136.9100596497716</v>
      </c>
      <c r="O42" s="56">
        <f t="shared" si="4"/>
        <v>133.05343825118649</v>
      </c>
      <c r="P42" s="56">
        <f t="shared" si="4"/>
        <v>145.20179565672959</v>
      </c>
      <c r="Q42" s="56">
        <f t="shared" si="4"/>
        <v>146.9372752860929</v>
      </c>
      <c r="R42" s="56">
        <f t="shared" si="4"/>
        <v>146.9372752860929</v>
      </c>
      <c r="S42" s="56">
        <f t="shared" si="4"/>
        <v>131.31795862182318</v>
      </c>
    </row>
    <row r="43" spans="1:19">
      <c r="A43">
        <v>20</v>
      </c>
      <c r="B43">
        <v>0.20926894439068197</v>
      </c>
      <c r="C43" s="56">
        <f>+$B43*C$6</f>
        <v>140.4194616861476</v>
      </c>
      <c r="D43" s="56">
        <f t="shared" ref="D43:S47" si="6">+$B43*D$6</f>
        <v>141.465806408101</v>
      </c>
      <c r="E43" s="56">
        <f t="shared" si="6"/>
        <v>145.2326474071333</v>
      </c>
      <c r="F43" s="56">
        <f t="shared" si="6"/>
        <v>139.58238590858488</v>
      </c>
      <c r="G43" s="56">
        <f t="shared" si="6"/>
        <v>153.60340518276055</v>
      </c>
      <c r="H43" s="56">
        <f t="shared" si="6"/>
        <v>146.69753001786808</v>
      </c>
      <c r="I43" s="56">
        <f t="shared" si="6"/>
        <v>152.34779151641646</v>
      </c>
      <c r="J43" s="56">
        <f t="shared" si="6"/>
        <v>192.7366977838181</v>
      </c>
      <c r="K43" s="56">
        <f t="shared" si="6"/>
        <v>183.31959528623742</v>
      </c>
      <c r="L43" s="56">
        <f t="shared" si="6"/>
        <v>171.80980334474989</v>
      </c>
      <c r="M43" s="56">
        <f t="shared" si="6"/>
        <v>170.34492073401512</v>
      </c>
      <c r="N43" s="56">
        <f t="shared" si="6"/>
        <v>159.04439773691828</v>
      </c>
      <c r="O43" s="56">
        <f t="shared" si="6"/>
        <v>165.74100395742013</v>
      </c>
      <c r="P43" s="56">
        <f t="shared" si="6"/>
        <v>181.85471267550264</v>
      </c>
      <c r="Q43" s="56">
        <f t="shared" si="6"/>
        <v>178.92494745403309</v>
      </c>
      <c r="R43" s="56">
        <f t="shared" si="6"/>
        <v>178.50640956525172</v>
      </c>
      <c r="S43" s="56">
        <f t="shared" si="6"/>
        <v>165.32246606863876</v>
      </c>
    </row>
    <row r="44" spans="1:19">
      <c r="A44">
        <v>21</v>
      </c>
      <c r="B44">
        <v>0.20571086029849925</v>
      </c>
      <c r="C44" s="56">
        <f t="shared" ref="C44:R47" si="7">+$B44*C$6</f>
        <v>138.03198726029299</v>
      </c>
      <c r="D44" s="56">
        <f t="shared" si="7"/>
        <v>139.0605415617855</v>
      </c>
      <c r="E44" s="56">
        <f t="shared" si="7"/>
        <v>142.76333704715847</v>
      </c>
      <c r="F44" s="56">
        <f t="shared" si="7"/>
        <v>137.20914381909901</v>
      </c>
      <c r="G44" s="56">
        <f t="shared" si="7"/>
        <v>150.99177145909846</v>
      </c>
      <c r="H44" s="56">
        <f t="shared" si="7"/>
        <v>144.20331306924797</v>
      </c>
      <c r="I44" s="56">
        <f t="shared" si="7"/>
        <v>149.75750629730746</v>
      </c>
      <c r="J44" s="56">
        <f t="shared" si="7"/>
        <v>189.45970233491781</v>
      </c>
      <c r="K44" s="56">
        <f t="shared" si="7"/>
        <v>180.20271362148534</v>
      </c>
      <c r="L44" s="56">
        <f t="shared" si="7"/>
        <v>168.88861630506787</v>
      </c>
      <c r="M44" s="56">
        <f t="shared" si="7"/>
        <v>167.44864028297837</v>
      </c>
      <c r="N44" s="56">
        <f t="shared" si="7"/>
        <v>156.34025382685942</v>
      </c>
      <c r="O44" s="56">
        <f t="shared" si="7"/>
        <v>162.92300135641142</v>
      </c>
      <c r="P44" s="56">
        <f t="shared" si="7"/>
        <v>178.76273759939585</v>
      </c>
      <c r="Q44" s="56">
        <f t="shared" si="7"/>
        <v>175.88278555521686</v>
      </c>
      <c r="R44" s="56">
        <f t="shared" si="7"/>
        <v>175.47136383461986</v>
      </c>
      <c r="S44" s="56">
        <f t="shared" si="6"/>
        <v>162.5115796358144</v>
      </c>
    </row>
    <row r="45" spans="1:19">
      <c r="A45">
        <v>22</v>
      </c>
      <c r="B45">
        <v>0.20116685990093805</v>
      </c>
      <c r="C45" s="56">
        <f t="shared" si="7"/>
        <v>134.98296299352944</v>
      </c>
      <c r="D45" s="56">
        <f t="shared" si="6"/>
        <v>135.98879729303411</v>
      </c>
      <c r="E45" s="56">
        <f t="shared" si="6"/>
        <v>139.609800771251</v>
      </c>
      <c r="F45" s="56">
        <f t="shared" si="6"/>
        <v>134.17829555392569</v>
      </c>
      <c r="G45" s="56">
        <f t="shared" si="6"/>
        <v>147.65647516728853</v>
      </c>
      <c r="H45" s="56">
        <f t="shared" si="6"/>
        <v>141.01796879055757</v>
      </c>
      <c r="I45" s="56">
        <f t="shared" si="6"/>
        <v>146.44947400788291</v>
      </c>
      <c r="J45" s="56">
        <f t="shared" si="6"/>
        <v>185.27467796876394</v>
      </c>
      <c r="K45" s="56">
        <f t="shared" si="6"/>
        <v>176.22216927322174</v>
      </c>
      <c r="L45" s="56">
        <f t="shared" si="6"/>
        <v>165.15799197867014</v>
      </c>
      <c r="M45" s="56">
        <f t="shared" si="6"/>
        <v>163.74982395936357</v>
      </c>
      <c r="N45" s="56">
        <f t="shared" si="6"/>
        <v>152.88681352471292</v>
      </c>
      <c r="O45" s="56">
        <f t="shared" si="6"/>
        <v>159.32415304154293</v>
      </c>
      <c r="P45" s="56">
        <f t="shared" si="6"/>
        <v>174.81400125391517</v>
      </c>
      <c r="Q45" s="56">
        <f t="shared" si="6"/>
        <v>171.99766521530202</v>
      </c>
      <c r="R45" s="56">
        <f t="shared" si="6"/>
        <v>171.59533149550015</v>
      </c>
      <c r="S45" s="56">
        <f t="shared" si="6"/>
        <v>158.92181932174105</v>
      </c>
    </row>
    <row r="46" spans="1:19">
      <c r="A46">
        <v>23</v>
      </c>
      <c r="B46">
        <v>0.19528375265835782</v>
      </c>
      <c r="C46" s="56">
        <f t="shared" si="7"/>
        <v>131.0353980337581</v>
      </c>
      <c r="D46" s="56">
        <f t="shared" si="6"/>
        <v>132.01181679704987</v>
      </c>
      <c r="E46" s="56">
        <f t="shared" si="6"/>
        <v>135.52692434490032</v>
      </c>
      <c r="F46" s="56">
        <f t="shared" si="6"/>
        <v>130.25426302312465</v>
      </c>
      <c r="G46" s="56">
        <f t="shared" si="6"/>
        <v>143.33827445123464</v>
      </c>
      <c r="H46" s="56">
        <f t="shared" si="6"/>
        <v>136.89391061350884</v>
      </c>
      <c r="I46" s="56">
        <f t="shared" si="6"/>
        <v>142.16657193528448</v>
      </c>
      <c r="J46" s="56">
        <f t="shared" si="6"/>
        <v>179.85633619834755</v>
      </c>
      <c r="K46" s="56">
        <f t="shared" si="6"/>
        <v>171.06856732872146</v>
      </c>
      <c r="L46" s="56">
        <f t="shared" si="6"/>
        <v>160.32796093251176</v>
      </c>
      <c r="M46" s="56">
        <f t="shared" si="6"/>
        <v>158.96097466390327</v>
      </c>
      <c r="N46" s="56">
        <f t="shared" si="6"/>
        <v>148.41565202035193</v>
      </c>
      <c r="O46" s="56">
        <f t="shared" si="6"/>
        <v>154.6647321054194</v>
      </c>
      <c r="P46" s="56">
        <f t="shared" si="6"/>
        <v>169.70158106011294</v>
      </c>
      <c r="Q46" s="56">
        <f t="shared" si="6"/>
        <v>166.96760852289594</v>
      </c>
      <c r="R46" s="56">
        <f t="shared" si="6"/>
        <v>166.57704101757921</v>
      </c>
      <c r="S46" s="56">
        <f t="shared" si="6"/>
        <v>154.27416460010267</v>
      </c>
    </row>
    <row r="47" spans="1:19">
      <c r="A47">
        <v>24</v>
      </c>
      <c r="B47">
        <v>0.18856958275152291</v>
      </c>
      <c r="C47" s="56">
        <f t="shared" si="7"/>
        <v>126.53019002627187</v>
      </c>
      <c r="D47" s="56">
        <f t="shared" si="6"/>
        <v>127.47303794002949</v>
      </c>
      <c r="E47" s="56">
        <f t="shared" si="6"/>
        <v>130.8672904295569</v>
      </c>
      <c r="F47" s="56">
        <f t="shared" si="6"/>
        <v>125.77591169526578</v>
      </c>
      <c r="G47" s="56">
        <f t="shared" si="6"/>
        <v>138.41007373961781</v>
      </c>
      <c r="H47" s="56">
        <f t="shared" si="6"/>
        <v>132.18727750881757</v>
      </c>
      <c r="I47" s="56">
        <f t="shared" si="6"/>
        <v>137.27865624310868</v>
      </c>
      <c r="J47" s="56">
        <f t="shared" si="6"/>
        <v>173.6725857141526</v>
      </c>
      <c r="K47" s="56">
        <f t="shared" si="6"/>
        <v>165.18695449033407</v>
      </c>
      <c r="L47" s="56">
        <f t="shared" si="6"/>
        <v>154.81562743900031</v>
      </c>
      <c r="M47" s="56">
        <f t="shared" si="6"/>
        <v>153.49564035973964</v>
      </c>
      <c r="N47" s="56">
        <f t="shared" si="6"/>
        <v>143.31288289115741</v>
      </c>
      <c r="O47" s="56">
        <f t="shared" si="6"/>
        <v>149.34710953920614</v>
      </c>
      <c r="P47" s="56">
        <f t="shared" si="6"/>
        <v>163.8669674110734</v>
      </c>
      <c r="Q47" s="56">
        <f t="shared" si="6"/>
        <v>161.22699325255209</v>
      </c>
      <c r="R47" s="56">
        <f t="shared" si="6"/>
        <v>160.84985408704904</v>
      </c>
      <c r="S47" s="56">
        <f t="shared" si="6"/>
        <v>148.96997037370309</v>
      </c>
    </row>
    <row r="48" spans="1:19">
      <c r="A48">
        <v>25</v>
      </c>
      <c r="B48">
        <v>0.21089604277821081</v>
      </c>
      <c r="C48" s="56">
        <f>+$B48*C$7</f>
        <v>149.31439828697324</v>
      </c>
      <c r="D48" s="56">
        <f t="shared" ref="D48:S52" si="8">+$B48*D$7</f>
        <v>161.75726481088768</v>
      </c>
      <c r="E48" s="56">
        <f t="shared" si="8"/>
        <v>157.75023999810168</v>
      </c>
      <c r="F48" s="56">
        <f t="shared" si="8"/>
        <v>158.17203208365811</v>
      </c>
      <c r="G48" s="56">
        <f t="shared" si="8"/>
        <v>157.11755186976706</v>
      </c>
      <c r="H48" s="56">
        <f t="shared" si="8"/>
        <v>156.48486374143241</v>
      </c>
      <c r="I48" s="56">
        <f t="shared" si="8"/>
        <v>167.87325005145581</v>
      </c>
      <c r="J48" s="56">
        <f t="shared" si="8"/>
        <v>200.35124063930027</v>
      </c>
      <c r="K48" s="56">
        <f t="shared" si="8"/>
        <v>188.96285432927689</v>
      </c>
      <c r="L48" s="56">
        <f t="shared" si="8"/>
        <v>178.41805219036635</v>
      </c>
      <c r="M48" s="56">
        <f t="shared" si="8"/>
        <v>176.09819571980603</v>
      </c>
      <c r="N48" s="56">
        <f t="shared" si="8"/>
        <v>189.80643850038973</v>
      </c>
      <c r="O48" s="56">
        <f t="shared" si="8"/>
        <v>184.74493347371268</v>
      </c>
      <c r="P48" s="56">
        <f t="shared" si="8"/>
        <v>193.18077518484111</v>
      </c>
      <c r="Q48" s="56">
        <f t="shared" si="8"/>
        <v>215.74665176210965</v>
      </c>
      <c r="R48" s="56">
        <f t="shared" si="8"/>
        <v>200.77303272485668</v>
      </c>
      <c r="S48" s="56">
        <f t="shared" si="8"/>
        <v>199.085864382631</v>
      </c>
    </row>
    <row r="49" spans="1:19">
      <c r="A49">
        <v>26</v>
      </c>
      <c r="B49">
        <v>0.20332082058974793</v>
      </c>
      <c r="C49" s="56">
        <f t="shared" ref="C49:R52" si="9">+$B49*C$7</f>
        <v>143.95114097754154</v>
      </c>
      <c r="D49" s="56">
        <f t="shared" si="9"/>
        <v>155.94706939233666</v>
      </c>
      <c r="E49" s="56">
        <f t="shared" si="9"/>
        <v>152.08397380113146</v>
      </c>
      <c r="F49" s="56">
        <f t="shared" si="9"/>
        <v>152.49061544231094</v>
      </c>
      <c r="G49" s="56">
        <f t="shared" si="9"/>
        <v>151.47401133936222</v>
      </c>
      <c r="H49" s="56">
        <f t="shared" si="9"/>
        <v>150.86404887759298</v>
      </c>
      <c r="I49" s="56">
        <f t="shared" si="9"/>
        <v>161.84337318943935</v>
      </c>
      <c r="J49" s="56">
        <f t="shared" si="9"/>
        <v>193.15477956026052</v>
      </c>
      <c r="K49" s="56">
        <f t="shared" si="9"/>
        <v>182.17545524841415</v>
      </c>
      <c r="L49" s="56">
        <f t="shared" si="9"/>
        <v>172.00941421892674</v>
      </c>
      <c r="M49" s="56">
        <f t="shared" si="9"/>
        <v>169.77288519243953</v>
      </c>
      <c r="N49" s="56">
        <f t="shared" si="9"/>
        <v>182.98873853077313</v>
      </c>
      <c r="O49" s="56">
        <f t="shared" si="9"/>
        <v>178.10903883661919</v>
      </c>
      <c r="P49" s="56">
        <f t="shared" si="9"/>
        <v>186.24187166020911</v>
      </c>
      <c r="Q49" s="56">
        <f t="shared" si="9"/>
        <v>207.99719946331214</v>
      </c>
      <c r="R49" s="56">
        <f t="shared" si="9"/>
        <v>193.56142120144003</v>
      </c>
      <c r="S49" s="56">
        <f t="shared" si="8"/>
        <v>191.93485463672204</v>
      </c>
    </row>
    <row r="50" spans="1:19">
      <c r="A50">
        <v>27</v>
      </c>
      <c r="B50">
        <v>0.19764494931023435</v>
      </c>
      <c r="C50" s="56">
        <f t="shared" si="9"/>
        <v>139.93262411164591</v>
      </c>
      <c r="D50" s="56">
        <f t="shared" si="8"/>
        <v>151.59367612094974</v>
      </c>
      <c r="E50" s="56">
        <f t="shared" si="8"/>
        <v>147.83842208405531</v>
      </c>
      <c r="F50" s="56">
        <f t="shared" si="8"/>
        <v>148.23371198267577</v>
      </c>
      <c r="G50" s="56">
        <f t="shared" si="8"/>
        <v>147.2454872361246</v>
      </c>
      <c r="H50" s="56">
        <f t="shared" si="8"/>
        <v>146.6525523881939</v>
      </c>
      <c r="I50" s="56">
        <f t="shared" si="8"/>
        <v>157.32537965094656</v>
      </c>
      <c r="J50" s="56">
        <f t="shared" si="8"/>
        <v>187.76270184472264</v>
      </c>
      <c r="K50" s="56">
        <f t="shared" si="8"/>
        <v>177.08987458196998</v>
      </c>
      <c r="L50" s="56">
        <f t="shared" si="8"/>
        <v>167.20762711645827</v>
      </c>
      <c r="M50" s="56">
        <f t="shared" si="8"/>
        <v>165.03353267404569</v>
      </c>
      <c r="N50" s="56">
        <f t="shared" si="8"/>
        <v>177.8804543792109</v>
      </c>
      <c r="O50" s="56">
        <f t="shared" si="8"/>
        <v>173.13697559576531</v>
      </c>
      <c r="P50" s="56">
        <f t="shared" si="8"/>
        <v>181.04277356817465</v>
      </c>
      <c r="Q50" s="56">
        <f t="shared" si="8"/>
        <v>202.19078314436973</v>
      </c>
      <c r="R50" s="56">
        <f t="shared" si="8"/>
        <v>188.1579917433431</v>
      </c>
      <c r="S50" s="56">
        <f t="shared" si="8"/>
        <v>186.57683214886123</v>
      </c>
    </row>
    <row r="51" spans="1:19">
      <c r="A51">
        <v>28</v>
      </c>
      <c r="B51">
        <v>0.19461692382529891</v>
      </c>
      <c r="C51" s="56">
        <f t="shared" si="9"/>
        <v>137.78878206831163</v>
      </c>
      <c r="D51" s="56">
        <f t="shared" si="8"/>
        <v>149.27118057400426</v>
      </c>
      <c r="E51" s="56">
        <f t="shared" si="8"/>
        <v>145.57345902132357</v>
      </c>
      <c r="F51" s="56">
        <f t="shared" si="8"/>
        <v>145.96269286897419</v>
      </c>
      <c r="G51" s="56">
        <f t="shared" si="8"/>
        <v>144.98960824984769</v>
      </c>
      <c r="H51" s="56">
        <f t="shared" si="8"/>
        <v>144.40575747837178</v>
      </c>
      <c r="I51" s="56">
        <f t="shared" si="8"/>
        <v>154.91507136493794</v>
      </c>
      <c r="J51" s="56">
        <f t="shared" si="8"/>
        <v>184.88607763403397</v>
      </c>
      <c r="K51" s="56">
        <f t="shared" si="8"/>
        <v>174.37676374746783</v>
      </c>
      <c r="L51" s="56">
        <f t="shared" si="8"/>
        <v>164.64591755620287</v>
      </c>
      <c r="M51" s="56">
        <f t="shared" si="8"/>
        <v>162.50513139412459</v>
      </c>
      <c r="N51" s="56">
        <f t="shared" si="8"/>
        <v>175.15523144276901</v>
      </c>
      <c r="O51" s="56">
        <f t="shared" si="8"/>
        <v>170.48442527096185</v>
      </c>
      <c r="P51" s="56">
        <f t="shared" si="8"/>
        <v>178.26910222397379</v>
      </c>
      <c r="Q51" s="56">
        <f t="shared" si="8"/>
        <v>199.09311307328079</v>
      </c>
      <c r="R51" s="56">
        <f t="shared" si="8"/>
        <v>185.27531148168455</v>
      </c>
      <c r="S51" s="56">
        <f t="shared" si="8"/>
        <v>183.71837609108218</v>
      </c>
    </row>
    <row r="52" spans="1:19">
      <c r="A52">
        <v>29</v>
      </c>
      <c r="B52">
        <v>0.19352126349650797</v>
      </c>
      <c r="C52" s="56">
        <f t="shared" si="9"/>
        <v>137.01305455552765</v>
      </c>
      <c r="D52" s="56">
        <f t="shared" si="8"/>
        <v>148.43080910182161</v>
      </c>
      <c r="E52" s="56">
        <f t="shared" si="8"/>
        <v>144.75390509538795</v>
      </c>
      <c r="F52" s="56">
        <f t="shared" si="8"/>
        <v>145.14094762238099</v>
      </c>
      <c r="G52" s="56">
        <f t="shared" si="8"/>
        <v>144.17334130489843</v>
      </c>
      <c r="H52" s="56">
        <f t="shared" si="8"/>
        <v>143.59277751440891</v>
      </c>
      <c r="I52" s="56">
        <f t="shared" si="8"/>
        <v>154.04292574322034</v>
      </c>
      <c r="J52" s="56">
        <f t="shared" si="8"/>
        <v>183.84520032168257</v>
      </c>
      <c r="K52" s="56">
        <f t="shared" si="8"/>
        <v>173.39505209287114</v>
      </c>
      <c r="L52" s="56">
        <f t="shared" si="8"/>
        <v>163.71898891804574</v>
      </c>
      <c r="M52" s="56">
        <f t="shared" si="8"/>
        <v>161.59025501958416</v>
      </c>
      <c r="N52" s="56">
        <f t="shared" si="8"/>
        <v>174.16913714685717</v>
      </c>
      <c r="O52" s="56">
        <f t="shared" si="8"/>
        <v>169.52462682294097</v>
      </c>
      <c r="P52" s="56">
        <f t="shared" si="8"/>
        <v>177.26547736280131</v>
      </c>
      <c r="Q52" s="56">
        <f t="shared" si="8"/>
        <v>197.97225255692766</v>
      </c>
      <c r="R52" s="56">
        <f t="shared" si="8"/>
        <v>184.23224284867558</v>
      </c>
      <c r="S52" s="56">
        <f t="shared" si="8"/>
        <v>182.68407274070353</v>
      </c>
    </row>
    <row r="53" spans="1:19">
      <c r="A53">
        <v>30</v>
      </c>
      <c r="B53">
        <v>0.20328615199309047</v>
      </c>
      <c r="C53" s="56">
        <f>+$B53*C$8</f>
        <v>169.94722306622364</v>
      </c>
      <c r="D53" s="56">
        <f t="shared" ref="D53:S57" si="10">+$B53*D$8</f>
        <v>186.81997368165014</v>
      </c>
      <c r="E53" s="56">
        <f t="shared" si="10"/>
        <v>173.40308765010616</v>
      </c>
      <c r="F53" s="56">
        <f t="shared" si="10"/>
        <v>165.88150002636183</v>
      </c>
      <c r="G53" s="56">
        <f t="shared" si="10"/>
        <v>175.43594917003708</v>
      </c>
      <c r="H53" s="56">
        <f t="shared" si="10"/>
        <v>175.63923532203017</v>
      </c>
      <c r="I53" s="56">
        <f t="shared" si="10"/>
        <v>182.55096448979523</v>
      </c>
      <c r="J53" s="56">
        <f t="shared" si="10"/>
        <v>198.00071204127011</v>
      </c>
      <c r="K53" s="56">
        <f t="shared" si="10"/>
        <v>194.54484745738759</v>
      </c>
      <c r="L53" s="56">
        <f t="shared" si="10"/>
        <v>182.75425064178833</v>
      </c>
      <c r="M53" s="56">
        <f t="shared" si="10"/>
        <v>177.2655245379749</v>
      </c>
      <c r="N53" s="56">
        <f t="shared" si="10"/>
        <v>193.52841669742213</v>
      </c>
      <c r="O53" s="56">
        <f t="shared" si="10"/>
        <v>199.62700125721483</v>
      </c>
      <c r="P53" s="56">
        <f t="shared" si="10"/>
        <v>201.25329047315955</v>
      </c>
      <c r="Q53" s="56">
        <f t="shared" si="10"/>
        <v>208.57159194491084</v>
      </c>
      <c r="R53" s="56">
        <f t="shared" si="10"/>
        <v>220.97204721648933</v>
      </c>
      <c r="S53" s="56">
        <f t="shared" si="10"/>
        <v>231.94949942411623</v>
      </c>
    </row>
    <row r="54" spans="1:19">
      <c r="A54">
        <v>31</v>
      </c>
      <c r="B54">
        <v>0.20213547155884315</v>
      </c>
      <c r="C54" s="56">
        <f t="shared" ref="C54:R57" si="11">+$B54*C$8</f>
        <v>168.98525422319287</v>
      </c>
      <c r="D54" s="56">
        <f t="shared" si="11"/>
        <v>185.76249836257685</v>
      </c>
      <c r="E54" s="56">
        <f t="shared" si="11"/>
        <v>172.42155723969321</v>
      </c>
      <c r="F54" s="56">
        <f t="shared" si="11"/>
        <v>164.94254479201601</v>
      </c>
      <c r="G54" s="56">
        <f t="shared" si="11"/>
        <v>174.44291195528163</v>
      </c>
      <c r="H54" s="56">
        <f t="shared" si="11"/>
        <v>174.64504742684048</v>
      </c>
      <c r="I54" s="56">
        <f t="shared" si="11"/>
        <v>181.51765345984114</v>
      </c>
      <c r="J54" s="56">
        <f t="shared" si="11"/>
        <v>196.87994929831322</v>
      </c>
      <c r="K54" s="56">
        <f t="shared" si="11"/>
        <v>193.4436462818129</v>
      </c>
      <c r="L54" s="56">
        <f t="shared" si="11"/>
        <v>181.71978893139999</v>
      </c>
      <c r="M54" s="56">
        <f t="shared" si="11"/>
        <v>176.26213119931123</v>
      </c>
      <c r="N54" s="56">
        <f t="shared" si="11"/>
        <v>192.43296892401867</v>
      </c>
      <c r="O54" s="56">
        <f t="shared" si="11"/>
        <v>198.49703307078397</v>
      </c>
      <c r="P54" s="56">
        <f t="shared" si="11"/>
        <v>200.11411684325472</v>
      </c>
      <c r="Q54" s="56">
        <f t="shared" si="11"/>
        <v>207.39099381937308</v>
      </c>
      <c r="R54" s="56">
        <f t="shared" si="11"/>
        <v>219.72125758446251</v>
      </c>
      <c r="S54" s="56">
        <f t="shared" si="10"/>
        <v>230.63657304864003</v>
      </c>
    </row>
    <row r="55" spans="1:19">
      <c r="A55">
        <v>32</v>
      </c>
      <c r="B55">
        <v>0.20063692363384555</v>
      </c>
      <c r="C55" s="56">
        <f t="shared" si="11"/>
        <v>167.73246815789489</v>
      </c>
      <c r="D55" s="56">
        <f t="shared" si="10"/>
        <v>184.38533281950407</v>
      </c>
      <c r="E55" s="56">
        <f t="shared" si="10"/>
        <v>171.14329585967025</v>
      </c>
      <c r="F55" s="56">
        <f t="shared" si="10"/>
        <v>163.71972968521797</v>
      </c>
      <c r="G55" s="56">
        <f t="shared" si="10"/>
        <v>173.1496650960087</v>
      </c>
      <c r="H55" s="56">
        <f t="shared" si="10"/>
        <v>173.35030201964256</v>
      </c>
      <c r="I55" s="56">
        <f t="shared" si="10"/>
        <v>180.17195742319331</v>
      </c>
      <c r="J55" s="56">
        <f t="shared" si="10"/>
        <v>195.42036361936556</v>
      </c>
      <c r="K55" s="56">
        <f t="shared" si="10"/>
        <v>192.0095359175902</v>
      </c>
      <c r="L55" s="56">
        <f t="shared" si="10"/>
        <v>180.37259434682716</v>
      </c>
      <c r="M55" s="56">
        <f t="shared" si="10"/>
        <v>174.95539740871331</v>
      </c>
      <c r="N55" s="56">
        <f t="shared" si="10"/>
        <v>191.00635129942097</v>
      </c>
      <c r="O55" s="56">
        <f t="shared" si="10"/>
        <v>197.02545900843634</v>
      </c>
      <c r="P55" s="56">
        <f t="shared" si="10"/>
        <v>198.6305543975071</v>
      </c>
      <c r="Q55" s="56">
        <f t="shared" si="10"/>
        <v>205.85348364832555</v>
      </c>
      <c r="R55" s="56">
        <f t="shared" si="10"/>
        <v>218.09233598999012</v>
      </c>
      <c r="S55" s="56">
        <f t="shared" si="10"/>
        <v>228.92672986621778</v>
      </c>
    </row>
    <row r="56" spans="1:19">
      <c r="A56">
        <v>33</v>
      </c>
      <c r="B56">
        <v>0.19841546357963258</v>
      </c>
      <c r="C56" s="56">
        <f t="shared" si="11"/>
        <v>165.87532755257283</v>
      </c>
      <c r="D56" s="56">
        <f t="shared" si="10"/>
        <v>182.34381102968234</v>
      </c>
      <c r="E56" s="56">
        <f t="shared" si="10"/>
        <v>169.24839043342658</v>
      </c>
      <c r="F56" s="56">
        <f t="shared" si="10"/>
        <v>161.9070182809802</v>
      </c>
      <c r="G56" s="56">
        <f t="shared" si="10"/>
        <v>171.23254506922291</v>
      </c>
      <c r="H56" s="56">
        <f t="shared" si="10"/>
        <v>171.43096053280254</v>
      </c>
      <c r="I56" s="56">
        <f t="shared" si="10"/>
        <v>178.17708629451005</v>
      </c>
      <c r="J56" s="56">
        <f t="shared" si="10"/>
        <v>193.25666152656214</v>
      </c>
      <c r="K56" s="56">
        <f t="shared" si="10"/>
        <v>189.88359864570839</v>
      </c>
      <c r="L56" s="56">
        <f t="shared" si="10"/>
        <v>178.37550175808968</v>
      </c>
      <c r="M56" s="56">
        <f t="shared" si="10"/>
        <v>173.0182842414396</v>
      </c>
      <c r="N56" s="56">
        <f t="shared" si="10"/>
        <v>188.89152132781021</v>
      </c>
      <c r="O56" s="56">
        <f t="shared" si="10"/>
        <v>194.8439852351992</v>
      </c>
      <c r="P56" s="56">
        <f t="shared" si="10"/>
        <v>196.43130894383626</v>
      </c>
      <c r="Q56" s="56">
        <f t="shared" si="10"/>
        <v>203.57426563270303</v>
      </c>
      <c r="R56" s="56">
        <f t="shared" si="10"/>
        <v>215.67760891106062</v>
      </c>
      <c r="S56" s="56">
        <f t="shared" si="10"/>
        <v>226.39204394436078</v>
      </c>
    </row>
    <row r="57" spans="1:19">
      <c r="A57">
        <v>34</v>
      </c>
      <c r="B57">
        <v>0.19552598923458825</v>
      </c>
      <c r="C57" s="56">
        <f t="shared" si="11"/>
        <v>163.45972700011578</v>
      </c>
      <c r="D57" s="56">
        <f t="shared" si="10"/>
        <v>179.6883841065866</v>
      </c>
      <c r="E57" s="56">
        <f t="shared" si="10"/>
        <v>166.78366881710377</v>
      </c>
      <c r="F57" s="56">
        <f t="shared" si="10"/>
        <v>159.54920721542402</v>
      </c>
      <c r="G57" s="56">
        <f t="shared" si="10"/>
        <v>168.73892870944965</v>
      </c>
      <c r="H57" s="56">
        <f t="shared" si="10"/>
        <v>168.93445469868425</v>
      </c>
      <c r="I57" s="56">
        <f t="shared" si="10"/>
        <v>175.58233833266024</v>
      </c>
      <c r="J57" s="56">
        <f t="shared" si="10"/>
        <v>190.44231351448894</v>
      </c>
      <c r="K57" s="56">
        <f t="shared" si="10"/>
        <v>187.11837169750095</v>
      </c>
      <c r="L57" s="56">
        <f t="shared" si="10"/>
        <v>175.77786432189484</v>
      </c>
      <c r="M57" s="56">
        <f t="shared" si="10"/>
        <v>170.49866261256096</v>
      </c>
      <c r="N57" s="56">
        <f t="shared" si="10"/>
        <v>186.14074175132802</v>
      </c>
      <c r="O57" s="56">
        <f t="shared" si="10"/>
        <v>192.00652142836566</v>
      </c>
      <c r="P57" s="56">
        <f t="shared" si="10"/>
        <v>193.57072934224237</v>
      </c>
      <c r="Q57" s="56">
        <f t="shared" si="10"/>
        <v>200.60966495468753</v>
      </c>
      <c r="R57" s="56">
        <f t="shared" si="10"/>
        <v>212.53675029799743</v>
      </c>
      <c r="S57" s="56">
        <f t="shared" si="10"/>
        <v>223.09515371666518</v>
      </c>
    </row>
    <row r="58" spans="1:19">
      <c r="A58">
        <v>35</v>
      </c>
      <c r="B58">
        <v>0.20945509508823928</v>
      </c>
      <c r="C58" s="56">
        <f>+$B58*C$9</f>
        <v>216.78602341632765</v>
      </c>
      <c r="D58" s="56">
        <f t="shared" ref="D58:S62" si="12">+$B58*D$9</f>
        <v>229.98169440688673</v>
      </c>
      <c r="E58" s="56">
        <f t="shared" si="12"/>
        <v>240.24499406621047</v>
      </c>
      <c r="F58" s="56">
        <f t="shared" si="12"/>
        <v>231.02896988232794</v>
      </c>
      <c r="G58" s="56">
        <f t="shared" si="12"/>
        <v>227.46823326582788</v>
      </c>
      <c r="H58" s="56">
        <f t="shared" si="12"/>
        <v>226.83986798056316</v>
      </c>
      <c r="I58" s="56">
        <f t="shared" si="12"/>
        <v>231.02896988232794</v>
      </c>
      <c r="J58" s="56">
        <f t="shared" si="12"/>
        <v>247.15701220412237</v>
      </c>
      <c r="K58" s="56">
        <f t="shared" si="12"/>
        <v>239.61662878094575</v>
      </c>
      <c r="L58" s="56">
        <f t="shared" si="12"/>
        <v>225.58313741003371</v>
      </c>
      <c r="M58" s="56">
        <f t="shared" si="12"/>
        <v>232.28570045285736</v>
      </c>
      <c r="N58" s="56">
        <f t="shared" si="12"/>
        <v>227.04932307565139</v>
      </c>
      <c r="O58" s="56">
        <f t="shared" si="12"/>
        <v>241.29226954165165</v>
      </c>
      <c r="P58" s="56">
        <f t="shared" si="12"/>
        <v>242.54900011218109</v>
      </c>
      <c r="Q58" s="56">
        <f t="shared" si="12"/>
        <v>245.06246125323997</v>
      </c>
      <c r="R58" s="56">
        <f t="shared" si="12"/>
        <v>256.58249148309312</v>
      </c>
      <c r="S58" s="56">
        <f t="shared" si="12"/>
        <v>265.17015038171093</v>
      </c>
    </row>
    <row r="59" spans="1:19">
      <c r="A59">
        <v>36</v>
      </c>
      <c r="B59">
        <v>0.20637779050475588</v>
      </c>
      <c r="C59" s="56">
        <f t="shared" ref="C59:R62" si="13">+$B59*C$9</f>
        <v>213.60101317242234</v>
      </c>
      <c r="D59" s="56">
        <f t="shared" si="13"/>
        <v>226.60281397422196</v>
      </c>
      <c r="E59" s="56">
        <f t="shared" si="13"/>
        <v>236.71532570895499</v>
      </c>
      <c r="F59" s="56">
        <f t="shared" si="13"/>
        <v>227.63470292674575</v>
      </c>
      <c r="G59" s="56">
        <f t="shared" si="13"/>
        <v>224.12628048816489</v>
      </c>
      <c r="H59" s="56">
        <f t="shared" si="13"/>
        <v>223.50714711665063</v>
      </c>
      <c r="I59" s="56">
        <f t="shared" si="13"/>
        <v>227.63470292674575</v>
      </c>
      <c r="J59" s="56">
        <f t="shared" si="13"/>
        <v>243.52579279561195</v>
      </c>
      <c r="K59" s="56">
        <f t="shared" si="13"/>
        <v>236.09619233744073</v>
      </c>
      <c r="L59" s="56">
        <f t="shared" si="13"/>
        <v>222.2688803736221</v>
      </c>
      <c r="M59" s="56">
        <f t="shared" si="13"/>
        <v>228.87296966977428</v>
      </c>
      <c r="N59" s="56">
        <f t="shared" si="13"/>
        <v>223.71352490715537</v>
      </c>
      <c r="O59" s="56">
        <f t="shared" si="13"/>
        <v>237.74721466147878</v>
      </c>
      <c r="P59" s="56">
        <f t="shared" si="13"/>
        <v>238.98548140450731</v>
      </c>
      <c r="Q59" s="56">
        <f t="shared" si="13"/>
        <v>241.46201489056438</v>
      </c>
      <c r="R59" s="56">
        <f t="shared" si="13"/>
        <v>252.81279336832594</v>
      </c>
      <c r="S59" s="56">
        <f t="shared" si="12"/>
        <v>261.27428277902095</v>
      </c>
    </row>
    <row r="60" spans="1:19">
      <c r="A60">
        <v>37</v>
      </c>
      <c r="B60">
        <v>0.20177364216592175</v>
      </c>
      <c r="C60" s="56">
        <f t="shared" si="13"/>
        <v>208.83571964172901</v>
      </c>
      <c r="D60" s="56">
        <f t="shared" si="12"/>
        <v>221.54745909818209</v>
      </c>
      <c r="E60" s="56">
        <f t="shared" si="12"/>
        <v>231.43436756431225</v>
      </c>
      <c r="F60" s="56">
        <f t="shared" si="12"/>
        <v>222.55632730901169</v>
      </c>
      <c r="G60" s="56">
        <f t="shared" si="12"/>
        <v>219.12617539219102</v>
      </c>
      <c r="H60" s="56">
        <f t="shared" si="12"/>
        <v>218.52085446569325</v>
      </c>
      <c r="I60" s="56">
        <f t="shared" si="12"/>
        <v>222.55632730901169</v>
      </c>
      <c r="J60" s="56">
        <f t="shared" si="12"/>
        <v>238.09289775578767</v>
      </c>
      <c r="K60" s="56">
        <f t="shared" si="12"/>
        <v>230.82904663781449</v>
      </c>
      <c r="L60" s="56">
        <f t="shared" si="12"/>
        <v>217.31021261269774</v>
      </c>
      <c r="M60" s="56">
        <f t="shared" si="12"/>
        <v>223.76696916200723</v>
      </c>
      <c r="N60" s="56">
        <f t="shared" si="12"/>
        <v>218.72262810785918</v>
      </c>
      <c r="O60" s="56">
        <f t="shared" si="12"/>
        <v>232.44323577514186</v>
      </c>
      <c r="P60" s="56">
        <f t="shared" si="12"/>
        <v>233.65387762813739</v>
      </c>
      <c r="Q60" s="56">
        <f t="shared" si="12"/>
        <v>236.07516133412844</v>
      </c>
      <c r="R60" s="56">
        <f t="shared" si="12"/>
        <v>247.17271165325414</v>
      </c>
      <c r="S60" s="56">
        <f t="shared" si="12"/>
        <v>255.44543098205693</v>
      </c>
    </row>
    <row r="61" spans="1:19">
      <c r="A61">
        <v>38</v>
      </c>
      <c r="B61">
        <v>0.19518506928658727</v>
      </c>
      <c r="C61" s="56">
        <f t="shared" si="13"/>
        <v>202.01654671161782</v>
      </c>
      <c r="D61" s="56">
        <f t="shared" si="12"/>
        <v>214.31320607667283</v>
      </c>
      <c r="E61" s="56">
        <f t="shared" si="12"/>
        <v>223.87727447171559</v>
      </c>
      <c r="F61" s="56">
        <f t="shared" si="12"/>
        <v>215.28913142310577</v>
      </c>
      <c r="G61" s="56">
        <f t="shared" si="12"/>
        <v>211.97098524523378</v>
      </c>
      <c r="H61" s="56">
        <f t="shared" si="12"/>
        <v>211.38543003737402</v>
      </c>
      <c r="I61" s="56">
        <f t="shared" si="12"/>
        <v>215.28913142310577</v>
      </c>
      <c r="J61" s="56">
        <f t="shared" si="12"/>
        <v>230.31838175817299</v>
      </c>
      <c r="K61" s="56">
        <f t="shared" si="12"/>
        <v>223.29171926385584</v>
      </c>
      <c r="L61" s="56">
        <f t="shared" si="12"/>
        <v>210.21431962165448</v>
      </c>
      <c r="M61" s="56">
        <f t="shared" si="12"/>
        <v>216.46024183882528</v>
      </c>
      <c r="N61" s="56">
        <f t="shared" si="12"/>
        <v>211.58061510666059</v>
      </c>
      <c r="O61" s="56">
        <f t="shared" si="12"/>
        <v>224.85319981814854</v>
      </c>
      <c r="P61" s="56">
        <f t="shared" si="12"/>
        <v>226.02431023386805</v>
      </c>
      <c r="Q61" s="56">
        <f t="shared" si="12"/>
        <v>228.3665310653071</v>
      </c>
      <c r="R61" s="56">
        <f t="shared" si="12"/>
        <v>239.10170987606941</v>
      </c>
      <c r="S61" s="56">
        <f t="shared" si="12"/>
        <v>247.10429771681947</v>
      </c>
    </row>
    <row r="62" spans="1:19">
      <c r="A62">
        <v>39</v>
      </c>
      <c r="B62">
        <v>0.18720840295449581</v>
      </c>
      <c r="C62" s="56">
        <f t="shared" si="13"/>
        <v>193.76069705790317</v>
      </c>
      <c r="D62" s="56">
        <f t="shared" si="12"/>
        <v>205.55482644403639</v>
      </c>
      <c r="E62" s="56">
        <f t="shared" si="12"/>
        <v>214.72803818880669</v>
      </c>
      <c r="F62" s="56">
        <f t="shared" si="12"/>
        <v>206.49086845880888</v>
      </c>
      <c r="G62" s="56">
        <f t="shared" si="12"/>
        <v>203.30832560858246</v>
      </c>
      <c r="H62" s="56">
        <f t="shared" si="12"/>
        <v>202.74670039971897</v>
      </c>
      <c r="I62" s="56">
        <f t="shared" si="12"/>
        <v>206.49086845880888</v>
      </c>
      <c r="J62" s="56">
        <f t="shared" si="12"/>
        <v>220.90591548630505</v>
      </c>
      <c r="K62" s="56">
        <f t="shared" si="12"/>
        <v>214.1664129799432</v>
      </c>
      <c r="L62" s="56">
        <f t="shared" si="12"/>
        <v>201.623449981992</v>
      </c>
      <c r="M62" s="56">
        <f t="shared" si="12"/>
        <v>207.61411887653585</v>
      </c>
      <c r="N62" s="56">
        <f t="shared" si="12"/>
        <v>202.93390880267347</v>
      </c>
      <c r="O62" s="56">
        <f t="shared" si="12"/>
        <v>215.66408020357918</v>
      </c>
      <c r="P62" s="56">
        <f t="shared" si="12"/>
        <v>216.78733062130615</v>
      </c>
      <c r="Q62" s="56">
        <f t="shared" si="12"/>
        <v>219.03383145676011</v>
      </c>
      <c r="R62" s="56">
        <f t="shared" si="12"/>
        <v>229.33029361925736</v>
      </c>
      <c r="S62" s="56">
        <f t="shared" si="12"/>
        <v>237.00583814039169</v>
      </c>
    </row>
    <row r="63" spans="1:19">
      <c r="A63">
        <v>40</v>
      </c>
      <c r="B63">
        <v>0.21669227880146677</v>
      </c>
      <c r="C63" s="56">
        <f>+$B63*C$10</f>
        <v>279.09965509628921</v>
      </c>
      <c r="D63" s="56">
        <f t="shared" ref="D63:S67" si="14">+$B63*D$10</f>
        <v>280.61650104789948</v>
      </c>
      <c r="E63" s="56">
        <f t="shared" si="14"/>
        <v>310.3033432437004</v>
      </c>
      <c r="F63" s="56">
        <f t="shared" si="14"/>
        <v>284.30026978752443</v>
      </c>
      <c r="G63" s="56">
        <f t="shared" si="14"/>
        <v>300.33549841883297</v>
      </c>
      <c r="H63" s="56">
        <f t="shared" si="14"/>
        <v>297.73519107321533</v>
      </c>
      <c r="I63" s="56">
        <f t="shared" si="14"/>
        <v>317.88757300175178</v>
      </c>
      <c r="J63" s="56">
        <f t="shared" si="14"/>
        <v>329.15557149942805</v>
      </c>
      <c r="K63" s="56">
        <f t="shared" si="14"/>
        <v>323.30487997178841</v>
      </c>
      <c r="L63" s="56">
        <f t="shared" si="14"/>
        <v>309.21988184969308</v>
      </c>
      <c r="M63" s="56">
        <f t="shared" si="14"/>
        <v>307.70303589808282</v>
      </c>
      <c r="N63" s="56">
        <f t="shared" si="14"/>
        <v>325.90518731740605</v>
      </c>
      <c r="O63" s="56">
        <f t="shared" si="14"/>
        <v>310.52003552250187</v>
      </c>
      <c r="P63" s="56">
        <f t="shared" si="14"/>
        <v>322.22141857778109</v>
      </c>
      <c r="Q63" s="56">
        <f t="shared" si="14"/>
        <v>334.13949391186173</v>
      </c>
      <c r="R63" s="56">
        <f t="shared" si="14"/>
        <v>335.43964758467058</v>
      </c>
      <c r="S63" s="56">
        <f t="shared" si="14"/>
        <v>345.84087696714096</v>
      </c>
    </row>
    <row r="64" spans="1:19">
      <c r="A64">
        <v>41</v>
      </c>
      <c r="B64">
        <v>0.20663688778157818</v>
      </c>
      <c r="C64" s="56">
        <f t="shared" ref="C64:R67" si="15">+$B64*C$10</f>
        <v>266.14831146267272</v>
      </c>
      <c r="D64" s="56">
        <f t="shared" si="15"/>
        <v>267.59476967714374</v>
      </c>
      <c r="E64" s="56">
        <f t="shared" si="15"/>
        <v>295.90402330321996</v>
      </c>
      <c r="F64" s="56">
        <f t="shared" si="15"/>
        <v>271.10759676943059</v>
      </c>
      <c r="G64" s="56">
        <f t="shared" si="15"/>
        <v>286.39872646526737</v>
      </c>
      <c r="H64" s="56">
        <f t="shared" si="15"/>
        <v>283.91908381188841</v>
      </c>
      <c r="I64" s="56">
        <f t="shared" si="15"/>
        <v>303.13631437557518</v>
      </c>
      <c r="J64" s="56">
        <f t="shared" si="15"/>
        <v>313.88143254021725</v>
      </c>
      <c r="K64" s="56">
        <f t="shared" si="15"/>
        <v>308.30223657011464</v>
      </c>
      <c r="L64" s="56">
        <f t="shared" si="15"/>
        <v>294.87083886431208</v>
      </c>
      <c r="M64" s="56">
        <f t="shared" si="15"/>
        <v>293.424380649841</v>
      </c>
      <c r="N64" s="56">
        <f t="shared" si="15"/>
        <v>310.7818792234936</v>
      </c>
      <c r="O64" s="56">
        <f t="shared" si="15"/>
        <v>296.11066019100156</v>
      </c>
      <c r="P64" s="56">
        <f t="shared" si="15"/>
        <v>307.26905213120676</v>
      </c>
      <c r="Q64" s="56">
        <f t="shared" si="15"/>
        <v>318.63408095919357</v>
      </c>
      <c r="R64" s="56">
        <f t="shared" si="15"/>
        <v>319.87390228588305</v>
      </c>
      <c r="S64" s="56">
        <f t="shared" si="14"/>
        <v>329.79247289939877</v>
      </c>
    </row>
    <row r="65" spans="1:19">
      <c r="A65">
        <v>42</v>
      </c>
      <c r="B65">
        <v>0.1980501328868412</v>
      </c>
      <c r="C65" s="56">
        <f t="shared" si="15"/>
        <v>255.08857115825145</v>
      </c>
      <c r="D65" s="56">
        <f t="shared" si="14"/>
        <v>256.47492208845938</v>
      </c>
      <c r="E65" s="56">
        <f t="shared" si="14"/>
        <v>283.60779029395661</v>
      </c>
      <c r="F65" s="56">
        <f t="shared" si="14"/>
        <v>259.84177434753565</v>
      </c>
      <c r="G65" s="56">
        <f t="shared" si="14"/>
        <v>274.49748418116189</v>
      </c>
      <c r="H65" s="56">
        <f t="shared" si="14"/>
        <v>272.12088258651983</v>
      </c>
      <c r="I65" s="56">
        <f t="shared" si="14"/>
        <v>290.53954494499607</v>
      </c>
      <c r="J65" s="56">
        <f t="shared" si="14"/>
        <v>300.83815185511179</v>
      </c>
      <c r="K65" s="56">
        <f t="shared" si="14"/>
        <v>295.49079826716707</v>
      </c>
      <c r="L65" s="56">
        <f t="shared" si="14"/>
        <v>282.61753962952241</v>
      </c>
      <c r="M65" s="56">
        <f t="shared" si="14"/>
        <v>281.23118869931449</v>
      </c>
      <c r="N65" s="56">
        <f t="shared" si="14"/>
        <v>297.86739986180919</v>
      </c>
      <c r="O65" s="56">
        <f t="shared" si="14"/>
        <v>283.80584042684342</v>
      </c>
      <c r="P65" s="56">
        <f t="shared" si="14"/>
        <v>294.50054760273287</v>
      </c>
      <c r="Q65" s="56">
        <f t="shared" si="14"/>
        <v>305.39330491150912</v>
      </c>
      <c r="R65" s="56">
        <f t="shared" si="14"/>
        <v>306.58160570883018</v>
      </c>
      <c r="S65" s="56">
        <f t="shared" si="14"/>
        <v>316.08801208739857</v>
      </c>
    </row>
    <row r="66" spans="1:19">
      <c r="A66">
        <v>43</v>
      </c>
      <c r="B66">
        <v>0.19168891004119923</v>
      </c>
      <c r="C66" s="56">
        <f t="shared" si="15"/>
        <v>246.8953161330646</v>
      </c>
      <c r="D66" s="56">
        <f t="shared" si="14"/>
        <v>248.23713850335301</v>
      </c>
      <c r="E66" s="56">
        <f t="shared" si="14"/>
        <v>274.4985191789973</v>
      </c>
      <c r="F66" s="56">
        <f t="shared" si="14"/>
        <v>251.49584997405339</v>
      </c>
      <c r="G66" s="56">
        <f t="shared" si="14"/>
        <v>265.68082931710211</v>
      </c>
      <c r="H66" s="56">
        <f t="shared" si="14"/>
        <v>263.38056239660773</v>
      </c>
      <c r="I66" s="56">
        <f t="shared" si="14"/>
        <v>281.20763103043925</v>
      </c>
      <c r="J66" s="56">
        <f t="shared" si="14"/>
        <v>291.17545435258165</v>
      </c>
      <c r="K66" s="56">
        <f t="shared" si="14"/>
        <v>285.99985378146926</v>
      </c>
      <c r="L66" s="56">
        <f t="shared" si="14"/>
        <v>273.54007462879127</v>
      </c>
      <c r="M66" s="56">
        <f t="shared" si="14"/>
        <v>272.19825225850292</v>
      </c>
      <c r="N66" s="56">
        <f t="shared" si="14"/>
        <v>288.30012070196364</v>
      </c>
      <c r="O66" s="56">
        <f t="shared" si="14"/>
        <v>274.69020808903849</v>
      </c>
      <c r="P66" s="56">
        <f t="shared" si="14"/>
        <v>285.04140923126323</v>
      </c>
      <c r="Q66" s="56">
        <f t="shared" si="14"/>
        <v>295.58429928352922</v>
      </c>
      <c r="R66" s="56">
        <f t="shared" si="14"/>
        <v>296.73443274377638</v>
      </c>
      <c r="S66" s="56">
        <f t="shared" si="14"/>
        <v>305.93550042575396</v>
      </c>
    </row>
    <row r="67" spans="1:19">
      <c r="A67">
        <v>44</v>
      </c>
      <c r="B67">
        <v>0.18693179048891462</v>
      </c>
      <c r="C67" s="56">
        <f t="shared" si="15"/>
        <v>240.76814614972201</v>
      </c>
      <c r="D67" s="56">
        <f t="shared" si="14"/>
        <v>242.07666868314442</v>
      </c>
      <c r="E67" s="56">
        <f t="shared" si="14"/>
        <v>267.68632398012574</v>
      </c>
      <c r="F67" s="56">
        <f t="shared" si="14"/>
        <v>245.25450912145598</v>
      </c>
      <c r="G67" s="56">
        <f t="shared" si="14"/>
        <v>259.08746161763565</v>
      </c>
      <c r="H67" s="56">
        <f t="shared" si="14"/>
        <v>256.8442801317687</v>
      </c>
      <c r="I67" s="56">
        <f t="shared" si="14"/>
        <v>274.22893664723773</v>
      </c>
      <c r="J67" s="56">
        <f t="shared" si="14"/>
        <v>283.94938975266132</v>
      </c>
      <c r="K67" s="56">
        <f t="shared" si="14"/>
        <v>278.90223140946063</v>
      </c>
      <c r="L67" s="56">
        <f t="shared" si="14"/>
        <v>266.75166502768116</v>
      </c>
      <c r="M67" s="56">
        <f t="shared" si="14"/>
        <v>265.44314249425878</v>
      </c>
      <c r="N67" s="56">
        <f t="shared" si="14"/>
        <v>281.14541289532758</v>
      </c>
      <c r="O67" s="56">
        <f t="shared" si="14"/>
        <v>267.87325577061466</v>
      </c>
      <c r="P67" s="56">
        <f t="shared" si="14"/>
        <v>277.96757245701605</v>
      </c>
      <c r="Q67" s="56">
        <f t="shared" si="14"/>
        <v>288.24882093390636</v>
      </c>
      <c r="R67" s="56">
        <f t="shared" si="14"/>
        <v>289.37041167683981</v>
      </c>
      <c r="S67" s="56">
        <f t="shared" si="14"/>
        <v>298.34313762030774</v>
      </c>
    </row>
    <row r="68" spans="1:19">
      <c r="A68">
        <v>45</v>
      </c>
      <c r="B68">
        <v>0.21297716178725695</v>
      </c>
      <c r="C68" s="56">
        <f>+$B68*C$11</f>
        <v>314.35429079799127</v>
      </c>
      <c r="D68" s="56">
        <f t="shared" ref="D68:S72" si="16">+$B68*D$11</f>
        <v>316.05810809228933</v>
      </c>
      <c r="E68" s="56">
        <f t="shared" si="16"/>
        <v>330.11460077024827</v>
      </c>
      <c r="F68" s="56">
        <f t="shared" si="16"/>
        <v>351.19933978718672</v>
      </c>
      <c r="G68" s="56">
        <f t="shared" si="16"/>
        <v>367.81155840659278</v>
      </c>
      <c r="H68" s="56">
        <f t="shared" si="16"/>
        <v>359.29247193510247</v>
      </c>
      <c r="I68" s="56">
        <f t="shared" si="16"/>
        <v>378.8863708195301</v>
      </c>
      <c r="J68" s="56">
        <f t="shared" si="16"/>
        <v>409.12912779332061</v>
      </c>
      <c r="K68" s="56">
        <f t="shared" si="16"/>
        <v>399.75813267468129</v>
      </c>
      <c r="L68" s="56">
        <f t="shared" si="16"/>
        <v>399.33217835110679</v>
      </c>
      <c r="M68" s="56">
        <f t="shared" si="16"/>
        <v>394.2207264682126</v>
      </c>
      <c r="N68" s="56">
        <f t="shared" si="16"/>
        <v>418.50012291195992</v>
      </c>
      <c r="O68" s="56">
        <f t="shared" si="16"/>
        <v>427.44516370702468</v>
      </c>
      <c r="P68" s="56">
        <f t="shared" si="16"/>
        <v>428.08409519238648</v>
      </c>
      <c r="Q68" s="56">
        <f t="shared" si="16"/>
        <v>442.77951935570718</v>
      </c>
      <c r="R68" s="56">
        <f t="shared" si="16"/>
        <v>425.95432357451392</v>
      </c>
      <c r="S68" s="56">
        <f t="shared" si="16"/>
        <v>431.06577545740805</v>
      </c>
    </row>
    <row r="69" spans="1:19">
      <c r="A69">
        <v>46</v>
      </c>
      <c r="B69">
        <v>0.20722371147295351</v>
      </c>
      <c r="C69" s="56">
        <f t="shared" ref="C69:R72" si="17">+$B69*C$11</f>
        <v>305.86219813407939</v>
      </c>
      <c r="D69" s="56">
        <f t="shared" si="17"/>
        <v>307.51998782586304</v>
      </c>
      <c r="E69" s="56">
        <f t="shared" si="17"/>
        <v>321.19675278307795</v>
      </c>
      <c r="F69" s="56">
        <f t="shared" si="17"/>
        <v>341.71190021890033</v>
      </c>
      <c r="G69" s="56">
        <f t="shared" si="17"/>
        <v>357.87534971379074</v>
      </c>
      <c r="H69" s="56">
        <f t="shared" si="17"/>
        <v>349.58640125487256</v>
      </c>
      <c r="I69" s="56">
        <f t="shared" si="17"/>
        <v>368.65098271038431</v>
      </c>
      <c r="J69" s="56">
        <f t="shared" si="17"/>
        <v>398.07674973954369</v>
      </c>
      <c r="K69" s="56">
        <f t="shared" si="17"/>
        <v>388.95890643473376</v>
      </c>
      <c r="L69" s="56">
        <f t="shared" si="17"/>
        <v>388.54445901178786</v>
      </c>
      <c r="M69" s="56">
        <f t="shared" si="17"/>
        <v>383.57108993643698</v>
      </c>
      <c r="N69" s="56">
        <f t="shared" si="17"/>
        <v>407.19459304435367</v>
      </c>
      <c r="O69" s="56">
        <f t="shared" si="17"/>
        <v>415.89798892621769</v>
      </c>
      <c r="P69" s="56">
        <f t="shared" si="17"/>
        <v>416.51966006063657</v>
      </c>
      <c r="Q69" s="56">
        <f t="shared" si="17"/>
        <v>430.81809615227036</v>
      </c>
      <c r="R69" s="56">
        <f t="shared" si="17"/>
        <v>414.44742294590702</v>
      </c>
      <c r="S69" s="56">
        <f t="shared" si="16"/>
        <v>419.42079202125791</v>
      </c>
    </row>
    <row r="70" spans="1:19">
      <c r="A70">
        <v>47</v>
      </c>
      <c r="B70">
        <v>0.20086991566734505</v>
      </c>
      <c r="C70" s="56">
        <f t="shared" si="17"/>
        <v>296.48399552500132</v>
      </c>
      <c r="D70" s="56">
        <f t="shared" si="16"/>
        <v>298.09095485034004</v>
      </c>
      <c r="E70" s="56">
        <f t="shared" si="16"/>
        <v>311.34836928438483</v>
      </c>
      <c r="F70" s="56">
        <f t="shared" si="16"/>
        <v>331.23449093545202</v>
      </c>
      <c r="G70" s="56">
        <f t="shared" si="16"/>
        <v>346.90234435750489</v>
      </c>
      <c r="H70" s="56">
        <f t="shared" si="16"/>
        <v>338.86754773081111</v>
      </c>
      <c r="I70" s="56">
        <f t="shared" si="16"/>
        <v>357.34757997220686</v>
      </c>
      <c r="J70" s="56">
        <f t="shared" si="16"/>
        <v>385.87110799696984</v>
      </c>
      <c r="K70" s="56">
        <f t="shared" si="16"/>
        <v>377.03283170760665</v>
      </c>
      <c r="L70" s="56">
        <f t="shared" si="16"/>
        <v>376.63109187627197</v>
      </c>
      <c r="M70" s="56">
        <f t="shared" si="16"/>
        <v>371.81021390025569</v>
      </c>
      <c r="N70" s="56">
        <f t="shared" si="16"/>
        <v>394.70938428633303</v>
      </c>
      <c r="O70" s="56">
        <f t="shared" si="16"/>
        <v>403.14592074436149</v>
      </c>
      <c r="P70" s="56">
        <f t="shared" si="16"/>
        <v>403.74853049136357</v>
      </c>
      <c r="Q70" s="56">
        <f t="shared" si="16"/>
        <v>417.60855467241038</v>
      </c>
      <c r="R70" s="56">
        <f t="shared" si="16"/>
        <v>401.73983133469011</v>
      </c>
      <c r="S70" s="56">
        <f t="shared" si="16"/>
        <v>406.56070931070639</v>
      </c>
    </row>
    <row r="71" spans="1:19">
      <c r="A71">
        <v>48</v>
      </c>
      <c r="B71">
        <v>0.19351777373831291</v>
      </c>
      <c r="C71" s="56">
        <f t="shared" si="17"/>
        <v>285.63223403774987</v>
      </c>
      <c r="D71" s="56">
        <f t="shared" si="16"/>
        <v>287.18037622765638</v>
      </c>
      <c r="E71" s="56">
        <f t="shared" si="16"/>
        <v>299.95254929438499</v>
      </c>
      <c r="F71" s="56">
        <f t="shared" si="16"/>
        <v>319.110808894478</v>
      </c>
      <c r="G71" s="56">
        <f t="shared" si="16"/>
        <v>334.20519524606641</v>
      </c>
      <c r="H71" s="56">
        <f t="shared" si="16"/>
        <v>326.4644842965339</v>
      </c>
      <c r="I71" s="56">
        <f t="shared" si="16"/>
        <v>344.26811948045867</v>
      </c>
      <c r="J71" s="56">
        <f t="shared" si="16"/>
        <v>371.74764335129913</v>
      </c>
      <c r="K71" s="56">
        <f t="shared" si="16"/>
        <v>363.23286130681333</v>
      </c>
      <c r="L71" s="56">
        <f t="shared" si="16"/>
        <v>362.84582575933672</v>
      </c>
      <c r="M71" s="56">
        <f t="shared" si="16"/>
        <v>358.20139918961718</v>
      </c>
      <c r="N71" s="56">
        <f t="shared" si="16"/>
        <v>380.26242539578487</v>
      </c>
      <c r="O71" s="56">
        <f t="shared" si="16"/>
        <v>388.390171892794</v>
      </c>
      <c r="P71" s="56">
        <f t="shared" si="16"/>
        <v>388.97072521400895</v>
      </c>
      <c r="Q71" s="56">
        <f t="shared" si="16"/>
        <v>402.32345160195257</v>
      </c>
      <c r="R71" s="56">
        <f t="shared" si="16"/>
        <v>387.03554747662582</v>
      </c>
      <c r="S71" s="56">
        <f t="shared" si="16"/>
        <v>391.67997404634536</v>
      </c>
    </row>
    <row r="72" spans="1:19">
      <c r="A72">
        <v>49</v>
      </c>
      <c r="B72">
        <v>0.18541143733413157</v>
      </c>
      <c r="C72" s="56">
        <f t="shared" si="17"/>
        <v>273.66728150517821</v>
      </c>
      <c r="D72" s="56">
        <f t="shared" si="16"/>
        <v>275.15057300385126</v>
      </c>
      <c r="E72" s="56">
        <f t="shared" si="16"/>
        <v>287.38772786790395</v>
      </c>
      <c r="F72" s="56">
        <f t="shared" si="16"/>
        <v>305.74346016398295</v>
      </c>
      <c r="G72" s="56">
        <f t="shared" si="16"/>
        <v>320.20555227604524</v>
      </c>
      <c r="H72" s="56">
        <f t="shared" si="16"/>
        <v>312.78909478267997</v>
      </c>
      <c r="I72" s="56">
        <f t="shared" si="16"/>
        <v>329.84694701742006</v>
      </c>
      <c r="J72" s="56">
        <f t="shared" si="16"/>
        <v>356.17537111886674</v>
      </c>
      <c r="K72" s="56">
        <f t="shared" si="16"/>
        <v>348.01726787616496</v>
      </c>
      <c r="L72" s="56">
        <f t="shared" si="16"/>
        <v>347.64644500149672</v>
      </c>
      <c r="M72" s="56">
        <f t="shared" si="16"/>
        <v>343.19657050547755</v>
      </c>
      <c r="N72" s="56">
        <f t="shared" si="16"/>
        <v>364.33347436156851</v>
      </c>
      <c r="O72" s="56">
        <f t="shared" si="16"/>
        <v>372.12075472960208</v>
      </c>
      <c r="P72" s="56">
        <f t="shared" si="16"/>
        <v>372.67698904160443</v>
      </c>
      <c r="Q72" s="56">
        <f t="shared" si="16"/>
        <v>385.47037821765952</v>
      </c>
      <c r="R72" s="56">
        <f t="shared" si="16"/>
        <v>370.82287466826313</v>
      </c>
      <c r="S72" s="56">
        <f t="shared" si="16"/>
        <v>375.27274916428229</v>
      </c>
    </row>
    <row r="73" spans="1:19">
      <c r="A73">
        <v>50</v>
      </c>
      <c r="B73">
        <v>0.22032343647095243</v>
      </c>
      <c r="C73" s="56">
        <f>+$B73*C$12</f>
        <v>344.58585464056961</v>
      </c>
      <c r="D73" s="56">
        <f t="shared" ref="D73:S77" si="18">+$B73*D$12</f>
        <v>374.7701654370901</v>
      </c>
      <c r="E73" s="56">
        <f t="shared" si="18"/>
        <v>378.73598729356723</v>
      </c>
      <c r="F73" s="56">
        <f t="shared" si="18"/>
        <v>389.97248255358579</v>
      </c>
      <c r="G73" s="56">
        <f t="shared" si="18"/>
        <v>408.25932778067482</v>
      </c>
      <c r="H73" s="56">
        <f t="shared" si="18"/>
        <v>429.19005424541535</v>
      </c>
      <c r="I73" s="56">
        <f t="shared" si="18"/>
        <v>447.03625259956249</v>
      </c>
      <c r="J73" s="56">
        <f t="shared" si="18"/>
        <v>484.71156023609535</v>
      </c>
      <c r="K73" s="56">
        <f t="shared" si="18"/>
        <v>516.65845852438349</v>
      </c>
      <c r="L73" s="56">
        <f t="shared" si="18"/>
        <v>497.71064298788156</v>
      </c>
      <c r="M73" s="56">
        <f t="shared" si="18"/>
        <v>519.52266319850582</v>
      </c>
      <c r="N73" s="56">
        <f t="shared" si="18"/>
        <v>541.77533028207199</v>
      </c>
      <c r="O73" s="56">
        <f t="shared" si="18"/>
        <v>541.55500684560104</v>
      </c>
      <c r="P73" s="56">
        <f t="shared" si="18"/>
        <v>542.21597715501389</v>
      </c>
      <c r="Q73" s="56">
        <f t="shared" si="18"/>
        <v>558.96055832680634</v>
      </c>
      <c r="R73" s="56">
        <f t="shared" si="18"/>
        <v>572.84093482447634</v>
      </c>
      <c r="S73" s="56">
        <f t="shared" si="18"/>
        <v>618.66820961043436</v>
      </c>
    </row>
    <row r="74" spans="1:19">
      <c r="A74">
        <v>51</v>
      </c>
      <c r="B74">
        <v>0.21057962192337498</v>
      </c>
      <c r="C74" s="56">
        <f t="shared" ref="C74:R77" si="19">+$B74*C$12</f>
        <v>329.34652868815846</v>
      </c>
      <c r="D74" s="56">
        <f t="shared" si="19"/>
        <v>358.19593689166084</v>
      </c>
      <c r="E74" s="56">
        <f t="shared" si="19"/>
        <v>361.98637008628157</v>
      </c>
      <c r="F74" s="56">
        <f t="shared" si="19"/>
        <v>372.72593080437372</v>
      </c>
      <c r="G74" s="56">
        <f t="shared" si="19"/>
        <v>390.20403942401384</v>
      </c>
      <c r="H74" s="56">
        <f t="shared" si="19"/>
        <v>410.20910350673449</v>
      </c>
      <c r="I74" s="56">
        <f t="shared" si="19"/>
        <v>427.26605288252784</v>
      </c>
      <c r="J74" s="56">
        <f t="shared" si="19"/>
        <v>463.27516823142497</v>
      </c>
      <c r="K74" s="56">
        <f t="shared" si="19"/>
        <v>493.80921341031433</v>
      </c>
      <c r="L74" s="56">
        <f t="shared" si="19"/>
        <v>475.6993659249041</v>
      </c>
      <c r="M74" s="56">
        <f t="shared" si="19"/>
        <v>496.54674849531818</v>
      </c>
      <c r="N74" s="56">
        <f t="shared" si="19"/>
        <v>517.81529030957904</v>
      </c>
      <c r="O74" s="56">
        <f t="shared" si="19"/>
        <v>517.60471068765571</v>
      </c>
      <c r="P74" s="56">
        <f t="shared" si="19"/>
        <v>518.23644955342581</v>
      </c>
      <c r="Q74" s="56">
        <f t="shared" si="19"/>
        <v>534.24050081960229</v>
      </c>
      <c r="R74" s="56">
        <f t="shared" si="19"/>
        <v>547.50701700077491</v>
      </c>
      <c r="S74" s="56">
        <f t="shared" si="18"/>
        <v>591.30757836083694</v>
      </c>
    </row>
    <row r="75" spans="1:19">
      <c r="A75">
        <v>52</v>
      </c>
      <c r="B75">
        <v>0.20042340925475399</v>
      </c>
      <c r="C75" s="56">
        <f t="shared" si="19"/>
        <v>313.46221207443523</v>
      </c>
      <c r="D75" s="56">
        <f t="shared" si="18"/>
        <v>340.92021914233652</v>
      </c>
      <c r="E75" s="56">
        <f t="shared" si="18"/>
        <v>344.52784050892211</v>
      </c>
      <c r="F75" s="56">
        <f t="shared" si="18"/>
        <v>354.74943438091458</v>
      </c>
      <c r="G75" s="56">
        <f t="shared" si="18"/>
        <v>371.38457734905916</v>
      </c>
      <c r="H75" s="56">
        <f t="shared" si="18"/>
        <v>390.42480122826078</v>
      </c>
      <c r="I75" s="56">
        <f t="shared" si="18"/>
        <v>406.65909737789588</v>
      </c>
      <c r="J75" s="56">
        <f t="shared" si="18"/>
        <v>440.93150036045876</v>
      </c>
      <c r="K75" s="56">
        <f t="shared" si="18"/>
        <v>469.99289470239813</v>
      </c>
      <c r="L75" s="56">
        <f t="shared" si="18"/>
        <v>452.75648150648925</v>
      </c>
      <c r="M75" s="56">
        <f t="shared" si="18"/>
        <v>472.59839902270994</v>
      </c>
      <c r="N75" s="56">
        <f t="shared" si="18"/>
        <v>492.84116335744005</v>
      </c>
      <c r="O75" s="56">
        <f t="shared" si="18"/>
        <v>492.64073994818534</v>
      </c>
      <c r="P75" s="56">
        <f t="shared" si="18"/>
        <v>493.24201017594959</v>
      </c>
      <c r="Q75" s="56">
        <f t="shared" si="18"/>
        <v>508.47418927931091</v>
      </c>
      <c r="R75" s="56">
        <f t="shared" si="18"/>
        <v>521.10086406236042</v>
      </c>
      <c r="S75" s="56">
        <f t="shared" si="18"/>
        <v>562.78893318734924</v>
      </c>
    </row>
    <row r="76" spans="1:19">
      <c r="A76">
        <v>53</v>
      </c>
      <c r="B76">
        <v>0.18978208343115235</v>
      </c>
      <c r="C76" s="56">
        <f t="shared" si="19"/>
        <v>296.8191784863223</v>
      </c>
      <c r="D76" s="56">
        <f t="shared" si="18"/>
        <v>322.81932391639015</v>
      </c>
      <c r="E76" s="56">
        <f t="shared" si="18"/>
        <v>326.2354014181509</v>
      </c>
      <c r="F76" s="56">
        <f t="shared" si="18"/>
        <v>335.91428767313965</v>
      </c>
      <c r="G76" s="56">
        <f t="shared" si="18"/>
        <v>351.6662005979253</v>
      </c>
      <c r="H76" s="56">
        <f t="shared" si="18"/>
        <v>369.69549852388479</v>
      </c>
      <c r="I76" s="56">
        <f t="shared" si="18"/>
        <v>385.0678472818081</v>
      </c>
      <c r="J76" s="56">
        <f t="shared" si="18"/>
        <v>417.52058354853517</v>
      </c>
      <c r="K76" s="56">
        <f t="shared" si="18"/>
        <v>445.03898564605225</v>
      </c>
      <c r="L76" s="56">
        <f t="shared" si="18"/>
        <v>428.71772647097316</v>
      </c>
      <c r="M76" s="56">
        <f t="shared" si="18"/>
        <v>447.50615273065728</v>
      </c>
      <c r="N76" s="56">
        <f t="shared" si="18"/>
        <v>466.67414315720362</v>
      </c>
      <c r="O76" s="56">
        <f t="shared" si="18"/>
        <v>466.4843610737725</v>
      </c>
      <c r="P76" s="56">
        <f t="shared" si="18"/>
        <v>467.05370732406595</v>
      </c>
      <c r="Q76" s="56">
        <f t="shared" si="18"/>
        <v>481.47714566483353</v>
      </c>
      <c r="R76" s="56">
        <f t="shared" si="18"/>
        <v>493.43341692099614</v>
      </c>
      <c r="S76" s="56">
        <f t="shared" si="18"/>
        <v>532.90809027467583</v>
      </c>
    </row>
    <row r="77" spans="1:19">
      <c r="A77">
        <v>54</v>
      </c>
      <c r="B77">
        <v>0.17889144891976624</v>
      </c>
      <c r="C77" s="56">
        <f t="shared" si="19"/>
        <v>279.78622611051441</v>
      </c>
      <c r="D77" s="56">
        <f t="shared" si="18"/>
        <v>304.2943546125224</v>
      </c>
      <c r="E77" s="56">
        <f t="shared" si="18"/>
        <v>307.51440069307819</v>
      </c>
      <c r="F77" s="56">
        <f t="shared" si="18"/>
        <v>316.63786458798626</v>
      </c>
      <c r="G77" s="56">
        <f t="shared" si="18"/>
        <v>331.48585484832682</v>
      </c>
      <c r="H77" s="56">
        <f t="shared" si="18"/>
        <v>348.48054249570464</v>
      </c>
      <c r="I77" s="56">
        <f t="shared" si="18"/>
        <v>362.97074985820569</v>
      </c>
      <c r="J77" s="56">
        <f t="shared" si="18"/>
        <v>393.56118762348575</v>
      </c>
      <c r="K77" s="56">
        <f t="shared" si="18"/>
        <v>419.50044771685185</v>
      </c>
      <c r="L77" s="56">
        <f t="shared" si="18"/>
        <v>404.11578310975193</v>
      </c>
      <c r="M77" s="56">
        <f t="shared" si="18"/>
        <v>421.82603655280883</v>
      </c>
      <c r="N77" s="56">
        <f t="shared" si="18"/>
        <v>439.89407289370519</v>
      </c>
      <c r="O77" s="56">
        <f t="shared" si="18"/>
        <v>439.7151814447854</v>
      </c>
      <c r="P77" s="56">
        <f t="shared" si="18"/>
        <v>440.2518557915447</v>
      </c>
      <c r="Q77" s="56">
        <f t="shared" si="18"/>
        <v>453.84760590944694</v>
      </c>
      <c r="R77" s="56">
        <f t="shared" si="18"/>
        <v>465.11776719139226</v>
      </c>
      <c r="S77" s="56">
        <f t="shared" si="18"/>
        <v>502.32718856670363</v>
      </c>
    </row>
    <row r="78" spans="1:19">
      <c r="A78">
        <v>55</v>
      </c>
      <c r="B78">
        <v>0.22609613556288799</v>
      </c>
      <c r="C78" s="56">
        <f>+$B78*C$13</f>
        <v>479.32380739332251</v>
      </c>
      <c r="D78" s="56">
        <f t="shared" ref="D78:S82" si="20">+$B78*D$13</f>
        <v>477.06284603769365</v>
      </c>
      <c r="E78" s="56">
        <f t="shared" si="20"/>
        <v>462.59269336166881</v>
      </c>
      <c r="F78" s="56">
        <f t="shared" si="20"/>
        <v>468.01900061517813</v>
      </c>
      <c r="G78" s="56">
        <f t="shared" si="20"/>
        <v>494.47224847603604</v>
      </c>
      <c r="H78" s="56">
        <f t="shared" si="20"/>
        <v>461.91440495498017</v>
      </c>
      <c r="I78" s="56">
        <f t="shared" si="20"/>
        <v>475.70626922431632</v>
      </c>
      <c r="J78" s="56">
        <f t="shared" si="20"/>
        <v>531.5520147083497</v>
      </c>
      <c r="K78" s="56">
        <f t="shared" si="20"/>
        <v>559.36183938258489</v>
      </c>
      <c r="L78" s="56">
        <f t="shared" si="20"/>
        <v>559.13574324702199</v>
      </c>
      <c r="M78" s="56">
        <f t="shared" si="20"/>
        <v>605.03325876628821</v>
      </c>
      <c r="N78" s="56">
        <f t="shared" si="20"/>
        <v>609.78127761310895</v>
      </c>
      <c r="O78" s="56">
        <f t="shared" si="20"/>
        <v>628.32116072926567</v>
      </c>
      <c r="P78" s="56">
        <f t="shared" si="20"/>
        <v>703.83727000727026</v>
      </c>
      <c r="Q78" s="56">
        <f t="shared" si="20"/>
        <v>709.71576953190538</v>
      </c>
      <c r="R78" s="56">
        <f t="shared" si="20"/>
        <v>742.04751691739841</v>
      </c>
      <c r="S78" s="56">
        <f t="shared" si="20"/>
        <v>758.32643867792626</v>
      </c>
    </row>
    <row r="79" spans="1:19">
      <c r="A79">
        <v>56</v>
      </c>
      <c r="B79">
        <v>0.21195123315250824</v>
      </c>
      <c r="C79" s="56">
        <f t="shared" ref="C79:R82" si="21">+$B79*C$13</f>
        <v>449.33661428331749</v>
      </c>
      <c r="D79" s="56">
        <f t="shared" si="21"/>
        <v>447.21710195179242</v>
      </c>
      <c r="E79" s="56">
        <f t="shared" si="21"/>
        <v>433.65222303003185</v>
      </c>
      <c r="F79" s="56">
        <f t="shared" si="21"/>
        <v>438.73905262569207</v>
      </c>
      <c r="G79" s="56">
        <f t="shared" si="21"/>
        <v>463.53734690453553</v>
      </c>
      <c r="H79" s="56">
        <f t="shared" si="21"/>
        <v>433.01636933057432</v>
      </c>
      <c r="I79" s="56">
        <f t="shared" si="21"/>
        <v>445.94539455287736</v>
      </c>
      <c r="J79" s="56">
        <f t="shared" si="21"/>
        <v>498.29734914154687</v>
      </c>
      <c r="K79" s="56">
        <f t="shared" si="21"/>
        <v>524.36735081930544</v>
      </c>
      <c r="L79" s="56">
        <f t="shared" si="21"/>
        <v>524.15539958615284</v>
      </c>
      <c r="M79" s="56">
        <f t="shared" si="21"/>
        <v>567.1814999161121</v>
      </c>
      <c r="N79" s="56">
        <f t="shared" si="21"/>
        <v>571.63247581231474</v>
      </c>
      <c r="O79" s="56">
        <f t="shared" si="21"/>
        <v>589.01247693082041</v>
      </c>
      <c r="P79" s="56">
        <f t="shared" si="21"/>
        <v>659.80418880375817</v>
      </c>
      <c r="Q79" s="56">
        <f t="shared" si="21"/>
        <v>665.31492086572337</v>
      </c>
      <c r="R79" s="56">
        <f t="shared" si="21"/>
        <v>695.62394720653208</v>
      </c>
      <c r="S79" s="56">
        <f t="shared" si="20"/>
        <v>710.88443599351262</v>
      </c>
    </row>
    <row r="80" spans="1:19">
      <c r="A80">
        <v>57</v>
      </c>
      <c r="B80">
        <v>0.19878082881270623</v>
      </c>
      <c r="C80" s="56">
        <f t="shared" si="21"/>
        <v>421.41535708293719</v>
      </c>
      <c r="D80" s="56">
        <f t="shared" si="20"/>
        <v>419.42754879481015</v>
      </c>
      <c r="E80" s="56">
        <f t="shared" si="20"/>
        <v>406.70557575079692</v>
      </c>
      <c r="F80" s="56">
        <f t="shared" si="20"/>
        <v>411.47631564230187</v>
      </c>
      <c r="G80" s="56">
        <f t="shared" si="20"/>
        <v>434.73367261338853</v>
      </c>
      <c r="H80" s="56">
        <f t="shared" si="20"/>
        <v>406.10923326435881</v>
      </c>
      <c r="I80" s="56">
        <f t="shared" si="20"/>
        <v>418.23486382193391</v>
      </c>
      <c r="J80" s="56">
        <f t="shared" si="20"/>
        <v>467.33372853867235</v>
      </c>
      <c r="K80" s="56">
        <f t="shared" si="20"/>
        <v>491.78377048263519</v>
      </c>
      <c r="L80" s="56">
        <f t="shared" si="20"/>
        <v>491.5849896538225</v>
      </c>
      <c r="M80" s="56">
        <f t="shared" si="20"/>
        <v>531.93749790280185</v>
      </c>
      <c r="N80" s="56">
        <f t="shared" si="20"/>
        <v>536.11189530786874</v>
      </c>
      <c r="O80" s="56">
        <f t="shared" si="20"/>
        <v>552.41192327051056</v>
      </c>
      <c r="P80" s="56">
        <f t="shared" si="20"/>
        <v>618.80472009395453</v>
      </c>
      <c r="Q80" s="56">
        <f t="shared" si="20"/>
        <v>623.97302164308485</v>
      </c>
      <c r="R80" s="56">
        <f t="shared" si="20"/>
        <v>652.39868016330183</v>
      </c>
      <c r="S80" s="56">
        <f t="shared" si="20"/>
        <v>666.71089983781667</v>
      </c>
    </row>
    <row r="81" spans="1:19">
      <c r="A81">
        <v>58</v>
      </c>
      <c r="B81">
        <v>0.18692746490688442</v>
      </c>
      <c r="C81" s="56">
        <f t="shared" si="21"/>
        <v>396.28622560259498</v>
      </c>
      <c r="D81" s="56">
        <f t="shared" si="20"/>
        <v>394.41695095352611</v>
      </c>
      <c r="E81" s="56">
        <f t="shared" si="20"/>
        <v>382.45359319948551</v>
      </c>
      <c r="F81" s="56">
        <f t="shared" si="20"/>
        <v>386.93985235725074</v>
      </c>
      <c r="G81" s="56">
        <f t="shared" si="20"/>
        <v>408.81036575135624</v>
      </c>
      <c r="H81" s="56">
        <f t="shared" si="20"/>
        <v>381.89281080476485</v>
      </c>
      <c r="I81" s="56">
        <f t="shared" si="20"/>
        <v>393.29538616408479</v>
      </c>
      <c r="J81" s="56">
        <f t="shared" si="20"/>
        <v>439.46646999608527</v>
      </c>
      <c r="K81" s="56">
        <f t="shared" si="20"/>
        <v>462.45854817963203</v>
      </c>
      <c r="L81" s="56">
        <f t="shared" si="20"/>
        <v>462.27162071472515</v>
      </c>
      <c r="M81" s="56">
        <f t="shared" si="20"/>
        <v>500.21789609082271</v>
      </c>
      <c r="N81" s="56">
        <f t="shared" si="20"/>
        <v>504.14337285386728</v>
      </c>
      <c r="O81" s="56">
        <f t="shared" si="20"/>
        <v>519.47142497623179</v>
      </c>
      <c r="P81" s="56">
        <f t="shared" si="20"/>
        <v>581.90519825513115</v>
      </c>
      <c r="Q81" s="56">
        <f t="shared" si="20"/>
        <v>586.76531234271022</v>
      </c>
      <c r="R81" s="56">
        <f t="shared" si="20"/>
        <v>613.49593982439467</v>
      </c>
      <c r="S81" s="56">
        <f t="shared" si="20"/>
        <v>626.95471729769031</v>
      </c>
    </row>
    <row r="82" spans="1:19">
      <c r="A82">
        <v>59</v>
      </c>
      <c r="B82">
        <v>0.17624433756501315</v>
      </c>
      <c r="C82" s="56">
        <f t="shared" si="21"/>
        <v>373.63799563782788</v>
      </c>
      <c r="D82" s="56">
        <f t="shared" si="20"/>
        <v>371.87555226217773</v>
      </c>
      <c r="E82" s="56">
        <f t="shared" si="20"/>
        <v>360.59591465801691</v>
      </c>
      <c r="F82" s="56">
        <f t="shared" si="20"/>
        <v>364.82577875957719</v>
      </c>
      <c r="G82" s="56">
        <f t="shared" si="20"/>
        <v>385.44636625468377</v>
      </c>
      <c r="H82" s="56">
        <f t="shared" si="20"/>
        <v>360.06718164532185</v>
      </c>
      <c r="I82" s="56">
        <f t="shared" si="20"/>
        <v>370.81808623678768</v>
      </c>
      <c r="J82" s="56">
        <f t="shared" si="20"/>
        <v>414.35043761534592</v>
      </c>
      <c r="K82" s="56">
        <f t="shared" si="20"/>
        <v>436.0284911358425</v>
      </c>
      <c r="L82" s="56">
        <f t="shared" si="20"/>
        <v>435.85224679827752</v>
      </c>
      <c r="M82" s="56">
        <f t="shared" si="20"/>
        <v>471.62984732397518</v>
      </c>
      <c r="N82" s="56">
        <f t="shared" si="20"/>
        <v>475.33097841284047</v>
      </c>
      <c r="O82" s="56">
        <f t="shared" si="20"/>
        <v>489.78301409317152</v>
      </c>
      <c r="P82" s="56">
        <f t="shared" si="20"/>
        <v>548.64862283988589</v>
      </c>
      <c r="Q82" s="56">
        <f t="shared" si="20"/>
        <v>553.2309756165763</v>
      </c>
      <c r="R82" s="56">
        <f t="shared" si="20"/>
        <v>578.43391588837312</v>
      </c>
      <c r="S82" s="56">
        <f t="shared" si="20"/>
        <v>591.12350819305414</v>
      </c>
    </row>
    <row r="83" spans="1:19">
      <c r="A83">
        <v>60</v>
      </c>
      <c r="B83">
        <v>0.22289409953629827</v>
      </c>
      <c r="C83" s="56">
        <f>+$B83*C$14</f>
        <v>575.28967090318588</v>
      </c>
      <c r="D83" s="56">
        <f t="shared" ref="D83:S87" si="22">+$B83*D$14</f>
        <v>577.96440009762136</v>
      </c>
      <c r="E83" s="56">
        <f t="shared" si="22"/>
        <v>597.13329265774303</v>
      </c>
      <c r="F83" s="56">
        <f t="shared" si="22"/>
        <v>581.97649388927482</v>
      </c>
      <c r="G83" s="56">
        <f t="shared" si="22"/>
        <v>620.76006720859073</v>
      </c>
      <c r="H83" s="56">
        <f t="shared" si="22"/>
        <v>622.54322000488105</v>
      </c>
      <c r="I83" s="56">
        <f t="shared" si="22"/>
        <v>623.21190230348998</v>
      </c>
      <c r="J83" s="56">
        <f t="shared" si="22"/>
        <v>610.28404453038468</v>
      </c>
      <c r="K83" s="56">
        <f t="shared" si="22"/>
        <v>630.3445134886515</v>
      </c>
      <c r="L83" s="56">
        <f t="shared" si="22"/>
        <v>606.04905663919499</v>
      </c>
      <c r="M83" s="56">
        <f t="shared" si="22"/>
        <v>642.15790076407529</v>
      </c>
      <c r="N83" s="56">
        <f t="shared" si="22"/>
        <v>654.19418213903543</v>
      </c>
      <c r="O83" s="56">
        <f t="shared" si="22"/>
        <v>682.05594458107271</v>
      </c>
      <c r="P83" s="56">
        <f t="shared" si="22"/>
        <v>719.05636510409818</v>
      </c>
      <c r="Q83" s="56">
        <f t="shared" si="22"/>
        <v>762.52071451367635</v>
      </c>
      <c r="R83" s="56">
        <f t="shared" si="22"/>
        <v>805.09348752510937</v>
      </c>
      <c r="S83" s="56">
        <f t="shared" si="22"/>
        <v>881.54616366605967</v>
      </c>
    </row>
    <row r="84" spans="1:19">
      <c r="A84">
        <v>61</v>
      </c>
      <c r="B84">
        <v>0.20974336831434096</v>
      </c>
      <c r="C84" s="56">
        <f t="shared" ref="C84:R87" si="23">+$B84*C$14</f>
        <v>541.34763361931402</v>
      </c>
      <c r="D84" s="56">
        <f t="shared" si="23"/>
        <v>543.8645540390861</v>
      </c>
      <c r="E84" s="56">
        <f t="shared" si="23"/>
        <v>561.9024837141194</v>
      </c>
      <c r="F84" s="56">
        <f t="shared" si="23"/>
        <v>547.63993466874422</v>
      </c>
      <c r="G84" s="56">
        <f t="shared" si="23"/>
        <v>584.13528075543957</v>
      </c>
      <c r="H84" s="56">
        <f t="shared" si="23"/>
        <v>585.81322770195425</v>
      </c>
      <c r="I84" s="56">
        <f t="shared" si="23"/>
        <v>586.44245780689732</v>
      </c>
      <c r="J84" s="56">
        <f t="shared" si="23"/>
        <v>574.27734244466558</v>
      </c>
      <c r="K84" s="56">
        <f t="shared" si="23"/>
        <v>593.15424559295627</v>
      </c>
      <c r="L84" s="56">
        <f t="shared" si="23"/>
        <v>570.29221844669303</v>
      </c>
      <c r="M84" s="56">
        <f t="shared" si="23"/>
        <v>604.2706441136163</v>
      </c>
      <c r="N84" s="56">
        <f t="shared" si="23"/>
        <v>615.59678600259076</v>
      </c>
      <c r="O84" s="56">
        <f t="shared" si="23"/>
        <v>641.81470704188337</v>
      </c>
      <c r="P84" s="56">
        <f t="shared" si="23"/>
        <v>676.63210618206392</v>
      </c>
      <c r="Q84" s="56">
        <f t="shared" si="23"/>
        <v>717.53206300336046</v>
      </c>
      <c r="R84" s="56">
        <f t="shared" si="23"/>
        <v>757.59304635139949</v>
      </c>
      <c r="S84" s="56">
        <f t="shared" si="22"/>
        <v>829.53502168321847</v>
      </c>
    </row>
    <row r="85" spans="1:19">
      <c r="A85">
        <v>62</v>
      </c>
      <c r="B85">
        <v>0.19823905983066439</v>
      </c>
      <c r="C85" s="56">
        <f t="shared" si="23"/>
        <v>511.65501342294482</v>
      </c>
      <c r="D85" s="56">
        <f t="shared" si="22"/>
        <v>514.03388214091274</v>
      </c>
      <c r="E85" s="56">
        <f t="shared" si="22"/>
        <v>531.08244128634988</v>
      </c>
      <c r="F85" s="56">
        <f t="shared" si="22"/>
        <v>517.60218521786476</v>
      </c>
      <c r="G85" s="56">
        <f t="shared" si="22"/>
        <v>552.09578162840035</v>
      </c>
      <c r="H85" s="56">
        <f t="shared" si="22"/>
        <v>553.6816941070457</v>
      </c>
      <c r="I85" s="56">
        <f t="shared" si="22"/>
        <v>554.27641128653761</v>
      </c>
      <c r="J85" s="56">
        <f t="shared" si="22"/>
        <v>542.77854581635916</v>
      </c>
      <c r="K85" s="56">
        <f t="shared" si="22"/>
        <v>560.62006120111892</v>
      </c>
      <c r="L85" s="56">
        <f t="shared" si="22"/>
        <v>539.01200367957654</v>
      </c>
      <c r="M85" s="56">
        <f t="shared" si="22"/>
        <v>571.12673137214415</v>
      </c>
      <c r="N85" s="56">
        <f t="shared" si="22"/>
        <v>581.83164060299998</v>
      </c>
      <c r="O85" s="56">
        <f t="shared" si="22"/>
        <v>606.61152308183307</v>
      </c>
      <c r="P85" s="56">
        <f t="shared" si="22"/>
        <v>639.5192070137233</v>
      </c>
      <c r="Q85" s="56">
        <f t="shared" si="22"/>
        <v>678.17582368070293</v>
      </c>
      <c r="R85" s="56">
        <f t="shared" si="22"/>
        <v>716.03948410835983</v>
      </c>
      <c r="S85" s="56">
        <f t="shared" si="22"/>
        <v>784.03548163027767</v>
      </c>
    </row>
    <row r="86" spans="1:19">
      <c r="A86">
        <v>63</v>
      </c>
      <c r="B86">
        <v>0.18862710496179624</v>
      </c>
      <c r="C86" s="56">
        <f t="shared" si="23"/>
        <v>486.84655790639613</v>
      </c>
      <c r="D86" s="56">
        <f t="shared" si="22"/>
        <v>489.11008316593768</v>
      </c>
      <c r="E86" s="56">
        <f t="shared" si="22"/>
        <v>505.33201419265214</v>
      </c>
      <c r="F86" s="56">
        <f t="shared" si="22"/>
        <v>492.50537105525001</v>
      </c>
      <c r="G86" s="56">
        <f t="shared" si="22"/>
        <v>525.32648731860252</v>
      </c>
      <c r="H86" s="56">
        <f t="shared" si="22"/>
        <v>526.83550415829689</v>
      </c>
      <c r="I86" s="56">
        <f t="shared" si="22"/>
        <v>527.40138547318224</v>
      </c>
      <c r="J86" s="56">
        <f t="shared" si="22"/>
        <v>516.46101338539813</v>
      </c>
      <c r="K86" s="56">
        <f t="shared" si="22"/>
        <v>533.43745283195983</v>
      </c>
      <c r="L86" s="56">
        <f t="shared" si="22"/>
        <v>512.87709839112404</v>
      </c>
      <c r="M86" s="56">
        <f t="shared" si="22"/>
        <v>543.43468939493494</v>
      </c>
      <c r="N86" s="56">
        <f t="shared" si="22"/>
        <v>553.62055306287198</v>
      </c>
      <c r="O86" s="56">
        <f t="shared" si="22"/>
        <v>577.19894118309651</v>
      </c>
      <c r="P86" s="56">
        <f t="shared" si="22"/>
        <v>608.5110406067547</v>
      </c>
      <c r="Q86" s="56">
        <f t="shared" si="22"/>
        <v>645.2933260743049</v>
      </c>
      <c r="R86" s="56">
        <f t="shared" si="22"/>
        <v>681.32110312200803</v>
      </c>
      <c r="S86" s="56">
        <f t="shared" si="22"/>
        <v>746.02020012390415</v>
      </c>
    </row>
    <row r="87" spans="1:19">
      <c r="A87">
        <v>64</v>
      </c>
      <c r="B87">
        <v>0.18049636735690014</v>
      </c>
      <c r="C87" s="56">
        <f t="shared" si="23"/>
        <v>465.86112414815926</v>
      </c>
      <c r="D87" s="56">
        <f t="shared" si="22"/>
        <v>468.02708055644206</v>
      </c>
      <c r="E87" s="56">
        <f t="shared" si="22"/>
        <v>483.54976814913545</v>
      </c>
      <c r="F87" s="56">
        <f t="shared" si="22"/>
        <v>471.27601516886625</v>
      </c>
      <c r="G87" s="56">
        <f t="shared" si="22"/>
        <v>502.6823830889669</v>
      </c>
      <c r="H87" s="56">
        <f t="shared" si="22"/>
        <v>504.12635402782212</v>
      </c>
      <c r="I87" s="56">
        <f t="shared" si="22"/>
        <v>504.66784312989279</v>
      </c>
      <c r="J87" s="56">
        <f t="shared" si="22"/>
        <v>494.19905382319257</v>
      </c>
      <c r="K87" s="56">
        <f t="shared" si="22"/>
        <v>510.44372688531359</v>
      </c>
      <c r="L87" s="56">
        <f t="shared" si="22"/>
        <v>490.76962284341147</v>
      </c>
      <c r="M87" s="56">
        <f t="shared" si="22"/>
        <v>520.01003435522932</v>
      </c>
      <c r="N87" s="56">
        <f t="shared" si="22"/>
        <v>529.75683819250196</v>
      </c>
      <c r="O87" s="56">
        <f t="shared" si="22"/>
        <v>552.31888411211446</v>
      </c>
      <c r="P87" s="56">
        <f t="shared" si="22"/>
        <v>582.28128109335989</v>
      </c>
      <c r="Q87" s="56">
        <f t="shared" si="22"/>
        <v>617.47807272795535</v>
      </c>
      <c r="R87" s="56">
        <f t="shared" si="22"/>
        <v>651.95287889312328</v>
      </c>
      <c r="S87" s="56">
        <f t="shared" si="22"/>
        <v>713.86313289654004</v>
      </c>
    </row>
    <row r="88" spans="1:19">
      <c r="A88">
        <v>65</v>
      </c>
      <c r="B88">
        <v>0.21794992959144135</v>
      </c>
      <c r="C88" s="56">
        <f>+$B88*C$15</f>
        <v>720.54246722930509</v>
      </c>
      <c r="D88" s="56">
        <f t="shared" ref="D88:S92" si="24">+$B88*D$15</f>
        <v>740.81181068130911</v>
      </c>
      <c r="E88" s="56">
        <f t="shared" si="24"/>
        <v>723.37581631399382</v>
      </c>
      <c r="F88" s="56">
        <f t="shared" si="24"/>
        <v>757.37600533025875</v>
      </c>
      <c r="G88" s="56">
        <f t="shared" si="24"/>
        <v>752.14520702006416</v>
      </c>
      <c r="H88" s="56">
        <f t="shared" si="24"/>
        <v>722.93991645481094</v>
      </c>
      <c r="I88" s="56">
        <f t="shared" si="24"/>
        <v>739.06821124457758</v>
      </c>
      <c r="J88" s="56">
        <f t="shared" si="24"/>
        <v>772.85045033125107</v>
      </c>
      <c r="K88" s="56">
        <f t="shared" si="24"/>
        <v>798.13264216385824</v>
      </c>
      <c r="L88" s="56">
        <f t="shared" si="24"/>
        <v>773.28635019043395</v>
      </c>
      <c r="M88" s="56">
        <f t="shared" si="24"/>
        <v>777.42739885267133</v>
      </c>
      <c r="N88" s="56">
        <f t="shared" si="24"/>
        <v>767.61965202105648</v>
      </c>
      <c r="O88" s="56">
        <f t="shared" si="24"/>
        <v>778.95304835981142</v>
      </c>
      <c r="P88" s="56">
        <f t="shared" si="24"/>
        <v>815.78658646076497</v>
      </c>
      <c r="Q88" s="56">
        <f t="shared" si="24"/>
        <v>812.08143765771047</v>
      </c>
      <c r="R88" s="56">
        <f t="shared" si="24"/>
        <v>861.55607167496771</v>
      </c>
      <c r="S88" s="56">
        <f t="shared" si="24"/>
        <v>886.402363648392</v>
      </c>
    </row>
    <row r="89" spans="1:19">
      <c r="A89">
        <v>66</v>
      </c>
      <c r="B89">
        <v>0.20900709756074509</v>
      </c>
      <c r="C89" s="56">
        <f t="shared" ref="C89:R92" si="25">+$B89*C$15</f>
        <v>690.97746453582329</v>
      </c>
      <c r="D89" s="56">
        <f t="shared" si="25"/>
        <v>710.41512460897252</v>
      </c>
      <c r="E89" s="56">
        <f t="shared" si="25"/>
        <v>693.69455680411295</v>
      </c>
      <c r="F89" s="56">
        <f t="shared" si="25"/>
        <v>726.29966402358923</v>
      </c>
      <c r="G89" s="56">
        <f t="shared" si="25"/>
        <v>721.28349368213128</v>
      </c>
      <c r="H89" s="56">
        <f t="shared" si="25"/>
        <v>693.27654260899146</v>
      </c>
      <c r="I89" s="56">
        <f t="shared" si="25"/>
        <v>708.74306782848657</v>
      </c>
      <c r="J89" s="56">
        <f t="shared" si="25"/>
        <v>741.13916795040211</v>
      </c>
      <c r="K89" s="56">
        <f t="shared" si="25"/>
        <v>765.38399126744855</v>
      </c>
      <c r="L89" s="56">
        <f t="shared" si="25"/>
        <v>741.5571821455236</v>
      </c>
      <c r="M89" s="56">
        <f t="shared" si="25"/>
        <v>745.52831699917772</v>
      </c>
      <c r="N89" s="56">
        <f t="shared" si="25"/>
        <v>736.12299760894416</v>
      </c>
      <c r="O89" s="56">
        <f t="shared" si="25"/>
        <v>746.99136668210292</v>
      </c>
      <c r="P89" s="56">
        <f t="shared" si="25"/>
        <v>782.31356616986886</v>
      </c>
      <c r="Q89" s="56">
        <f t="shared" si="25"/>
        <v>778.76044551133623</v>
      </c>
      <c r="R89" s="56">
        <f t="shared" si="25"/>
        <v>826.20505665762539</v>
      </c>
      <c r="S89" s="56">
        <f t="shared" si="24"/>
        <v>850.03186577955034</v>
      </c>
    </row>
    <row r="90" spans="1:19">
      <c r="A90">
        <v>67</v>
      </c>
      <c r="B90">
        <v>0.20017767528895861</v>
      </c>
      <c r="C90" s="56">
        <f t="shared" si="25"/>
        <v>661.78739450529713</v>
      </c>
      <c r="D90" s="56">
        <f t="shared" si="24"/>
        <v>680.40391830717033</v>
      </c>
      <c r="E90" s="56">
        <f t="shared" si="24"/>
        <v>664.38970428405366</v>
      </c>
      <c r="F90" s="56">
        <f t="shared" si="24"/>
        <v>695.61742162913117</v>
      </c>
      <c r="G90" s="56">
        <f t="shared" si="24"/>
        <v>690.81315742219613</v>
      </c>
      <c r="H90" s="56">
        <f t="shared" si="24"/>
        <v>663.98934893347575</v>
      </c>
      <c r="I90" s="56">
        <f t="shared" si="24"/>
        <v>678.80249690485869</v>
      </c>
      <c r="J90" s="56">
        <f t="shared" si="24"/>
        <v>709.83003657464724</v>
      </c>
      <c r="K90" s="56">
        <f t="shared" si="24"/>
        <v>733.05064690816641</v>
      </c>
      <c r="L90" s="56">
        <f t="shared" si="24"/>
        <v>710.23039192522515</v>
      </c>
      <c r="M90" s="56">
        <f t="shared" si="24"/>
        <v>714.0337677557153</v>
      </c>
      <c r="N90" s="56">
        <f t="shared" si="24"/>
        <v>705.02577236771219</v>
      </c>
      <c r="O90" s="56">
        <f t="shared" si="24"/>
        <v>715.4350114827381</v>
      </c>
      <c r="P90" s="56">
        <f t="shared" si="24"/>
        <v>749.26503860657203</v>
      </c>
      <c r="Q90" s="56">
        <f t="shared" si="24"/>
        <v>745.86201812665979</v>
      </c>
      <c r="R90" s="56">
        <f t="shared" si="24"/>
        <v>791.30235041725336</v>
      </c>
      <c r="S90" s="56">
        <f t="shared" si="24"/>
        <v>814.12260540019463</v>
      </c>
    </row>
    <row r="91" spans="1:19">
      <c r="A91">
        <v>68</v>
      </c>
      <c r="B91">
        <v>0.19109308105962519</v>
      </c>
      <c r="C91" s="56">
        <f t="shared" si="25"/>
        <v>631.75372598312083</v>
      </c>
      <c r="D91" s="56">
        <f t="shared" si="24"/>
        <v>649.52538252166607</v>
      </c>
      <c r="E91" s="56">
        <f t="shared" si="24"/>
        <v>634.23793603689603</v>
      </c>
      <c r="F91" s="56">
        <f t="shared" si="24"/>
        <v>664.04845668219752</v>
      </c>
      <c r="G91" s="56">
        <f t="shared" si="24"/>
        <v>659.46222273676653</v>
      </c>
      <c r="H91" s="56">
        <f t="shared" si="24"/>
        <v>633.85574987477673</v>
      </c>
      <c r="I91" s="56">
        <f t="shared" si="24"/>
        <v>647.996637873189</v>
      </c>
      <c r="J91" s="56">
        <f t="shared" si="24"/>
        <v>677.61606543743096</v>
      </c>
      <c r="K91" s="56">
        <f t="shared" si="24"/>
        <v>699.78286284034743</v>
      </c>
      <c r="L91" s="56">
        <f t="shared" si="24"/>
        <v>677.99825159955014</v>
      </c>
      <c r="M91" s="56">
        <f t="shared" si="24"/>
        <v>681.62902013968301</v>
      </c>
      <c r="N91" s="56">
        <f t="shared" si="24"/>
        <v>673.02983149199997</v>
      </c>
      <c r="O91" s="56">
        <f t="shared" si="24"/>
        <v>682.96667170710043</v>
      </c>
      <c r="P91" s="56">
        <f t="shared" si="24"/>
        <v>715.26140240617713</v>
      </c>
      <c r="Q91" s="56">
        <f t="shared" si="24"/>
        <v>712.01282002816345</v>
      </c>
      <c r="R91" s="56">
        <f t="shared" si="24"/>
        <v>755.39094942869838</v>
      </c>
      <c r="S91" s="56">
        <f t="shared" si="24"/>
        <v>777.17556066949567</v>
      </c>
    </row>
    <row r="92" spans="1:19">
      <c r="A92">
        <v>69</v>
      </c>
      <c r="B92">
        <v>0.18177221649922976</v>
      </c>
      <c r="C92" s="56">
        <f t="shared" si="25"/>
        <v>600.93894774645355</v>
      </c>
      <c r="D92" s="56">
        <f t="shared" si="24"/>
        <v>617.84376388088197</v>
      </c>
      <c r="E92" s="56">
        <f t="shared" si="24"/>
        <v>603.30198656094353</v>
      </c>
      <c r="F92" s="56">
        <f t="shared" si="24"/>
        <v>631.65845233482344</v>
      </c>
      <c r="G92" s="56">
        <f t="shared" si="24"/>
        <v>627.2959191388419</v>
      </c>
      <c r="H92" s="56">
        <f t="shared" si="24"/>
        <v>602.93844212794511</v>
      </c>
      <c r="I92" s="56">
        <f t="shared" si="24"/>
        <v>616.38958614888804</v>
      </c>
      <c r="J92" s="56">
        <f t="shared" si="24"/>
        <v>644.56427970626874</v>
      </c>
      <c r="K92" s="56">
        <f t="shared" si="24"/>
        <v>665.64985682017937</v>
      </c>
      <c r="L92" s="56">
        <f t="shared" si="24"/>
        <v>644.92782413926716</v>
      </c>
      <c r="M92" s="56">
        <f t="shared" si="24"/>
        <v>648.38149625275253</v>
      </c>
      <c r="N92" s="56">
        <f t="shared" si="24"/>
        <v>640.20174651028719</v>
      </c>
      <c r="O92" s="56">
        <f t="shared" si="24"/>
        <v>649.65390176824712</v>
      </c>
      <c r="P92" s="56">
        <f t="shared" si="24"/>
        <v>680.37340635661701</v>
      </c>
      <c r="Q92" s="56">
        <f t="shared" si="24"/>
        <v>677.28327867613007</v>
      </c>
      <c r="R92" s="56">
        <f t="shared" si="24"/>
        <v>718.54557182145527</v>
      </c>
      <c r="S92" s="56">
        <f t="shared" si="24"/>
        <v>739.26760450236736</v>
      </c>
    </row>
    <row r="93" spans="1:19">
      <c r="A93">
        <v>70</v>
      </c>
      <c r="B93">
        <v>0.22571525361091435</v>
      </c>
      <c r="C93" s="56">
        <f>+$B93*C$16</f>
        <v>829.05212651288844</v>
      </c>
      <c r="D93" s="56">
        <f t="shared" ref="D93:S97" si="26">+$B93*D$16</f>
        <v>817.08921807151</v>
      </c>
      <c r="E93" s="56">
        <f t="shared" si="26"/>
        <v>839.43502817899048</v>
      </c>
      <c r="F93" s="56">
        <f t="shared" si="26"/>
        <v>879.83805857534412</v>
      </c>
      <c r="G93" s="56">
        <f t="shared" si="26"/>
        <v>929.04398386252342</v>
      </c>
      <c r="H93" s="56">
        <f t="shared" si="26"/>
        <v>912.11533984170489</v>
      </c>
      <c r="I93" s="56">
        <f t="shared" si="26"/>
        <v>972.38131255581902</v>
      </c>
      <c r="J93" s="56">
        <f t="shared" si="26"/>
        <v>933.33257368113084</v>
      </c>
      <c r="K93" s="56">
        <f t="shared" si="26"/>
        <v>999.6928582427397</v>
      </c>
      <c r="L93" s="56">
        <f t="shared" si="26"/>
        <v>973.05845831665181</v>
      </c>
      <c r="M93" s="56">
        <f t="shared" si="26"/>
        <v>943.94119060084381</v>
      </c>
      <c r="N93" s="56">
        <f t="shared" si="26"/>
        <v>947.55263465861844</v>
      </c>
      <c r="O93" s="56">
        <f t="shared" si="26"/>
        <v>991.11567860552486</v>
      </c>
      <c r="P93" s="56">
        <f t="shared" si="26"/>
        <v>1003.5300175541252</v>
      </c>
      <c r="Q93" s="56">
        <f t="shared" si="26"/>
        <v>1019.3300853068893</v>
      </c>
      <c r="R93" s="56">
        <f t="shared" si="26"/>
        <v>1108.0361799759785</v>
      </c>
      <c r="S93" s="56">
        <f t="shared" si="26"/>
        <v>1092.4618274768254</v>
      </c>
    </row>
    <row r="94" spans="1:19">
      <c r="A94">
        <v>71</v>
      </c>
      <c r="B94">
        <v>0.21479473992177636</v>
      </c>
      <c r="C94" s="56">
        <f t="shared" ref="C94:R97" si="27">+$B94*C$16</f>
        <v>788.94107973268456</v>
      </c>
      <c r="D94" s="56">
        <f t="shared" si="27"/>
        <v>777.55695851683038</v>
      </c>
      <c r="E94" s="56">
        <f t="shared" si="27"/>
        <v>798.82163776908624</v>
      </c>
      <c r="F94" s="56">
        <f t="shared" si="27"/>
        <v>837.26989621508426</v>
      </c>
      <c r="G94" s="56">
        <f t="shared" si="27"/>
        <v>884.09514951803146</v>
      </c>
      <c r="H94" s="56">
        <f t="shared" si="27"/>
        <v>867.98554402389823</v>
      </c>
      <c r="I94" s="56">
        <f t="shared" si="27"/>
        <v>925.33573958301258</v>
      </c>
      <c r="J94" s="56">
        <f t="shared" si="27"/>
        <v>888.17624957654527</v>
      </c>
      <c r="K94" s="56">
        <f t="shared" si="27"/>
        <v>951.3259031135475</v>
      </c>
      <c r="L94" s="56">
        <f t="shared" si="27"/>
        <v>925.98012380277794</v>
      </c>
      <c r="M94" s="56">
        <f t="shared" si="27"/>
        <v>898.27160235286874</v>
      </c>
      <c r="N94" s="56">
        <f t="shared" si="27"/>
        <v>901.7083181916172</v>
      </c>
      <c r="O94" s="56">
        <f t="shared" si="27"/>
        <v>943.16370299651999</v>
      </c>
      <c r="P94" s="56">
        <f t="shared" si="27"/>
        <v>954.97741369221774</v>
      </c>
      <c r="Q94" s="56">
        <f t="shared" si="27"/>
        <v>970.01304548674204</v>
      </c>
      <c r="R94" s="56">
        <f t="shared" si="27"/>
        <v>1054.4273782760001</v>
      </c>
      <c r="S94" s="56">
        <f t="shared" si="26"/>
        <v>1039.6065412213975</v>
      </c>
    </row>
    <row r="95" spans="1:19">
      <c r="A95">
        <v>72</v>
      </c>
      <c r="B95">
        <v>0.20212805272396908</v>
      </c>
      <c r="C95" s="56">
        <f t="shared" si="27"/>
        <v>742.41633765513848</v>
      </c>
      <c r="D95" s="56">
        <f t="shared" si="26"/>
        <v>731.70355086076813</v>
      </c>
      <c r="E95" s="56">
        <f t="shared" si="26"/>
        <v>751.71422808044099</v>
      </c>
      <c r="F95" s="56">
        <f t="shared" si="26"/>
        <v>787.89514951803153</v>
      </c>
      <c r="G95" s="56">
        <f t="shared" si="26"/>
        <v>831.95906501185675</v>
      </c>
      <c r="H95" s="56">
        <f t="shared" si="26"/>
        <v>816.79946105755903</v>
      </c>
      <c r="I95" s="56">
        <f t="shared" si="26"/>
        <v>870.76765113485885</v>
      </c>
      <c r="J95" s="56">
        <f t="shared" si="26"/>
        <v>835.79949801361215</v>
      </c>
      <c r="K95" s="56">
        <f t="shared" si="26"/>
        <v>895.22514551445909</v>
      </c>
      <c r="L95" s="56">
        <f t="shared" si="26"/>
        <v>871.37403529303072</v>
      </c>
      <c r="M95" s="56">
        <f t="shared" si="26"/>
        <v>845.29951649163866</v>
      </c>
      <c r="N95" s="56">
        <f t="shared" si="26"/>
        <v>848.53356533522219</v>
      </c>
      <c r="O95" s="56">
        <f t="shared" si="26"/>
        <v>887.54427951094829</v>
      </c>
      <c r="P95" s="56">
        <f t="shared" si="26"/>
        <v>898.6613224107665</v>
      </c>
      <c r="Q95" s="56">
        <f t="shared" si="26"/>
        <v>912.81028610144438</v>
      </c>
      <c r="R95" s="56">
        <f t="shared" si="26"/>
        <v>992.24661082196417</v>
      </c>
      <c r="S95" s="56">
        <f t="shared" si="26"/>
        <v>978.2997751840104</v>
      </c>
    </row>
    <row r="96" spans="1:19">
      <c r="A96">
        <v>73</v>
      </c>
      <c r="B96">
        <v>0.18700070832435095</v>
      </c>
      <c r="C96" s="56">
        <f t="shared" si="27"/>
        <v>686.853601675341</v>
      </c>
      <c r="D96" s="56">
        <f t="shared" si="26"/>
        <v>676.94256413415042</v>
      </c>
      <c r="E96" s="56">
        <f t="shared" si="26"/>
        <v>695.45563425826117</v>
      </c>
      <c r="F96" s="56">
        <f t="shared" si="26"/>
        <v>728.92876104831998</v>
      </c>
      <c r="G96" s="56">
        <f t="shared" si="26"/>
        <v>769.69491546302856</v>
      </c>
      <c r="H96" s="56">
        <f t="shared" si="26"/>
        <v>755.66986233870216</v>
      </c>
      <c r="I96" s="56">
        <f t="shared" si="26"/>
        <v>805.59905146130393</v>
      </c>
      <c r="J96" s="56">
        <f t="shared" si="26"/>
        <v>773.24792892119115</v>
      </c>
      <c r="K96" s="56">
        <f t="shared" si="26"/>
        <v>828.22613716855039</v>
      </c>
      <c r="L96" s="56">
        <f t="shared" si="26"/>
        <v>806.16005358627694</v>
      </c>
      <c r="M96" s="56">
        <f t="shared" si="26"/>
        <v>782.0369622124357</v>
      </c>
      <c r="N96" s="56">
        <f t="shared" si="26"/>
        <v>785.02897354562526</v>
      </c>
      <c r="O96" s="56">
        <f t="shared" si="26"/>
        <v>821.120110252225</v>
      </c>
      <c r="P96" s="56">
        <f t="shared" si="26"/>
        <v>831.40514921006434</v>
      </c>
      <c r="Q96" s="56">
        <f t="shared" si="26"/>
        <v>844.49519879276886</v>
      </c>
      <c r="R96" s="56">
        <f t="shared" si="26"/>
        <v>917.98647716423886</v>
      </c>
      <c r="S96" s="56">
        <f t="shared" si="26"/>
        <v>905.0834282898586</v>
      </c>
    </row>
    <row r="97" spans="1:19">
      <c r="A97">
        <v>74</v>
      </c>
      <c r="B97">
        <v>0.17036124541898925</v>
      </c>
      <c r="C97" s="56">
        <f t="shared" si="27"/>
        <v>625.73685442394753</v>
      </c>
      <c r="D97" s="56">
        <f t="shared" si="26"/>
        <v>616.70770841674107</v>
      </c>
      <c r="E97" s="56">
        <f t="shared" si="26"/>
        <v>633.57347171322101</v>
      </c>
      <c r="F97" s="56">
        <f t="shared" si="26"/>
        <v>664.06813464322011</v>
      </c>
      <c r="G97" s="56">
        <f t="shared" si="26"/>
        <v>701.2068861445598</v>
      </c>
      <c r="H97" s="56">
        <f t="shared" si="26"/>
        <v>688.42979273813557</v>
      </c>
      <c r="I97" s="56">
        <f t="shared" si="26"/>
        <v>733.91624526500573</v>
      </c>
      <c r="J97" s="56">
        <f t="shared" si="26"/>
        <v>704.44374980752059</v>
      </c>
      <c r="K97" s="56">
        <f t="shared" si="26"/>
        <v>754.52995596070343</v>
      </c>
      <c r="L97" s="56">
        <f t="shared" si="26"/>
        <v>734.42732900126271</v>
      </c>
      <c r="M97" s="56">
        <f t="shared" si="26"/>
        <v>712.4507283422131</v>
      </c>
      <c r="N97" s="56">
        <f t="shared" si="26"/>
        <v>715.1765082689169</v>
      </c>
      <c r="O97" s="56">
        <f t="shared" si="26"/>
        <v>748.05622863478186</v>
      </c>
      <c r="P97" s="56">
        <f t="shared" si="26"/>
        <v>757.42609713282627</v>
      </c>
      <c r="Q97" s="56">
        <f t="shared" si="26"/>
        <v>769.35138431215546</v>
      </c>
      <c r="R97" s="56">
        <f t="shared" si="26"/>
        <v>836.30335376181824</v>
      </c>
      <c r="S97" s="56">
        <f t="shared" si="26"/>
        <v>824.54842782790797</v>
      </c>
    </row>
    <row r="98" spans="1:19">
      <c r="A98">
        <v>75</v>
      </c>
      <c r="B98">
        <v>0.33413432576071966</v>
      </c>
      <c r="C98" s="56">
        <f>+$B98*C$17</f>
        <v>1274.054184125624</v>
      </c>
      <c r="D98" s="56">
        <f t="shared" ref="D98:S102" si="28">+$B98*D$17</f>
        <v>1380.308899717533</v>
      </c>
      <c r="E98" s="56">
        <f t="shared" si="28"/>
        <v>1327.8498105730998</v>
      </c>
      <c r="F98" s="56">
        <f t="shared" si="28"/>
        <v>1393.6742727479618</v>
      </c>
      <c r="G98" s="56">
        <f t="shared" si="28"/>
        <v>1470.5251676729272</v>
      </c>
      <c r="H98" s="56">
        <f t="shared" si="28"/>
        <v>1405.0348398238261</v>
      </c>
      <c r="I98" s="56">
        <f t="shared" si="28"/>
        <v>1513.9626300218208</v>
      </c>
      <c r="J98" s="56">
        <f t="shared" si="28"/>
        <v>1528.6645403552925</v>
      </c>
      <c r="K98" s="56">
        <f t="shared" si="28"/>
        <v>1669.6692258263161</v>
      </c>
      <c r="L98" s="56">
        <f t="shared" si="28"/>
        <v>1663.9889422883839</v>
      </c>
      <c r="M98" s="56">
        <f t="shared" si="28"/>
        <v>1709.7653449176025</v>
      </c>
      <c r="N98" s="56">
        <f t="shared" si="28"/>
        <v>1658.3086587504517</v>
      </c>
      <c r="O98" s="56">
        <f t="shared" si="28"/>
        <v>1737.4984939557423</v>
      </c>
      <c r="P98" s="56">
        <f t="shared" si="28"/>
        <v>1783.6090309107215</v>
      </c>
      <c r="Q98" s="56">
        <f t="shared" si="28"/>
        <v>1756.2100161983426</v>
      </c>
      <c r="R98" s="56">
        <f t="shared" si="28"/>
        <v>1835.7339857293939</v>
      </c>
      <c r="S98" s="56">
        <f t="shared" si="28"/>
        <v>1936.9766864348919</v>
      </c>
    </row>
    <row r="99" spans="1:19">
      <c r="A99">
        <v>76</v>
      </c>
      <c r="B99">
        <v>0.3008607879623556</v>
      </c>
      <c r="C99" s="56">
        <f t="shared" ref="C99:R102" si="29">+$B99*C$17</f>
        <v>1147.182184500462</v>
      </c>
      <c r="D99" s="56">
        <f t="shared" si="29"/>
        <v>1242.8559150724909</v>
      </c>
      <c r="E99" s="56">
        <f t="shared" si="29"/>
        <v>1195.6207713624012</v>
      </c>
      <c r="F99" s="56">
        <f t="shared" si="29"/>
        <v>1254.8903465909852</v>
      </c>
      <c r="G99" s="56">
        <f t="shared" si="29"/>
        <v>1324.0883278223271</v>
      </c>
      <c r="H99" s="56">
        <f t="shared" si="29"/>
        <v>1265.1196133817052</v>
      </c>
      <c r="I99" s="56">
        <f t="shared" si="29"/>
        <v>1363.2002302574333</v>
      </c>
      <c r="J99" s="56">
        <f t="shared" si="29"/>
        <v>1376.438104927777</v>
      </c>
      <c r="K99" s="56">
        <f t="shared" si="29"/>
        <v>1503.4013574478909</v>
      </c>
      <c r="L99" s="56">
        <f t="shared" si="29"/>
        <v>1498.2867240525309</v>
      </c>
      <c r="M99" s="56">
        <f t="shared" si="29"/>
        <v>1539.5046520033736</v>
      </c>
      <c r="N99" s="56">
        <f t="shared" si="29"/>
        <v>1493.1720906571709</v>
      </c>
      <c r="O99" s="56">
        <f t="shared" si="29"/>
        <v>1564.4760974042492</v>
      </c>
      <c r="P99" s="56">
        <f t="shared" si="29"/>
        <v>1605.9948861430541</v>
      </c>
      <c r="Q99" s="56">
        <f t="shared" si="29"/>
        <v>1581.3243015301412</v>
      </c>
      <c r="R99" s="56">
        <f t="shared" si="29"/>
        <v>1652.9291690651817</v>
      </c>
      <c r="S99" s="56">
        <f t="shared" si="28"/>
        <v>1744.0899878177754</v>
      </c>
    </row>
    <row r="100" spans="1:19">
      <c r="A100">
        <v>77</v>
      </c>
      <c r="B100">
        <v>0.2723329629580048</v>
      </c>
      <c r="C100" s="56">
        <f t="shared" si="29"/>
        <v>1038.4055877588723</v>
      </c>
      <c r="D100" s="56">
        <f t="shared" si="28"/>
        <v>1125.0074699795177</v>
      </c>
      <c r="E100" s="56">
        <f t="shared" si="28"/>
        <v>1082.2511947951111</v>
      </c>
      <c r="F100" s="56">
        <f t="shared" si="28"/>
        <v>1135.900788497838</v>
      </c>
      <c r="G100" s="56">
        <f t="shared" si="28"/>
        <v>1198.5373699781792</v>
      </c>
      <c r="H100" s="56">
        <f t="shared" si="28"/>
        <v>1145.1601092384101</v>
      </c>
      <c r="I100" s="56">
        <f t="shared" si="28"/>
        <v>1233.9406551627198</v>
      </c>
      <c r="J100" s="56">
        <f t="shared" si="28"/>
        <v>1245.9233055328721</v>
      </c>
      <c r="K100" s="56">
        <f t="shared" si="28"/>
        <v>1360.8478159011499</v>
      </c>
      <c r="L100" s="56">
        <f t="shared" si="28"/>
        <v>1356.2181555308639</v>
      </c>
      <c r="M100" s="56">
        <f t="shared" si="28"/>
        <v>1393.5277714561105</v>
      </c>
      <c r="N100" s="56">
        <f t="shared" si="28"/>
        <v>1351.5884951605778</v>
      </c>
      <c r="O100" s="56">
        <f t="shared" si="28"/>
        <v>1416.131407381625</v>
      </c>
      <c r="P100" s="56">
        <f t="shared" si="28"/>
        <v>1453.7133562698295</v>
      </c>
      <c r="Q100" s="56">
        <f t="shared" si="28"/>
        <v>1431.3820533072733</v>
      </c>
      <c r="R100" s="56">
        <f t="shared" si="28"/>
        <v>1496.1972984912784</v>
      </c>
      <c r="S100" s="56">
        <f t="shared" si="28"/>
        <v>1578.7141862675537</v>
      </c>
    </row>
    <row r="101" spans="1:19">
      <c r="A101">
        <v>78</v>
      </c>
      <c r="B101">
        <v>0.2492268972810881</v>
      </c>
      <c r="C101" s="56">
        <f t="shared" si="29"/>
        <v>950.30215933278896</v>
      </c>
      <c r="D101" s="56">
        <f t="shared" si="28"/>
        <v>1029.556312668175</v>
      </c>
      <c r="E101" s="56">
        <f t="shared" si="28"/>
        <v>990.4276897950441</v>
      </c>
      <c r="F101" s="56">
        <f t="shared" si="28"/>
        <v>1039.5253885594184</v>
      </c>
      <c r="G101" s="56">
        <f t="shared" si="28"/>
        <v>1096.8475749340687</v>
      </c>
      <c r="H101" s="56">
        <f t="shared" si="28"/>
        <v>1047.9991030669755</v>
      </c>
      <c r="I101" s="56">
        <f t="shared" si="28"/>
        <v>1129.2470715806103</v>
      </c>
      <c r="J101" s="56">
        <f t="shared" si="28"/>
        <v>1140.2130550609781</v>
      </c>
      <c r="K101" s="56">
        <f t="shared" si="28"/>
        <v>1245.3868057135971</v>
      </c>
      <c r="L101" s="56">
        <f t="shared" si="28"/>
        <v>1241.1499484598187</v>
      </c>
      <c r="M101" s="56">
        <f t="shared" si="28"/>
        <v>1275.2940333873278</v>
      </c>
      <c r="N101" s="56">
        <f t="shared" si="28"/>
        <v>1236.9130912060402</v>
      </c>
      <c r="O101" s="56">
        <f t="shared" si="28"/>
        <v>1295.979865861658</v>
      </c>
      <c r="P101" s="56">
        <f t="shared" si="28"/>
        <v>1330.3731776864483</v>
      </c>
      <c r="Q101" s="56">
        <f t="shared" si="28"/>
        <v>1309.9365721093991</v>
      </c>
      <c r="R101" s="56">
        <f t="shared" si="28"/>
        <v>1369.2525736622981</v>
      </c>
      <c r="S101" s="56">
        <f t="shared" si="28"/>
        <v>1444.7683235384677</v>
      </c>
    </row>
    <row r="102" spans="1:19">
      <c r="A102">
        <v>79</v>
      </c>
      <c r="B102">
        <v>0.23115436618964108</v>
      </c>
      <c r="C102" s="56">
        <f t="shared" si="29"/>
        <v>881.39159828110144</v>
      </c>
      <c r="D102" s="56">
        <f t="shared" si="28"/>
        <v>954.89868672940736</v>
      </c>
      <c r="E102" s="56">
        <f t="shared" si="28"/>
        <v>918.60745123763365</v>
      </c>
      <c r="F102" s="56">
        <f t="shared" si="28"/>
        <v>964.14486137699294</v>
      </c>
      <c r="G102" s="56">
        <f t="shared" si="28"/>
        <v>1017.3103656006103</v>
      </c>
      <c r="H102" s="56">
        <f t="shared" si="28"/>
        <v>972.00410982744074</v>
      </c>
      <c r="I102" s="56">
        <f t="shared" si="28"/>
        <v>1047.3604332052637</v>
      </c>
      <c r="J102" s="56">
        <f t="shared" si="28"/>
        <v>1057.531225317608</v>
      </c>
      <c r="K102" s="56">
        <f t="shared" si="28"/>
        <v>1155.0783678496364</v>
      </c>
      <c r="L102" s="56">
        <f t="shared" si="28"/>
        <v>1151.1487436244126</v>
      </c>
      <c r="M102" s="56">
        <f t="shared" si="28"/>
        <v>1182.8168917923933</v>
      </c>
      <c r="N102" s="56">
        <f t="shared" si="28"/>
        <v>1147.2191193991887</v>
      </c>
      <c r="O102" s="56">
        <f t="shared" si="28"/>
        <v>1202.0027041861335</v>
      </c>
      <c r="P102" s="56">
        <f t="shared" si="28"/>
        <v>1233.9020067203041</v>
      </c>
      <c r="Q102" s="56">
        <f t="shared" si="28"/>
        <v>1214.9473486927536</v>
      </c>
      <c r="R102" s="56">
        <f t="shared" si="28"/>
        <v>1269.9620878458882</v>
      </c>
      <c r="S102" s="56">
        <f t="shared" si="28"/>
        <v>1340.0018608013493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0070C0"/>
  </sheetPr>
  <dimension ref="A1:V101"/>
  <sheetViews>
    <sheetView workbookViewId="0">
      <selection activeCell="G1" sqref="G1:G1048576"/>
    </sheetView>
  </sheetViews>
  <sheetFormatPr baseColWidth="10" defaultRowHeight="15"/>
  <cols>
    <col min="19" max="19" width="11.42578125" style="69"/>
    <col min="20" max="20" width="0" style="69" hidden="1" customWidth="1"/>
    <col min="21" max="21" width="11.42578125" style="74"/>
    <col min="22" max="22" width="12" style="69" bestFit="1" customWidth="1"/>
  </cols>
  <sheetData>
    <row r="1" spans="1:22">
      <c r="A1" t="s">
        <v>95</v>
      </c>
      <c r="B1" s="2">
        <v>1995</v>
      </c>
      <c r="C1" s="2">
        <v>1996</v>
      </c>
      <c r="D1" s="2">
        <v>1997</v>
      </c>
      <c r="E1" s="2">
        <v>1998</v>
      </c>
      <c r="F1" s="2">
        <v>1999</v>
      </c>
      <c r="G1" s="2">
        <v>2000</v>
      </c>
      <c r="H1" s="2">
        <v>2001</v>
      </c>
      <c r="I1" s="2">
        <v>2002</v>
      </c>
      <c r="J1" s="2">
        <v>2003</v>
      </c>
      <c r="K1" s="2">
        <v>2004</v>
      </c>
      <c r="L1" s="2">
        <v>2005</v>
      </c>
      <c r="M1" s="2">
        <v>2006</v>
      </c>
      <c r="N1" s="2">
        <v>2007</v>
      </c>
      <c r="O1" s="2">
        <v>2008</v>
      </c>
      <c r="P1" s="2">
        <v>2009</v>
      </c>
      <c r="Q1" s="2">
        <v>2010</v>
      </c>
      <c r="R1" s="2">
        <v>2011</v>
      </c>
      <c r="S1" s="72" t="str">
        <f>+A1</f>
        <v>edad</v>
      </c>
      <c r="T1" s="69" t="s">
        <v>96</v>
      </c>
      <c r="U1" s="74" t="s">
        <v>101</v>
      </c>
      <c r="V1" s="69">
        <v>0.44633109319999997</v>
      </c>
    </row>
    <row r="2" spans="1:22">
      <c r="A2">
        <v>0</v>
      </c>
      <c r="B2" s="55">
        <f>+'Muertes por Edad M'!C23/'Población por Edad M'!C23*1000</f>
        <v>28.22356338512963</v>
      </c>
      <c r="C2" s="55">
        <f>+'Muertes por Edad M'!D23/'Población por Edad M'!D23*1000</f>
        <v>27.127176832459785</v>
      </c>
      <c r="D2" s="55">
        <f>+'Muertes por Edad M'!E23/'Población por Edad M'!E23*1000</f>
        <v>24.979572665583323</v>
      </c>
      <c r="E2" s="55">
        <f>+'Muertes por Edad M'!F23/'Población por Edad M'!F23*1000</f>
        <v>24.155641689826759</v>
      </c>
      <c r="F2" s="55">
        <f>+'Muertes por Edad M'!G23/'Población por Edad M'!G23*1000</f>
        <v>22.852957453320794</v>
      </c>
      <c r="G2" s="55">
        <f>+'Muertes por Edad M'!H23/'Población por Edad M'!H23*1000</f>
        <v>21.952421122057917</v>
      </c>
      <c r="H2" s="55">
        <f>+'Muertes por Edad M'!I23/'Población por Edad M'!I23*1000</f>
        <v>20.941739144978285</v>
      </c>
      <c r="I2" s="55">
        <f>+'Muertes por Edad M'!J23/'Población por Edad M'!J23*1000</f>
        <v>19.360103759236278</v>
      </c>
      <c r="J2" s="55">
        <f>+'Muertes por Edad M'!K23/'Población por Edad M'!K23*1000</f>
        <v>22.739273137382664</v>
      </c>
      <c r="K2" s="55">
        <f>+'Muertes por Edad M'!L23/'Población por Edad M'!L23*1000</f>
        <v>20.678833301461257</v>
      </c>
      <c r="L2" s="55">
        <f>+'Muertes por Edad M'!M23/'Población por Edad M'!M23*1000</f>
        <v>20.259806190142822</v>
      </c>
      <c r="M2" s="55">
        <f>+'Muertes por Edad M'!N23/'Población por Edad M'!N23*1000</f>
        <v>18.724828889959404</v>
      </c>
      <c r="N2" s="55">
        <f>+'Muertes por Edad M'!O23/'Población por Edad M'!O23*1000</f>
        <v>18.953907529858832</v>
      </c>
      <c r="O2" s="55">
        <f>+'Muertes por Edad M'!P23/'Población por Edad M'!P23*1000</f>
        <v>18.76023485689548</v>
      </c>
      <c r="P2" s="55">
        <f>+'Muertes por Edad M'!Q23/'Población por Edad M'!Q23*1000</f>
        <v>19.262044196758783</v>
      </c>
      <c r="Q2" s="55">
        <f>+'Muertes por Edad M'!R23/'Población por Edad M'!R23*1000</f>
        <v>20.208110982681418</v>
      </c>
      <c r="R2" s="55">
        <f>+'Muertes por Edad M'!S23/'Población por Edad M'!S23*1000</f>
        <v>20.053687673391948</v>
      </c>
      <c r="S2" s="72">
        <v>0</v>
      </c>
      <c r="T2" s="73">
        <f>+AVERAGE(B2:R2)</f>
        <v>21.719641341830904</v>
      </c>
      <c r="U2" s="81">
        <f>+G2</f>
        <v>21.952421122057917</v>
      </c>
      <c r="V2" s="69">
        <v>6.0358942800000003E-2</v>
      </c>
    </row>
    <row r="3" spans="1:22">
      <c r="A3">
        <v>1</v>
      </c>
      <c r="B3" s="55">
        <f>+'Muertes por Edad M'!C24/'Población por Edad M'!C24*1000</f>
        <v>2.7884596636124042</v>
      </c>
      <c r="C3" s="55">
        <f>+'Muertes por Edad M'!D24/'Población por Edad M'!D24*1000</f>
        <v>3.2813995812243877</v>
      </c>
      <c r="D3" s="55">
        <f>+'Muertes por Edad M'!E24/'Población por Edad M'!E24*1000</f>
        <v>2.5193807706412841</v>
      </c>
      <c r="E3" s="55">
        <f>+'Muertes por Edad M'!F24/'Población por Edad M'!F24*1000</f>
        <v>2.9974331088926216</v>
      </c>
      <c r="F3" s="55">
        <f>+'Muertes por Edad M'!G24/'Población por Edad M'!G24*1000</f>
        <v>2.5019594880147347</v>
      </c>
      <c r="G3" s="55">
        <f>+'Muertes por Edad M'!H24/'Población por Edad M'!H24*1000</f>
        <v>2.4866412589535751</v>
      </c>
      <c r="H3" s="55">
        <f>+'Muertes por Edad M'!I24/'Población por Edad M'!I24*1000</f>
        <v>2.5704724855765946</v>
      </c>
      <c r="I3" s="55">
        <f>+'Muertes por Edad M'!J24/'Población por Edad M'!J24*1000</f>
        <v>2.3226021531540741</v>
      </c>
      <c r="J3" s="55">
        <f>+'Muertes por Edad M'!K24/'Población por Edad M'!K24*1000</f>
        <v>3.1970089786663447</v>
      </c>
      <c r="K3" s="55">
        <f>+'Muertes por Edad M'!L24/'Población por Edad M'!L24*1000</f>
        <v>2.143409722251707</v>
      </c>
      <c r="L3" s="55">
        <f>+'Muertes por Edad M'!M24/'Población por Edad M'!M24*1000</f>
        <v>1.8468245727029002</v>
      </c>
      <c r="M3" s="55">
        <f>+'Muertes por Edad M'!N24/'Población por Edad M'!N24*1000</f>
        <v>1.6713803824900602</v>
      </c>
      <c r="N3" s="55">
        <f>+'Muertes por Edad M'!O24/'Población por Edad M'!O24*1000</f>
        <v>1.699154696009991</v>
      </c>
      <c r="O3" s="55">
        <f>+'Muertes por Edad M'!P24/'Población por Edad M'!P24*1000</f>
        <v>1.4430008485207755</v>
      </c>
      <c r="P3" s="55">
        <f>+'Muertes por Edad M'!Q24/'Población por Edad M'!Q24*1000</f>
        <v>1.3588388954210848</v>
      </c>
      <c r="Q3" s="55">
        <f>+'Muertes por Edad M'!R24/'Población por Edad M'!R24*1000</f>
        <v>1.3815735224701893</v>
      </c>
      <c r="R3" s="55">
        <f>+'Muertes por Edad M'!S24/'Población por Edad M'!S24*1000</f>
        <v>1.2309763331196799</v>
      </c>
      <c r="S3" s="72">
        <v>1</v>
      </c>
      <c r="T3" s="73">
        <f t="shared" ref="T3:T66" si="0">+AVERAGE(B3:R3)</f>
        <v>2.202383321277789</v>
      </c>
      <c r="U3" s="81">
        <f t="shared" ref="U3:U6" si="1">+G3</f>
        <v>2.4866412589535751</v>
      </c>
    </row>
    <row r="4" spans="1:22">
      <c r="A4">
        <v>2</v>
      </c>
      <c r="B4" s="55">
        <f>+'Muertes por Edad M'!C25/'Población por Edad M'!C25*1000</f>
        <v>1.1004110444609481</v>
      </c>
      <c r="C4" s="55">
        <f>+'Muertes por Edad M'!D25/'Población por Edad M'!D25*1000</f>
        <v>1.4222585993992536</v>
      </c>
      <c r="D4" s="55">
        <f>+'Muertes por Edad M'!E25/'Población por Edad M'!E25*1000</f>
        <v>1.1544124147289052</v>
      </c>
      <c r="E4" s="55">
        <f>+'Muertes por Edad M'!F25/'Población por Edad M'!F25*1000</f>
        <v>1.1960998509422935</v>
      </c>
      <c r="F4" s="55">
        <f>+'Muertes por Edad M'!G25/'Población por Edad M'!G25*1000</f>
        <v>1.1641743860615241</v>
      </c>
      <c r="G4" s="55">
        <f>+'Muertes por Edad M'!H25/'Población por Edad M'!H25*1000</f>
        <v>1.0632966757924758</v>
      </c>
      <c r="H4" s="55">
        <f>+'Muertes por Edad M'!I25/'Población por Edad M'!I25*1000</f>
        <v>1.1581125452229475</v>
      </c>
      <c r="I4" s="55">
        <f>+'Muertes por Edad M'!J25/'Población por Edad M'!J25*1000</f>
        <v>0.97409486819134294</v>
      </c>
      <c r="J4" s="55">
        <f>+'Muertes por Edad M'!K25/'Población por Edad M'!K25*1000</f>
        <v>1.1945935234900749</v>
      </c>
      <c r="K4" s="55">
        <f>+'Muertes por Edad M'!L25/'Población por Edad M'!L25*1000</f>
        <v>1.03578795961246</v>
      </c>
      <c r="L4" s="55">
        <f>+'Muertes por Edad M'!M25/'Población por Edad M'!M25*1000</f>
        <v>0.80772134275077667</v>
      </c>
      <c r="M4" s="55">
        <f>+'Muertes por Edad M'!N25/'Población por Edad M'!N25*1000</f>
        <v>0.89866609460297242</v>
      </c>
      <c r="N4" s="55">
        <f>+'Muertes por Edad M'!O25/'Población por Edad M'!O25*1000</f>
        <v>0.80351350987068004</v>
      </c>
      <c r="O4" s="55">
        <f>+'Muertes por Edad M'!P25/'Población por Edad M'!P25*1000</f>
        <v>0.70451826576910126</v>
      </c>
      <c r="P4" s="55">
        <f>+'Muertes por Edad M'!Q25/'Población por Edad M'!Q25*1000</f>
        <v>0.7232513047713286</v>
      </c>
      <c r="Q4" s="55">
        <f>+'Muertes por Edad M'!R25/'Población por Edad M'!R25*1000</f>
        <v>0.89683251687765986</v>
      </c>
      <c r="R4" s="55">
        <f>+'Muertes por Edad M'!S25/'Población por Edad M'!S25*1000</f>
        <v>0.76307771410550196</v>
      </c>
      <c r="S4" s="72">
        <v>2</v>
      </c>
      <c r="T4" s="73">
        <f t="shared" si="0"/>
        <v>1.0035778009794265</v>
      </c>
      <c r="U4" s="81">
        <f t="shared" si="1"/>
        <v>1.0632966757924758</v>
      </c>
    </row>
    <row r="5" spans="1:22">
      <c r="A5">
        <v>3</v>
      </c>
      <c r="B5" s="55">
        <f>+'Muertes por Edad M'!C26/'Población por Edad M'!C26*1000</f>
        <v>0.76042305611942163</v>
      </c>
      <c r="C5" s="55">
        <f>+'Muertes por Edad M'!D26/'Población por Edad M'!D26*1000</f>
        <v>0.87490846267001587</v>
      </c>
      <c r="D5" s="55">
        <f>+'Muertes por Edad M'!E26/'Población por Edad M'!E26*1000</f>
        <v>0.73958959314590311</v>
      </c>
      <c r="E5" s="55">
        <f>+'Muertes por Edad M'!F26/'Población por Edad M'!F26*1000</f>
        <v>0.78338723405552724</v>
      </c>
      <c r="F5" s="55">
        <f>+'Muertes por Edad M'!G26/'Población por Edad M'!G26*1000</f>
        <v>0.7176433786869616</v>
      </c>
      <c r="G5" s="55">
        <f>+'Muertes por Edad M'!H26/'Población por Edad M'!H26*1000</f>
        <v>0.68029436577970537</v>
      </c>
      <c r="H5" s="55">
        <f>+'Muertes por Edad M'!I26/'Población por Edad M'!I26*1000</f>
        <v>0.72170887710854326</v>
      </c>
      <c r="I5" s="55">
        <f>+'Muertes por Edad M'!J26/'Población por Edad M'!J26*1000</f>
        <v>0.55708233608225544</v>
      </c>
      <c r="J5" s="55">
        <f>+'Muertes por Edad M'!K26/'Población por Edad M'!K26*1000</f>
        <v>0.69691255281566022</v>
      </c>
      <c r="K5" s="55">
        <f>+'Muertes por Edad M'!L26/'Población por Edad M'!L26*1000</f>
        <v>0.63475045098171845</v>
      </c>
      <c r="L5" s="55">
        <f>+'Muertes por Edad M'!M26/'Población por Edad M'!M26*1000</f>
        <v>0.47946747495711634</v>
      </c>
      <c r="M5" s="55">
        <f>+'Muertes por Edad M'!N26/'Población por Edad M'!N26*1000</f>
        <v>0.53110587057980652</v>
      </c>
      <c r="N5" s="55">
        <f>+'Muertes por Edad M'!O26/'Población por Edad M'!O26*1000</f>
        <v>0.53641676996492571</v>
      </c>
      <c r="O5" s="55">
        <f>+'Muertes por Edad M'!P26/'Población por Edad M'!P26*1000</f>
        <v>0.5854122923952999</v>
      </c>
      <c r="P5" s="55">
        <f>+'Muertes por Edad M'!Q26/'Población por Edad M'!Q26*1000</f>
        <v>0.52478191562979659</v>
      </c>
      <c r="Q5" s="55">
        <f>+'Muertes por Edad M'!R26/'Población por Edad M'!R26*1000</f>
        <v>0.57505489960103562</v>
      </c>
      <c r="R5" s="55">
        <f>+'Muertes por Edad M'!S26/'Población por Edad M'!S26*1000</f>
        <v>0.5505571973869543</v>
      </c>
      <c r="S5" s="72">
        <v>3</v>
      </c>
      <c r="T5" s="73">
        <f t="shared" si="0"/>
        <v>0.64408804282121457</v>
      </c>
      <c r="U5" s="81">
        <f t="shared" si="1"/>
        <v>0.68029436577970537</v>
      </c>
    </row>
    <row r="6" spans="1:22">
      <c r="A6">
        <v>4</v>
      </c>
      <c r="B6" s="55">
        <f>+'Muertes por Edad M'!C27/'Población por Edad M'!C27*1000</f>
        <v>0.56336287049559175</v>
      </c>
      <c r="C6" s="55">
        <f>+'Muertes por Edad M'!D27/'Población por Edad M'!D27*1000</f>
        <v>0.71173520546060765</v>
      </c>
      <c r="D6" s="55">
        <f>+'Muertes por Edad M'!E27/'Población por Edad M'!E27*1000</f>
        <v>0.57660140570411411</v>
      </c>
      <c r="E6" s="55">
        <f>+'Muertes por Edad M'!F27/'Población por Edad M'!F27*1000</f>
        <v>0.64912116727436719</v>
      </c>
      <c r="F6" s="55">
        <f>+'Muertes por Edad M'!G27/'Población por Edad M'!G27*1000</f>
        <v>0.61509288078109015</v>
      </c>
      <c r="G6" s="55">
        <f>+'Muertes por Edad M'!H27/'Población por Edad M'!H27*1000</f>
        <v>0.54248186178489244</v>
      </c>
      <c r="H6" s="55">
        <f>+'Muertes por Edad M'!I27/'Población por Edad M'!I27*1000</f>
        <v>0.54128739630983025</v>
      </c>
      <c r="I6" s="55">
        <f>+'Muertes por Edad M'!J27/'Población por Edad M'!J27*1000</f>
        <v>0.54444831806518457</v>
      </c>
      <c r="J6" s="55">
        <f>+'Muertes por Edad M'!K27/'Población por Edad M'!K27*1000</f>
        <v>0.47366264527019075</v>
      </c>
      <c r="K6" s="55">
        <f>+'Muertes por Edad M'!L27/'Población por Edad M'!L27*1000</f>
        <v>0.48942250588053643</v>
      </c>
      <c r="L6" s="55">
        <f>+'Muertes por Edad M'!M27/'Población por Edad M'!M27*1000</f>
        <v>0.49383639666783613</v>
      </c>
      <c r="M6" s="55">
        <f>+'Muertes por Edad M'!N27/'Población por Edad M'!N27*1000</f>
        <v>0.44761595108080704</v>
      </c>
      <c r="N6" s="55">
        <f>+'Muertes por Edad M'!O27/'Población por Edad M'!O27*1000</f>
        <v>0.4842229850055636</v>
      </c>
      <c r="O6" s="55">
        <f>+'Muertes por Edad M'!P27/'Población por Edad M'!P27*1000</f>
        <v>0.34762960166853796</v>
      </c>
      <c r="P6" s="55">
        <f>+'Muertes por Edad M'!Q27/'Población por Edad M'!Q27*1000</f>
        <v>0.49590186564742905</v>
      </c>
      <c r="Q6" s="55">
        <f>+'Muertes por Edad M'!R27/'Población por Edad M'!R27*1000</f>
        <v>0.44261160253227061</v>
      </c>
      <c r="R6" s="55">
        <f>+'Muertes por Edad M'!S27/'Población por Edad M'!S27*1000</f>
        <v>0.38107062563364613</v>
      </c>
      <c r="S6" s="72">
        <v>4</v>
      </c>
      <c r="T6" s="73">
        <f t="shared" si="0"/>
        <v>0.51765325207426438</v>
      </c>
      <c r="U6" s="81">
        <f t="shared" si="1"/>
        <v>0.54248186178489244</v>
      </c>
    </row>
    <row r="7" spans="1:22">
      <c r="A7">
        <v>5</v>
      </c>
      <c r="B7" s="55">
        <f>+'Muertes por Edad M'!C28/'Población por Edad M'!C28*1000</f>
        <v>0.4403371406588652</v>
      </c>
      <c r="C7" s="55">
        <f>+'Muertes por Edad M'!D28/'Población por Edad M'!D28*1000</f>
        <v>0.48075027204380089</v>
      </c>
      <c r="D7" s="55">
        <f>+'Muertes por Edad M'!E28/'Población por Edad M'!E28*1000</f>
        <v>0.46110304678401098</v>
      </c>
      <c r="E7" s="55">
        <f>+'Muertes por Edad M'!F28/'Población por Edad M'!F28*1000</f>
        <v>0.42738351633211147</v>
      </c>
      <c r="F7" s="55">
        <f>+'Muertes por Edad M'!G28/'Población por Edad M'!G28*1000</f>
        <v>0.46164147719144361</v>
      </c>
      <c r="G7" s="55">
        <f>+'Muertes por Edad M'!H28/'Población por Edad M'!H28*1000</f>
        <v>0.43124500066307309</v>
      </c>
      <c r="H7" s="55">
        <f>+'Muertes por Edad M'!I28/'Población por Edad M'!I28*1000</f>
        <v>0.39187415853986413</v>
      </c>
      <c r="I7" s="55">
        <f>+'Muertes por Edad M'!J28/'Población por Edad M'!J28*1000</f>
        <v>0.37182961625425892</v>
      </c>
      <c r="J7" s="55">
        <f>+'Muertes por Edad M'!K28/'Población por Edad M'!K28*1000</f>
        <v>0.39726214046949376</v>
      </c>
      <c r="K7" s="55">
        <f>+'Muertes por Edad M'!L28/'Población por Edad M'!L28*1000</f>
        <v>0.42008373357244866</v>
      </c>
      <c r="L7" s="55">
        <f>+'Muertes por Edad M'!M28/'Población por Edad M'!M28*1000</f>
        <v>0.36578890500606515</v>
      </c>
      <c r="M7" s="55">
        <f>+'Muertes por Edad M'!N28/'Población por Edad M'!N28*1000</f>
        <v>0.36596065309914289</v>
      </c>
      <c r="N7" s="55">
        <f>+'Muertes por Edad M'!O28/'Población por Edad M'!O28*1000</f>
        <v>0.39112614447341726</v>
      </c>
      <c r="O7" s="55">
        <f>+'Muertes por Edad M'!P28/'Población por Edad M'!P28*1000</f>
        <v>0.33001547201009457</v>
      </c>
      <c r="P7" s="55">
        <f>+'Muertes por Edad M'!Q28/'Población por Edad M'!Q28*1000</f>
        <v>0.34085174074201496</v>
      </c>
      <c r="Q7" s="55">
        <f>+'Muertes por Edad M'!R28/'Población por Edad M'!R28*1000</f>
        <v>0.35530612052284272</v>
      </c>
      <c r="R7" s="55">
        <f>+'Muertes por Edad M'!S28/'Población por Edad M'!S28*1000</f>
        <v>0.3243610635608174</v>
      </c>
      <c r="S7" s="72">
        <v>5</v>
      </c>
      <c r="T7" s="73">
        <f t="shared" si="0"/>
        <v>0.39746589423080975</v>
      </c>
      <c r="U7" s="81">
        <f>+$V$1*EXP(S7*$V$2)</f>
        <v>0.60356621452454418</v>
      </c>
    </row>
    <row r="8" spans="1:22">
      <c r="A8">
        <v>6</v>
      </c>
      <c r="B8" s="55">
        <f>+'Muertes por Edad M'!C29/'Población por Edad M'!C29*1000</f>
        <v>0.4403371406588652</v>
      </c>
      <c r="C8" s="55">
        <f>+'Muertes por Edad M'!D29/'Población por Edad M'!D29*1000</f>
        <v>0.48075027204380094</v>
      </c>
      <c r="D8" s="55">
        <f>+'Muertes por Edad M'!E29/'Población por Edad M'!E29*1000</f>
        <v>0.46110304678401098</v>
      </c>
      <c r="E8" s="55">
        <f>+'Muertes por Edad M'!F29/'Población por Edad M'!F29*1000</f>
        <v>0.42738351633211152</v>
      </c>
      <c r="F8" s="55">
        <f>+'Muertes por Edad M'!G29/'Población por Edad M'!G29*1000</f>
        <v>0.46164147719144361</v>
      </c>
      <c r="G8" s="55">
        <f>+'Muertes por Edad M'!H29/'Población por Edad M'!H29*1000</f>
        <v>0.43124500066307303</v>
      </c>
      <c r="H8" s="55">
        <f>+'Muertes por Edad M'!I29/'Población por Edad M'!I29*1000</f>
        <v>0.39187415853986418</v>
      </c>
      <c r="I8" s="55">
        <f>+'Muertes por Edad M'!J29/'Población por Edad M'!J29*1000</f>
        <v>0.37182961625425892</v>
      </c>
      <c r="J8" s="55">
        <f>+'Muertes por Edad M'!K29/'Población por Edad M'!K29*1000</f>
        <v>0.39726214046949376</v>
      </c>
      <c r="K8" s="55">
        <f>+'Muertes por Edad M'!L29/'Población por Edad M'!L29*1000</f>
        <v>0.42008373357244866</v>
      </c>
      <c r="L8" s="55">
        <f>+'Muertes por Edad M'!M29/'Población por Edad M'!M29*1000</f>
        <v>0.36578890500606509</v>
      </c>
      <c r="M8" s="55">
        <f>+'Muertes por Edad M'!N29/'Población por Edad M'!N29*1000</f>
        <v>0.36596065309914283</v>
      </c>
      <c r="N8" s="55">
        <f>+'Muertes por Edad M'!O29/'Población por Edad M'!O29*1000</f>
        <v>0.39112614447341726</v>
      </c>
      <c r="O8" s="55">
        <f>+'Muertes por Edad M'!P29/'Población por Edad M'!P29*1000</f>
        <v>0.33001547201009462</v>
      </c>
      <c r="P8" s="55">
        <f>+'Muertes por Edad M'!Q29/'Población por Edad M'!Q29*1000</f>
        <v>0.34085174074201496</v>
      </c>
      <c r="Q8" s="55">
        <f>+'Muertes por Edad M'!R29/'Población por Edad M'!R29*1000</f>
        <v>0.35530612052284266</v>
      </c>
      <c r="R8" s="55">
        <f>+'Muertes por Edad M'!S29/'Población por Edad M'!S29*1000</f>
        <v>0.32436106356081734</v>
      </c>
      <c r="S8" s="72">
        <v>6</v>
      </c>
      <c r="T8" s="73">
        <f t="shared" si="0"/>
        <v>0.3974658942308098</v>
      </c>
      <c r="U8" s="81">
        <f t="shared" ref="U8:U71" si="2">+$V$1*EXP(S8*$V$2)</f>
        <v>0.64111874850501116</v>
      </c>
    </row>
    <row r="9" spans="1:22">
      <c r="A9">
        <v>7</v>
      </c>
      <c r="B9" s="55">
        <f>+'Muertes por Edad M'!C30/'Población por Edad M'!C30*1000</f>
        <v>0.44033714065886526</v>
      </c>
      <c r="C9" s="55">
        <f>+'Muertes por Edad M'!D30/'Población por Edad M'!D30*1000</f>
        <v>0.480750272043801</v>
      </c>
      <c r="D9" s="55">
        <f>+'Muertes por Edad M'!E30/'Población por Edad M'!E30*1000</f>
        <v>0.46110304678401093</v>
      </c>
      <c r="E9" s="55">
        <f>+'Muertes por Edad M'!F30/'Población por Edad M'!F30*1000</f>
        <v>0.42738351633211152</v>
      </c>
      <c r="F9" s="55">
        <f>+'Muertes por Edad M'!G30/'Población por Edad M'!G30*1000</f>
        <v>0.46164147719144361</v>
      </c>
      <c r="G9" s="55">
        <f>+'Muertes por Edad M'!H30/'Población por Edad M'!H30*1000</f>
        <v>0.43124500066307309</v>
      </c>
      <c r="H9" s="55">
        <f>+'Muertes por Edad M'!I30/'Población por Edad M'!I30*1000</f>
        <v>0.39187415853986424</v>
      </c>
      <c r="I9" s="55">
        <f>+'Muertes por Edad M'!J30/'Población por Edad M'!J30*1000</f>
        <v>0.37182961625425898</v>
      </c>
      <c r="J9" s="55">
        <f>+'Muertes por Edad M'!K30/'Población por Edad M'!K30*1000</f>
        <v>0.39726214046949376</v>
      </c>
      <c r="K9" s="55">
        <f>+'Muertes por Edad M'!L30/'Población por Edad M'!L30*1000</f>
        <v>0.42008373357244866</v>
      </c>
      <c r="L9" s="55">
        <f>+'Muertes por Edad M'!M30/'Población por Edad M'!M30*1000</f>
        <v>0.36578890500606515</v>
      </c>
      <c r="M9" s="55">
        <f>+'Muertes por Edad M'!N30/'Población por Edad M'!N30*1000</f>
        <v>0.36596065309914283</v>
      </c>
      <c r="N9" s="55">
        <f>+'Muertes por Edad M'!O30/'Población por Edad M'!O30*1000</f>
        <v>0.39112614447341731</v>
      </c>
      <c r="O9" s="55">
        <f>+'Muertes por Edad M'!P30/'Población por Edad M'!P30*1000</f>
        <v>0.33001547201009462</v>
      </c>
      <c r="P9" s="55">
        <f>+'Muertes por Edad M'!Q30/'Población por Edad M'!Q30*1000</f>
        <v>0.34085174074201496</v>
      </c>
      <c r="Q9" s="55">
        <f>+'Muertes por Edad M'!R30/'Población por Edad M'!R30*1000</f>
        <v>0.35530612052284266</v>
      </c>
      <c r="R9" s="55">
        <f>+'Muertes por Edad M'!S30/'Población por Edad M'!S30*1000</f>
        <v>0.3243610635608174</v>
      </c>
      <c r="S9" s="72">
        <v>7</v>
      </c>
      <c r="T9" s="73">
        <f t="shared" si="0"/>
        <v>0.3974658942308098</v>
      </c>
      <c r="U9" s="81">
        <f t="shared" si="2"/>
        <v>0.68100771678948402</v>
      </c>
    </row>
    <row r="10" spans="1:22">
      <c r="A10">
        <v>8</v>
      </c>
      <c r="B10" s="55">
        <f>+'Muertes por Edad M'!C31/'Población por Edad M'!C31*1000</f>
        <v>0.44033714065886526</v>
      </c>
      <c r="C10" s="55">
        <f>+'Muertes por Edad M'!D31/'Población por Edad M'!D31*1000</f>
        <v>0.48075027204380094</v>
      </c>
      <c r="D10" s="55">
        <f>+'Muertes por Edad M'!E31/'Población por Edad M'!E31*1000</f>
        <v>0.46110304678401093</v>
      </c>
      <c r="E10" s="55">
        <f>+'Muertes por Edad M'!F31/'Población por Edad M'!F31*1000</f>
        <v>0.42738351633211141</v>
      </c>
      <c r="F10" s="55">
        <f>+'Muertes por Edad M'!G31/'Población por Edad M'!G31*1000</f>
        <v>0.46164147719144355</v>
      </c>
      <c r="G10" s="55">
        <f>+'Muertes por Edad M'!H31/'Población por Edad M'!H31*1000</f>
        <v>0.43124500066307309</v>
      </c>
      <c r="H10" s="55">
        <f>+'Muertes por Edad M'!I31/'Población por Edad M'!I31*1000</f>
        <v>0.39187415853986413</v>
      </c>
      <c r="I10" s="55">
        <f>+'Muertes por Edad M'!J31/'Población por Edad M'!J31*1000</f>
        <v>0.37182961625425898</v>
      </c>
      <c r="J10" s="55">
        <f>+'Muertes por Edad M'!K31/'Población por Edad M'!K31*1000</f>
        <v>0.39726214046949371</v>
      </c>
      <c r="K10" s="55">
        <f>+'Muertes por Edad M'!L31/'Población por Edad M'!L31*1000</f>
        <v>0.42008373357244871</v>
      </c>
      <c r="L10" s="55">
        <f>+'Muertes por Edad M'!M31/'Población por Edad M'!M31*1000</f>
        <v>0.3657889050060652</v>
      </c>
      <c r="M10" s="55">
        <f>+'Muertes por Edad M'!N31/'Población por Edad M'!N31*1000</f>
        <v>0.36596065309914283</v>
      </c>
      <c r="N10" s="55">
        <f>+'Muertes por Edad M'!O31/'Población por Edad M'!O31*1000</f>
        <v>0.39112614447341726</v>
      </c>
      <c r="O10" s="55">
        <f>+'Muertes por Edad M'!P31/'Población por Edad M'!P31*1000</f>
        <v>0.33001547201009462</v>
      </c>
      <c r="P10" s="55">
        <f>+'Muertes por Edad M'!Q31/'Población por Edad M'!Q31*1000</f>
        <v>0.34085174074201496</v>
      </c>
      <c r="Q10" s="55">
        <f>+'Muertes por Edad M'!R31/'Población por Edad M'!R31*1000</f>
        <v>0.35530612052284266</v>
      </c>
      <c r="R10" s="55">
        <f>+'Muertes por Edad M'!S31/'Población por Edad M'!S31*1000</f>
        <v>0.32436106356081734</v>
      </c>
      <c r="S10" s="72">
        <v>8</v>
      </c>
      <c r="T10" s="73">
        <f t="shared" si="0"/>
        <v>0.3974658942308098</v>
      </c>
      <c r="U10" s="81">
        <f t="shared" si="2"/>
        <v>0.7233784870716522</v>
      </c>
    </row>
    <row r="11" spans="1:22">
      <c r="A11">
        <v>9</v>
      </c>
      <c r="B11" s="55">
        <f>+'Muertes por Edad M'!C32/'Población por Edad M'!C32*1000</f>
        <v>0.4403371406588652</v>
      </c>
      <c r="C11" s="55">
        <f>+'Muertes por Edad M'!D32/'Población por Edad M'!D32*1000</f>
        <v>0.48075027204380089</v>
      </c>
      <c r="D11" s="55">
        <f>+'Muertes por Edad M'!E32/'Población por Edad M'!E32*1000</f>
        <v>0.46110304678401098</v>
      </c>
      <c r="E11" s="55">
        <f>+'Muertes por Edad M'!F32/'Población por Edad M'!F32*1000</f>
        <v>0.42738351633211147</v>
      </c>
      <c r="F11" s="55">
        <f>+'Muertes por Edad M'!G32/'Población por Edad M'!G32*1000</f>
        <v>0.46164147719144355</v>
      </c>
      <c r="G11" s="55">
        <f>+'Muertes por Edad M'!H32/'Población por Edad M'!H32*1000</f>
        <v>0.43124500066307309</v>
      </c>
      <c r="H11" s="55">
        <f>+'Muertes por Edad M'!I32/'Población por Edad M'!I32*1000</f>
        <v>0.39187415853986413</v>
      </c>
      <c r="I11" s="55">
        <f>+'Muertes por Edad M'!J32/'Población por Edad M'!J32*1000</f>
        <v>0.37182961625425892</v>
      </c>
      <c r="J11" s="55">
        <f>+'Muertes por Edad M'!K32/'Población por Edad M'!K32*1000</f>
        <v>0.39726214046949376</v>
      </c>
      <c r="K11" s="55">
        <f>+'Muertes por Edad M'!L32/'Población por Edad M'!L32*1000</f>
        <v>0.42008373357244866</v>
      </c>
      <c r="L11" s="55">
        <f>+'Muertes por Edad M'!M32/'Población por Edad M'!M32*1000</f>
        <v>0.36578890500606515</v>
      </c>
      <c r="M11" s="55">
        <f>+'Muertes por Edad M'!N32/'Población por Edad M'!N32*1000</f>
        <v>0.36596065309914283</v>
      </c>
      <c r="N11" s="55">
        <f>+'Muertes por Edad M'!O32/'Población por Edad M'!O32*1000</f>
        <v>0.39112614447341726</v>
      </c>
      <c r="O11" s="55">
        <f>+'Muertes por Edad M'!P32/'Población por Edad M'!P32*1000</f>
        <v>0.33001547201009462</v>
      </c>
      <c r="P11" s="55">
        <f>+'Muertes por Edad M'!Q32/'Población por Edad M'!Q32*1000</f>
        <v>0.34085174074201496</v>
      </c>
      <c r="Q11" s="55">
        <f>+'Muertes por Edad M'!R32/'Población por Edad M'!R32*1000</f>
        <v>0.35530612052284266</v>
      </c>
      <c r="R11" s="55">
        <f>+'Muertes por Edad M'!S32/'Población por Edad M'!S32*1000</f>
        <v>0.3243610635608174</v>
      </c>
      <c r="S11" s="72">
        <v>9</v>
      </c>
      <c r="T11" s="73">
        <f t="shared" si="0"/>
        <v>0.39746589423080975</v>
      </c>
      <c r="U11" s="81">
        <f t="shared" si="2"/>
        <v>0.7683854714965439</v>
      </c>
    </row>
    <row r="12" spans="1:22">
      <c r="A12">
        <v>10</v>
      </c>
      <c r="B12" s="55">
        <f>+'Muertes por Edad M'!C33/'Población por Edad M'!C33*1000</f>
        <v>0.55911533277162928</v>
      </c>
      <c r="C12" s="55">
        <f>+'Muertes por Edad M'!D33/'Población por Edad M'!D33*1000</f>
        <v>0.5378620630843407</v>
      </c>
      <c r="D12" s="55">
        <f>+'Muertes por Edad M'!E33/'Población por Edad M'!E33*1000</f>
        <v>0.52515698459898885</v>
      </c>
      <c r="E12" s="55">
        <f>+'Muertes por Edad M'!F33/'Población por Edad M'!F33*1000</f>
        <v>0.51179867859941675</v>
      </c>
      <c r="F12" s="55">
        <f>+'Muertes por Edad M'!G33/'Población por Edad M'!G33*1000</f>
        <v>0.48902892197133074</v>
      </c>
      <c r="G12" s="55">
        <f>+'Muertes por Edad M'!H33/'Población por Edad M'!H33*1000</f>
        <v>0.47436299471993532</v>
      </c>
      <c r="H12" s="55">
        <f>+'Muertes por Edad M'!I33/'Población por Edad M'!I33*1000</f>
        <v>0.49562849389099495</v>
      </c>
      <c r="I12" s="55">
        <f>+'Muertes por Edad M'!J33/'Población por Edad M'!J33*1000</f>
        <v>0.52880160751824679</v>
      </c>
      <c r="J12" s="55">
        <f>+'Muertes por Edad M'!K33/'Población por Edad M'!K33*1000</f>
        <v>0.53443371003955886</v>
      </c>
      <c r="K12" s="55">
        <f>+'Muertes por Edad M'!L33/'Población por Edad M'!L33*1000</f>
        <v>0.49225350568428883</v>
      </c>
      <c r="L12" s="55">
        <f>+'Muertes por Edad M'!M33/'Población por Edad M'!M33*1000</f>
        <v>0.48387092804081261</v>
      </c>
      <c r="M12" s="55">
        <f>+'Muertes por Edad M'!N33/'Población por Edad M'!N33*1000</f>
        <v>0.50054401305080776</v>
      </c>
      <c r="N12" s="55">
        <f>+'Muertes por Edad M'!O33/'Población por Edad M'!O33*1000</f>
        <v>0.5093535645450491</v>
      </c>
      <c r="O12" s="55">
        <f>+'Muertes por Edad M'!P33/'Población por Edad M'!P33*1000</f>
        <v>0.51263887340188397</v>
      </c>
      <c r="P12" s="55">
        <f>+'Muertes por Edad M'!Q33/'Población por Edad M'!Q33*1000</f>
        <v>0.46831662171358379</v>
      </c>
      <c r="Q12" s="55">
        <f>+'Muertes por Edad M'!R33/'Población por Edad M'!R33*1000</f>
        <v>0.45887515210345575</v>
      </c>
      <c r="R12" s="55">
        <f>+'Muertes por Edad M'!S33/'Población por Edad M'!S33*1000</f>
        <v>0.45915056314274727</v>
      </c>
      <c r="S12" s="72">
        <v>10</v>
      </c>
      <c r="T12" s="73">
        <f t="shared" si="0"/>
        <v>0.50242305934571008</v>
      </c>
      <c r="U12" s="81">
        <f t="shared" si="2"/>
        <v>0.81619268938597023</v>
      </c>
    </row>
    <row r="13" spans="1:22">
      <c r="A13">
        <v>11</v>
      </c>
      <c r="B13" s="55">
        <f>+'Muertes por Edad M'!C34/'Población por Edad M'!C34*1000</f>
        <v>0.55911533277162939</v>
      </c>
      <c r="C13" s="55">
        <f>+'Muertes por Edad M'!D34/'Población por Edad M'!D34*1000</f>
        <v>0.5378620630843407</v>
      </c>
      <c r="D13" s="55">
        <f>+'Muertes por Edad M'!E34/'Población por Edad M'!E34*1000</f>
        <v>0.52515698459898896</v>
      </c>
      <c r="E13" s="55">
        <f>+'Muertes por Edad M'!F34/'Población por Edad M'!F34*1000</f>
        <v>0.51179867859941675</v>
      </c>
      <c r="F13" s="55">
        <f>+'Muertes por Edad M'!G34/'Población por Edad M'!G34*1000</f>
        <v>0.48902892197133074</v>
      </c>
      <c r="G13" s="55">
        <f>+'Muertes por Edad M'!H34/'Población por Edad M'!H34*1000</f>
        <v>0.47436299471993526</v>
      </c>
      <c r="H13" s="55">
        <f>+'Muertes por Edad M'!I34/'Población por Edad M'!I34*1000</f>
        <v>0.49562849389099506</v>
      </c>
      <c r="I13" s="55">
        <f>+'Muertes por Edad M'!J34/'Población por Edad M'!J34*1000</f>
        <v>0.52880160751824667</v>
      </c>
      <c r="J13" s="55">
        <f>+'Muertes por Edad M'!K34/'Población por Edad M'!K34*1000</f>
        <v>0.53443371003955886</v>
      </c>
      <c r="K13" s="55">
        <f>+'Muertes por Edad M'!L34/'Población por Edad M'!L34*1000</f>
        <v>0.49225350568428872</v>
      </c>
      <c r="L13" s="55">
        <f>+'Muertes por Edad M'!M34/'Población por Edad M'!M34*1000</f>
        <v>0.48387092804081266</v>
      </c>
      <c r="M13" s="55">
        <f>+'Muertes por Edad M'!N34/'Población por Edad M'!N34*1000</f>
        <v>0.50054401305080776</v>
      </c>
      <c r="N13" s="55">
        <f>+'Muertes por Edad M'!O34/'Población por Edad M'!O34*1000</f>
        <v>0.50935356454504888</v>
      </c>
      <c r="O13" s="55">
        <f>+'Muertes por Edad M'!P34/'Población por Edad M'!P34*1000</f>
        <v>0.51263887340188397</v>
      </c>
      <c r="P13" s="55">
        <f>+'Muertes por Edad M'!Q34/'Población por Edad M'!Q34*1000</f>
        <v>0.46831662171358374</v>
      </c>
      <c r="Q13" s="55">
        <f>+'Muertes por Edad M'!R34/'Población por Edad M'!R34*1000</f>
        <v>0.45887515210345575</v>
      </c>
      <c r="R13" s="55">
        <f>+'Muertes por Edad M'!S34/'Población por Edad M'!S34*1000</f>
        <v>0.45915056314274733</v>
      </c>
      <c r="S13" s="72">
        <v>11</v>
      </c>
      <c r="T13" s="73">
        <f t="shared" si="0"/>
        <v>0.50242305934571008</v>
      </c>
      <c r="U13" s="81">
        <f t="shared" si="2"/>
        <v>0.86697436497548241</v>
      </c>
    </row>
    <row r="14" spans="1:22">
      <c r="A14">
        <v>12</v>
      </c>
      <c r="B14" s="55">
        <f>+'Muertes por Edad M'!C35/'Población por Edad M'!C35*1000</f>
        <v>0.55911533277162928</v>
      </c>
      <c r="C14" s="55">
        <f>+'Muertes por Edad M'!D35/'Población por Edad M'!D35*1000</f>
        <v>0.5378620630843407</v>
      </c>
      <c r="D14" s="55">
        <f>+'Muertes por Edad M'!E35/'Población por Edad M'!E35*1000</f>
        <v>0.52515698459898885</v>
      </c>
      <c r="E14" s="55">
        <f>+'Muertes por Edad M'!F35/'Población por Edad M'!F35*1000</f>
        <v>0.51179867859941675</v>
      </c>
      <c r="F14" s="55">
        <f>+'Muertes por Edad M'!G35/'Población por Edad M'!G35*1000</f>
        <v>0.48902892197133063</v>
      </c>
      <c r="G14" s="55">
        <f>+'Muertes por Edad M'!H35/'Población por Edad M'!H35*1000</f>
        <v>0.47436299471993526</v>
      </c>
      <c r="H14" s="55">
        <f>+'Muertes por Edad M'!I35/'Población por Edad M'!I35*1000</f>
        <v>0.49562849389099506</v>
      </c>
      <c r="I14" s="55">
        <f>+'Muertes por Edad M'!J35/'Población por Edad M'!J35*1000</f>
        <v>0.52880160751824667</v>
      </c>
      <c r="J14" s="55">
        <f>+'Muertes por Edad M'!K35/'Población por Edad M'!K35*1000</f>
        <v>0.53443371003955886</v>
      </c>
      <c r="K14" s="55">
        <f>+'Muertes por Edad M'!L35/'Población por Edad M'!L35*1000</f>
        <v>0.49225350568428883</v>
      </c>
      <c r="L14" s="55">
        <f>+'Muertes por Edad M'!M35/'Población por Edad M'!M35*1000</f>
        <v>0.48387092804081261</v>
      </c>
      <c r="M14" s="55">
        <f>+'Muertes por Edad M'!N35/'Población por Edad M'!N35*1000</f>
        <v>0.50054401305080787</v>
      </c>
      <c r="N14" s="55">
        <f>+'Muertes por Edad M'!O35/'Población por Edad M'!O35*1000</f>
        <v>0.50935356454504899</v>
      </c>
      <c r="O14" s="55">
        <f>+'Muertes por Edad M'!P35/'Población por Edad M'!P35*1000</f>
        <v>0.51263887340188397</v>
      </c>
      <c r="P14" s="55">
        <f>+'Muertes por Edad M'!Q35/'Población por Edad M'!Q35*1000</f>
        <v>0.46831662171358379</v>
      </c>
      <c r="Q14" s="55">
        <f>+'Muertes por Edad M'!R35/'Población por Edad M'!R35*1000</f>
        <v>0.45887515210345575</v>
      </c>
      <c r="R14" s="55">
        <f>+'Muertes por Edad M'!S35/'Población por Edad M'!S35*1000</f>
        <v>0.45915056314274733</v>
      </c>
      <c r="S14" s="72">
        <v>12</v>
      </c>
      <c r="T14" s="73">
        <f t="shared" si="0"/>
        <v>0.50242305934571008</v>
      </c>
      <c r="U14" s="81">
        <f t="shared" si="2"/>
        <v>0.92091556234118022</v>
      </c>
    </row>
    <row r="15" spans="1:22">
      <c r="A15">
        <v>13</v>
      </c>
      <c r="B15" s="55">
        <f>+'Muertes por Edad M'!C36/'Población por Edad M'!C36*1000</f>
        <v>0.55911533277162928</v>
      </c>
      <c r="C15" s="55">
        <f>+'Muertes por Edad M'!D36/'Población por Edad M'!D36*1000</f>
        <v>0.5378620630843407</v>
      </c>
      <c r="D15" s="55">
        <f>+'Muertes por Edad M'!E36/'Población por Edad M'!E36*1000</f>
        <v>0.52515698459898896</v>
      </c>
      <c r="E15" s="55">
        <f>+'Muertes por Edad M'!F36/'Población por Edad M'!F36*1000</f>
        <v>0.51179867859941686</v>
      </c>
      <c r="F15" s="55">
        <f>+'Muertes por Edad M'!G36/'Población por Edad M'!G36*1000</f>
        <v>0.48902892197133063</v>
      </c>
      <c r="G15" s="55">
        <f>+'Muertes por Edad M'!H36/'Población por Edad M'!H36*1000</f>
        <v>0.47436299471993526</v>
      </c>
      <c r="H15" s="55">
        <f>+'Muertes por Edad M'!I36/'Población por Edad M'!I36*1000</f>
        <v>0.49562849389099495</v>
      </c>
      <c r="I15" s="55">
        <f>+'Muertes por Edad M'!J36/'Población por Edad M'!J36*1000</f>
        <v>0.52880160751824656</v>
      </c>
      <c r="J15" s="55">
        <f>+'Muertes por Edad M'!K36/'Población por Edad M'!K36*1000</f>
        <v>0.53443371003955886</v>
      </c>
      <c r="K15" s="55">
        <f>+'Muertes por Edad M'!L36/'Población por Edad M'!L36*1000</f>
        <v>0.49225350568428883</v>
      </c>
      <c r="L15" s="55">
        <f>+'Muertes por Edad M'!M36/'Población por Edad M'!M36*1000</f>
        <v>0.48387092804081261</v>
      </c>
      <c r="M15" s="55">
        <f>+'Muertes por Edad M'!N36/'Población por Edad M'!N36*1000</f>
        <v>0.50054401305080776</v>
      </c>
      <c r="N15" s="55">
        <f>+'Muertes por Edad M'!O36/'Población por Edad M'!O36*1000</f>
        <v>0.50935356454504899</v>
      </c>
      <c r="O15" s="55">
        <f>+'Muertes por Edad M'!P36/'Población por Edad M'!P36*1000</f>
        <v>0.51263887340188397</v>
      </c>
      <c r="P15" s="55">
        <f>+'Muertes por Edad M'!Q36/'Población por Edad M'!Q36*1000</f>
        <v>0.46831662171358374</v>
      </c>
      <c r="Q15" s="55">
        <f>+'Muertes por Edad M'!R36/'Población por Edad M'!R36*1000</f>
        <v>0.45887515210345575</v>
      </c>
      <c r="R15" s="55">
        <f>+'Muertes por Edad M'!S36/'Población por Edad M'!S36*1000</f>
        <v>0.45915056314274733</v>
      </c>
      <c r="S15" s="72">
        <v>13</v>
      </c>
      <c r="T15" s="73">
        <f t="shared" si="0"/>
        <v>0.50242305934571008</v>
      </c>
      <c r="U15" s="81">
        <f t="shared" si="2"/>
        <v>0.9782128598302392</v>
      </c>
    </row>
    <row r="16" spans="1:22">
      <c r="A16">
        <v>14</v>
      </c>
      <c r="B16" s="55">
        <f>+'Muertes por Edad M'!C37/'Población por Edad M'!C37*1000</f>
        <v>0.55911533277162939</v>
      </c>
      <c r="C16" s="55">
        <f>+'Muertes por Edad M'!D37/'Población por Edad M'!D37*1000</f>
        <v>0.5378620630843407</v>
      </c>
      <c r="D16" s="55">
        <f>+'Muertes por Edad M'!E37/'Población por Edad M'!E37*1000</f>
        <v>0.52515698459898896</v>
      </c>
      <c r="E16" s="55">
        <f>+'Muertes por Edad M'!F37/'Población por Edad M'!F37*1000</f>
        <v>0.51179867859941675</v>
      </c>
      <c r="F16" s="55">
        <f>+'Muertes por Edad M'!G37/'Población por Edad M'!G37*1000</f>
        <v>0.48902892197133063</v>
      </c>
      <c r="G16" s="55">
        <f>+'Muertes por Edad M'!H37/'Población por Edad M'!H37*1000</f>
        <v>0.47436299471993532</v>
      </c>
      <c r="H16" s="55">
        <f>+'Muertes por Edad M'!I37/'Población por Edad M'!I37*1000</f>
        <v>0.49562849389099506</v>
      </c>
      <c r="I16" s="55">
        <f>+'Muertes por Edad M'!J37/'Población por Edad M'!J37*1000</f>
        <v>0.52880160751824667</v>
      </c>
      <c r="J16" s="55">
        <f>+'Muertes por Edad M'!K37/'Población por Edad M'!K37*1000</f>
        <v>0.53443371003955886</v>
      </c>
      <c r="K16" s="55">
        <f>+'Muertes por Edad M'!L37/'Población por Edad M'!L37*1000</f>
        <v>0.49225350568428872</v>
      </c>
      <c r="L16" s="55">
        <f>+'Muertes por Edad M'!M37/'Población por Edad M'!M37*1000</f>
        <v>0.48387092804081255</v>
      </c>
      <c r="M16" s="55">
        <f>+'Muertes por Edad M'!N37/'Población por Edad M'!N37*1000</f>
        <v>0.50054401305080776</v>
      </c>
      <c r="N16" s="55">
        <f>+'Muertes por Edad M'!O37/'Población por Edad M'!O37*1000</f>
        <v>0.50935356454504899</v>
      </c>
      <c r="O16" s="55">
        <f>+'Muertes por Edad M'!P37/'Población por Edad M'!P37*1000</f>
        <v>0.51263887340188397</v>
      </c>
      <c r="P16" s="55">
        <f>+'Muertes por Edad M'!Q37/'Población por Edad M'!Q37*1000</f>
        <v>0.46831662171358379</v>
      </c>
      <c r="Q16" s="55">
        <f>+'Muertes por Edad M'!R37/'Población por Edad M'!R37*1000</f>
        <v>0.45887515210345575</v>
      </c>
      <c r="R16" s="55">
        <f>+'Muertes por Edad M'!S37/'Población por Edad M'!S37*1000</f>
        <v>0.45915056314274733</v>
      </c>
      <c r="S16" s="72">
        <v>14</v>
      </c>
      <c r="T16" s="73">
        <f t="shared" si="0"/>
        <v>0.50242305934571008</v>
      </c>
      <c r="U16" s="81">
        <f t="shared" si="2"/>
        <v>1.0390750664529909</v>
      </c>
    </row>
    <row r="17" spans="1:21">
      <c r="A17">
        <v>15</v>
      </c>
      <c r="B17" s="55">
        <f>+'Muertes por Edad M'!C38/'Población por Edad M'!C38*1000</f>
        <v>2.0191689733731955</v>
      </c>
      <c r="C17" s="55">
        <f>+'Muertes por Edad M'!D38/'Población por Edad M'!D38*1000</f>
        <v>1.9792447197520888</v>
      </c>
      <c r="D17" s="55">
        <f>+'Muertes por Edad M'!E38/'Población por Edad M'!E38*1000</f>
        <v>1.7222479944456064</v>
      </c>
      <c r="E17" s="55">
        <f>+'Muertes por Edad M'!F38/'Población por Edad M'!F38*1000</f>
        <v>1.6867437367226961</v>
      </c>
      <c r="F17" s="55">
        <f>+'Muertes por Edad M'!G38/'Población por Edad M'!G38*1000</f>
        <v>1.9145643800976413</v>
      </c>
      <c r="G17" s="55">
        <f>+'Muertes por Edad M'!H38/'Población por Edad M'!H38*1000</f>
        <v>2.3046596928722956</v>
      </c>
      <c r="H17" s="55">
        <f>+'Muertes por Edad M'!I38/'Población por Edad M'!I38*1000</f>
        <v>2.3181018838347742</v>
      </c>
      <c r="I17" s="55">
        <f>+'Muertes por Edad M'!J38/'Población por Edad M'!J38*1000</f>
        <v>2.5445068693683868</v>
      </c>
      <c r="J17" s="55">
        <f>+'Muertes por Edad M'!K38/'Población por Edad M'!K38*1000</f>
        <v>2.8370159705455626</v>
      </c>
      <c r="K17" s="55">
        <f>+'Muertes por Edad M'!L38/'Población por Edad M'!L38*1000</f>
        <v>2.4957411404345704</v>
      </c>
      <c r="L17" s="55">
        <f>+'Muertes por Edad M'!M38/'Población por Edad M'!M38*1000</f>
        <v>2.3724677314399187</v>
      </c>
      <c r="M17" s="55">
        <f>+'Muertes por Edad M'!N38/'Población por Edad M'!N38*1000</f>
        <v>2.602043681351998</v>
      </c>
      <c r="N17" s="55">
        <f>+'Muertes por Edad M'!O38/'Población por Edad M'!O38*1000</f>
        <v>2.8901910605150412</v>
      </c>
      <c r="O17" s="55">
        <f>+'Muertes por Edad M'!P38/'Población por Edad M'!P38*1000</f>
        <v>3.1801392347824748</v>
      </c>
      <c r="P17" s="55">
        <f>+'Muertes por Edad M'!Q38/'Población por Edad M'!Q38*1000</f>
        <v>3.1109260595869048</v>
      </c>
      <c r="Q17" s="55">
        <f>+'Muertes por Edad M'!R38/'Población por Edad M'!R38*1000</f>
        <v>2.8973323612120776</v>
      </c>
      <c r="R17" s="55">
        <f>+'Muertes por Edad M'!S38/'Población por Edad M'!S38*1000</f>
        <v>2.87790028397671</v>
      </c>
      <c r="S17" s="72">
        <v>15</v>
      </c>
      <c r="T17" s="73">
        <f t="shared" si="0"/>
        <v>2.4560585749595254</v>
      </c>
      <c r="U17" s="81">
        <f t="shared" si="2"/>
        <v>1.1037239828473084</v>
      </c>
    </row>
    <row r="18" spans="1:21">
      <c r="A18">
        <v>16</v>
      </c>
      <c r="B18" s="55">
        <f>+'Muertes por Edad M'!C39/'Población por Edad M'!C39*1000</f>
        <v>2.0191689733731955</v>
      </c>
      <c r="C18" s="55">
        <f>+'Muertes por Edad M'!D39/'Población por Edad M'!D39*1000</f>
        <v>1.9792447197520888</v>
      </c>
      <c r="D18" s="55">
        <f>+'Muertes por Edad M'!E39/'Población por Edad M'!E39*1000</f>
        <v>1.7222479944456064</v>
      </c>
      <c r="E18" s="55">
        <f>+'Muertes por Edad M'!F39/'Población por Edad M'!F39*1000</f>
        <v>1.6867437367226961</v>
      </c>
      <c r="F18" s="55">
        <f>+'Muertes por Edad M'!G39/'Población por Edad M'!G39*1000</f>
        <v>1.9145643800976413</v>
      </c>
      <c r="G18" s="55">
        <f>+'Muertes por Edad M'!H39/'Población por Edad M'!H39*1000</f>
        <v>2.3046596928722956</v>
      </c>
      <c r="H18" s="55">
        <f>+'Muertes por Edad M'!I39/'Población por Edad M'!I39*1000</f>
        <v>2.3181018838347742</v>
      </c>
      <c r="I18" s="55">
        <f>+'Muertes por Edad M'!J39/'Población por Edad M'!J39*1000</f>
        <v>2.5445068693683868</v>
      </c>
      <c r="J18" s="55">
        <f>+'Muertes por Edad M'!K39/'Población por Edad M'!K39*1000</f>
        <v>2.8370159705455626</v>
      </c>
      <c r="K18" s="55">
        <f>+'Muertes por Edad M'!L39/'Población por Edad M'!L39*1000</f>
        <v>2.49574114043457</v>
      </c>
      <c r="L18" s="55">
        <f>+'Muertes por Edad M'!M39/'Población por Edad M'!M39*1000</f>
        <v>2.3724677314399187</v>
      </c>
      <c r="M18" s="55">
        <f>+'Muertes por Edad M'!N39/'Población por Edad M'!N39*1000</f>
        <v>2.6020436813519976</v>
      </c>
      <c r="N18" s="55">
        <f>+'Muertes por Edad M'!O39/'Población por Edad M'!O39*1000</f>
        <v>2.8901910605150412</v>
      </c>
      <c r="O18" s="55">
        <f>+'Muertes por Edad M'!P39/'Población por Edad M'!P39*1000</f>
        <v>3.1801392347824748</v>
      </c>
      <c r="P18" s="55">
        <f>+'Muertes por Edad M'!Q39/'Población por Edad M'!Q39*1000</f>
        <v>3.1109260595869044</v>
      </c>
      <c r="Q18" s="55">
        <f>+'Muertes por Edad M'!R39/'Población por Edad M'!R39*1000</f>
        <v>2.897332361212078</v>
      </c>
      <c r="R18" s="55">
        <f>+'Muertes por Edad M'!S39/'Población por Edad M'!S39*1000</f>
        <v>2.87790028397671</v>
      </c>
      <c r="S18" s="72">
        <v>16</v>
      </c>
      <c r="T18" s="73">
        <f t="shared" si="0"/>
        <v>2.4560585749595254</v>
      </c>
      <c r="U18" s="81">
        <f t="shared" si="2"/>
        <v>1.1723952095884869</v>
      </c>
    </row>
    <row r="19" spans="1:21">
      <c r="A19">
        <v>17</v>
      </c>
      <c r="B19" s="55">
        <f>+'Muertes por Edad M'!C40/'Población por Edad M'!C40*1000</f>
        <v>2.0191689733731959</v>
      </c>
      <c r="C19" s="55">
        <f>+'Muertes por Edad M'!D40/'Población por Edad M'!D40*1000</f>
        <v>1.9792447197520888</v>
      </c>
      <c r="D19" s="55">
        <f>+'Muertes por Edad M'!E40/'Población por Edad M'!E40*1000</f>
        <v>1.7222479944456064</v>
      </c>
      <c r="E19" s="55">
        <f>+'Muertes por Edad M'!F40/'Población por Edad M'!F40*1000</f>
        <v>1.6867437367226963</v>
      </c>
      <c r="F19" s="55">
        <f>+'Muertes por Edad M'!G40/'Población por Edad M'!G40*1000</f>
        <v>1.9145643800976413</v>
      </c>
      <c r="G19" s="55">
        <f>+'Muertes por Edad M'!H40/'Población por Edad M'!H40*1000</f>
        <v>2.3046596928722956</v>
      </c>
      <c r="H19" s="55">
        <f>+'Muertes por Edad M'!I40/'Población por Edad M'!I40*1000</f>
        <v>2.3181018838347742</v>
      </c>
      <c r="I19" s="55">
        <f>+'Muertes por Edad M'!J40/'Población por Edad M'!J40*1000</f>
        <v>2.5445068693683868</v>
      </c>
      <c r="J19" s="55">
        <f>+'Muertes por Edad M'!K40/'Población por Edad M'!K40*1000</f>
        <v>2.8370159705455622</v>
      </c>
      <c r="K19" s="55">
        <f>+'Muertes por Edad M'!L40/'Población por Edad M'!L40*1000</f>
        <v>2.4957411404345704</v>
      </c>
      <c r="L19" s="55">
        <f>+'Muertes por Edad M'!M40/'Población por Edad M'!M40*1000</f>
        <v>2.3724677314399187</v>
      </c>
      <c r="M19" s="55">
        <f>+'Muertes por Edad M'!N40/'Población por Edad M'!N40*1000</f>
        <v>2.6020436813519976</v>
      </c>
      <c r="N19" s="55">
        <f>+'Muertes por Edad M'!O40/'Población por Edad M'!O40*1000</f>
        <v>2.8901910605150412</v>
      </c>
      <c r="O19" s="55">
        <f>+'Muertes por Edad M'!P40/'Población por Edad M'!P40*1000</f>
        <v>3.1801392347824748</v>
      </c>
      <c r="P19" s="55">
        <f>+'Muertes por Edad M'!Q40/'Población por Edad M'!Q40*1000</f>
        <v>3.1109260595869048</v>
      </c>
      <c r="Q19" s="55">
        <f>+'Muertes por Edad M'!R40/'Población por Edad M'!R40*1000</f>
        <v>2.8973323612120776</v>
      </c>
      <c r="R19" s="55">
        <f>+'Muertes por Edad M'!S40/'Población por Edad M'!S40*1000</f>
        <v>2.8779002839767105</v>
      </c>
      <c r="S19" s="72">
        <v>17</v>
      </c>
      <c r="T19" s="73">
        <f t="shared" si="0"/>
        <v>2.4560585749595254</v>
      </c>
      <c r="U19" s="81">
        <f t="shared" si="2"/>
        <v>1.2453390057903502</v>
      </c>
    </row>
    <row r="20" spans="1:21">
      <c r="A20">
        <v>18</v>
      </c>
      <c r="B20" s="55">
        <f>+'Muertes por Edad M'!C41/'Población por Edad M'!C41*1000</f>
        <v>2.0191689733731955</v>
      </c>
      <c r="C20" s="55">
        <f>+'Muertes por Edad M'!D41/'Población por Edad M'!D41*1000</f>
        <v>1.9792447197520888</v>
      </c>
      <c r="D20" s="55">
        <f>+'Muertes por Edad M'!E41/'Población por Edad M'!E41*1000</f>
        <v>1.7222479944456064</v>
      </c>
      <c r="E20" s="55">
        <f>+'Muertes por Edad M'!F41/'Población por Edad M'!F41*1000</f>
        <v>1.6867437367226963</v>
      </c>
      <c r="F20" s="55">
        <f>+'Muertes por Edad M'!G41/'Población por Edad M'!G41*1000</f>
        <v>1.9145643800976413</v>
      </c>
      <c r="G20" s="55">
        <f>+'Muertes por Edad M'!H41/'Población por Edad M'!H41*1000</f>
        <v>2.3046596928722956</v>
      </c>
      <c r="H20" s="55">
        <f>+'Muertes por Edad M'!I41/'Población por Edad M'!I41*1000</f>
        <v>2.3181018838347742</v>
      </c>
      <c r="I20" s="55">
        <f>+'Muertes por Edad M'!J41/'Población por Edad M'!J41*1000</f>
        <v>2.5445068693683863</v>
      </c>
      <c r="J20" s="55">
        <f>+'Muertes por Edad M'!K41/'Población por Edad M'!K41*1000</f>
        <v>2.8370159705455622</v>
      </c>
      <c r="K20" s="55">
        <f>+'Muertes por Edad M'!L41/'Población por Edad M'!L41*1000</f>
        <v>2.49574114043457</v>
      </c>
      <c r="L20" s="55">
        <f>+'Muertes por Edad M'!M41/'Población por Edad M'!M41*1000</f>
        <v>2.3724677314399187</v>
      </c>
      <c r="M20" s="55">
        <f>+'Muertes por Edad M'!N41/'Población por Edad M'!N41*1000</f>
        <v>2.6020436813519976</v>
      </c>
      <c r="N20" s="55">
        <f>+'Muertes por Edad M'!O41/'Población por Edad M'!O41*1000</f>
        <v>2.8901910605150412</v>
      </c>
      <c r="O20" s="55">
        <f>+'Muertes por Edad M'!P41/'Población por Edad M'!P41*1000</f>
        <v>3.1801392347824748</v>
      </c>
      <c r="P20" s="55">
        <f>+'Muertes por Edad M'!Q41/'Población por Edad M'!Q41*1000</f>
        <v>3.1109260595869044</v>
      </c>
      <c r="Q20" s="55">
        <f>+'Muertes por Edad M'!R41/'Población por Edad M'!R41*1000</f>
        <v>2.8973323612120776</v>
      </c>
      <c r="R20" s="55">
        <f>+'Muertes por Edad M'!S41/'Población por Edad M'!S41*1000</f>
        <v>2.8779002839767105</v>
      </c>
      <c r="S20" s="72">
        <v>18</v>
      </c>
      <c r="T20" s="73">
        <f t="shared" si="0"/>
        <v>2.4560585749595254</v>
      </c>
      <c r="U20" s="81">
        <f t="shared" si="2"/>
        <v>1.3228212011265861</v>
      </c>
    </row>
    <row r="21" spans="1:21">
      <c r="A21">
        <v>19</v>
      </c>
      <c r="B21" s="55">
        <f>+'Muertes por Edad M'!C42/'Población por Edad M'!C42*1000</f>
        <v>2.0191689733731955</v>
      </c>
      <c r="C21" s="55">
        <f>+'Muertes por Edad M'!D42/'Población por Edad M'!D42*1000</f>
        <v>1.9792447197520888</v>
      </c>
      <c r="D21" s="55">
        <f>+'Muertes por Edad M'!E42/'Población por Edad M'!E42*1000</f>
        <v>1.7222479944456062</v>
      </c>
      <c r="E21" s="55">
        <f>+'Muertes por Edad M'!F42/'Población por Edad M'!F42*1000</f>
        <v>1.6867437367226963</v>
      </c>
      <c r="F21" s="55">
        <f>+'Muertes por Edad M'!G42/'Población por Edad M'!G42*1000</f>
        <v>1.9145643800976413</v>
      </c>
      <c r="G21" s="55">
        <f>+'Muertes por Edad M'!H42/'Población por Edad M'!H42*1000</f>
        <v>2.3046596928722956</v>
      </c>
      <c r="H21" s="55">
        <f>+'Muertes por Edad M'!I42/'Población por Edad M'!I42*1000</f>
        <v>2.3181018838347742</v>
      </c>
      <c r="I21" s="55">
        <f>+'Muertes por Edad M'!J42/'Población por Edad M'!J42*1000</f>
        <v>2.5445068693683863</v>
      </c>
      <c r="J21" s="55">
        <f>+'Muertes por Edad M'!K42/'Población por Edad M'!K42*1000</f>
        <v>2.8370159705455622</v>
      </c>
      <c r="K21" s="55">
        <f>+'Muertes por Edad M'!L42/'Población por Edad M'!L42*1000</f>
        <v>2.4957411404345704</v>
      </c>
      <c r="L21" s="55">
        <f>+'Muertes por Edad M'!M42/'Población por Edad M'!M42*1000</f>
        <v>2.3724677314399187</v>
      </c>
      <c r="M21" s="55">
        <f>+'Muertes por Edad M'!N42/'Población por Edad M'!N42*1000</f>
        <v>2.6020436813519976</v>
      </c>
      <c r="N21" s="55">
        <f>+'Muertes por Edad M'!O42/'Población por Edad M'!O42*1000</f>
        <v>2.8901910605150412</v>
      </c>
      <c r="O21" s="55">
        <f>+'Muertes por Edad M'!P42/'Población por Edad M'!P42*1000</f>
        <v>3.1801392347824744</v>
      </c>
      <c r="P21" s="55">
        <f>+'Muertes por Edad M'!Q42/'Población por Edad M'!Q42*1000</f>
        <v>3.1109260595869048</v>
      </c>
      <c r="Q21" s="55">
        <f>+'Muertes por Edad M'!R42/'Población por Edad M'!R42*1000</f>
        <v>2.8973323612120776</v>
      </c>
      <c r="R21" s="55">
        <f>+'Muertes por Edad M'!S42/'Población por Edad M'!S42*1000</f>
        <v>2.8779002839767105</v>
      </c>
      <c r="S21" s="72">
        <v>19</v>
      </c>
      <c r="T21" s="73">
        <f t="shared" si="0"/>
        <v>2.4560585749595254</v>
      </c>
      <c r="U21" s="81">
        <f t="shared" si="2"/>
        <v>1.4051241645960035</v>
      </c>
    </row>
    <row r="22" spans="1:21">
      <c r="A22">
        <v>20</v>
      </c>
      <c r="B22" s="55">
        <f>+'Muertes por Edad M'!C43/'Población por Edad M'!C43*1000</f>
        <v>2.9049167179787894</v>
      </c>
      <c r="C22" s="55">
        <f>+'Muertes por Edad M'!D43/'Población por Edad M'!D43*1000</f>
        <v>2.7204834276600853</v>
      </c>
      <c r="D22" s="55">
        <f>+'Muertes por Edad M'!E43/'Población por Edad M'!E43*1000</f>
        <v>2.47558509837401</v>
      </c>
      <c r="E22" s="55">
        <f>+'Muertes por Edad M'!F43/'Población por Edad M'!F43*1000</f>
        <v>2.6667679219139226</v>
      </c>
      <c r="F22" s="55">
        <f>+'Muertes por Edad M'!G43/'Población por Edad M'!G43*1000</f>
        <v>3.0188023042350318</v>
      </c>
      <c r="G22" s="55">
        <f>+'Muertes por Edad M'!H43/'Población por Edad M'!H43*1000</f>
        <v>3.8101239184308584</v>
      </c>
      <c r="H22" s="55">
        <f>+'Muertes por Edad M'!I43/'Población por Edad M'!I43*1000</f>
        <v>3.8234975270590441</v>
      </c>
      <c r="I22" s="55">
        <f>+'Muertes por Edad M'!J43/'Población por Edad M'!J43*1000</f>
        <v>4.2316587173740974</v>
      </c>
      <c r="J22" s="55">
        <f>+'Muertes por Edad M'!K43/'Población por Edad M'!K43*1000</f>
        <v>4.7413036137339679</v>
      </c>
      <c r="K22" s="55">
        <f>+'Muertes por Edad M'!L43/'Población por Edad M'!L43*1000</f>
        <v>4.0743296540109721</v>
      </c>
      <c r="L22" s="55">
        <f>+'Muertes por Edad M'!M43/'Población por Edad M'!M43*1000</f>
        <v>3.782776878414785</v>
      </c>
      <c r="M22" s="55">
        <f>+'Muertes por Edad M'!N43/'Población por Edad M'!N43*1000</f>
        <v>4.2854200623477148</v>
      </c>
      <c r="N22" s="55">
        <f>+'Muertes por Edad M'!O43/'Población por Edad M'!O43*1000</f>
        <v>4.7306450047552584</v>
      </c>
      <c r="O22" s="55">
        <f>+'Muertes por Edad M'!P43/'Población por Edad M'!P43*1000</f>
        <v>5.1114620995771078</v>
      </c>
      <c r="P22" s="55">
        <f>+'Muertes por Edad M'!Q43/'Población por Edad M'!Q43*1000</f>
        <v>4.9199006612546965</v>
      </c>
      <c r="Q22" s="55">
        <f>+'Muertes por Edad M'!R43/'Población por Edad M'!R43*1000</f>
        <v>4.3917130043743269</v>
      </c>
      <c r="R22" s="55">
        <f>+'Muertes por Edad M'!S43/'Población por Edad M'!S43*1000</f>
        <v>4.4017994915651553</v>
      </c>
      <c r="S22" s="72">
        <v>20</v>
      </c>
      <c r="T22" s="73">
        <f t="shared" si="0"/>
        <v>3.8877168295917546</v>
      </c>
      <c r="U22" s="81">
        <f t="shared" si="2"/>
        <v>1.4925478335621876</v>
      </c>
    </row>
    <row r="23" spans="1:21">
      <c r="A23">
        <v>21</v>
      </c>
      <c r="B23" s="55">
        <f>+'Muertes por Edad M'!C44/'Población por Edad M'!C44*1000</f>
        <v>2.9049167179787894</v>
      </c>
      <c r="C23" s="55">
        <f>+'Muertes por Edad M'!D44/'Población por Edad M'!D44*1000</f>
        <v>2.7204834276600853</v>
      </c>
      <c r="D23" s="55">
        <f>+'Muertes por Edad M'!E44/'Población por Edad M'!E44*1000</f>
        <v>2.47558509837401</v>
      </c>
      <c r="E23" s="55">
        <f>+'Muertes por Edad M'!F44/'Población por Edad M'!F44*1000</f>
        <v>2.6667679219139226</v>
      </c>
      <c r="F23" s="55">
        <f>+'Muertes por Edad M'!G44/'Población por Edad M'!G44*1000</f>
        <v>3.0188023042350323</v>
      </c>
      <c r="G23" s="55">
        <f>+'Muertes por Edad M'!H44/'Población por Edad M'!H44*1000</f>
        <v>3.810123918430858</v>
      </c>
      <c r="H23" s="55">
        <f>+'Muertes por Edad M'!I44/'Población por Edad M'!I44*1000</f>
        <v>3.8234975270590441</v>
      </c>
      <c r="I23" s="55">
        <f>+'Muertes por Edad M'!J44/'Población por Edad M'!J44*1000</f>
        <v>4.2316587173740974</v>
      </c>
      <c r="J23" s="55">
        <f>+'Muertes por Edad M'!K44/'Población por Edad M'!K44*1000</f>
        <v>4.7413036137339679</v>
      </c>
      <c r="K23" s="55">
        <f>+'Muertes por Edad M'!L44/'Población por Edad M'!L44*1000</f>
        <v>4.0743296540109721</v>
      </c>
      <c r="L23" s="55">
        <f>+'Muertes por Edad M'!M44/'Población por Edad M'!M44*1000</f>
        <v>3.782776878414785</v>
      </c>
      <c r="M23" s="55">
        <f>+'Muertes por Edad M'!N44/'Población por Edad M'!N44*1000</f>
        <v>4.2854200623477148</v>
      </c>
      <c r="N23" s="55">
        <f>+'Muertes por Edad M'!O44/'Población por Edad M'!O44*1000</f>
        <v>4.7306450047552584</v>
      </c>
      <c r="O23" s="55">
        <f>+'Muertes por Edad M'!P44/'Población por Edad M'!P44*1000</f>
        <v>5.111462099577107</v>
      </c>
      <c r="P23" s="55">
        <f>+'Muertes por Edad M'!Q44/'Población por Edad M'!Q44*1000</f>
        <v>4.9199006612546974</v>
      </c>
      <c r="Q23" s="55">
        <f>+'Muertes por Edad M'!R44/'Población por Edad M'!R44*1000</f>
        <v>4.3917130043743278</v>
      </c>
      <c r="R23" s="55">
        <f>+'Muertes por Edad M'!S44/'Población por Edad M'!S44*1000</f>
        <v>4.4017994915651553</v>
      </c>
      <c r="S23" s="72">
        <v>21</v>
      </c>
      <c r="T23" s="73">
        <f t="shared" si="0"/>
        <v>3.8877168295917555</v>
      </c>
      <c r="U23" s="81">
        <f t="shared" si="2"/>
        <v>1.5854108068176882</v>
      </c>
    </row>
    <row r="24" spans="1:21">
      <c r="A24">
        <v>22</v>
      </c>
      <c r="B24" s="55">
        <f>+'Muertes por Edad M'!C45/'Población por Edad M'!C45*1000</f>
        <v>2.9049167179787889</v>
      </c>
      <c r="C24" s="55">
        <f>+'Muertes por Edad M'!D45/'Población por Edad M'!D45*1000</f>
        <v>2.7204834276600853</v>
      </c>
      <c r="D24" s="55">
        <f>+'Muertes por Edad M'!E45/'Población por Edad M'!E45*1000</f>
        <v>2.47558509837401</v>
      </c>
      <c r="E24" s="55">
        <f>+'Muertes por Edad M'!F45/'Población por Edad M'!F45*1000</f>
        <v>2.6667679219139231</v>
      </c>
      <c r="F24" s="55">
        <f>+'Muertes por Edad M'!G45/'Población por Edad M'!G45*1000</f>
        <v>3.0188023042350323</v>
      </c>
      <c r="G24" s="55">
        <f>+'Muertes por Edad M'!H45/'Población por Edad M'!H45*1000</f>
        <v>3.8101239184308584</v>
      </c>
      <c r="H24" s="55">
        <f>+'Muertes por Edad M'!I45/'Población por Edad M'!I45*1000</f>
        <v>3.8234975270590441</v>
      </c>
      <c r="I24" s="55">
        <f>+'Muertes por Edad M'!J45/'Población por Edad M'!J45*1000</f>
        <v>4.2316587173740983</v>
      </c>
      <c r="J24" s="55">
        <f>+'Muertes por Edad M'!K45/'Población por Edad M'!K45*1000</f>
        <v>4.7413036137339679</v>
      </c>
      <c r="K24" s="55">
        <f>+'Muertes por Edad M'!L45/'Población por Edad M'!L45*1000</f>
        <v>4.0743296540109721</v>
      </c>
      <c r="L24" s="55">
        <f>+'Muertes por Edad M'!M45/'Población por Edad M'!M45*1000</f>
        <v>3.782776878414785</v>
      </c>
      <c r="M24" s="55">
        <f>+'Muertes por Edad M'!N45/'Población por Edad M'!N45*1000</f>
        <v>4.2854200623477148</v>
      </c>
      <c r="N24" s="55">
        <f>+'Muertes por Edad M'!O45/'Población por Edad M'!O45*1000</f>
        <v>4.7306450047552593</v>
      </c>
      <c r="O24" s="55">
        <f>+'Muertes por Edad M'!P45/'Población por Edad M'!P45*1000</f>
        <v>5.111462099577107</v>
      </c>
      <c r="P24" s="55">
        <f>+'Muertes por Edad M'!Q45/'Población por Edad M'!Q45*1000</f>
        <v>4.9199006612546965</v>
      </c>
      <c r="Q24" s="55">
        <f>+'Muertes por Edad M'!R45/'Población por Edad M'!R45*1000</f>
        <v>4.3917130043743269</v>
      </c>
      <c r="R24" s="55">
        <f>+'Muertes por Edad M'!S45/'Población por Edad M'!S45*1000</f>
        <v>4.4017994915651553</v>
      </c>
      <c r="S24" s="72">
        <v>22</v>
      </c>
      <c r="T24" s="73">
        <f t="shared" si="0"/>
        <v>3.8877168295917546</v>
      </c>
      <c r="U24" s="81">
        <f t="shared" si="2"/>
        <v>1.6840515056562075</v>
      </c>
    </row>
    <row r="25" spans="1:21">
      <c r="A25">
        <v>23</v>
      </c>
      <c r="B25" s="55">
        <f>+'Muertes por Edad M'!C46/'Población por Edad M'!C46*1000</f>
        <v>2.9049167179787889</v>
      </c>
      <c r="C25" s="55">
        <f>+'Muertes por Edad M'!D46/'Población por Edad M'!D46*1000</f>
        <v>2.7204834276600853</v>
      </c>
      <c r="D25" s="55">
        <f>+'Muertes por Edad M'!E46/'Población por Edad M'!E46*1000</f>
        <v>2.4755850983740095</v>
      </c>
      <c r="E25" s="55">
        <f>+'Muertes por Edad M'!F46/'Población por Edad M'!F46*1000</f>
        <v>2.6667679219139231</v>
      </c>
      <c r="F25" s="55">
        <f>+'Muertes por Edad M'!G46/'Población por Edad M'!G46*1000</f>
        <v>3.0188023042350323</v>
      </c>
      <c r="G25" s="55">
        <f>+'Muertes por Edad M'!H46/'Población por Edad M'!H46*1000</f>
        <v>3.810123918430858</v>
      </c>
      <c r="H25" s="55">
        <f>+'Muertes por Edad M'!I46/'Población por Edad M'!I46*1000</f>
        <v>3.8234975270590441</v>
      </c>
      <c r="I25" s="55">
        <f>+'Muertes por Edad M'!J46/'Población por Edad M'!J46*1000</f>
        <v>4.2316587173740974</v>
      </c>
      <c r="J25" s="55">
        <f>+'Muertes por Edad M'!K46/'Población por Edad M'!K46*1000</f>
        <v>4.7413036137339679</v>
      </c>
      <c r="K25" s="55">
        <f>+'Muertes por Edad M'!L46/'Población por Edad M'!L46*1000</f>
        <v>4.0743296540109721</v>
      </c>
      <c r="L25" s="55">
        <f>+'Muertes por Edad M'!M46/'Población por Edad M'!M46*1000</f>
        <v>3.782776878414785</v>
      </c>
      <c r="M25" s="55">
        <f>+'Muertes por Edad M'!N46/'Población por Edad M'!N46*1000</f>
        <v>4.2854200623477148</v>
      </c>
      <c r="N25" s="55">
        <f>+'Muertes por Edad M'!O46/'Población por Edad M'!O46*1000</f>
        <v>4.7306450047552593</v>
      </c>
      <c r="O25" s="55">
        <f>+'Muertes por Edad M'!P46/'Población por Edad M'!P46*1000</f>
        <v>5.111462099577107</v>
      </c>
      <c r="P25" s="55">
        <f>+'Muertes por Edad M'!Q46/'Población por Edad M'!Q46*1000</f>
        <v>4.9199006612546965</v>
      </c>
      <c r="Q25" s="55">
        <f>+'Muertes por Edad M'!R46/'Población por Edad M'!R46*1000</f>
        <v>4.3917130043743278</v>
      </c>
      <c r="R25" s="55">
        <f>+'Muertes por Edad M'!S46/'Población por Edad M'!S46*1000</f>
        <v>4.4017994915651553</v>
      </c>
      <c r="S25" s="72">
        <v>23</v>
      </c>
      <c r="T25" s="73">
        <f t="shared" si="0"/>
        <v>3.8877168295917555</v>
      </c>
      <c r="U25" s="81">
        <f t="shared" si="2"/>
        <v>1.7888294071840931</v>
      </c>
    </row>
    <row r="26" spans="1:21">
      <c r="A26">
        <v>24</v>
      </c>
      <c r="B26" s="55">
        <f>+'Muertes por Edad M'!C47/'Población por Edad M'!C47*1000</f>
        <v>2.9049167179787889</v>
      </c>
      <c r="C26" s="55">
        <f>+'Muertes por Edad M'!D47/'Población por Edad M'!D47*1000</f>
        <v>2.7204834276600853</v>
      </c>
      <c r="D26" s="55">
        <f>+'Muertes por Edad M'!E47/'Población por Edad M'!E47*1000</f>
        <v>2.47558509837401</v>
      </c>
      <c r="E26" s="55">
        <f>+'Muertes por Edad M'!F47/'Población por Edad M'!F47*1000</f>
        <v>2.6667679219139226</v>
      </c>
      <c r="F26" s="55">
        <f>+'Muertes por Edad M'!G47/'Población por Edad M'!G47*1000</f>
        <v>3.0188023042350323</v>
      </c>
      <c r="G26" s="55">
        <f>+'Muertes por Edad M'!H47/'Población por Edad M'!H47*1000</f>
        <v>3.810123918430858</v>
      </c>
      <c r="H26" s="55">
        <f>+'Muertes por Edad M'!I47/'Población por Edad M'!I47*1000</f>
        <v>3.8234975270590441</v>
      </c>
      <c r="I26" s="55">
        <f>+'Muertes por Edad M'!J47/'Población por Edad M'!J47*1000</f>
        <v>4.2316587173740974</v>
      </c>
      <c r="J26" s="55">
        <f>+'Muertes por Edad M'!K47/'Población por Edad M'!K47*1000</f>
        <v>4.7413036137339679</v>
      </c>
      <c r="K26" s="55">
        <f>+'Muertes por Edad M'!L47/'Población por Edad M'!L47*1000</f>
        <v>4.0743296540109721</v>
      </c>
      <c r="L26" s="55">
        <f>+'Muertes por Edad M'!M47/'Población por Edad M'!M47*1000</f>
        <v>3.782776878414785</v>
      </c>
      <c r="M26" s="55">
        <f>+'Muertes por Edad M'!N47/'Población por Edad M'!N47*1000</f>
        <v>4.2854200623477139</v>
      </c>
      <c r="N26" s="55">
        <f>+'Muertes por Edad M'!O47/'Población por Edad M'!O47*1000</f>
        <v>4.7306450047552593</v>
      </c>
      <c r="O26" s="55">
        <f>+'Muertes por Edad M'!P47/'Población por Edad M'!P47*1000</f>
        <v>5.111462099577107</v>
      </c>
      <c r="P26" s="55">
        <f>+'Muertes por Edad M'!Q47/'Población por Edad M'!Q47*1000</f>
        <v>4.9199006612546965</v>
      </c>
      <c r="Q26" s="55">
        <f>+'Muertes por Edad M'!R47/'Población por Edad M'!R47*1000</f>
        <v>4.3917130043743278</v>
      </c>
      <c r="R26" s="55">
        <f>+'Muertes por Edad M'!S47/'Población por Edad M'!S47*1000</f>
        <v>4.4017994915651553</v>
      </c>
      <c r="S26" s="72">
        <v>24</v>
      </c>
      <c r="T26" s="73">
        <f t="shared" si="0"/>
        <v>3.8877168295917546</v>
      </c>
      <c r="U26" s="81">
        <f t="shared" si="2"/>
        <v>1.9001263543656977</v>
      </c>
    </row>
    <row r="27" spans="1:21">
      <c r="A27">
        <v>25</v>
      </c>
      <c r="B27" s="55">
        <f>+'Muertes por Edad M'!C48/'Población por Edad M'!C48*1000</f>
        <v>2.9318858750539833</v>
      </c>
      <c r="C27" s="55">
        <f>+'Muertes por Edad M'!D48/'Población por Edad M'!D48*1000</f>
        <v>2.9311604505425719</v>
      </c>
      <c r="D27" s="55">
        <f>+'Muertes por Edad M'!E48/'Población por Edad M'!E48*1000</f>
        <v>2.6563100770402679</v>
      </c>
      <c r="E27" s="55">
        <f>+'Muertes por Edad M'!F48/'Población por Edad M'!F48*1000</f>
        <v>2.7300998991180259</v>
      </c>
      <c r="F27" s="55">
        <f>+'Muertes por Edad M'!G48/'Población por Edad M'!G48*1000</f>
        <v>3.1856107951455295</v>
      </c>
      <c r="G27" s="55">
        <f>+'Muertes por Edad M'!H48/'Población por Edad M'!H48*1000</f>
        <v>3.6428069228624445</v>
      </c>
      <c r="H27" s="55">
        <f>+'Muertes por Edad M'!I48/'Población por Edad M'!I48*1000</f>
        <v>3.7194166583760837</v>
      </c>
      <c r="I27" s="55">
        <f>+'Muertes por Edad M'!J48/'Población por Edad M'!J48*1000</f>
        <v>3.7861583282223141</v>
      </c>
      <c r="J27" s="55">
        <f>+'Muertes por Edad M'!K48/'Población por Edad M'!K48*1000</f>
        <v>4.4005005567115374</v>
      </c>
      <c r="K27" s="55">
        <f>+'Muertes por Edad M'!L48/'Población por Edad M'!L48*1000</f>
        <v>3.9667864378063578</v>
      </c>
      <c r="L27" s="55">
        <f>+'Muertes por Edad M'!M48/'Población por Edad M'!M48*1000</f>
        <v>3.8310414046233698</v>
      </c>
      <c r="M27" s="55">
        <f>+'Muertes por Edad M'!N48/'Población por Edad M'!N48*1000</f>
        <v>4.3267524533343904</v>
      </c>
      <c r="N27" s="55">
        <f>+'Muertes por Edad M'!O48/'Población por Edad M'!O48*1000</f>
        <v>4.7700416212062322</v>
      </c>
      <c r="O27" s="55">
        <f>+'Muertes por Edad M'!P48/'Población por Edad M'!P48*1000</f>
        <v>4.782416690987314</v>
      </c>
      <c r="P27" s="55">
        <f>+'Muertes por Edad M'!Q48/'Población por Edad M'!Q48*1000</f>
        <v>4.6119608807528847</v>
      </c>
      <c r="Q27" s="55">
        <f>+'Muertes por Edad M'!R48/'Población por Edad M'!R48*1000</f>
        <v>4.2265233847319514</v>
      </c>
      <c r="R27" s="55">
        <f>+'Muertes por Edad M'!S48/'Población por Edad M'!S48*1000</f>
        <v>4.0395364989769886</v>
      </c>
      <c r="S27" s="72">
        <v>25</v>
      </c>
      <c r="T27" s="73">
        <f t="shared" si="0"/>
        <v>3.7964122903230733</v>
      </c>
      <c r="U27" s="81">
        <f t="shared" si="2"/>
        <v>2.0183479475768213</v>
      </c>
    </row>
    <row r="28" spans="1:21">
      <c r="A28">
        <v>26</v>
      </c>
      <c r="B28" s="55">
        <f>+'Muertes por Edad M'!C49/'Población por Edad M'!C49*1000</f>
        <v>2.9318858750539833</v>
      </c>
      <c r="C28" s="55">
        <f>+'Muertes por Edad M'!D49/'Población por Edad M'!D49*1000</f>
        <v>2.9311604505425719</v>
      </c>
      <c r="D28" s="55">
        <f>+'Muertes por Edad M'!E49/'Población por Edad M'!E49*1000</f>
        <v>2.6563100770402679</v>
      </c>
      <c r="E28" s="55">
        <f>+'Muertes por Edad M'!F49/'Población por Edad M'!F49*1000</f>
        <v>2.7300998991180254</v>
      </c>
      <c r="F28" s="55">
        <f>+'Muertes por Edad M'!G49/'Población por Edad M'!G49*1000</f>
        <v>3.1856107951455295</v>
      </c>
      <c r="G28" s="55">
        <f>+'Muertes por Edad M'!H49/'Población por Edad M'!H49*1000</f>
        <v>3.6428069228624445</v>
      </c>
      <c r="H28" s="55">
        <f>+'Muertes por Edad M'!I49/'Población por Edad M'!I49*1000</f>
        <v>3.7194166583760837</v>
      </c>
      <c r="I28" s="55">
        <f>+'Muertes por Edad M'!J49/'Población por Edad M'!J49*1000</f>
        <v>3.7861583282223141</v>
      </c>
      <c r="J28" s="55">
        <f>+'Muertes por Edad M'!K49/'Población por Edad M'!K49*1000</f>
        <v>4.4005005567115374</v>
      </c>
      <c r="K28" s="55">
        <f>+'Muertes por Edad M'!L49/'Población por Edad M'!L49*1000</f>
        <v>3.9667864378063586</v>
      </c>
      <c r="L28" s="55">
        <f>+'Muertes por Edad M'!M49/'Población por Edad M'!M49*1000</f>
        <v>3.8310414046233698</v>
      </c>
      <c r="M28" s="55">
        <f>+'Muertes por Edad M'!N49/'Población por Edad M'!N49*1000</f>
        <v>4.3267524533343904</v>
      </c>
      <c r="N28" s="55">
        <f>+'Muertes por Edad M'!O49/'Población por Edad M'!O49*1000</f>
        <v>4.7700416212062331</v>
      </c>
      <c r="O28" s="55">
        <f>+'Muertes por Edad M'!P49/'Población por Edad M'!P49*1000</f>
        <v>4.7824166909873149</v>
      </c>
      <c r="P28" s="55">
        <f>+'Muertes por Edad M'!Q49/'Población por Edad M'!Q49*1000</f>
        <v>4.6119608807528856</v>
      </c>
      <c r="Q28" s="55">
        <f>+'Muertes por Edad M'!R49/'Población por Edad M'!R49*1000</f>
        <v>4.2265233847319514</v>
      </c>
      <c r="R28" s="55">
        <f>+'Muertes por Edad M'!S49/'Población por Edad M'!S49*1000</f>
        <v>4.0395364989769886</v>
      </c>
      <c r="S28" s="72">
        <v>26</v>
      </c>
      <c r="T28" s="73">
        <f t="shared" si="0"/>
        <v>3.7964122903230733</v>
      </c>
      <c r="U28" s="81">
        <f t="shared" si="2"/>
        <v>2.1439250227374824</v>
      </c>
    </row>
    <row r="29" spans="1:21">
      <c r="A29">
        <v>27</v>
      </c>
      <c r="B29" s="55">
        <f>+'Muertes por Edad M'!C50/'Población por Edad M'!C50*1000</f>
        <v>2.9318858750539833</v>
      </c>
      <c r="C29" s="55">
        <f>+'Muertes por Edad M'!D50/'Población por Edad M'!D50*1000</f>
        <v>2.9311604505425719</v>
      </c>
      <c r="D29" s="55">
        <f>+'Muertes por Edad M'!E50/'Población por Edad M'!E50*1000</f>
        <v>2.6563100770402683</v>
      </c>
      <c r="E29" s="55">
        <f>+'Muertes por Edad M'!F50/'Población por Edad M'!F50*1000</f>
        <v>2.7300998991180259</v>
      </c>
      <c r="F29" s="55">
        <f>+'Muertes por Edad M'!G50/'Población por Edad M'!G50*1000</f>
        <v>3.1856107951455295</v>
      </c>
      <c r="G29" s="55">
        <f>+'Muertes por Edad M'!H50/'Población por Edad M'!H50*1000</f>
        <v>3.6428069228624449</v>
      </c>
      <c r="H29" s="55">
        <f>+'Muertes por Edad M'!I50/'Población por Edad M'!I50*1000</f>
        <v>3.7194166583760842</v>
      </c>
      <c r="I29" s="55">
        <f>+'Muertes por Edad M'!J50/'Población por Edad M'!J50*1000</f>
        <v>3.7861583282223146</v>
      </c>
      <c r="J29" s="55">
        <f>+'Muertes por Edad M'!K50/'Población por Edad M'!K50*1000</f>
        <v>4.4005005567115374</v>
      </c>
      <c r="K29" s="55">
        <f>+'Muertes por Edad M'!L50/'Población por Edad M'!L50*1000</f>
        <v>3.9667864378063586</v>
      </c>
      <c r="L29" s="55">
        <f>+'Muertes por Edad M'!M50/'Población por Edad M'!M50*1000</f>
        <v>3.8310414046233694</v>
      </c>
      <c r="M29" s="55">
        <f>+'Muertes por Edad M'!N50/'Población por Edad M'!N50*1000</f>
        <v>4.3267524533343904</v>
      </c>
      <c r="N29" s="55">
        <f>+'Muertes por Edad M'!O50/'Población por Edad M'!O50*1000</f>
        <v>4.7700416212062331</v>
      </c>
      <c r="O29" s="55">
        <f>+'Muertes por Edad M'!P50/'Población por Edad M'!P50*1000</f>
        <v>4.782416690987314</v>
      </c>
      <c r="P29" s="55">
        <f>+'Muertes por Edad M'!Q50/'Población por Edad M'!Q50*1000</f>
        <v>4.6119608807528856</v>
      </c>
      <c r="Q29" s="55">
        <f>+'Muertes por Edad M'!R50/'Población por Edad M'!R50*1000</f>
        <v>4.2265233847319506</v>
      </c>
      <c r="R29" s="55">
        <f>+'Muertes por Edad M'!S50/'Población por Edad M'!S50*1000</f>
        <v>4.0395364989769877</v>
      </c>
      <c r="S29" s="72">
        <v>27</v>
      </c>
      <c r="T29" s="73">
        <f t="shared" si="0"/>
        <v>3.7964122903230733</v>
      </c>
      <c r="U29" s="81">
        <f t="shared" si="2"/>
        <v>2.2773152214107864</v>
      </c>
    </row>
    <row r="30" spans="1:21">
      <c r="A30">
        <v>28</v>
      </c>
      <c r="B30" s="55">
        <f>+'Muertes por Edad M'!C51/'Población por Edad M'!C51*1000</f>
        <v>2.9318858750539838</v>
      </c>
      <c r="C30" s="55">
        <f>+'Muertes por Edad M'!D51/'Población por Edad M'!D51*1000</f>
        <v>2.9311604505425719</v>
      </c>
      <c r="D30" s="55">
        <f>+'Muertes por Edad M'!E51/'Población por Edad M'!E51*1000</f>
        <v>2.6563100770402679</v>
      </c>
      <c r="E30" s="55">
        <f>+'Muertes por Edad M'!F51/'Población por Edad M'!F51*1000</f>
        <v>2.7300998991180259</v>
      </c>
      <c r="F30" s="55">
        <f>+'Muertes por Edad M'!G51/'Población por Edad M'!G51*1000</f>
        <v>3.1856107951455295</v>
      </c>
      <c r="G30" s="55">
        <f>+'Muertes por Edad M'!H51/'Población por Edad M'!H51*1000</f>
        <v>3.6428069228624445</v>
      </c>
      <c r="H30" s="55">
        <f>+'Muertes por Edad M'!I51/'Población por Edad M'!I51*1000</f>
        <v>3.7194166583760837</v>
      </c>
      <c r="I30" s="55">
        <f>+'Muertes por Edad M'!J51/'Población por Edad M'!J51*1000</f>
        <v>3.7861583282223137</v>
      </c>
      <c r="J30" s="55">
        <f>+'Muertes por Edad M'!K51/'Población por Edad M'!K51*1000</f>
        <v>4.4005005567115365</v>
      </c>
      <c r="K30" s="55">
        <f>+'Muertes por Edad M'!L51/'Población por Edad M'!L51*1000</f>
        <v>3.9667864378063586</v>
      </c>
      <c r="L30" s="55">
        <f>+'Muertes por Edad M'!M51/'Población por Edad M'!M51*1000</f>
        <v>3.831041404623369</v>
      </c>
      <c r="M30" s="55">
        <f>+'Muertes por Edad M'!N51/'Población por Edad M'!N51*1000</f>
        <v>4.3267524533343904</v>
      </c>
      <c r="N30" s="55">
        <f>+'Muertes por Edad M'!O51/'Población por Edad M'!O51*1000</f>
        <v>4.7700416212062331</v>
      </c>
      <c r="O30" s="55">
        <f>+'Muertes por Edad M'!P51/'Población por Edad M'!P51*1000</f>
        <v>4.782416690987314</v>
      </c>
      <c r="P30" s="55">
        <f>+'Muertes por Edad M'!Q51/'Población por Edad M'!Q51*1000</f>
        <v>4.6119608807528856</v>
      </c>
      <c r="Q30" s="55">
        <f>+'Muertes por Edad M'!R51/'Población por Edad M'!R51*1000</f>
        <v>4.2265233847319506</v>
      </c>
      <c r="R30" s="55">
        <f>+'Muertes por Edad M'!S51/'Población por Edad M'!S51*1000</f>
        <v>4.0395364989769886</v>
      </c>
      <c r="S30" s="72">
        <v>28</v>
      </c>
      <c r="T30" s="73">
        <f t="shared" si="0"/>
        <v>3.7964122903230724</v>
      </c>
      <c r="U30" s="81">
        <f t="shared" si="2"/>
        <v>2.4190046585898211</v>
      </c>
    </row>
    <row r="31" spans="1:21">
      <c r="A31">
        <v>29</v>
      </c>
      <c r="B31" s="55">
        <f>+'Muertes por Edad M'!C52/'Población por Edad M'!C52*1000</f>
        <v>2.9318858750539833</v>
      </c>
      <c r="C31" s="55">
        <f>+'Muertes por Edad M'!D52/'Población por Edad M'!D52*1000</f>
        <v>2.9311604505425719</v>
      </c>
      <c r="D31" s="55">
        <f>+'Muertes por Edad M'!E52/'Población por Edad M'!E52*1000</f>
        <v>2.6563100770402679</v>
      </c>
      <c r="E31" s="55">
        <f>+'Muertes por Edad M'!F52/'Población por Edad M'!F52*1000</f>
        <v>2.7300998991180254</v>
      </c>
      <c r="F31" s="55">
        <f>+'Muertes por Edad M'!G52/'Población por Edad M'!G52*1000</f>
        <v>3.1856107951455295</v>
      </c>
      <c r="G31" s="55">
        <f>+'Muertes por Edad M'!H52/'Población por Edad M'!H52*1000</f>
        <v>3.6428069228624445</v>
      </c>
      <c r="H31" s="55">
        <f>+'Muertes por Edad M'!I52/'Población por Edad M'!I52*1000</f>
        <v>3.7194166583760842</v>
      </c>
      <c r="I31" s="55">
        <f>+'Muertes por Edad M'!J52/'Población por Edad M'!J52*1000</f>
        <v>3.7861583282223146</v>
      </c>
      <c r="J31" s="55">
        <f>+'Muertes por Edad M'!K52/'Población por Edad M'!K52*1000</f>
        <v>4.4005005567115374</v>
      </c>
      <c r="K31" s="55">
        <f>+'Muertes por Edad M'!L52/'Población por Edad M'!L52*1000</f>
        <v>3.9667864378063586</v>
      </c>
      <c r="L31" s="55">
        <f>+'Muertes por Edad M'!M52/'Población por Edad M'!M52*1000</f>
        <v>3.8310414046233694</v>
      </c>
      <c r="M31" s="55">
        <f>+'Muertes por Edad M'!N52/'Población por Edad M'!N52*1000</f>
        <v>4.3267524533343904</v>
      </c>
      <c r="N31" s="55">
        <f>+'Muertes por Edad M'!O52/'Población por Edad M'!O52*1000</f>
        <v>4.7700416212062322</v>
      </c>
      <c r="O31" s="55">
        <f>+'Muertes por Edad M'!P52/'Población por Edad M'!P52*1000</f>
        <v>4.782416690987314</v>
      </c>
      <c r="P31" s="55">
        <f>+'Muertes por Edad M'!Q52/'Población por Edad M'!Q52*1000</f>
        <v>4.6119608807528856</v>
      </c>
      <c r="Q31" s="55">
        <f>+'Muertes por Edad M'!R52/'Población por Edad M'!R52*1000</f>
        <v>4.2265233847319514</v>
      </c>
      <c r="R31" s="55">
        <f>+'Muertes por Edad M'!S52/'Población por Edad M'!S52*1000</f>
        <v>4.0395364989769877</v>
      </c>
      <c r="S31" s="72">
        <v>29</v>
      </c>
      <c r="T31" s="73">
        <f t="shared" si="0"/>
        <v>3.7964122903230733</v>
      </c>
      <c r="U31" s="81">
        <f t="shared" si="2"/>
        <v>2.5695096942505078</v>
      </c>
    </row>
    <row r="32" spans="1:21">
      <c r="A32">
        <v>30</v>
      </c>
      <c r="B32" s="55">
        <f>+'Muertes por Edad M'!C53/'Población por Edad M'!C53*1000</f>
        <v>3.0725708446494919</v>
      </c>
      <c r="C32" s="55">
        <f>+'Muertes por Edad M'!D53/'Población por Edad M'!D53*1000</f>
        <v>2.8328441271310143</v>
      </c>
      <c r="D32" s="55">
        <f>+'Muertes por Edad M'!E53/'Población por Edad M'!E53*1000</f>
        <v>2.6654142538893524</v>
      </c>
      <c r="E32" s="55">
        <f>+'Muertes por Edad M'!F53/'Población por Edad M'!F53*1000</f>
        <v>2.8061836181369912</v>
      </c>
      <c r="F32" s="55">
        <f>+'Muertes por Edad M'!G53/'Población por Edad M'!G53*1000</f>
        <v>3.0427993690572901</v>
      </c>
      <c r="G32" s="55">
        <f>+'Muertes por Edad M'!H53/'Población por Edad M'!H53*1000</f>
        <v>3.4013348998380293</v>
      </c>
      <c r="H32" s="55">
        <f>+'Muertes por Edad M'!I53/'Población por Edad M'!I53*1000</f>
        <v>3.2780562616229401</v>
      </c>
      <c r="I32" s="55">
        <f>+'Muertes por Edad M'!J53/'Población por Edad M'!J53*1000</f>
        <v>3.1684131994870466</v>
      </c>
      <c r="J32" s="55">
        <f>+'Muertes por Edad M'!K53/'Población por Edad M'!K53*1000</f>
        <v>3.5770038092147094</v>
      </c>
      <c r="K32" s="55">
        <f>+'Muertes por Edad M'!L53/'Población por Edad M'!L53*1000</f>
        <v>3.3498970463928988</v>
      </c>
      <c r="L32" s="55">
        <f>+'Muertes por Edad M'!M53/'Población por Edad M'!M53*1000</f>
        <v>3.1692683275952067</v>
      </c>
      <c r="M32" s="55">
        <f>+'Muertes por Edad M'!N53/'Población por Edad M'!N53*1000</f>
        <v>3.315903183590962</v>
      </c>
      <c r="N32" s="55">
        <f>+'Muertes por Edad M'!O53/'Población por Edad M'!O53*1000</f>
        <v>3.6980902578986079</v>
      </c>
      <c r="O32" s="55">
        <f>+'Muertes por Edad M'!P53/'Población por Edad M'!P53*1000</f>
        <v>3.8430166830537917</v>
      </c>
      <c r="P32" s="55">
        <f>+'Muertes por Edad M'!Q53/'Población por Edad M'!Q53*1000</f>
        <v>3.8245269419303414</v>
      </c>
      <c r="Q32" s="55">
        <f>+'Muertes por Edad M'!R53/'Población por Edad M'!R53*1000</f>
        <v>3.5329444781278236</v>
      </c>
      <c r="R32" s="55">
        <f>+'Muertes por Edad M'!S53/'Población por Edad M'!S53*1000</f>
        <v>3.370133462258305</v>
      </c>
      <c r="S32" s="72">
        <v>30</v>
      </c>
      <c r="T32" s="73">
        <f t="shared" si="0"/>
        <v>3.2910823978749879</v>
      </c>
      <c r="U32" s="81">
        <f t="shared" si="2"/>
        <v>2.7293788151264864</v>
      </c>
    </row>
    <row r="33" spans="1:21">
      <c r="A33">
        <v>31</v>
      </c>
      <c r="B33" s="55">
        <f>+'Muertes por Edad M'!C54/'Población por Edad M'!C54*1000</f>
        <v>3.0725708446494919</v>
      </c>
      <c r="C33" s="55">
        <f>+'Muertes por Edad M'!D54/'Población por Edad M'!D54*1000</f>
        <v>2.8328441271310139</v>
      </c>
      <c r="D33" s="55">
        <f>+'Muertes por Edad M'!E54/'Población por Edad M'!E54*1000</f>
        <v>2.6654142538893519</v>
      </c>
      <c r="E33" s="55">
        <f>+'Muertes por Edad M'!F54/'Población por Edad M'!F54*1000</f>
        <v>2.8061836181369908</v>
      </c>
      <c r="F33" s="55">
        <f>+'Muertes por Edad M'!G54/'Población por Edad M'!G54*1000</f>
        <v>3.0427993690572901</v>
      </c>
      <c r="G33" s="55">
        <f>+'Muertes por Edad M'!H54/'Población por Edad M'!H54*1000</f>
        <v>3.4013348998380297</v>
      </c>
      <c r="H33" s="55">
        <f>+'Muertes por Edad M'!I54/'Población por Edad M'!I54*1000</f>
        <v>3.2780562616229392</v>
      </c>
      <c r="I33" s="55">
        <f>+'Muertes por Edad M'!J54/'Población por Edad M'!J54*1000</f>
        <v>3.168413199487047</v>
      </c>
      <c r="J33" s="55">
        <f>+'Muertes por Edad M'!K54/'Población por Edad M'!K54*1000</f>
        <v>3.5770038092147094</v>
      </c>
      <c r="K33" s="55">
        <f>+'Muertes por Edad M'!L54/'Población por Edad M'!L54*1000</f>
        <v>3.3498970463928992</v>
      </c>
      <c r="L33" s="55">
        <f>+'Muertes por Edad M'!M54/'Población por Edad M'!M54*1000</f>
        <v>3.1692683275952067</v>
      </c>
      <c r="M33" s="55">
        <f>+'Muertes por Edad M'!N54/'Población por Edad M'!N54*1000</f>
        <v>3.315903183590962</v>
      </c>
      <c r="N33" s="55">
        <f>+'Muertes por Edad M'!O54/'Población por Edad M'!O54*1000</f>
        <v>3.6980902578986079</v>
      </c>
      <c r="O33" s="55">
        <f>+'Muertes por Edad M'!P54/'Población por Edad M'!P54*1000</f>
        <v>3.8430166830537917</v>
      </c>
      <c r="P33" s="55">
        <f>+'Muertes por Edad M'!Q54/'Población por Edad M'!Q54*1000</f>
        <v>3.8245269419303409</v>
      </c>
      <c r="Q33" s="55">
        <f>+'Muertes por Edad M'!R54/'Población por Edad M'!R54*1000</f>
        <v>3.5329444781278232</v>
      </c>
      <c r="R33" s="55">
        <f>+'Muertes por Edad M'!S54/'Población por Edad M'!S54*1000</f>
        <v>3.370133462258305</v>
      </c>
      <c r="S33" s="72">
        <v>31</v>
      </c>
      <c r="T33" s="73">
        <f t="shared" si="0"/>
        <v>3.2910823978749884</v>
      </c>
      <c r="U33" s="81">
        <f t="shared" si="2"/>
        <v>2.8991946335638126</v>
      </c>
    </row>
    <row r="34" spans="1:21">
      <c r="A34">
        <v>32</v>
      </c>
      <c r="B34" s="55">
        <f>+'Muertes por Edad M'!C55/'Población por Edad M'!C55*1000</f>
        <v>3.0725708446494915</v>
      </c>
      <c r="C34" s="55">
        <f>+'Muertes por Edad M'!D55/'Población por Edad M'!D55*1000</f>
        <v>2.8328441271310139</v>
      </c>
      <c r="D34" s="55">
        <f>+'Muertes por Edad M'!E55/'Población por Edad M'!E55*1000</f>
        <v>2.6654142538893524</v>
      </c>
      <c r="E34" s="55">
        <f>+'Muertes por Edad M'!F55/'Población por Edad M'!F55*1000</f>
        <v>2.8061836181369908</v>
      </c>
      <c r="F34" s="55">
        <f>+'Muertes por Edad M'!G55/'Población por Edad M'!G55*1000</f>
        <v>3.0427993690572896</v>
      </c>
      <c r="G34" s="55">
        <f>+'Muertes por Edad M'!H55/'Población por Edad M'!H55*1000</f>
        <v>3.4013348998380302</v>
      </c>
      <c r="H34" s="55">
        <f>+'Muertes por Edad M'!I55/'Población por Edad M'!I55*1000</f>
        <v>3.2780562616229401</v>
      </c>
      <c r="I34" s="55">
        <f>+'Muertes por Edad M'!J55/'Población por Edad M'!J55*1000</f>
        <v>3.1684131994870466</v>
      </c>
      <c r="J34" s="55">
        <f>+'Muertes por Edad M'!K55/'Población por Edad M'!K55*1000</f>
        <v>3.5770038092147094</v>
      </c>
      <c r="K34" s="55">
        <f>+'Muertes por Edad M'!L55/'Población por Edad M'!L55*1000</f>
        <v>3.3498970463928992</v>
      </c>
      <c r="L34" s="55">
        <f>+'Muertes por Edad M'!M55/'Población por Edad M'!M55*1000</f>
        <v>3.1692683275952067</v>
      </c>
      <c r="M34" s="55">
        <f>+'Muertes por Edad M'!N55/'Población por Edad M'!N55*1000</f>
        <v>3.3159031835909616</v>
      </c>
      <c r="N34" s="55">
        <f>+'Muertes por Edad M'!O55/'Población por Edad M'!O55*1000</f>
        <v>3.6980902578986079</v>
      </c>
      <c r="O34" s="55">
        <f>+'Muertes por Edad M'!P55/'Población por Edad M'!P55*1000</f>
        <v>3.8430166830537917</v>
      </c>
      <c r="P34" s="55">
        <f>+'Muertes por Edad M'!Q55/'Población por Edad M'!Q55*1000</f>
        <v>3.8245269419303409</v>
      </c>
      <c r="Q34" s="55">
        <f>+'Muertes por Edad M'!R55/'Población por Edad M'!R55*1000</f>
        <v>3.5329444781278236</v>
      </c>
      <c r="R34" s="55">
        <f>+'Muertes por Edad M'!S55/'Población por Edad M'!S55*1000</f>
        <v>3.370133462258305</v>
      </c>
      <c r="S34" s="72">
        <v>32</v>
      </c>
      <c r="T34" s="73">
        <f t="shared" si="0"/>
        <v>3.2910823978749884</v>
      </c>
      <c r="U34" s="81">
        <f t="shared" si="2"/>
        <v>3.0795760107398955</v>
      </c>
    </row>
    <row r="35" spans="1:21">
      <c r="A35">
        <v>33</v>
      </c>
      <c r="B35" s="55">
        <f>+'Muertes por Edad M'!C56/'Población por Edad M'!C56*1000</f>
        <v>3.0725708446494919</v>
      </c>
      <c r="C35" s="55">
        <f>+'Muertes por Edad M'!D56/'Población por Edad M'!D56*1000</f>
        <v>2.8328441271310139</v>
      </c>
      <c r="D35" s="55">
        <f>+'Muertes por Edad M'!E56/'Población por Edad M'!E56*1000</f>
        <v>2.6654142538893519</v>
      </c>
      <c r="E35" s="55">
        <f>+'Muertes por Edad M'!F56/'Población por Edad M'!F56*1000</f>
        <v>2.8061836181369904</v>
      </c>
      <c r="F35" s="55">
        <f>+'Muertes por Edad M'!G56/'Población por Edad M'!G56*1000</f>
        <v>3.0427993690572896</v>
      </c>
      <c r="G35" s="55">
        <f>+'Muertes por Edad M'!H56/'Población por Edad M'!H56*1000</f>
        <v>3.4013348998380297</v>
      </c>
      <c r="H35" s="55">
        <f>+'Muertes por Edad M'!I56/'Población por Edad M'!I56*1000</f>
        <v>3.2780562616229396</v>
      </c>
      <c r="I35" s="55">
        <f>+'Muertes por Edad M'!J56/'Población por Edad M'!J56*1000</f>
        <v>3.168413199487047</v>
      </c>
      <c r="J35" s="55">
        <f>+'Muertes por Edad M'!K56/'Población por Edad M'!K56*1000</f>
        <v>3.5770038092147094</v>
      </c>
      <c r="K35" s="55">
        <f>+'Muertes por Edad M'!L56/'Población por Edad M'!L56*1000</f>
        <v>3.3498970463928988</v>
      </c>
      <c r="L35" s="55">
        <f>+'Muertes por Edad M'!M56/'Población por Edad M'!M56*1000</f>
        <v>3.1692683275952072</v>
      </c>
      <c r="M35" s="55">
        <f>+'Muertes por Edad M'!N56/'Población por Edad M'!N56*1000</f>
        <v>3.3159031835909616</v>
      </c>
      <c r="N35" s="55">
        <f>+'Muertes por Edad M'!O56/'Población por Edad M'!O56*1000</f>
        <v>3.6980902578986079</v>
      </c>
      <c r="O35" s="55">
        <f>+'Muertes por Edad M'!P56/'Población por Edad M'!P56*1000</f>
        <v>3.8430166830537917</v>
      </c>
      <c r="P35" s="55">
        <f>+'Muertes por Edad M'!Q56/'Población por Edad M'!Q56*1000</f>
        <v>3.8245269419303409</v>
      </c>
      <c r="Q35" s="55">
        <f>+'Muertes por Edad M'!R56/'Población por Edad M'!R56*1000</f>
        <v>3.5329444781278236</v>
      </c>
      <c r="R35" s="55">
        <f>+'Muertes por Edad M'!S56/'Población por Edad M'!S56*1000</f>
        <v>3.3701334622583046</v>
      </c>
      <c r="S35" s="72">
        <v>33</v>
      </c>
      <c r="T35" s="73">
        <f t="shared" si="0"/>
        <v>3.2910823978749879</v>
      </c>
      <c r="U35" s="81">
        <f t="shared" si="2"/>
        <v>3.2711803119843581</v>
      </c>
    </row>
    <row r="36" spans="1:21">
      <c r="A36">
        <v>34</v>
      </c>
      <c r="B36" s="55">
        <f>+'Muertes por Edad M'!C57/'Población por Edad M'!C57*1000</f>
        <v>3.0725708446494919</v>
      </c>
      <c r="C36" s="55">
        <f>+'Muertes por Edad M'!D57/'Población por Edad M'!D57*1000</f>
        <v>2.8328441271310139</v>
      </c>
      <c r="D36" s="55">
        <f>+'Muertes por Edad M'!E57/'Población por Edad M'!E57*1000</f>
        <v>2.6654142538893524</v>
      </c>
      <c r="E36" s="55">
        <f>+'Muertes por Edad M'!F57/'Población por Edad M'!F57*1000</f>
        <v>2.8061836181369908</v>
      </c>
      <c r="F36" s="55">
        <f>+'Muertes por Edad M'!G57/'Población por Edad M'!G57*1000</f>
        <v>3.0427993690572901</v>
      </c>
      <c r="G36" s="55">
        <f>+'Muertes por Edad M'!H57/'Población por Edad M'!H57*1000</f>
        <v>3.4013348998380297</v>
      </c>
      <c r="H36" s="55">
        <f>+'Muertes por Edad M'!I57/'Población por Edad M'!I57*1000</f>
        <v>3.2780562616229396</v>
      </c>
      <c r="I36" s="55">
        <f>+'Muertes por Edad M'!J57/'Población por Edad M'!J57*1000</f>
        <v>3.1684131994870466</v>
      </c>
      <c r="J36" s="55">
        <f>+'Muertes por Edad M'!K57/'Población por Edad M'!K57*1000</f>
        <v>3.5770038092147094</v>
      </c>
      <c r="K36" s="55">
        <f>+'Muertes por Edad M'!L57/'Población por Edad M'!L57*1000</f>
        <v>3.3498970463928992</v>
      </c>
      <c r="L36" s="55">
        <f>+'Muertes por Edad M'!M57/'Población por Edad M'!M57*1000</f>
        <v>3.1692683275952067</v>
      </c>
      <c r="M36" s="55">
        <f>+'Muertes por Edad M'!N57/'Población por Edad M'!N57*1000</f>
        <v>3.3159031835909616</v>
      </c>
      <c r="N36" s="55">
        <f>+'Muertes por Edad M'!O57/'Población por Edad M'!O57*1000</f>
        <v>3.6980902578986079</v>
      </c>
      <c r="O36" s="55">
        <f>+'Muertes por Edad M'!P57/'Población por Edad M'!P57*1000</f>
        <v>3.8430166830537917</v>
      </c>
      <c r="P36" s="55">
        <f>+'Muertes por Edad M'!Q57/'Población por Edad M'!Q57*1000</f>
        <v>3.8245269419303409</v>
      </c>
      <c r="Q36" s="55">
        <f>+'Muertes por Edad M'!R57/'Población por Edad M'!R57*1000</f>
        <v>3.5329444781278236</v>
      </c>
      <c r="R36" s="55">
        <f>+'Muertes por Edad M'!S57/'Población por Edad M'!S57*1000</f>
        <v>3.370133462258305</v>
      </c>
      <c r="S36" s="72">
        <v>34</v>
      </c>
      <c r="T36" s="73">
        <f t="shared" si="0"/>
        <v>3.2910823978749884</v>
      </c>
      <c r="U36" s="81">
        <f t="shared" si="2"/>
        <v>3.4747058024208877</v>
      </c>
    </row>
    <row r="37" spans="1:21">
      <c r="A37">
        <v>35</v>
      </c>
      <c r="B37" s="55">
        <f>+'Muertes por Edad M'!C58/'Población por Edad M'!C58*1000</f>
        <v>3.3008211034070634</v>
      </c>
      <c r="C37" s="55">
        <f>+'Muertes por Edad M'!D58/'Población por Edad M'!D58*1000</f>
        <v>3.1122922781215112</v>
      </c>
      <c r="D37" s="55">
        <f>+'Muertes por Edad M'!E58/'Población por Edad M'!E58*1000</f>
        <v>3.0383672841495892</v>
      </c>
      <c r="E37" s="55">
        <f>+'Muertes por Edad M'!F58/'Población por Edad M'!F58*1000</f>
        <v>3.1564871525893601</v>
      </c>
      <c r="F37" s="55">
        <f>+'Muertes por Edad M'!G58/'Población por Edad M'!G58*1000</f>
        <v>3.2544923486201078</v>
      </c>
      <c r="G37" s="55">
        <f>+'Muertes por Edad M'!H58/'Población por Edad M'!H58*1000</f>
        <v>3.478249130661391</v>
      </c>
      <c r="H37" s="55">
        <f>+'Muertes por Edad M'!I58/'Población por Edad M'!I58*1000</f>
        <v>3.6159778240430853</v>
      </c>
      <c r="I37" s="55">
        <f>+'Muertes por Edad M'!J58/'Población por Edad M'!J58*1000</f>
        <v>3.1964670162250615</v>
      </c>
      <c r="J37" s="55">
        <f>+'Muertes por Edad M'!K58/'Población por Edad M'!K58*1000</f>
        <v>3.693318177912976</v>
      </c>
      <c r="K37" s="55">
        <f>+'Muertes por Edad M'!L58/'Población por Edad M'!L58*1000</f>
        <v>3.3759062089284613</v>
      </c>
      <c r="L37" s="55">
        <f>+'Muertes por Edad M'!M58/'Población por Edad M'!M58*1000</f>
        <v>3.2121536894721872</v>
      </c>
      <c r="M37" s="55">
        <f>+'Muertes por Edad M'!N58/'Población por Edad M'!N58*1000</f>
        <v>3.3254720748726596</v>
      </c>
      <c r="N37" s="55">
        <f>+'Muertes por Edad M'!O58/'Población por Edad M'!O58*1000</f>
        <v>3.644978302388072</v>
      </c>
      <c r="O37" s="55">
        <f>+'Muertes por Edad M'!P58/'Población por Edad M'!P58*1000</f>
        <v>3.6348977490561949</v>
      </c>
      <c r="P37" s="55">
        <f>+'Muertes por Edad M'!Q58/'Población por Edad M'!Q58*1000</f>
        <v>3.5267662681045495</v>
      </c>
      <c r="Q37" s="55">
        <f>+'Muertes por Edad M'!R58/'Población por Edad M'!R58*1000</f>
        <v>3.3160872277886329</v>
      </c>
      <c r="R37" s="55">
        <f>+'Muertes por Edad M'!S58/'Población por Edad M'!S58*1000</f>
        <v>3.413615089658244</v>
      </c>
      <c r="S37" s="72">
        <v>35</v>
      </c>
      <c r="T37" s="73">
        <f t="shared" si="0"/>
        <v>3.3703734662352445</v>
      </c>
      <c r="U37" s="81">
        <f t="shared" si="2"/>
        <v>3.69089419166054</v>
      </c>
    </row>
    <row r="38" spans="1:21">
      <c r="A38">
        <v>36</v>
      </c>
      <c r="B38" s="55">
        <f>+'Muertes por Edad M'!C59/'Población por Edad M'!C59*1000</f>
        <v>3.3008211034070629</v>
      </c>
      <c r="C38" s="55">
        <f>+'Muertes por Edad M'!D59/'Población por Edad M'!D59*1000</f>
        <v>3.1122922781215103</v>
      </c>
      <c r="D38" s="55">
        <f>+'Muertes por Edad M'!E59/'Población por Edad M'!E59*1000</f>
        <v>3.0383672841495892</v>
      </c>
      <c r="E38" s="55">
        <f>+'Muertes por Edad M'!F59/'Población por Edad M'!F59*1000</f>
        <v>3.1564871525893596</v>
      </c>
      <c r="F38" s="55">
        <f>+'Muertes por Edad M'!G59/'Población por Edad M'!G59*1000</f>
        <v>3.2544923486201078</v>
      </c>
      <c r="G38" s="55">
        <f>+'Muertes por Edad M'!H59/'Población por Edad M'!H59*1000</f>
        <v>3.4782491306613914</v>
      </c>
      <c r="H38" s="55">
        <f>+'Muertes por Edad M'!I59/'Población por Edad M'!I59*1000</f>
        <v>3.6159778240430853</v>
      </c>
      <c r="I38" s="55">
        <f>+'Muertes por Edad M'!J59/'Población por Edad M'!J59*1000</f>
        <v>3.1964670162250606</v>
      </c>
      <c r="J38" s="55">
        <f>+'Muertes por Edad M'!K59/'Población por Edad M'!K59*1000</f>
        <v>3.693318177912976</v>
      </c>
      <c r="K38" s="55">
        <f>+'Muertes por Edad M'!L59/'Población por Edad M'!L59*1000</f>
        <v>3.3759062089284613</v>
      </c>
      <c r="L38" s="55">
        <f>+'Muertes por Edad M'!M59/'Población por Edad M'!M59*1000</f>
        <v>3.2121536894721876</v>
      </c>
      <c r="M38" s="55">
        <f>+'Muertes por Edad M'!N59/'Población por Edad M'!N59*1000</f>
        <v>3.3254720748726592</v>
      </c>
      <c r="N38" s="55">
        <f>+'Muertes por Edad M'!O59/'Población por Edad M'!O59*1000</f>
        <v>3.6449783023880715</v>
      </c>
      <c r="O38" s="55">
        <f>+'Muertes por Edad M'!P59/'Población por Edad M'!P59*1000</f>
        <v>3.6348977490561944</v>
      </c>
      <c r="P38" s="55">
        <f>+'Muertes por Edad M'!Q59/'Población por Edad M'!Q59*1000</f>
        <v>3.52676626810455</v>
      </c>
      <c r="Q38" s="55">
        <f>+'Muertes por Edad M'!R59/'Población por Edad M'!R59*1000</f>
        <v>3.3160872277886333</v>
      </c>
      <c r="R38" s="55">
        <f>+'Muertes por Edad M'!S59/'Población por Edad M'!S59*1000</f>
        <v>3.4136150896582445</v>
      </c>
      <c r="S38" s="72">
        <v>36</v>
      </c>
      <c r="T38" s="73">
        <f t="shared" si="0"/>
        <v>3.3703734662352436</v>
      </c>
      <c r="U38" s="81">
        <f t="shared" si="2"/>
        <v>3.9205333368201551</v>
      </c>
    </row>
    <row r="39" spans="1:21">
      <c r="A39">
        <v>37</v>
      </c>
      <c r="B39" s="55">
        <f>+'Muertes por Edad M'!C60/'Población por Edad M'!C60*1000</f>
        <v>3.3008211034070638</v>
      </c>
      <c r="C39" s="55">
        <f>+'Muertes por Edad M'!D60/'Población por Edad M'!D60*1000</f>
        <v>3.1122922781215103</v>
      </c>
      <c r="D39" s="55">
        <f>+'Muertes por Edad M'!E60/'Población por Edad M'!E60*1000</f>
        <v>3.0383672841495892</v>
      </c>
      <c r="E39" s="55">
        <f>+'Muertes por Edad M'!F60/'Población por Edad M'!F60*1000</f>
        <v>3.1564871525893601</v>
      </c>
      <c r="F39" s="55">
        <f>+'Muertes por Edad M'!G60/'Población por Edad M'!G60*1000</f>
        <v>3.2544923486201078</v>
      </c>
      <c r="G39" s="55">
        <f>+'Muertes por Edad M'!H60/'Población por Edad M'!H60*1000</f>
        <v>3.478249130661391</v>
      </c>
      <c r="H39" s="55">
        <f>+'Muertes por Edad M'!I60/'Población por Edad M'!I60*1000</f>
        <v>3.6159778240430853</v>
      </c>
      <c r="I39" s="55">
        <f>+'Muertes por Edad M'!J60/'Población por Edad M'!J60*1000</f>
        <v>3.196467016225061</v>
      </c>
      <c r="J39" s="55">
        <f>+'Muertes por Edad M'!K60/'Población por Edad M'!K60*1000</f>
        <v>3.693318177912976</v>
      </c>
      <c r="K39" s="55">
        <f>+'Muertes por Edad M'!L60/'Población por Edad M'!L60*1000</f>
        <v>3.3759062089284608</v>
      </c>
      <c r="L39" s="55">
        <f>+'Muertes por Edad M'!M60/'Población por Edad M'!M60*1000</f>
        <v>3.2121536894721872</v>
      </c>
      <c r="M39" s="55">
        <f>+'Muertes por Edad M'!N60/'Población por Edad M'!N60*1000</f>
        <v>3.3254720748726596</v>
      </c>
      <c r="N39" s="55">
        <f>+'Muertes por Edad M'!O60/'Población por Edad M'!O60*1000</f>
        <v>3.6449783023880715</v>
      </c>
      <c r="O39" s="55">
        <f>+'Muertes por Edad M'!P60/'Población por Edad M'!P60*1000</f>
        <v>3.6348977490561944</v>
      </c>
      <c r="P39" s="55">
        <f>+'Muertes por Edad M'!Q60/'Población por Edad M'!Q60*1000</f>
        <v>3.5267662681045495</v>
      </c>
      <c r="Q39" s="55">
        <f>+'Muertes por Edad M'!R60/'Población por Edad M'!R60*1000</f>
        <v>3.3160872277886337</v>
      </c>
      <c r="R39" s="55">
        <f>+'Muertes por Edad M'!S60/'Población por Edad M'!S60*1000</f>
        <v>3.4136150896582445</v>
      </c>
      <c r="S39" s="72">
        <v>37</v>
      </c>
      <c r="T39" s="73">
        <f t="shared" si="0"/>
        <v>3.3703734662352436</v>
      </c>
      <c r="U39" s="81">
        <f t="shared" si="2"/>
        <v>4.1644601137164861</v>
      </c>
    </row>
    <row r="40" spans="1:21">
      <c r="A40">
        <v>38</v>
      </c>
      <c r="B40" s="55">
        <f>+'Muertes por Edad M'!C61/'Población por Edad M'!C61*1000</f>
        <v>3.3008211034070634</v>
      </c>
      <c r="C40" s="55">
        <f>+'Muertes por Edad M'!D61/'Población por Edad M'!D61*1000</f>
        <v>3.1122922781215108</v>
      </c>
      <c r="D40" s="55">
        <f>+'Muertes por Edad M'!E61/'Población por Edad M'!E61*1000</f>
        <v>3.0383672841495892</v>
      </c>
      <c r="E40" s="55">
        <f>+'Muertes por Edad M'!F61/'Población por Edad M'!F61*1000</f>
        <v>3.1564871525893596</v>
      </c>
      <c r="F40" s="55">
        <f>+'Muertes por Edad M'!G61/'Población por Edad M'!G61*1000</f>
        <v>3.2544923486201078</v>
      </c>
      <c r="G40" s="55">
        <f>+'Muertes por Edad M'!H61/'Población por Edad M'!H61*1000</f>
        <v>3.478249130661391</v>
      </c>
      <c r="H40" s="55">
        <f>+'Muertes por Edad M'!I61/'Población por Edad M'!I61*1000</f>
        <v>3.6159778240430849</v>
      </c>
      <c r="I40" s="55">
        <f>+'Muertes por Edad M'!J61/'Población por Edad M'!J61*1000</f>
        <v>3.196467016225061</v>
      </c>
      <c r="J40" s="55">
        <f>+'Muertes por Edad M'!K61/'Población por Edad M'!K61*1000</f>
        <v>3.693318177912976</v>
      </c>
      <c r="K40" s="55">
        <f>+'Muertes por Edad M'!L61/'Población por Edad M'!L61*1000</f>
        <v>3.3759062089284613</v>
      </c>
      <c r="L40" s="55">
        <f>+'Muertes por Edad M'!M61/'Población por Edad M'!M61*1000</f>
        <v>3.2121536894721867</v>
      </c>
      <c r="M40" s="55">
        <f>+'Muertes por Edad M'!N61/'Población por Edad M'!N61*1000</f>
        <v>3.3254720748726596</v>
      </c>
      <c r="N40" s="55">
        <f>+'Muertes por Edad M'!O61/'Población por Edad M'!O61*1000</f>
        <v>3.6449783023880715</v>
      </c>
      <c r="O40" s="55">
        <f>+'Muertes por Edad M'!P61/'Población por Edad M'!P61*1000</f>
        <v>3.6348977490561949</v>
      </c>
      <c r="P40" s="55">
        <f>+'Muertes por Edad M'!Q61/'Población por Edad M'!Q61*1000</f>
        <v>3.52676626810455</v>
      </c>
      <c r="Q40" s="55">
        <f>+'Muertes por Edad M'!R61/'Población por Edad M'!R61*1000</f>
        <v>3.3160872277886329</v>
      </c>
      <c r="R40" s="55">
        <f>+'Muertes por Edad M'!S61/'Población por Edad M'!S61*1000</f>
        <v>3.4136150896582445</v>
      </c>
      <c r="S40" s="72">
        <v>38</v>
      </c>
      <c r="T40" s="73">
        <f t="shared" si="0"/>
        <v>3.3703734662352436</v>
      </c>
      <c r="U40" s="81">
        <f t="shared" si="2"/>
        <v>4.4235634666996058</v>
      </c>
    </row>
    <row r="41" spans="1:21">
      <c r="A41">
        <v>39</v>
      </c>
      <c r="B41" s="55">
        <f>+'Muertes por Edad M'!C62/'Población por Edad M'!C62*1000</f>
        <v>3.3008211034070634</v>
      </c>
      <c r="C41" s="55">
        <f>+'Muertes por Edad M'!D62/'Población por Edad M'!D62*1000</f>
        <v>3.1122922781215112</v>
      </c>
      <c r="D41" s="55">
        <f>+'Muertes por Edad M'!E62/'Población por Edad M'!E62*1000</f>
        <v>3.0383672841495892</v>
      </c>
      <c r="E41" s="55">
        <f>+'Muertes por Edad M'!F62/'Población por Edad M'!F62*1000</f>
        <v>3.1564871525893596</v>
      </c>
      <c r="F41" s="55">
        <f>+'Muertes por Edad M'!G62/'Población por Edad M'!G62*1000</f>
        <v>3.2544923486201078</v>
      </c>
      <c r="G41" s="55">
        <f>+'Muertes por Edad M'!H62/'Población por Edad M'!H62*1000</f>
        <v>3.4782491306613914</v>
      </c>
      <c r="H41" s="55">
        <f>+'Muertes por Edad M'!I62/'Población por Edad M'!I62*1000</f>
        <v>3.6159778240430849</v>
      </c>
      <c r="I41" s="55">
        <f>+'Muertes por Edad M'!J62/'Población por Edad M'!J62*1000</f>
        <v>3.196467016225061</v>
      </c>
      <c r="J41" s="55">
        <f>+'Muertes por Edad M'!K62/'Población por Edad M'!K62*1000</f>
        <v>3.693318177912976</v>
      </c>
      <c r="K41" s="55">
        <f>+'Muertes por Edad M'!L62/'Población por Edad M'!L62*1000</f>
        <v>3.3759062089284604</v>
      </c>
      <c r="L41" s="55">
        <f>+'Muertes por Edad M'!M62/'Población por Edad M'!M62*1000</f>
        <v>3.2121536894721876</v>
      </c>
      <c r="M41" s="55">
        <f>+'Muertes por Edad M'!N62/'Población por Edad M'!N62*1000</f>
        <v>3.3254720748726596</v>
      </c>
      <c r="N41" s="55">
        <f>+'Muertes por Edad M'!O62/'Población por Edad M'!O62*1000</f>
        <v>3.6449783023880715</v>
      </c>
      <c r="O41" s="55">
        <f>+'Muertes por Edad M'!P62/'Población por Edad M'!P62*1000</f>
        <v>3.6348977490561949</v>
      </c>
      <c r="P41" s="55">
        <f>+'Muertes por Edad M'!Q62/'Población por Edad M'!Q62*1000</f>
        <v>3.5267662681045495</v>
      </c>
      <c r="Q41" s="55">
        <f>+'Muertes por Edad M'!R62/'Población por Edad M'!R62*1000</f>
        <v>3.3160872277886337</v>
      </c>
      <c r="R41" s="55">
        <f>+'Muertes por Edad M'!S62/'Población por Edad M'!S62*1000</f>
        <v>3.4136150896582445</v>
      </c>
      <c r="S41" s="72">
        <v>39</v>
      </c>
      <c r="T41" s="73">
        <f t="shared" si="0"/>
        <v>3.370373466235244</v>
      </c>
      <c r="U41" s="81">
        <f t="shared" si="2"/>
        <v>4.698787648240061</v>
      </c>
    </row>
    <row r="42" spans="1:21">
      <c r="A42">
        <v>40</v>
      </c>
      <c r="B42" s="55">
        <f>+'Muertes por Edad M'!C63/'Población por Edad M'!C63*1000</f>
        <v>3.9541950282773084</v>
      </c>
      <c r="C42" s="55">
        <f>+'Muertes por Edad M'!D63/'Población por Edad M'!D63*1000</f>
        <v>3.8234719260645917</v>
      </c>
      <c r="D42" s="55">
        <f>+'Muertes por Edad M'!E63/'Población por Edad M'!E63*1000</f>
        <v>3.7782719361370463</v>
      </c>
      <c r="E42" s="55">
        <f>+'Muertes por Edad M'!F63/'Población por Edad M'!F63*1000</f>
        <v>4.0102462910461956</v>
      </c>
      <c r="F42" s="55">
        <f>+'Muertes por Edad M'!G63/'Población por Edad M'!G63*1000</f>
        <v>3.936005327993144</v>
      </c>
      <c r="G42" s="55">
        <f>+'Muertes por Edad M'!H63/'Población por Edad M'!H63*1000</f>
        <v>4.1586366741917962</v>
      </c>
      <c r="H42" s="55">
        <f>+'Muertes por Edad M'!I63/'Población por Edad M'!I63*1000</f>
        <v>4.1855388325494092</v>
      </c>
      <c r="I42" s="55">
        <f>+'Muertes por Edad M'!J63/'Población por Edad M'!J63*1000</f>
        <v>3.8926759550888419</v>
      </c>
      <c r="J42" s="55">
        <f>+'Muertes por Edad M'!K63/'Población por Edad M'!K63*1000</f>
        <v>4.1311988491176201</v>
      </c>
      <c r="K42" s="55">
        <f>+'Muertes por Edad M'!L63/'Población por Edad M'!L63*1000</f>
        <v>3.8275986888215758</v>
      </c>
      <c r="L42" s="55">
        <f>+'Muertes por Edad M'!M63/'Población por Edad M'!M63*1000</f>
        <v>3.9062300151294824</v>
      </c>
      <c r="M42" s="55">
        <f>+'Muertes por Edad M'!N63/'Población por Edad M'!N63*1000</f>
        <v>3.9737538321830344</v>
      </c>
      <c r="N42" s="55">
        <f>+'Muertes por Edad M'!O63/'Población por Edad M'!O63*1000</f>
        <v>4.0174472543350177</v>
      </c>
      <c r="O42" s="55">
        <f>+'Muertes por Edad M'!P63/'Población por Edad M'!P63*1000</f>
        <v>4.028013671979993</v>
      </c>
      <c r="P42" s="55">
        <f>+'Muertes por Edad M'!Q63/'Población por Edad M'!Q63*1000</f>
        <v>3.9861055119710067</v>
      </c>
      <c r="Q42" s="55">
        <f>+'Muertes por Edad M'!R63/'Población por Edad M'!R63*1000</f>
        <v>3.5357298720014159</v>
      </c>
      <c r="R42" s="55">
        <f>+'Muertes por Edad M'!S63/'Población por Edad M'!S63*1000</f>
        <v>3.5593151456729997</v>
      </c>
      <c r="S42" s="72">
        <v>40</v>
      </c>
      <c r="T42" s="73">
        <f t="shared" si="0"/>
        <v>3.923790283091793</v>
      </c>
      <c r="U42" s="81">
        <f t="shared" si="2"/>
        <v>4.9911356600758996</v>
      </c>
    </row>
    <row r="43" spans="1:21">
      <c r="A43">
        <v>41</v>
      </c>
      <c r="B43" s="55">
        <f>+'Muertes por Edad M'!C64/'Población por Edad M'!C64*1000</f>
        <v>3.9541950282773084</v>
      </c>
      <c r="C43" s="55">
        <f>+'Muertes por Edad M'!D64/'Población por Edad M'!D64*1000</f>
        <v>3.8234719260645913</v>
      </c>
      <c r="D43" s="55">
        <f>+'Muertes por Edad M'!E64/'Población por Edad M'!E64*1000</f>
        <v>3.7782719361370458</v>
      </c>
      <c r="E43" s="55">
        <f>+'Muertes por Edad M'!F64/'Población por Edad M'!F64*1000</f>
        <v>4.0102462910461956</v>
      </c>
      <c r="F43" s="55">
        <f>+'Muertes por Edad M'!G64/'Población por Edad M'!G64*1000</f>
        <v>3.9360053279931435</v>
      </c>
      <c r="G43" s="55">
        <f>+'Muertes por Edad M'!H64/'Población por Edad M'!H64*1000</f>
        <v>4.1586366741917971</v>
      </c>
      <c r="H43" s="55">
        <f>+'Muertes por Edad M'!I64/'Población por Edad M'!I64*1000</f>
        <v>4.1855388325494092</v>
      </c>
      <c r="I43" s="55">
        <f>+'Muertes por Edad M'!J64/'Población por Edad M'!J64*1000</f>
        <v>3.8926759550888419</v>
      </c>
      <c r="J43" s="55">
        <f>+'Muertes por Edad M'!K64/'Población por Edad M'!K64*1000</f>
        <v>4.1311988491176193</v>
      </c>
      <c r="K43" s="55">
        <f>+'Muertes por Edad M'!L64/'Población por Edad M'!L64*1000</f>
        <v>3.8275986888215754</v>
      </c>
      <c r="L43" s="55">
        <f>+'Muertes por Edad M'!M64/'Población por Edad M'!M64*1000</f>
        <v>3.9062300151294824</v>
      </c>
      <c r="M43" s="55">
        <f>+'Muertes por Edad M'!N64/'Población por Edad M'!N64*1000</f>
        <v>3.9737538321830344</v>
      </c>
      <c r="N43" s="55">
        <f>+'Muertes por Edad M'!O64/'Población por Edad M'!O64*1000</f>
        <v>4.0174472543350177</v>
      </c>
      <c r="O43" s="55">
        <f>+'Muertes por Edad M'!P64/'Población por Edad M'!P64*1000</f>
        <v>4.028013671979993</v>
      </c>
      <c r="P43" s="55">
        <f>+'Muertes por Edad M'!Q64/'Población por Edad M'!Q64*1000</f>
        <v>3.9861055119710058</v>
      </c>
      <c r="Q43" s="55">
        <f>+'Muertes por Edad M'!R64/'Población por Edad M'!R64*1000</f>
        <v>3.5357298720014163</v>
      </c>
      <c r="R43" s="55">
        <f>+'Muertes por Edad M'!S64/'Población por Edad M'!S64*1000</f>
        <v>3.5593151456729997</v>
      </c>
      <c r="S43" s="72">
        <v>41</v>
      </c>
      <c r="T43" s="73">
        <f t="shared" si="0"/>
        <v>3.923790283091793</v>
      </c>
      <c r="U43" s="81">
        <f t="shared" si="2"/>
        <v>5.3016729084601</v>
      </c>
    </row>
    <row r="44" spans="1:21">
      <c r="A44">
        <v>42</v>
      </c>
      <c r="B44" s="55">
        <f>+'Muertes por Edad M'!C65/'Población por Edad M'!C65*1000</f>
        <v>3.9541950282773084</v>
      </c>
      <c r="C44" s="55">
        <f>+'Muertes por Edad M'!D65/'Población por Edad M'!D65*1000</f>
        <v>3.8234719260645917</v>
      </c>
      <c r="D44" s="55">
        <f>+'Muertes por Edad M'!E65/'Población por Edad M'!E65*1000</f>
        <v>3.7782719361370458</v>
      </c>
      <c r="E44" s="55">
        <f>+'Muertes por Edad M'!F65/'Población por Edad M'!F65*1000</f>
        <v>4.0102462910461956</v>
      </c>
      <c r="F44" s="55">
        <f>+'Muertes por Edad M'!G65/'Población por Edad M'!G65*1000</f>
        <v>3.936005327993144</v>
      </c>
      <c r="G44" s="55">
        <f>+'Muertes por Edad M'!H65/'Población por Edad M'!H65*1000</f>
        <v>4.1586366741917971</v>
      </c>
      <c r="H44" s="55">
        <f>+'Muertes por Edad M'!I65/'Población por Edad M'!I65*1000</f>
        <v>4.1855388325494092</v>
      </c>
      <c r="I44" s="55">
        <f>+'Muertes por Edad M'!J65/'Población por Edad M'!J65*1000</f>
        <v>3.8926759550888419</v>
      </c>
      <c r="J44" s="55">
        <f>+'Muertes por Edad M'!K65/'Población por Edad M'!K65*1000</f>
        <v>4.1311988491176193</v>
      </c>
      <c r="K44" s="55">
        <f>+'Muertes por Edad M'!L65/'Población por Edad M'!L65*1000</f>
        <v>3.8275986888215754</v>
      </c>
      <c r="L44" s="55">
        <f>+'Muertes por Edad M'!M65/'Población por Edad M'!M65*1000</f>
        <v>3.906230015129482</v>
      </c>
      <c r="M44" s="55">
        <f>+'Muertes por Edad M'!N65/'Población por Edad M'!N65*1000</f>
        <v>3.9737538321830344</v>
      </c>
      <c r="N44" s="55">
        <f>+'Muertes por Edad M'!O65/'Población por Edad M'!O65*1000</f>
        <v>4.0174472543350177</v>
      </c>
      <c r="O44" s="55">
        <f>+'Muertes por Edad M'!P65/'Población por Edad M'!P65*1000</f>
        <v>4.028013671979993</v>
      </c>
      <c r="P44" s="55">
        <f>+'Muertes por Edad M'!Q65/'Población por Edad M'!Q65*1000</f>
        <v>3.9861055119710058</v>
      </c>
      <c r="Q44" s="55">
        <f>+'Muertes por Edad M'!R65/'Población por Edad M'!R65*1000</f>
        <v>3.5357298720014159</v>
      </c>
      <c r="R44" s="55">
        <f>+'Muertes por Edad M'!S65/'Población por Edad M'!S65*1000</f>
        <v>3.5593151456729997</v>
      </c>
      <c r="S44" s="72">
        <v>42</v>
      </c>
      <c r="T44" s="73">
        <f t="shared" si="0"/>
        <v>3.923790283091793</v>
      </c>
      <c r="U44" s="81">
        <f t="shared" si="2"/>
        <v>5.631531086829316</v>
      </c>
    </row>
    <row r="45" spans="1:21">
      <c r="A45">
        <v>43</v>
      </c>
      <c r="B45" s="55">
        <f>+'Muertes por Edad M'!C66/'Población por Edad M'!C66*1000</f>
        <v>3.9541950282773084</v>
      </c>
      <c r="C45" s="55">
        <f>+'Muertes por Edad M'!D66/'Población por Edad M'!D66*1000</f>
        <v>3.8234719260645917</v>
      </c>
      <c r="D45" s="55">
        <f>+'Muertes por Edad M'!E66/'Población por Edad M'!E66*1000</f>
        <v>3.7782719361370458</v>
      </c>
      <c r="E45" s="55">
        <f>+'Muertes por Edad M'!F66/'Población por Edad M'!F66*1000</f>
        <v>4.0102462910461956</v>
      </c>
      <c r="F45" s="55">
        <f>+'Muertes por Edad M'!G66/'Población por Edad M'!G66*1000</f>
        <v>3.936005327993144</v>
      </c>
      <c r="G45" s="55">
        <f>+'Muertes por Edad M'!H66/'Población por Edad M'!H66*1000</f>
        <v>4.1586366741917971</v>
      </c>
      <c r="H45" s="55">
        <f>+'Muertes por Edad M'!I66/'Población por Edad M'!I66*1000</f>
        <v>4.1855388325494092</v>
      </c>
      <c r="I45" s="55">
        <f>+'Muertes por Edad M'!J66/'Población por Edad M'!J66*1000</f>
        <v>3.8926759550888419</v>
      </c>
      <c r="J45" s="55">
        <f>+'Muertes por Edad M'!K66/'Población por Edad M'!K66*1000</f>
        <v>4.1311988491176201</v>
      </c>
      <c r="K45" s="55">
        <f>+'Muertes por Edad M'!L66/'Población por Edad M'!L66*1000</f>
        <v>3.8275986888215754</v>
      </c>
      <c r="L45" s="55">
        <f>+'Muertes por Edad M'!M66/'Población por Edad M'!M66*1000</f>
        <v>3.9062300151294833</v>
      </c>
      <c r="M45" s="55">
        <f>+'Muertes por Edad M'!N66/'Población por Edad M'!N66*1000</f>
        <v>3.9737538321830344</v>
      </c>
      <c r="N45" s="55">
        <f>+'Muertes por Edad M'!O66/'Población por Edad M'!O66*1000</f>
        <v>4.0174472543350168</v>
      </c>
      <c r="O45" s="55">
        <f>+'Muertes por Edad M'!P66/'Población por Edad M'!P66*1000</f>
        <v>4.028013671979993</v>
      </c>
      <c r="P45" s="55">
        <f>+'Muertes por Edad M'!Q66/'Población por Edad M'!Q66*1000</f>
        <v>3.9861055119710058</v>
      </c>
      <c r="Q45" s="55">
        <f>+'Muertes por Edad M'!R66/'Población por Edad M'!R66*1000</f>
        <v>3.5357298720014159</v>
      </c>
      <c r="R45" s="55">
        <f>+'Muertes por Edad M'!S66/'Población por Edad M'!S66*1000</f>
        <v>3.5593151456729997</v>
      </c>
      <c r="S45" s="72">
        <v>43</v>
      </c>
      <c r="T45" s="73">
        <f t="shared" si="0"/>
        <v>3.923790283091793</v>
      </c>
      <c r="U45" s="81">
        <f t="shared" si="2"/>
        <v>5.9819123000435201</v>
      </c>
    </row>
    <row r="46" spans="1:21">
      <c r="A46">
        <v>44</v>
      </c>
      <c r="B46" s="55">
        <f>+'Muertes por Edad M'!C67/'Población por Edad M'!C67*1000</f>
        <v>3.9541950282773084</v>
      </c>
      <c r="C46" s="55">
        <f>+'Muertes por Edad M'!D67/'Población por Edad M'!D67*1000</f>
        <v>3.8234719260645917</v>
      </c>
      <c r="D46" s="55">
        <f>+'Muertes por Edad M'!E67/'Población por Edad M'!E67*1000</f>
        <v>3.7782719361370458</v>
      </c>
      <c r="E46" s="55">
        <f>+'Muertes por Edad M'!F67/'Población por Edad M'!F67*1000</f>
        <v>4.0102462910461956</v>
      </c>
      <c r="F46" s="55">
        <f>+'Muertes por Edad M'!G67/'Población por Edad M'!G67*1000</f>
        <v>3.9360053279931435</v>
      </c>
      <c r="G46" s="55">
        <f>+'Muertes por Edad M'!H67/'Población por Edad M'!H67*1000</f>
        <v>4.1586366741917971</v>
      </c>
      <c r="H46" s="55">
        <f>+'Muertes por Edad M'!I67/'Población por Edad M'!I67*1000</f>
        <v>4.1855388325494092</v>
      </c>
      <c r="I46" s="55">
        <f>+'Muertes por Edad M'!J67/'Población por Edad M'!J67*1000</f>
        <v>3.8926759550888423</v>
      </c>
      <c r="J46" s="55">
        <f>+'Muertes por Edad M'!K67/'Población por Edad M'!K67*1000</f>
        <v>4.1311988491176193</v>
      </c>
      <c r="K46" s="55">
        <f>+'Muertes por Edad M'!L67/'Población por Edad M'!L67*1000</f>
        <v>3.8275986888215754</v>
      </c>
      <c r="L46" s="55">
        <f>+'Muertes por Edad M'!M67/'Población por Edad M'!M67*1000</f>
        <v>3.9062300151294829</v>
      </c>
      <c r="M46" s="55">
        <f>+'Muertes por Edad M'!N67/'Población por Edad M'!N67*1000</f>
        <v>3.9737538321830344</v>
      </c>
      <c r="N46" s="55">
        <f>+'Muertes por Edad M'!O67/'Población por Edad M'!O67*1000</f>
        <v>4.0174472543350177</v>
      </c>
      <c r="O46" s="55">
        <f>+'Muertes por Edad M'!P67/'Población por Edad M'!P67*1000</f>
        <v>4.028013671979993</v>
      </c>
      <c r="P46" s="55">
        <f>+'Muertes por Edad M'!Q67/'Población por Edad M'!Q67*1000</f>
        <v>3.9861055119710058</v>
      </c>
      <c r="Q46" s="55">
        <f>+'Muertes por Edad M'!R67/'Población por Edad M'!R67*1000</f>
        <v>3.5357298720014159</v>
      </c>
      <c r="R46" s="55">
        <f>+'Muertes por Edad M'!S67/'Población por Edad M'!S67*1000</f>
        <v>3.5593151456729992</v>
      </c>
      <c r="S46" s="72">
        <v>44</v>
      </c>
      <c r="T46" s="73">
        <f t="shared" si="0"/>
        <v>3.923790283091793</v>
      </c>
      <c r="U46" s="81">
        <f t="shared" si="2"/>
        <v>6.3540934452265931</v>
      </c>
    </row>
    <row r="47" spans="1:21">
      <c r="A47">
        <v>45</v>
      </c>
      <c r="B47" s="55">
        <f>+'Muertes por Edad M'!C68/'Población por Edad M'!C68*1000</f>
        <v>5.1539338296002306</v>
      </c>
      <c r="C47" s="55">
        <f>+'Muertes por Edad M'!D68/'Población por Edad M'!D68*1000</f>
        <v>5.3101906055523562</v>
      </c>
      <c r="D47" s="55">
        <f>+'Muertes por Edad M'!E68/'Población por Edad M'!E68*1000</f>
        <v>5.0884342740578434</v>
      </c>
      <c r="E47" s="55">
        <f>+'Muertes por Edad M'!F68/'Población por Edad M'!F68*1000</f>
        <v>5.554283314559127</v>
      </c>
      <c r="F47" s="55">
        <f>+'Muertes por Edad M'!G68/'Población por Edad M'!G68*1000</f>
        <v>5.6139932045171363</v>
      </c>
      <c r="G47" s="55">
        <f>+'Muertes por Edad M'!H68/'Población por Edad M'!H68*1000</f>
        <v>5.5941691525834889</v>
      </c>
      <c r="H47" s="55">
        <f>+'Muertes por Edad M'!I68/'Población por Edad M'!I68*1000</f>
        <v>5.9654285661658042</v>
      </c>
      <c r="I47" s="55">
        <f>+'Muertes por Edad M'!J68/'Población por Edad M'!J68*1000</f>
        <v>5.5066126623884077</v>
      </c>
      <c r="J47" s="55">
        <f>+'Muertes por Edad M'!K68/'Población por Edad M'!K68*1000</f>
        <v>5.6221543158983902</v>
      </c>
      <c r="K47" s="55">
        <f>+'Muertes por Edad M'!L68/'Población por Edad M'!L68*1000</f>
        <v>5.3782361969987384</v>
      </c>
      <c r="L47" s="55">
        <f>+'Muertes por Edad M'!M68/'Población por Edad M'!M68*1000</f>
        <v>5.3262588577695684</v>
      </c>
      <c r="M47" s="55">
        <f>+'Muertes por Edad M'!N68/'Población por Edad M'!N68*1000</f>
        <v>5.5162455459843338</v>
      </c>
      <c r="N47" s="55">
        <f>+'Muertes por Edad M'!O68/'Población por Edad M'!O68*1000</f>
        <v>5.5151902594302058</v>
      </c>
      <c r="O47" s="55">
        <f>+'Muertes por Edad M'!P68/'Población por Edad M'!P68*1000</f>
        <v>5.5043612714847434</v>
      </c>
      <c r="P47" s="55">
        <f>+'Muertes por Edad M'!Q68/'Población por Edad M'!Q68*1000</f>
        <v>5.4004780467046354</v>
      </c>
      <c r="Q47" s="55">
        <f>+'Muertes por Edad M'!R68/'Población por Edad M'!R68*1000</f>
        <v>5.1375029549163056</v>
      </c>
      <c r="R47" s="55">
        <f>+'Muertes por Edad M'!S68/'Población por Edad M'!S68*1000</f>
        <v>5.0106488007951837</v>
      </c>
      <c r="S47" s="72">
        <v>45</v>
      </c>
      <c r="T47" s="73">
        <f t="shared" si="0"/>
        <v>5.423418932906265</v>
      </c>
      <c r="U47" s="81">
        <f t="shared" si="2"/>
        <v>6.74943086517297</v>
      </c>
    </row>
    <row r="48" spans="1:21">
      <c r="A48">
        <v>46</v>
      </c>
      <c r="B48" s="55">
        <f>+'Muertes por Edad M'!C69/'Población por Edad M'!C69*1000</f>
        <v>5.1539338296002315</v>
      </c>
      <c r="C48" s="55">
        <f>+'Muertes por Edad M'!D69/'Población por Edad M'!D69*1000</f>
        <v>5.3101906055523562</v>
      </c>
      <c r="D48" s="55">
        <f>+'Muertes por Edad M'!E69/'Población por Edad M'!E69*1000</f>
        <v>5.0884342740578434</v>
      </c>
      <c r="E48" s="55">
        <f>+'Muertes por Edad M'!F69/'Población por Edad M'!F69*1000</f>
        <v>5.554283314559127</v>
      </c>
      <c r="F48" s="55">
        <f>+'Muertes por Edad M'!G69/'Población por Edad M'!G69*1000</f>
        <v>5.6139932045171363</v>
      </c>
      <c r="G48" s="55">
        <f>+'Muertes por Edad M'!H69/'Población por Edad M'!H69*1000</f>
        <v>5.594169152583488</v>
      </c>
      <c r="H48" s="55">
        <f>+'Muertes por Edad M'!I69/'Población por Edad M'!I69*1000</f>
        <v>5.9654285661658042</v>
      </c>
      <c r="I48" s="55">
        <f>+'Muertes por Edad M'!J69/'Población por Edad M'!J69*1000</f>
        <v>5.5066126623884069</v>
      </c>
      <c r="J48" s="55">
        <f>+'Muertes por Edad M'!K69/'Población por Edad M'!K69*1000</f>
        <v>5.6221543158983911</v>
      </c>
      <c r="K48" s="55">
        <f>+'Muertes por Edad M'!L69/'Población por Edad M'!L69*1000</f>
        <v>5.3782361969987393</v>
      </c>
      <c r="L48" s="55">
        <f>+'Muertes por Edad M'!M69/'Población por Edad M'!M69*1000</f>
        <v>5.3262588577695693</v>
      </c>
      <c r="M48" s="55">
        <f>+'Muertes por Edad M'!N69/'Población por Edad M'!N69*1000</f>
        <v>5.5162455459843347</v>
      </c>
      <c r="N48" s="55">
        <f>+'Muertes por Edad M'!O69/'Población por Edad M'!O69*1000</f>
        <v>5.5151902594302058</v>
      </c>
      <c r="O48" s="55">
        <f>+'Muertes por Edad M'!P69/'Población por Edad M'!P69*1000</f>
        <v>5.5043612714847434</v>
      </c>
      <c r="P48" s="55">
        <f>+'Muertes por Edad M'!Q69/'Población por Edad M'!Q69*1000</f>
        <v>5.4004780467046354</v>
      </c>
      <c r="Q48" s="55">
        <f>+'Muertes por Edad M'!R69/'Población por Edad M'!R69*1000</f>
        <v>5.1375029549163047</v>
      </c>
      <c r="R48" s="55">
        <f>+'Muertes por Edad M'!S69/'Población por Edad M'!S69*1000</f>
        <v>5.0106488007951846</v>
      </c>
      <c r="S48" s="72">
        <v>46</v>
      </c>
      <c r="T48" s="73">
        <f t="shared" si="0"/>
        <v>5.423418932906265</v>
      </c>
      <c r="U48" s="81">
        <f t="shared" si="2"/>
        <v>7.1693652912787789</v>
      </c>
    </row>
    <row r="49" spans="1:21">
      <c r="A49">
        <v>47</v>
      </c>
      <c r="B49" s="55">
        <f>+'Muertes por Edad M'!C70/'Población por Edad M'!C70*1000</f>
        <v>5.1539338296002315</v>
      </c>
      <c r="C49" s="55">
        <f>+'Muertes por Edad M'!D70/'Población por Edad M'!D70*1000</f>
        <v>5.3101906055523562</v>
      </c>
      <c r="D49" s="55">
        <f>+'Muertes por Edad M'!E70/'Población por Edad M'!E70*1000</f>
        <v>5.0884342740578434</v>
      </c>
      <c r="E49" s="55">
        <f>+'Muertes por Edad M'!F70/'Población por Edad M'!F70*1000</f>
        <v>5.5542833145591279</v>
      </c>
      <c r="F49" s="55">
        <f>+'Muertes por Edad M'!G70/'Población por Edad M'!G70*1000</f>
        <v>5.6139932045171355</v>
      </c>
      <c r="G49" s="55">
        <f>+'Muertes por Edad M'!H70/'Población por Edad M'!H70*1000</f>
        <v>5.5941691525834889</v>
      </c>
      <c r="H49" s="55">
        <f>+'Muertes por Edad M'!I70/'Población por Edad M'!I70*1000</f>
        <v>5.9654285661658051</v>
      </c>
      <c r="I49" s="55">
        <f>+'Muertes por Edad M'!J70/'Población por Edad M'!J70*1000</f>
        <v>5.5066126623884077</v>
      </c>
      <c r="J49" s="55">
        <f>+'Muertes por Edad M'!K70/'Población por Edad M'!K70*1000</f>
        <v>5.6221543158983902</v>
      </c>
      <c r="K49" s="55">
        <f>+'Muertes por Edad M'!L70/'Población por Edad M'!L70*1000</f>
        <v>5.3782361969987393</v>
      </c>
      <c r="L49" s="55">
        <f>+'Muertes por Edad M'!M70/'Población por Edad M'!M70*1000</f>
        <v>5.3262588577695693</v>
      </c>
      <c r="M49" s="55">
        <f>+'Muertes por Edad M'!N70/'Población por Edad M'!N70*1000</f>
        <v>5.5162455459843347</v>
      </c>
      <c r="N49" s="55">
        <f>+'Muertes por Edad M'!O70/'Población por Edad M'!O70*1000</f>
        <v>5.5151902594302058</v>
      </c>
      <c r="O49" s="55">
        <f>+'Muertes por Edad M'!P70/'Población por Edad M'!P70*1000</f>
        <v>5.5043612714847425</v>
      </c>
      <c r="P49" s="55">
        <f>+'Muertes por Edad M'!Q70/'Población por Edad M'!Q70*1000</f>
        <v>5.4004780467046354</v>
      </c>
      <c r="Q49" s="55">
        <f>+'Muertes por Edad M'!R70/'Población por Edad M'!R70*1000</f>
        <v>5.1375029549163047</v>
      </c>
      <c r="R49" s="55">
        <f>+'Muertes por Edad M'!S70/'Población por Edad M'!S70*1000</f>
        <v>5.0106488007951837</v>
      </c>
      <c r="S49" s="72">
        <v>47</v>
      </c>
      <c r="T49" s="73">
        <f t="shared" si="0"/>
        <v>5.423418932906265</v>
      </c>
      <c r="U49" s="81">
        <f t="shared" si="2"/>
        <v>7.6154270940110766</v>
      </c>
    </row>
    <row r="50" spans="1:21">
      <c r="A50">
        <v>48</v>
      </c>
      <c r="B50" s="55">
        <f>+'Muertes por Edad M'!C71/'Población por Edad M'!C71*1000</f>
        <v>5.1539338296002315</v>
      </c>
      <c r="C50" s="55">
        <f>+'Muertes por Edad M'!D71/'Población por Edad M'!D71*1000</f>
        <v>5.3101906055523562</v>
      </c>
      <c r="D50" s="55">
        <f>+'Muertes por Edad M'!E71/'Población por Edad M'!E71*1000</f>
        <v>5.0884342740578434</v>
      </c>
      <c r="E50" s="55">
        <f>+'Muertes por Edad M'!F71/'Población por Edad M'!F71*1000</f>
        <v>5.554283314559127</v>
      </c>
      <c r="F50" s="55">
        <f>+'Muertes por Edad M'!G71/'Población por Edad M'!G71*1000</f>
        <v>5.6139932045171355</v>
      </c>
      <c r="G50" s="55">
        <f>+'Muertes por Edad M'!H71/'Población por Edad M'!H71*1000</f>
        <v>5.5941691525834889</v>
      </c>
      <c r="H50" s="55">
        <f>+'Muertes por Edad M'!I71/'Población por Edad M'!I71*1000</f>
        <v>5.9654285661658042</v>
      </c>
      <c r="I50" s="55">
        <f>+'Muertes por Edad M'!J71/'Población por Edad M'!J71*1000</f>
        <v>5.5066126623884077</v>
      </c>
      <c r="J50" s="55">
        <f>+'Muertes por Edad M'!K71/'Población por Edad M'!K71*1000</f>
        <v>5.6221543158983911</v>
      </c>
      <c r="K50" s="55">
        <f>+'Muertes por Edad M'!L71/'Población por Edad M'!L71*1000</f>
        <v>5.3782361969987384</v>
      </c>
      <c r="L50" s="55">
        <f>+'Muertes por Edad M'!M71/'Población por Edad M'!M71*1000</f>
        <v>5.3262588577695693</v>
      </c>
      <c r="M50" s="55">
        <f>+'Muertes por Edad M'!N71/'Población por Edad M'!N71*1000</f>
        <v>5.5162455459843338</v>
      </c>
      <c r="N50" s="55">
        <f>+'Muertes por Edad M'!O71/'Población por Edad M'!O71*1000</f>
        <v>5.5151902594302058</v>
      </c>
      <c r="O50" s="55">
        <f>+'Muertes por Edad M'!P71/'Población por Edad M'!P71*1000</f>
        <v>5.5043612714847443</v>
      </c>
      <c r="P50" s="55">
        <f>+'Muertes por Edad M'!Q71/'Población por Edad M'!Q71*1000</f>
        <v>5.4004780467046354</v>
      </c>
      <c r="Q50" s="55">
        <f>+'Muertes por Edad M'!R71/'Población por Edad M'!R71*1000</f>
        <v>5.1375029549163047</v>
      </c>
      <c r="R50" s="55">
        <f>+'Muertes por Edad M'!S71/'Población por Edad M'!S71*1000</f>
        <v>5.0106488007951846</v>
      </c>
      <c r="S50" s="72">
        <v>48</v>
      </c>
      <c r="T50" s="73">
        <f t="shared" si="0"/>
        <v>5.423418932906265</v>
      </c>
      <c r="U50" s="81">
        <f t="shared" si="2"/>
        <v>8.0892418600494587</v>
      </c>
    </row>
    <row r="51" spans="1:21">
      <c r="A51">
        <v>49</v>
      </c>
      <c r="B51" s="55">
        <f>+'Muertes por Edad M'!C72/'Población por Edad M'!C72*1000</f>
        <v>5.1539338296002315</v>
      </c>
      <c r="C51" s="55">
        <f>+'Muertes por Edad M'!D72/'Población por Edad M'!D72*1000</f>
        <v>5.3101906055523562</v>
      </c>
      <c r="D51" s="55">
        <f>+'Muertes por Edad M'!E72/'Población por Edad M'!E72*1000</f>
        <v>5.0884342740578425</v>
      </c>
      <c r="E51" s="55">
        <f>+'Muertes por Edad M'!F72/'Población por Edad M'!F72*1000</f>
        <v>5.554283314559127</v>
      </c>
      <c r="F51" s="55">
        <f>+'Muertes por Edad M'!G72/'Población por Edad M'!G72*1000</f>
        <v>5.6139932045171363</v>
      </c>
      <c r="G51" s="55">
        <f>+'Muertes por Edad M'!H72/'Población por Edad M'!H72*1000</f>
        <v>5.594169152583488</v>
      </c>
      <c r="H51" s="55">
        <f>+'Muertes por Edad M'!I72/'Población por Edad M'!I72*1000</f>
        <v>5.9654285661658042</v>
      </c>
      <c r="I51" s="55">
        <f>+'Muertes por Edad M'!J72/'Población por Edad M'!J72*1000</f>
        <v>5.5066126623884086</v>
      </c>
      <c r="J51" s="55">
        <f>+'Muertes por Edad M'!K72/'Población por Edad M'!K72*1000</f>
        <v>5.6221543158983911</v>
      </c>
      <c r="K51" s="55">
        <f>+'Muertes por Edad M'!L72/'Población por Edad M'!L72*1000</f>
        <v>5.3782361969987393</v>
      </c>
      <c r="L51" s="55">
        <f>+'Muertes por Edad M'!M72/'Población por Edad M'!M72*1000</f>
        <v>5.3262588577695684</v>
      </c>
      <c r="M51" s="55">
        <f>+'Muertes por Edad M'!N72/'Población por Edad M'!N72*1000</f>
        <v>5.5162455459843347</v>
      </c>
      <c r="N51" s="55">
        <f>+'Muertes por Edad M'!O72/'Población por Edad M'!O72*1000</f>
        <v>5.5151902594302058</v>
      </c>
      <c r="O51" s="55">
        <f>+'Muertes por Edad M'!P72/'Población por Edad M'!P72*1000</f>
        <v>5.5043612714847434</v>
      </c>
      <c r="P51" s="55">
        <f>+'Muertes por Edad M'!Q72/'Población por Edad M'!Q72*1000</f>
        <v>5.4004780467046354</v>
      </c>
      <c r="Q51" s="55">
        <f>+'Muertes por Edad M'!R72/'Población por Edad M'!R72*1000</f>
        <v>5.1375029549163047</v>
      </c>
      <c r="R51" s="55">
        <f>+'Muertes por Edad M'!S72/'Población por Edad M'!S72*1000</f>
        <v>5.0106488007951837</v>
      </c>
      <c r="S51" s="72">
        <v>49</v>
      </c>
      <c r="T51" s="73">
        <f t="shared" si="0"/>
        <v>5.423418932906265</v>
      </c>
      <c r="U51" s="81">
        <f t="shared" si="2"/>
        <v>8.5925363164249173</v>
      </c>
    </row>
    <row r="52" spans="1:21">
      <c r="A52">
        <v>50</v>
      </c>
      <c r="B52" s="55">
        <f>+'Muertes por Edad M'!C73/'Población por Edad M'!C73*1000</f>
        <v>7.5754109354623145</v>
      </c>
      <c r="C52" s="55">
        <f>+'Muertes por Edad M'!D73/'Población por Edad M'!D73*1000</f>
        <v>7.3288625984048386</v>
      </c>
      <c r="D52" s="55">
        <f>+'Muertes por Edad M'!E73/'Población por Edad M'!E73*1000</f>
        <v>7.1403190137996182</v>
      </c>
      <c r="E52" s="55">
        <f>+'Muertes por Edad M'!F73/'Población por Edad M'!F73*1000</f>
        <v>7.35918336597536</v>
      </c>
      <c r="F52" s="55">
        <f>+'Muertes por Edad M'!G73/'Población por Edad M'!G73*1000</f>
        <v>7.3956532690846002</v>
      </c>
      <c r="G52" s="55">
        <f>+'Muertes por Edad M'!H73/'Población por Edad M'!H73*1000</f>
        <v>7.6059961093600084</v>
      </c>
      <c r="H52" s="55">
        <f>+'Muertes por Edad M'!I73/'Población por Edad M'!I73*1000</f>
        <v>8.0133155513248457</v>
      </c>
      <c r="I52" s="55">
        <f>+'Muertes por Edad M'!J73/'Población por Edad M'!J73*1000</f>
        <v>7.7549200389772519</v>
      </c>
      <c r="J52" s="55">
        <f>+'Muertes por Edad M'!K73/'Población por Edad M'!K73*1000</f>
        <v>7.7687892323576744</v>
      </c>
      <c r="K52" s="55">
        <f>+'Muertes por Edad M'!L73/'Población por Edad M'!L73*1000</f>
        <v>7.6767607098034327</v>
      </c>
      <c r="L52" s="55">
        <f>+'Muertes por Edad M'!M73/'Población por Edad M'!M73*1000</f>
        <v>7.6230219264669179</v>
      </c>
      <c r="M52" s="55">
        <f>+'Muertes por Edad M'!N73/'Población por Edad M'!N73*1000</f>
        <v>7.7349625952940366</v>
      </c>
      <c r="N52" s="55">
        <f>+'Muertes por Edad M'!O73/'Población por Edad M'!O73*1000</f>
        <v>7.6853064293307716</v>
      </c>
      <c r="O52" s="55">
        <f>+'Muertes por Edad M'!P73/'Población por Edad M'!P73*1000</f>
        <v>7.7914428914206963</v>
      </c>
      <c r="P52" s="55">
        <f>+'Muertes por Edad M'!Q73/'Población por Edad M'!Q73*1000</f>
        <v>7.763427046127112</v>
      </c>
      <c r="Q52" s="55">
        <f>+'Muertes por Edad M'!R73/'Población por Edad M'!R73*1000</f>
        <v>7.4383439317649076</v>
      </c>
      <c r="R52" s="55">
        <f>+'Muertes por Edad M'!S73/'Población por Edad M'!S73*1000</f>
        <v>7.3749797984032854</v>
      </c>
      <c r="S52" s="72">
        <v>50</v>
      </c>
      <c r="T52" s="73">
        <f t="shared" si="0"/>
        <v>7.5900409084328029</v>
      </c>
      <c r="U52" s="81">
        <f t="shared" si="2"/>
        <v>9.1271446232452806</v>
      </c>
    </row>
    <row r="53" spans="1:21">
      <c r="A53">
        <v>51</v>
      </c>
      <c r="B53" s="55">
        <f>+'Muertes por Edad M'!C74/'Población por Edad M'!C74*1000</f>
        <v>7.5754109354623154</v>
      </c>
      <c r="C53" s="55">
        <f>+'Muertes por Edad M'!D74/'Población por Edad M'!D74*1000</f>
        <v>7.3288625984048377</v>
      </c>
      <c r="D53" s="55">
        <f>+'Muertes por Edad M'!E74/'Población por Edad M'!E74*1000</f>
        <v>7.1403190137996164</v>
      </c>
      <c r="E53" s="55">
        <f>+'Muertes por Edad M'!F74/'Población por Edad M'!F74*1000</f>
        <v>7.35918336597536</v>
      </c>
      <c r="F53" s="55">
        <f>+'Muertes por Edad M'!G74/'Población por Edad M'!G74*1000</f>
        <v>7.3956532690846002</v>
      </c>
      <c r="G53" s="55">
        <f>+'Muertes por Edad M'!H74/'Población por Edad M'!H74*1000</f>
        <v>7.6059961093600092</v>
      </c>
      <c r="H53" s="55">
        <f>+'Muertes por Edad M'!I74/'Población por Edad M'!I74*1000</f>
        <v>8.013315551324844</v>
      </c>
      <c r="I53" s="55">
        <f>+'Muertes por Edad M'!J74/'Población por Edad M'!J74*1000</f>
        <v>7.754920038977251</v>
      </c>
      <c r="J53" s="55">
        <f>+'Muertes por Edad M'!K74/'Población por Edad M'!K74*1000</f>
        <v>7.7687892323576735</v>
      </c>
      <c r="K53" s="55">
        <f>+'Muertes por Edad M'!L74/'Población por Edad M'!L74*1000</f>
        <v>7.6767607098034327</v>
      </c>
      <c r="L53" s="55">
        <f>+'Muertes por Edad M'!M74/'Población por Edad M'!M74*1000</f>
        <v>7.6230219264669179</v>
      </c>
      <c r="M53" s="55">
        <f>+'Muertes por Edad M'!N74/'Población por Edad M'!N74*1000</f>
        <v>7.7349625952940366</v>
      </c>
      <c r="N53" s="55">
        <f>+'Muertes por Edad M'!O74/'Población por Edad M'!O74*1000</f>
        <v>7.6853064293307707</v>
      </c>
      <c r="O53" s="55">
        <f>+'Muertes por Edad M'!P74/'Población por Edad M'!P74*1000</f>
        <v>7.7914428914206963</v>
      </c>
      <c r="P53" s="55">
        <f>+'Muertes por Edad M'!Q74/'Población por Edad M'!Q74*1000</f>
        <v>7.7634270461271111</v>
      </c>
      <c r="Q53" s="55">
        <f>+'Muertes por Edad M'!R74/'Población por Edad M'!R74*1000</f>
        <v>7.4383439317649076</v>
      </c>
      <c r="R53" s="55">
        <f>+'Muertes por Edad M'!S74/'Población por Edad M'!S74*1000</f>
        <v>7.3749797984032854</v>
      </c>
      <c r="S53" s="72">
        <v>51</v>
      </c>
      <c r="T53" s="73">
        <f t="shared" si="0"/>
        <v>7.5900409084328029</v>
      </c>
      <c r="U53" s="81">
        <f t="shared" si="2"/>
        <v>9.6950150579399264</v>
      </c>
    </row>
    <row r="54" spans="1:21">
      <c r="A54">
        <v>52</v>
      </c>
      <c r="B54" s="55">
        <f>+'Muertes por Edad M'!C75/'Población por Edad M'!C75*1000</f>
        <v>7.5754109354623136</v>
      </c>
      <c r="C54" s="55">
        <f>+'Muertes por Edad M'!D75/'Población por Edad M'!D75*1000</f>
        <v>7.3288625984048394</v>
      </c>
      <c r="D54" s="55">
        <f>+'Muertes por Edad M'!E75/'Población por Edad M'!E75*1000</f>
        <v>7.1403190137996164</v>
      </c>
      <c r="E54" s="55">
        <f>+'Muertes por Edad M'!F75/'Población por Edad M'!F75*1000</f>
        <v>7.3591833659753609</v>
      </c>
      <c r="F54" s="55">
        <f>+'Muertes por Edad M'!G75/'Población por Edad M'!G75*1000</f>
        <v>7.3956532690846002</v>
      </c>
      <c r="G54" s="55">
        <f>+'Muertes por Edad M'!H75/'Población por Edad M'!H75*1000</f>
        <v>7.6059961093600084</v>
      </c>
      <c r="H54" s="55">
        <f>+'Muertes por Edad M'!I75/'Población por Edad M'!I75*1000</f>
        <v>8.0133155513248457</v>
      </c>
      <c r="I54" s="55">
        <f>+'Muertes por Edad M'!J75/'Población por Edad M'!J75*1000</f>
        <v>7.754920038977251</v>
      </c>
      <c r="J54" s="55">
        <f>+'Muertes por Edad M'!K75/'Población por Edad M'!K75*1000</f>
        <v>7.7687892323576735</v>
      </c>
      <c r="K54" s="55">
        <f>+'Muertes por Edad M'!L75/'Población por Edad M'!L75*1000</f>
        <v>7.6767607098034327</v>
      </c>
      <c r="L54" s="55">
        <f>+'Muertes por Edad M'!M75/'Población por Edad M'!M75*1000</f>
        <v>7.6230219264669179</v>
      </c>
      <c r="M54" s="55">
        <f>+'Muertes por Edad M'!N75/'Población por Edad M'!N75*1000</f>
        <v>7.7349625952940366</v>
      </c>
      <c r="N54" s="55">
        <f>+'Muertes por Edad M'!O75/'Población por Edad M'!O75*1000</f>
        <v>7.6853064293307716</v>
      </c>
      <c r="O54" s="55">
        <f>+'Muertes por Edad M'!P75/'Población por Edad M'!P75*1000</f>
        <v>7.7914428914206955</v>
      </c>
      <c r="P54" s="55">
        <f>+'Muertes por Edad M'!Q75/'Población por Edad M'!Q75*1000</f>
        <v>7.7634270461271111</v>
      </c>
      <c r="Q54" s="55">
        <f>+'Muertes por Edad M'!R75/'Población por Edad M'!R75*1000</f>
        <v>7.4383439317649076</v>
      </c>
      <c r="R54" s="55">
        <f>+'Muertes por Edad M'!S75/'Población por Edad M'!S75*1000</f>
        <v>7.3749797984032863</v>
      </c>
      <c r="S54" s="72">
        <v>52</v>
      </c>
      <c r="T54" s="73">
        <f t="shared" si="0"/>
        <v>7.5900409084328029</v>
      </c>
      <c r="U54" s="81">
        <f t="shared" si="2"/>
        <v>10.298217115383157</v>
      </c>
    </row>
    <row r="55" spans="1:21">
      <c r="A55">
        <v>53</v>
      </c>
      <c r="B55" s="55">
        <f>+'Muertes por Edad M'!C76/'Población por Edad M'!C76*1000</f>
        <v>7.5754109354623136</v>
      </c>
      <c r="C55" s="55">
        <f>+'Muertes por Edad M'!D76/'Población por Edad M'!D76*1000</f>
        <v>7.3288625984048377</v>
      </c>
      <c r="D55" s="55">
        <f>+'Muertes por Edad M'!E76/'Población por Edad M'!E76*1000</f>
        <v>7.1403190137996164</v>
      </c>
      <c r="E55" s="55">
        <f>+'Muertes por Edad M'!F76/'Población por Edad M'!F76*1000</f>
        <v>7.3591833659753618</v>
      </c>
      <c r="F55" s="55">
        <f>+'Muertes por Edad M'!G76/'Población por Edad M'!G76*1000</f>
        <v>7.3956532690846002</v>
      </c>
      <c r="G55" s="55">
        <f>+'Muertes por Edad M'!H76/'Población por Edad M'!H76*1000</f>
        <v>7.6059961093600092</v>
      </c>
      <c r="H55" s="55">
        <f>+'Muertes por Edad M'!I76/'Población por Edad M'!I76*1000</f>
        <v>8.013315551324844</v>
      </c>
      <c r="I55" s="55">
        <f>+'Muertes por Edad M'!J76/'Población por Edad M'!J76*1000</f>
        <v>7.754920038977251</v>
      </c>
      <c r="J55" s="55">
        <f>+'Muertes por Edad M'!K76/'Población por Edad M'!K76*1000</f>
        <v>7.7687892323576735</v>
      </c>
      <c r="K55" s="55">
        <f>+'Muertes por Edad M'!L76/'Población por Edad M'!L76*1000</f>
        <v>7.6767607098034318</v>
      </c>
      <c r="L55" s="55">
        <f>+'Muertes por Edad M'!M76/'Población por Edad M'!M76*1000</f>
        <v>7.6230219264669179</v>
      </c>
      <c r="M55" s="55">
        <f>+'Muertes por Edad M'!N76/'Población por Edad M'!N76*1000</f>
        <v>7.7349625952940357</v>
      </c>
      <c r="N55" s="55">
        <f>+'Muertes por Edad M'!O76/'Población por Edad M'!O76*1000</f>
        <v>7.6853064293307716</v>
      </c>
      <c r="O55" s="55">
        <f>+'Muertes por Edad M'!P76/'Población por Edad M'!P76*1000</f>
        <v>7.7914428914206963</v>
      </c>
      <c r="P55" s="55">
        <f>+'Muertes por Edad M'!Q76/'Población por Edad M'!Q76*1000</f>
        <v>7.763427046127112</v>
      </c>
      <c r="Q55" s="55">
        <f>+'Muertes por Edad M'!R76/'Población por Edad M'!R76*1000</f>
        <v>7.4383439317649076</v>
      </c>
      <c r="R55" s="55">
        <f>+'Muertes por Edad M'!S76/'Población por Edad M'!S76*1000</f>
        <v>7.3749797984032863</v>
      </c>
      <c r="S55" s="72">
        <v>53</v>
      </c>
      <c r="T55" s="73">
        <f t="shared" si="0"/>
        <v>7.5900409084328029</v>
      </c>
      <c r="U55" s="81">
        <f t="shared" si="2"/>
        <v>10.938949049771322</v>
      </c>
    </row>
    <row r="56" spans="1:21">
      <c r="A56">
        <v>54</v>
      </c>
      <c r="B56" s="55">
        <f>+'Muertes por Edad M'!C77/'Población por Edad M'!C77*1000</f>
        <v>7.5754109354623136</v>
      </c>
      <c r="C56" s="55">
        <f>+'Muertes por Edad M'!D77/'Población por Edad M'!D77*1000</f>
        <v>7.3288625984048377</v>
      </c>
      <c r="D56" s="55">
        <f>+'Muertes por Edad M'!E77/'Población por Edad M'!E77*1000</f>
        <v>7.1403190137996164</v>
      </c>
      <c r="E56" s="55">
        <f>+'Muertes por Edad M'!F77/'Población por Edad M'!F77*1000</f>
        <v>7.3591833659753609</v>
      </c>
      <c r="F56" s="55">
        <f>+'Muertes por Edad M'!G77/'Población por Edad M'!G77*1000</f>
        <v>7.3956532690845993</v>
      </c>
      <c r="G56" s="55">
        <f>+'Muertes por Edad M'!H77/'Población por Edad M'!H77*1000</f>
        <v>7.6059961093600084</v>
      </c>
      <c r="H56" s="55">
        <f>+'Muertes por Edad M'!I77/'Población por Edad M'!I77*1000</f>
        <v>8.0133155513248457</v>
      </c>
      <c r="I56" s="55">
        <f>+'Muertes por Edad M'!J77/'Población por Edad M'!J77*1000</f>
        <v>7.754920038977251</v>
      </c>
      <c r="J56" s="55">
        <f>+'Muertes por Edad M'!K77/'Población por Edad M'!K77*1000</f>
        <v>7.7687892323576735</v>
      </c>
      <c r="K56" s="55">
        <f>+'Muertes por Edad M'!L77/'Población por Edad M'!L77*1000</f>
        <v>7.6767607098034327</v>
      </c>
      <c r="L56" s="55">
        <f>+'Muertes por Edad M'!M77/'Población por Edad M'!M77*1000</f>
        <v>7.623021926466917</v>
      </c>
      <c r="M56" s="55">
        <f>+'Muertes por Edad M'!N77/'Población por Edad M'!N77*1000</f>
        <v>7.7349625952940366</v>
      </c>
      <c r="N56" s="55">
        <f>+'Muertes por Edad M'!O77/'Población por Edad M'!O77*1000</f>
        <v>7.6853064293307707</v>
      </c>
      <c r="O56" s="55">
        <f>+'Muertes por Edad M'!P77/'Población por Edad M'!P77*1000</f>
        <v>7.7914428914206963</v>
      </c>
      <c r="P56" s="55">
        <f>+'Muertes por Edad M'!Q77/'Población por Edad M'!Q77*1000</f>
        <v>7.7634270461271111</v>
      </c>
      <c r="Q56" s="55">
        <f>+'Muertes por Edad M'!R77/'Población por Edad M'!R77*1000</f>
        <v>7.4383439317649067</v>
      </c>
      <c r="R56" s="55">
        <f>+'Muertes por Edad M'!S77/'Población por Edad M'!S77*1000</f>
        <v>7.3749797984032863</v>
      </c>
      <c r="S56" s="72">
        <v>54</v>
      </c>
      <c r="T56" s="73">
        <f t="shared" si="0"/>
        <v>7.5900409084328029</v>
      </c>
      <c r="U56" s="81">
        <f t="shared" si="2"/>
        <v>11.619545885738573</v>
      </c>
    </row>
    <row r="57" spans="1:21">
      <c r="A57">
        <v>55</v>
      </c>
      <c r="B57" s="55">
        <f>+'Muertes por Edad M'!C78/'Población por Edad M'!C78*1000</f>
        <v>13.541072563089443</v>
      </c>
      <c r="C57" s="55">
        <f>+'Muertes por Edad M'!D78/'Población por Edad M'!D78*1000</f>
        <v>13.496416520824514</v>
      </c>
      <c r="D57" s="55">
        <f>+'Muertes por Edad M'!E78/'Población por Edad M'!E78*1000</f>
        <v>12.783990618721326</v>
      </c>
      <c r="E57" s="55">
        <f>+'Muertes por Edad M'!F78/'Población por Edad M'!F78*1000</f>
        <v>13.376148889325458</v>
      </c>
      <c r="F57" s="55">
        <f>+'Muertes por Edad M'!G78/'Población por Edad M'!G78*1000</f>
        <v>12.69869837883531</v>
      </c>
      <c r="G57" s="55">
        <f>+'Muertes por Edad M'!H78/'Población por Edad M'!H78*1000</f>
        <v>12.146877382573614</v>
      </c>
      <c r="H57" s="55">
        <f>+'Muertes por Edad M'!I78/'Población por Edad M'!I78*1000</f>
        <v>12.26944301738865</v>
      </c>
      <c r="I57" s="55">
        <f>+'Muertes por Edad M'!J78/'Población por Edad M'!J78*1000</f>
        <v>11.968177516553714</v>
      </c>
      <c r="J57" s="55">
        <f>+'Muertes por Edad M'!K78/'Población por Edad M'!K78*1000</f>
        <v>12.246430631625135</v>
      </c>
      <c r="K57" s="55">
        <f>+'Muertes por Edad M'!L78/'Población por Edad M'!L78*1000</f>
        <v>11.857634279726524</v>
      </c>
      <c r="L57" s="55">
        <f>+'Muertes por Edad M'!M78/'Población por Edad M'!M78*1000</f>
        <v>11.678273721960965</v>
      </c>
      <c r="M57" s="55">
        <f>+'Muertes por Edad M'!N78/'Población por Edad M'!N78*1000</f>
        <v>11.957512653013049</v>
      </c>
      <c r="N57" s="55">
        <f>+'Muertes por Edad M'!O78/'Población por Edad M'!O78*1000</f>
        <v>11.817671234505855</v>
      </c>
      <c r="O57" s="55">
        <f>+'Muertes por Edad M'!P78/'Población por Edad M'!P78*1000</f>
        <v>11.858227403579564</v>
      </c>
      <c r="P57" s="55">
        <f>+'Muertes por Edad M'!Q78/'Población por Edad M'!Q78*1000</f>
        <v>11.697982069020256</v>
      </c>
      <c r="Q57" s="55">
        <f>+'Muertes por Edad M'!R78/'Población por Edad M'!R78*1000</f>
        <v>11.017430498462701</v>
      </c>
      <c r="R57" s="55">
        <f>+'Muertes por Edad M'!S78/'Población por Edad M'!S78*1000</f>
        <v>11.042292558330676</v>
      </c>
      <c r="S57" s="72">
        <v>55</v>
      </c>
      <c r="T57" s="73">
        <f t="shared" si="0"/>
        <v>12.203192937502166</v>
      </c>
      <c r="U57" s="81">
        <f t="shared" si="2"/>
        <v>12.342487927906253</v>
      </c>
    </row>
    <row r="58" spans="1:21">
      <c r="A58">
        <v>56</v>
      </c>
      <c r="B58" s="55">
        <f>+'Muertes por Edad M'!C79/'Población por Edad M'!C79*1000</f>
        <v>13.541072563089445</v>
      </c>
      <c r="C58" s="55">
        <f>+'Muertes por Edad M'!D79/'Población por Edad M'!D79*1000</f>
        <v>13.496416520824514</v>
      </c>
      <c r="D58" s="55">
        <f>+'Muertes por Edad M'!E79/'Población por Edad M'!E79*1000</f>
        <v>12.783990618721326</v>
      </c>
      <c r="E58" s="55">
        <f>+'Muertes por Edad M'!F79/'Población por Edad M'!F79*1000</f>
        <v>13.376148889325458</v>
      </c>
      <c r="F58" s="55">
        <f>+'Muertes por Edad M'!G79/'Población por Edad M'!G79*1000</f>
        <v>12.69869837883531</v>
      </c>
      <c r="G58" s="55">
        <f>+'Muertes por Edad M'!H79/'Población por Edad M'!H79*1000</f>
        <v>12.146877382573614</v>
      </c>
      <c r="H58" s="55">
        <f>+'Muertes por Edad M'!I79/'Población por Edad M'!I79*1000</f>
        <v>12.26944301738865</v>
      </c>
      <c r="I58" s="55">
        <f>+'Muertes por Edad M'!J79/'Población por Edad M'!J79*1000</f>
        <v>11.968177516553714</v>
      </c>
      <c r="J58" s="55">
        <f>+'Muertes por Edad M'!K79/'Población por Edad M'!K79*1000</f>
        <v>12.246430631625136</v>
      </c>
      <c r="K58" s="55">
        <f>+'Muertes por Edad M'!L79/'Población por Edad M'!L79*1000</f>
        <v>11.857634279726522</v>
      </c>
      <c r="L58" s="55">
        <f>+'Muertes por Edad M'!M79/'Población por Edad M'!M79*1000</f>
        <v>11.678273721960965</v>
      </c>
      <c r="M58" s="55">
        <f>+'Muertes por Edad M'!N79/'Población por Edad M'!N79*1000</f>
        <v>11.957512653013051</v>
      </c>
      <c r="N58" s="55">
        <f>+'Muertes por Edad M'!O79/'Población por Edad M'!O79*1000</f>
        <v>11.817671234505855</v>
      </c>
      <c r="O58" s="55">
        <f>+'Muertes por Edad M'!P79/'Población por Edad M'!P79*1000</f>
        <v>11.858227403579564</v>
      </c>
      <c r="P58" s="55">
        <f>+'Muertes por Edad M'!Q79/'Población por Edad M'!Q79*1000</f>
        <v>11.697982069020254</v>
      </c>
      <c r="Q58" s="55">
        <f>+'Muertes por Edad M'!R79/'Población por Edad M'!R79*1000</f>
        <v>11.0174304984627</v>
      </c>
      <c r="R58" s="55">
        <f>+'Muertes por Edad M'!S79/'Población por Edad M'!S79*1000</f>
        <v>11.042292558330677</v>
      </c>
      <c r="S58" s="72">
        <v>56</v>
      </c>
      <c r="T58" s="73">
        <f t="shared" si="0"/>
        <v>12.203192937502163</v>
      </c>
      <c r="U58" s="81">
        <f t="shared" si="2"/>
        <v>13.110409799877363</v>
      </c>
    </row>
    <row r="59" spans="1:21">
      <c r="A59">
        <v>57</v>
      </c>
      <c r="B59" s="55">
        <f>+'Muertes por Edad M'!C80/'Población por Edad M'!C80*1000</f>
        <v>13.541072563089443</v>
      </c>
      <c r="C59" s="55">
        <f>+'Muertes por Edad M'!D80/'Población por Edad M'!D80*1000</f>
        <v>13.496416520824514</v>
      </c>
      <c r="D59" s="55">
        <f>+'Muertes por Edad M'!E80/'Población por Edad M'!E80*1000</f>
        <v>12.783990618721326</v>
      </c>
      <c r="E59" s="55">
        <f>+'Muertes por Edad M'!F80/'Población por Edad M'!F80*1000</f>
        <v>13.376148889325458</v>
      </c>
      <c r="F59" s="55">
        <f>+'Muertes por Edad M'!G80/'Población por Edad M'!G80*1000</f>
        <v>12.698698378835308</v>
      </c>
      <c r="G59" s="55">
        <f>+'Muertes por Edad M'!H80/'Población por Edad M'!H80*1000</f>
        <v>12.146877382573612</v>
      </c>
      <c r="H59" s="55">
        <f>+'Muertes por Edad M'!I80/'Población por Edad M'!I80*1000</f>
        <v>12.26944301738865</v>
      </c>
      <c r="I59" s="55">
        <f>+'Muertes por Edad M'!J80/'Población por Edad M'!J80*1000</f>
        <v>11.968177516553716</v>
      </c>
      <c r="J59" s="55">
        <f>+'Muertes por Edad M'!K80/'Población por Edad M'!K80*1000</f>
        <v>12.246430631625136</v>
      </c>
      <c r="K59" s="55">
        <f>+'Muertes por Edad M'!L80/'Población por Edad M'!L80*1000</f>
        <v>11.857634279726524</v>
      </c>
      <c r="L59" s="55">
        <f>+'Muertes por Edad M'!M80/'Población por Edad M'!M80*1000</f>
        <v>11.678273721960966</v>
      </c>
      <c r="M59" s="55">
        <f>+'Muertes por Edad M'!N80/'Población por Edad M'!N80*1000</f>
        <v>11.957512653013049</v>
      </c>
      <c r="N59" s="55">
        <f>+'Muertes por Edad M'!O80/'Población por Edad M'!O80*1000</f>
        <v>11.817671234505855</v>
      </c>
      <c r="O59" s="55">
        <f>+'Muertes por Edad M'!P80/'Población por Edad M'!P80*1000</f>
        <v>11.858227403579566</v>
      </c>
      <c r="P59" s="55">
        <f>+'Muertes por Edad M'!Q80/'Población por Edad M'!Q80*1000</f>
        <v>11.697982069020258</v>
      </c>
      <c r="Q59" s="55">
        <f>+'Muertes por Edad M'!R80/'Población por Edad M'!R80*1000</f>
        <v>11.0174304984627</v>
      </c>
      <c r="R59" s="55">
        <f>+'Muertes por Edad M'!S80/'Población por Edad M'!S80*1000</f>
        <v>11.042292558330676</v>
      </c>
      <c r="S59" s="72">
        <v>57</v>
      </c>
      <c r="T59" s="73">
        <f t="shared" si="0"/>
        <v>12.203192937502164</v>
      </c>
      <c r="U59" s="81">
        <f t="shared" si="2"/>
        <v>13.92611004561688</v>
      </c>
    </row>
    <row r="60" spans="1:21">
      <c r="A60">
        <v>58</v>
      </c>
      <c r="B60" s="55">
        <f>+'Muertes por Edad M'!C81/'Población por Edad M'!C81*1000</f>
        <v>13.541072563089445</v>
      </c>
      <c r="C60" s="55">
        <f>+'Muertes por Edad M'!D81/'Población por Edad M'!D81*1000</f>
        <v>13.496416520824514</v>
      </c>
      <c r="D60" s="55">
        <f>+'Muertes por Edad M'!E81/'Población por Edad M'!E81*1000</f>
        <v>12.783990618721328</v>
      </c>
      <c r="E60" s="55">
        <f>+'Muertes por Edad M'!F81/'Población por Edad M'!F81*1000</f>
        <v>13.376148889325458</v>
      </c>
      <c r="F60" s="55">
        <f>+'Muertes por Edad M'!G81/'Población por Edad M'!G81*1000</f>
        <v>12.698698378835308</v>
      </c>
      <c r="G60" s="55">
        <f>+'Muertes por Edad M'!H81/'Población por Edad M'!H81*1000</f>
        <v>12.146877382573612</v>
      </c>
      <c r="H60" s="55">
        <f>+'Muertes por Edad M'!I81/'Población por Edad M'!I81*1000</f>
        <v>12.26944301738865</v>
      </c>
      <c r="I60" s="55">
        <f>+'Muertes por Edad M'!J81/'Población por Edad M'!J81*1000</f>
        <v>11.968177516553714</v>
      </c>
      <c r="J60" s="55">
        <f>+'Muertes por Edad M'!K81/'Población por Edad M'!K81*1000</f>
        <v>12.246430631625138</v>
      </c>
      <c r="K60" s="55">
        <f>+'Muertes por Edad M'!L81/'Población por Edad M'!L81*1000</f>
        <v>11.857634279726524</v>
      </c>
      <c r="L60" s="55">
        <f>+'Muertes por Edad M'!M81/'Población por Edad M'!M81*1000</f>
        <v>11.678273721960965</v>
      </c>
      <c r="M60" s="55">
        <f>+'Muertes por Edad M'!N81/'Población por Edad M'!N81*1000</f>
        <v>11.957512653013051</v>
      </c>
      <c r="N60" s="55">
        <f>+'Muertes por Edad M'!O81/'Población por Edad M'!O81*1000</f>
        <v>11.817671234505855</v>
      </c>
      <c r="O60" s="55">
        <f>+'Muertes por Edad M'!P81/'Población por Edad M'!P81*1000</f>
        <v>11.858227403579566</v>
      </c>
      <c r="P60" s="55">
        <f>+'Muertes por Edad M'!Q81/'Población por Edad M'!Q81*1000</f>
        <v>11.697982069020256</v>
      </c>
      <c r="Q60" s="55">
        <f>+'Muertes por Edad M'!R81/'Población por Edad M'!R81*1000</f>
        <v>11.0174304984627</v>
      </c>
      <c r="R60" s="55">
        <f>+'Muertes por Edad M'!S81/'Población por Edad M'!S81*1000</f>
        <v>11.042292558330676</v>
      </c>
      <c r="S60" s="72">
        <v>58</v>
      </c>
      <c r="T60" s="73">
        <f t="shared" si="0"/>
        <v>12.203192937502161</v>
      </c>
      <c r="U60" s="81">
        <f t="shared" si="2"/>
        <v>14.792561328208487</v>
      </c>
    </row>
    <row r="61" spans="1:21">
      <c r="A61">
        <v>59</v>
      </c>
      <c r="B61" s="55">
        <f>+'Muertes por Edad M'!C82/'Población por Edad M'!C82*1000</f>
        <v>13.541072563089445</v>
      </c>
      <c r="C61" s="55">
        <f>+'Muertes por Edad M'!D82/'Población por Edad M'!D82*1000</f>
        <v>13.496416520824514</v>
      </c>
      <c r="D61" s="55">
        <f>+'Muertes por Edad M'!E82/'Población por Edad M'!E82*1000</f>
        <v>12.783990618721328</v>
      </c>
      <c r="E61" s="55">
        <f>+'Muertes por Edad M'!F82/'Población por Edad M'!F82*1000</f>
        <v>13.37614888932546</v>
      </c>
      <c r="F61" s="55">
        <f>+'Muertes por Edad M'!G82/'Población por Edad M'!G82*1000</f>
        <v>12.69869837883531</v>
      </c>
      <c r="G61" s="55">
        <f>+'Muertes por Edad M'!H82/'Población por Edad M'!H82*1000</f>
        <v>12.146877382573614</v>
      </c>
      <c r="H61" s="55">
        <f>+'Muertes por Edad M'!I82/'Población por Edad M'!I82*1000</f>
        <v>12.269443017388648</v>
      </c>
      <c r="I61" s="55">
        <f>+'Muertes por Edad M'!J82/'Población por Edad M'!J82*1000</f>
        <v>11.968177516553714</v>
      </c>
      <c r="J61" s="55">
        <f>+'Muertes por Edad M'!K82/'Población por Edad M'!K82*1000</f>
        <v>12.246430631625138</v>
      </c>
      <c r="K61" s="55">
        <f>+'Muertes por Edad M'!L82/'Población por Edad M'!L82*1000</f>
        <v>11.857634279726522</v>
      </c>
      <c r="L61" s="55">
        <f>+'Muertes por Edad M'!M82/'Población por Edad M'!M82*1000</f>
        <v>11.678273721960968</v>
      </c>
      <c r="M61" s="55">
        <f>+'Muertes por Edad M'!N82/'Población por Edad M'!N82*1000</f>
        <v>11.957512653013051</v>
      </c>
      <c r="N61" s="55">
        <f>+'Muertes por Edad M'!O82/'Población por Edad M'!O82*1000</f>
        <v>11.817671234505857</v>
      </c>
      <c r="O61" s="55">
        <f>+'Muertes por Edad M'!P82/'Población por Edad M'!P82*1000</f>
        <v>11.858227403579566</v>
      </c>
      <c r="P61" s="55">
        <f>+'Muertes por Edad M'!Q82/'Población por Edad M'!Q82*1000</f>
        <v>11.697982069020256</v>
      </c>
      <c r="Q61" s="55">
        <f>+'Muertes por Edad M'!R82/'Población por Edad M'!R82*1000</f>
        <v>11.0174304984627</v>
      </c>
      <c r="R61" s="55">
        <f>+'Muertes por Edad M'!S82/'Población por Edad M'!S82*1000</f>
        <v>11.042292558330674</v>
      </c>
      <c r="S61" s="72">
        <v>59</v>
      </c>
      <c r="T61" s="73">
        <f t="shared" si="0"/>
        <v>12.203192937502164</v>
      </c>
      <c r="U61" s="81">
        <f t="shared" si="2"/>
        <v>15.712921263154943</v>
      </c>
    </row>
    <row r="62" spans="1:21">
      <c r="A62">
        <v>60</v>
      </c>
      <c r="B62" s="55">
        <f>+'Muertes por Edad M'!C83/'Población por Edad M'!C83*1000</f>
        <v>20.603198864589103</v>
      </c>
      <c r="C62" s="55">
        <f>+'Muertes por Edad M'!D83/'Población por Edad M'!D83*1000</f>
        <v>19.799225021850003</v>
      </c>
      <c r="D62" s="55">
        <f>+'Muertes por Edad M'!E83/'Población por Edad M'!E83*1000</f>
        <v>18.954844520910914</v>
      </c>
      <c r="E62" s="55">
        <f>+'Muertes por Edad M'!F83/'Población por Edad M'!F83*1000</f>
        <v>19.284059432197203</v>
      </c>
      <c r="F62" s="55">
        <f>+'Muertes por Edad M'!G83/'Población por Edad M'!G83*1000</f>
        <v>19.420825793007932</v>
      </c>
      <c r="G62" s="55">
        <f>+'Muertes por Edad M'!H83/'Población por Edad M'!H83*1000</f>
        <v>17.820511140781839</v>
      </c>
      <c r="H62" s="55">
        <f>+'Muertes por Edad M'!I83/'Población por Edad M'!I83*1000</f>
        <v>17.815097539686789</v>
      </c>
      <c r="I62" s="55">
        <f>+'Muertes por Edad M'!J83/'Población por Edad M'!J83*1000</f>
        <v>16.114467132897445</v>
      </c>
      <c r="J62" s="55">
        <f>+'Muertes por Edad M'!K83/'Población por Edad M'!K83*1000</f>
        <v>17.261113326744663</v>
      </c>
      <c r="K62" s="55">
        <f>+'Muertes por Edad M'!L83/'Población por Edad M'!L83*1000</f>
        <v>16.168639580370005</v>
      </c>
      <c r="L62" s="55">
        <f>+'Muertes por Edad M'!M83/'Población por Edad M'!M83*1000</f>
        <v>15.797553703244697</v>
      </c>
      <c r="M62" s="55">
        <f>+'Muertes por Edad M'!N83/'Población por Edad M'!N83*1000</f>
        <v>15.092500154436106</v>
      </c>
      <c r="N62" s="55">
        <f>+'Muertes por Edad M'!O83/'Población por Edad M'!O83*1000</f>
        <v>15.55096640316156</v>
      </c>
      <c r="O62" s="55">
        <f>+'Muertes por Edad M'!P83/'Población por Edad M'!P83*1000</f>
        <v>15.543127283427728</v>
      </c>
      <c r="P62" s="55">
        <f>+'Muertes por Edad M'!Q83/'Población por Edad M'!Q83*1000</f>
        <v>15.497897726836895</v>
      </c>
      <c r="Q62" s="55">
        <f>+'Muertes por Edad M'!R83/'Población por Edad M'!R83*1000</f>
        <v>15.659685213339291</v>
      </c>
      <c r="R62" s="55">
        <f>+'Muertes por Edad M'!S83/'Población por Edad M'!S83*1000</f>
        <v>15.824137124805231</v>
      </c>
      <c r="S62" s="72">
        <v>60</v>
      </c>
      <c r="T62" s="73">
        <f t="shared" si="0"/>
        <v>17.188697056605143</v>
      </c>
      <c r="U62" s="81">
        <f t="shared" si="2"/>
        <v>16.690543925702158</v>
      </c>
    </row>
    <row r="63" spans="1:21">
      <c r="A63">
        <v>61</v>
      </c>
      <c r="B63" s="55">
        <f>+'Muertes por Edad M'!C84/'Población por Edad M'!C84*1000</f>
        <v>20.6031988645891</v>
      </c>
      <c r="C63" s="55">
        <f>+'Muertes por Edad M'!D84/'Población por Edad M'!D84*1000</f>
        <v>19.799225021850003</v>
      </c>
      <c r="D63" s="55">
        <f>+'Muertes por Edad M'!E84/'Población por Edad M'!E84*1000</f>
        <v>18.954844520910914</v>
      </c>
      <c r="E63" s="55">
        <f>+'Muertes por Edad M'!F84/'Población por Edad M'!F84*1000</f>
        <v>19.2840594321972</v>
      </c>
      <c r="F63" s="55">
        <f>+'Muertes por Edad M'!G84/'Población por Edad M'!G84*1000</f>
        <v>19.420825793007932</v>
      </c>
      <c r="G63" s="55">
        <f>+'Muertes por Edad M'!H84/'Población por Edad M'!H84*1000</f>
        <v>17.820511140781839</v>
      </c>
      <c r="H63" s="55">
        <f>+'Muertes por Edad M'!I84/'Población por Edad M'!I84*1000</f>
        <v>17.815097539686789</v>
      </c>
      <c r="I63" s="55">
        <f>+'Muertes por Edad M'!J84/'Población por Edad M'!J84*1000</f>
        <v>16.114467132897442</v>
      </c>
      <c r="J63" s="55">
        <f>+'Muertes por Edad M'!K84/'Población por Edad M'!K84*1000</f>
        <v>17.261113326744663</v>
      </c>
      <c r="K63" s="55">
        <f>+'Muertes por Edad M'!L84/'Población por Edad M'!L84*1000</f>
        <v>16.168639580370002</v>
      </c>
      <c r="L63" s="55">
        <f>+'Muertes por Edad M'!M84/'Población por Edad M'!M84*1000</f>
        <v>15.7975537032447</v>
      </c>
      <c r="M63" s="55">
        <f>+'Muertes por Edad M'!N84/'Población por Edad M'!N84*1000</f>
        <v>15.092500154436106</v>
      </c>
      <c r="N63" s="55">
        <f>+'Muertes por Edad M'!O84/'Población por Edad M'!O84*1000</f>
        <v>15.55096640316156</v>
      </c>
      <c r="O63" s="55">
        <f>+'Muertes por Edad M'!P84/'Población por Edad M'!P84*1000</f>
        <v>15.543127283427726</v>
      </c>
      <c r="P63" s="55">
        <f>+'Muertes por Edad M'!Q84/'Población por Edad M'!Q84*1000</f>
        <v>15.497897726836896</v>
      </c>
      <c r="Q63" s="55">
        <f>+'Muertes por Edad M'!R84/'Población por Edad M'!R84*1000</f>
        <v>15.659685213339291</v>
      </c>
      <c r="R63" s="55">
        <f>+'Muertes por Edad M'!S84/'Población por Edad M'!S84*1000</f>
        <v>15.824137124805231</v>
      </c>
      <c r="S63" s="72">
        <v>61</v>
      </c>
      <c r="T63" s="73">
        <f t="shared" si="0"/>
        <v>17.188697056605143</v>
      </c>
      <c r="U63" s="81">
        <f t="shared" si="2"/>
        <v>17.728992074123024</v>
      </c>
    </row>
    <row r="64" spans="1:21">
      <c r="A64">
        <v>62</v>
      </c>
      <c r="B64" s="55">
        <f>+'Muertes por Edad M'!C85/'Población por Edad M'!C85*1000</f>
        <v>20.603198864589103</v>
      </c>
      <c r="C64" s="55">
        <f>+'Muertes por Edad M'!D85/'Población por Edad M'!D85*1000</f>
        <v>19.799225021850003</v>
      </c>
      <c r="D64" s="55">
        <f>+'Muertes por Edad M'!E85/'Población por Edad M'!E85*1000</f>
        <v>18.954844520910914</v>
      </c>
      <c r="E64" s="55">
        <f>+'Muertes por Edad M'!F85/'Población por Edad M'!F85*1000</f>
        <v>19.284059432197203</v>
      </c>
      <c r="F64" s="55">
        <f>+'Muertes por Edad M'!G85/'Población por Edad M'!G85*1000</f>
        <v>19.420825793007932</v>
      </c>
      <c r="G64" s="55">
        <f>+'Muertes por Edad M'!H85/'Población por Edad M'!H85*1000</f>
        <v>17.820511140781839</v>
      </c>
      <c r="H64" s="55">
        <f>+'Muertes por Edad M'!I85/'Población por Edad M'!I85*1000</f>
        <v>17.815097539686786</v>
      </c>
      <c r="I64" s="55">
        <f>+'Muertes por Edad M'!J85/'Población por Edad M'!J85*1000</f>
        <v>16.114467132897442</v>
      </c>
      <c r="J64" s="55">
        <f>+'Muertes por Edad M'!K85/'Población por Edad M'!K85*1000</f>
        <v>17.261113326744663</v>
      </c>
      <c r="K64" s="55">
        <f>+'Muertes por Edad M'!L85/'Población por Edad M'!L85*1000</f>
        <v>16.168639580370002</v>
      </c>
      <c r="L64" s="55">
        <f>+'Muertes por Edad M'!M85/'Población por Edad M'!M85*1000</f>
        <v>15.7975537032447</v>
      </c>
      <c r="M64" s="55">
        <f>+'Muertes por Edad M'!N85/'Población por Edad M'!N85*1000</f>
        <v>15.092500154436106</v>
      </c>
      <c r="N64" s="55">
        <f>+'Muertes por Edad M'!O85/'Población por Edad M'!O85*1000</f>
        <v>15.55096640316156</v>
      </c>
      <c r="O64" s="55">
        <f>+'Muertes por Edad M'!P85/'Población por Edad M'!P85*1000</f>
        <v>15.543127283427722</v>
      </c>
      <c r="P64" s="55">
        <f>+'Muertes por Edad M'!Q85/'Población por Edad M'!Q85*1000</f>
        <v>15.497897726836895</v>
      </c>
      <c r="Q64" s="55">
        <f>+'Muertes por Edad M'!R85/'Población por Edad M'!R85*1000</f>
        <v>15.659685213339294</v>
      </c>
      <c r="R64" s="55">
        <f>+'Muertes por Edad M'!S85/'Población por Edad M'!S85*1000</f>
        <v>15.824137124805231</v>
      </c>
      <c r="S64" s="72">
        <v>62</v>
      </c>
      <c r="T64" s="73">
        <f t="shared" si="0"/>
        <v>17.18869705660514</v>
      </c>
      <c r="U64" s="81">
        <f t="shared" si="2"/>
        <v>18.832050133506606</v>
      </c>
    </row>
    <row r="65" spans="1:21">
      <c r="A65">
        <v>63</v>
      </c>
      <c r="B65" s="55">
        <f>+'Muertes por Edad M'!C86/'Población por Edad M'!C86*1000</f>
        <v>20.603198864589103</v>
      </c>
      <c r="C65" s="55">
        <f>+'Muertes por Edad M'!D86/'Población por Edad M'!D86*1000</f>
        <v>19.799225021849999</v>
      </c>
      <c r="D65" s="55">
        <f>+'Muertes por Edad M'!E86/'Población por Edad M'!E86*1000</f>
        <v>18.954844520910914</v>
      </c>
      <c r="E65" s="55">
        <f>+'Muertes por Edad M'!F86/'Población por Edad M'!F86*1000</f>
        <v>19.2840594321972</v>
      </c>
      <c r="F65" s="55">
        <f>+'Muertes por Edad M'!G86/'Población por Edad M'!G86*1000</f>
        <v>19.420825793007932</v>
      </c>
      <c r="G65" s="55">
        <f>+'Muertes por Edad M'!H86/'Población por Edad M'!H86*1000</f>
        <v>17.820511140781839</v>
      </c>
      <c r="H65" s="55">
        <f>+'Muertes por Edad M'!I86/'Población por Edad M'!I86*1000</f>
        <v>17.815097539686786</v>
      </c>
      <c r="I65" s="55">
        <f>+'Muertes por Edad M'!J86/'Población por Edad M'!J86*1000</f>
        <v>16.114467132897442</v>
      </c>
      <c r="J65" s="55">
        <f>+'Muertes por Edad M'!K86/'Población por Edad M'!K86*1000</f>
        <v>17.261113326744663</v>
      </c>
      <c r="K65" s="55">
        <f>+'Muertes por Edad M'!L86/'Población por Edad M'!L86*1000</f>
        <v>16.168639580370002</v>
      </c>
      <c r="L65" s="55">
        <f>+'Muertes por Edad M'!M86/'Población por Edad M'!M86*1000</f>
        <v>15.7975537032447</v>
      </c>
      <c r="M65" s="55">
        <f>+'Muertes por Edad M'!N86/'Población por Edad M'!N86*1000</f>
        <v>15.092500154436104</v>
      </c>
      <c r="N65" s="55">
        <f>+'Muertes por Edad M'!O86/'Población por Edad M'!O86*1000</f>
        <v>15.55096640316156</v>
      </c>
      <c r="O65" s="55">
        <f>+'Muertes por Edad M'!P86/'Población por Edad M'!P86*1000</f>
        <v>15.543127283427724</v>
      </c>
      <c r="P65" s="55">
        <f>+'Muertes por Edad M'!Q86/'Población por Edad M'!Q86*1000</f>
        <v>15.497897726836896</v>
      </c>
      <c r="Q65" s="55">
        <f>+'Muertes por Edad M'!R86/'Población por Edad M'!R86*1000</f>
        <v>15.659685213339291</v>
      </c>
      <c r="R65" s="55">
        <f>+'Muertes por Edad M'!S86/'Población por Edad M'!S86*1000</f>
        <v>15.824137124805231</v>
      </c>
      <c r="S65" s="72">
        <v>63</v>
      </c>
      <c r="T65" s="73">
        <f t="shared" si="0"/>
        <v>17.188697056605143</v>
      </c>
      <c r="U65" s="81">
        <f t="shared" si="2"/>
        <v>20.003737987369409</v>
      </c>
    </row>
    <row r="66" spans="1:21">
      <c r="A66">
        <v>64</v>
      </c>
      <c r="B66" s="55">
        <f>+'Muertes por Edad M'!C87/'Población por Edad M'!C87*1000</f>
        <v>20.603198864589103</v>
      </c>
      <c r="C66" s="55">
        <f>+'Muertes por Edad M'!D87/'Población por Edad M'!D87*1000</f>
        <v>19.799225021850006</v>
      </c>
      <c r="D66" s="55">
        <f>+'Muertes por Edad M'!E87/'Población por Edad M'!E87*1000</f>
        <v>18.954844520910914</v>
      </c>
      <c r="E66" s="55">
        <f>+'Muertes por Edad M'!F87/'Población por Edad M'!F87*1000</f>
        <v>19.284059432197203</v>
      </c>
      <c r="F66" s="55">
        <f>+'Muertes por Edad M'!G87/'Población por Edad M'!G87*1000</f>
        <v>19.420825793007932</v>
      </c>
      <c r="G66" s="55">
        <f>+'Muertes por Edad M'!H87/'Población por Edad M'!H87*1000</f>
        <v>17.820511140781836</v>
      </c>
      <c r="H66" s="55">
        <f>+'Muertes por Edad M'!I87/'Población por Edad M'!I87*1000</f>
        <v>17.815097539686786</v>
      </c>
      <c r="I66" s="55">
        <f>+'Muertes por Edad M'!J87/'Población por Edad M'!J87*1000</f>
        <v>16.114467132897445</v>
      </c>
      <c r="J66" s="55">
        <f>+'Muertes por Edad M'!K87/'Población por Edad M'!K87*1000</f>
        <v>17.261113326744663</v>
      </c>
      <c r="K66" s="55">
        <f>+'Muertes por Edad M'!L87/'Población por Edad M'!L87*1000</f>
        <v>16.168639580370002</v>
      </c>
      <c r="L66" s="55">
        <f>+'Muertes por Edad M'!M87/'Población por Edad M'!M87*1000</f>
        <v>15.7975537032447</v>
      </c>
      <c r="M66" s="55">
        <f>+'Muertes por Edad M'!N87/'Población por Edad M'!N87*1000</f>
        <v>15.092500154436106</v>
      </c>
      <c r="N66" s="55">
        <f>+'Muertes por Edad M'!O87/'Población por Edad M'!O87*1000</f>
        <v>15.55096640316156</v>
      </c>
      <c r="O66" s="55">
        <f>+'Muertes por Edad M'!P87/'Población por Edad M'!P87*1000</f>
        <v>15.543127283427724</v>
      </c>
      <c r="P66" s="55">
        <f>+'Muertes por Edad M'!Q87/'Población por Edad M'!Q87*1000</f>
        <v>15.497897726836896</v>
      </c>
      <c r="Q66" s="55">
        <f>+'Muertes por Edad M'!R87/'Población por Edad M'!R87*1000</f>
        <v>15.659685213339294</v>
      </c>
      <c r="R66" s="55">
        <f>+'Muertes por Edad M'!S87/'Población por Edad M'!S87*1000</f>
        <v>15.824137124805231</v>
      </c>
      <c r="S66" s="72">
        <v>64</v>
      </c>
      <c r="T66" s="73">
        <f t="shared" si="0"/>
        <v>17.188697056605143</v>
      </c>
      <c r="U66" s="81">
        <f t="shared" si="2"/>
        <v>21.248325627349882</v>
      </c>
    </row>
    <row r="67" spans="1:21">
      <c r="A67">
        <v>65</v>
      </c>
      <c r="B67" s="55">
        <f>+'Muertes por Edad M'!C88/'Población por Edad M'!C88*1000</f>
        <v>31.244488787561377</v>
      </c>
      <c r="C67" s="55">
        <f>+'Muertes por Edad M'!D88/'Población por Edad M'!D88*1000</f>
        <v>32.544942775424204</v>
      </c>
      <c r="D67" s="55">
        <f>+'Muertes por Edad M'!E88/'Población por Edad M'!E88*1000</f>
        <v>30.403104614421238</v>
      </c>
      <c r="E67" s="55">
        <f>+'Muertes por Edad M'!F88/'Población por Edad M'!F88*1000</f>
        <v>30.530524340928611</v>
      </c>
      <c r="F67" s="55">
        <f>+'Muertes por Edad M'!G88/'Población por Edad M'!G88*1000</f>
        <v>30.221437629865626</v>
      </c>
      <c r="G67" s="55">
        <f>+'Muertes por Edad M'!H88/'Población por Edad M'!H88*1000</f>
        <v>27.661374006741077</v>
      </c>
      <c r="H67" s="55">
        <f>+'Muertes por Edad M'!I88/'Población por Edad M'!I88*1000</f>
        <v>27.8646499483459</v>
      </c>
      <c r="I67" s="55">
        <f>+'Muertes por Edad M'!J88/'Población por Edad M'!J88*1000</f>
        <v>25.493051244072692</v>
      </c>
      <c r="J67" s="55">
        <f>+'Muertes por Edad M'!K88/'Población por Edad M'!K88*1000</f>
        <v>27.323235132304077</v>
      </c>
      <c r="K67" s="55">
        <f>+'Muertes por Edad M'!L88/'Población por Edad M'!L88*1000</f>
        <v>25.184203355394466</v>
      </c>
      <c r="L67" s="55">
        <f>+'Muertes por Edad M'!M88/'Población por Edad M'!M88*1000</f>
        <v>24.548214387782583</v>
      </c>
      <c r="M67" s="55">
        <f>+'Muertes por Edad M'!N88/'Población por Edad M'!N88*1000</f>
        <v>24.108316694784715</v>
      </c>
      <c r="N67" s="55">
        <f>+'Muertes por Edad M'!O88/'Población por Edad M'!O88*1000</f>
        <v>24.526014518102595</v>
      </c>
      <c r="O67" s="55">
        <f>+'Muertes por Edad M'!P88/'Población por Edad M'!P88*1000</f>
        <v>24.373962203623552</v>
      </c>
      <c r="P67" s="55">
        <f>+'Muertes por Edad M'!Q88/'Población por Edad M'!Q88*1000</f>
        <v>23.317291473322022</v>
      </c>
      <c r="Q67" s="55">
        <f>+'Muertes por Edad M'!R88/'Población por Edad M'!R88*1000</f>
        <v>23.041464814741062</v>
      </c>
      <c r="R67" s="55">
        <f>+'Muertes por Edad M'!S88/'Población por Edad M'!S88*1000</f>
        <v>23.977552587594499</v>
      </c>
      <c r="S67" s="72">
        <v>65</v>
      </c>
      <c r="T67" s="73">
        <f t="shared" ref="T67:T81" si="3">+AVERAGE(B67:R67)</f>
        <v>26.844931089118255</v>
      </c>
      <c r="U67" s="81">
        <f t="shared" si="2"/>
        <v>22.570348714373814</v>
      </c>
    </row>
    <row r="68" spans="1:21">
      <c r="A68">
        <v>66</v>
      </c>
      <c r="B68" s="55">
        <f>+'Muertes por Edad M'!C89/'Población por Edad M'!C89*1000</f>
        <v>31.244488787561373</v>
      </c>
      <c r="C68" s="55">
        <f>+'Muertes por Edad M'!D89/'Población por Edad M'!D89*1000</f>
        <v>32.544942775424211</v>
      </c>
      <c r="D68" s="55">
        <f>+'Muertes por Edad M'!E89/'Población por Edad M'!E89*1000</f>
        <v>30.403104614421238</v>
      </c>
      <c r="E68" s="55">
        <f>+'Muertes por Edad M'!F89/'Población por Edad M'!F89*1000</f>
        <v>30.530524340928608</v>
      </c>
      <c r="F68" s="55">
        <f>+'Muertes por Edad M'!G89/'Población por Edad M'!G89*1000</f>
        <v>30.221437629865623</v>
      </c>
      <c r="G68" s="55">
        <f>+'Muertes por Edad M'!H89/'Población por Edad M'!H89*1000</f>
        <v>27.661374006741081</v>
      </c>
      <c r="H68" s="55">
        <f>+'Muertes por Edad M'!I89/'Población por Edad M'!I89*1000</f>
        <v>27.864649948345903</v>
      </c>
      <c r="I68" s="55">
        <f>+'Muertes por Edad M'!J89/'Población por Edad M'!J89*1000</f>
        <v>25.493051244072692</v>
      </c>
      <c r="J68" s="55">
        <f>+'Muertes por Edad M'!K89/'Población por Edad M'!K89*1000</f>
        <v>27.323235132304077</v>
      </c>
      <c r="K68" s="55">
        <f>+'Muertes por Edad M'!L89/'Población por Edad M'!L89*1000</f>
        <v>25.184203355394462</v>
      </c>
      <c r="L68" s="55">
        <f>+'Muertes por Edad M'!M89/'Población por Edad M'!M89*1000</f>
        <v>24.548214387782586</v>
      </c>
      <c r="M68" s="55">
        <f>+'Muertes por Edad M'!N89/'Población por Edad M'!N89*1000</f>
        <v>24.108316694784712</v>
      </c>
      <c r="N68" s="55">
        <f>+'Muertes por Edad M'!O89/'Población por Edad M'!O89*1000</f>
        <v>24.526014518102592</v>
      </c>
      <c r="O68" s="55">
        <f>+'Muertes por Edad M'!P89/'Población por Edad M'!P89*1000</f>
        <v>24.373962203623559</v>
      </c>
      <c r="P68" s="55">
        <f>+'Muertes por Edad M'!Q89/'Población por Edad M'!Q89*1000</f>
        <v>23.317291473322026</v>
      </c>
      <c r="Q68" s="55">
        <f>+'Muertes por Edad M'!R89/'Población por Edad M'!R89*1000</f>
        <v>23.041464814741058</v>
      </c>
      <c r="R68" s="55">
        <f>+'Muertes por Edad M'!S89/'Población por Edad M'!S89*1000</f>
        <v>23.977552587594499</v>
      </c>
      <c r="S68" s="72">
        <v>66</v>
      </c>
      <c r="T68" s="73">
        <f t="shared" si="3"/>
        <v>26.844931089118258</v>
      </c>
      <c r="U68" s="81">
        <f t="shared" si="2"/>
        <v>23.974625108000616</v>
      </c>
    </row>
    <row r="69" spans="1:21">
      <c r="A69">
        <v>67</v>
      </c>
      <c r="B69" s="55">
        <f>+'Muertes por Edad M'!C90/'Población por Edad M'!C90*1000</f>
        <v>31.244488787561377</v>
      </c>
      <c r="C69" s="55">
        <f>+'Muertes por Edad M'!D90/'Población por Edad M'!D90*1000</f>
        <v>32.544942775424204</v>
      </c>
      <c r="D69" s="55">
        <f>+'Muertes por Edad M'!E90/'Población por Edad M'!E90*1000</f>
        <v>30.403104614421238</v>
      </c>
      <c r="E69" s="55">
        <f>+'Muertes por Edad M'!F90/'Población por Edad M'!F90*1000</f>
        <v>30.530524340928608</v>
      </c>
      <c r="F69" s="55">
        <f>+'Muertes por Edad M'!G90/'Población por Edad M'!G90*1000</f>
        <v>30.221437629865626</v>
      </c>
      <c r="G69" s="55">
        <f>+'Muertes por Edad M'!H90/'Población por Edad M'!H90*1000</f>
        <v>27.661374006741081</v>
      </c>
      <c r="H69" s="55">
        <f>+'Muertes por Edad M'!I90/'Población por Edad M'!I90*1000</f>
        <v>27.8646499483459</v>
      </c>
      <c r="I69" s="55">
        <f>+'Muertes por Edad M'!J90/'Población por Edad M'!J90*1000</f>
        <v>25.493051244072692</v>
      </c>
      <c r="J69" s="55">
        <f>+'Muertes por Edad M'!K90/'Población por Edad M'!K90*1000</f>
        <v>27.32323513230407</v>
      </c>
      <c r="K69" s="55">
        <f>+'Muertes por Edad M'!L90/'Población por Edad M'!L90*1000</f>
        <v>25.184203355394466</v>
      </c>
      <c r="L69" s="55">
        <f>+'Muertes por Edad M'!M90/'Población por Edad M'!M90*1000</f>
        <v>24.548214387782583</v>
      </c>
      <c r="M69" s="55">
        <f>+'Muertes por Edad M'!N90/'Población por Edad M'!N90*1000</f>
        <v>24.108316694784715</v>
      </c>
      <c r="N69" s="55">
        <f>+'Muertes por Edad M'!O90/'Población por Edad M'!O90*1000</f>
        <v>24.526014518102595</v>
      </c>
      <c r="O69" s="55">
        <f>+'Muertes por Edad M'!P90/'Población por Edad M'!P90*1000</f>
        <v>24.373962203623552</v>
      </c>
      <c r="P69" s="55">
        <f>+'Muertes por Edad M'!Q90/'Población por Edad M'!Q90*1000</f>
        <v>23.317291473322026</v>
      </c>
      <c r="Q69" s="55">
        <f>+'Muertes por Edad M'!R90/'Población por Edad M'!R90*1000</f>
        <v>23.041464814741062</v>
      </c>
      <c r="R69" s="55">
        <f>+'Muertes por Edad M'!S90/'Población por Edad M'!S90*1000</f>
        <v>23.977552587594495</v>
      </c>
      <c r="S69" s="72">
        <v>67</v>
      </c>
      <c r="T69" s="73">
        <f t="shared" si="3"/>
        <v>26.844931089118255</v>
      </c>
      <c r="U69" s="81">
        <f t="shared" si="2"/>
        <v>25.466272424188382</v>
      </c>
    </row>
    <row r="70" spans="1:21">
      <c r="A70">
        <v>68</v>
      </c>
      <c r="B70" s="55">
        <f>+'Muertes por Edad M'!C91/'Población por Edad M'!C91*1000</f>
        <v>31.244488787561373</v>
      </c>
      <c r="C70" s="55">
        <f>+'Muertes por Edad M'!D91/'Población por Edad M'!D91*1000</f>
        <v>32.544942775424204</v>
      </c>
      <c r="D70" s="55">
        <f>+'Muertes por Edad M'!E91/'Población por Edad M'!E91*1000</f>
        <v>30.403104614421242</v>
      </c>
      <c r="E70" s="55">
        <f>+'Muertes por Edad M'!F91/'Población por Edad M'!F91*1000</f>
        <v>30.530524340928611</v>
      </c>
      <c r="F70" s="55">
        <f>+'Muertes por Edad M'!G91/'Población por Edad M'!G91*1000</f>
        <v>30.221437629865626</v>
      </c>
      <c r="G70" s="55">
        <f>+'Muertes por Edad M'!H91/'Población por Edad M'!H91*1000</f>
        <v>27.661374006741077</v>
      </c>
      <c r="H70" s="55">
        <f>+'Muertes por Edad M'!I91/'Población por Edad M'!I91*1000</f>
        <v>27.8646499483459</v>
      </c>
      <c r="I70" s="55">
        <f>+'Muertes por Edad M'!J91/'Población por Edad M'!J91*1000</f>
        <v>25.493051244072692</v>
      </c>
      <c r="J70" s="55">
        <f>+'Muertes por Edad M'!K91/'Población por Edad M'!K91*1000</f>
        <v>27.323235132304077</v>
      </c>
      <c r="K70" s="55">
        <f>+'Muertes por Edad M'!L91/'Población por Edad M'!L91*1000</f>
        <v>25.184203355394462</v>
      </c>
      <c r="L70" s="55">
        <f>+'Muertes por Edad M'!M91/'Población por Edad M'!M91*1000</f>
        <v>24.548214387782583</v>
      </c>
      <c r="M70" s="55">
        <f>+'Muertes por Edad M'!N91/'Población por Edad M'!N91*1000</f>
        <v>24.108316694784712</v>
      </c>
      <c r="N70" s="55">
        <f>+'Muertes por Edad M'!O91/'Población por Edad M'!O91*1000</f>
        <v>24.526014518102595</v>
      </c>
      <c r="O70" s="55">
        <f>+'Muertes por Edad M'!P91/'Población por Edad M'!P91*1000</f>
        <v>24.373962203623556</v>
      </c>
      <c r="P70" s="55">
        <f>+'Muertes por Edad M'!Q91/'Población por Edad M'!Q91*1000</f>
        <v>23.317291473322022</v>
      </c>
      <c r="Q70" s="55">
        <f>+'Muertes por Edad M'!R91/'Población por Edad M'!R91*1000</f>
        <v>23.041464814741062</v>
      </c>
      <c r="R70" s="55">
        <f>+'Muertes por Edad M'!S91/'Población por Edad M'!S91*1000</f>
        <v>23.977552587594499</v>
      </c>
      <c r="S70" s="72">
        <v>68</v>
      </c>
      <c r="T70" s="73">
        <f t="shared" si="3"/>
        <v>26.844931089118255</v>
      </c>
      <c r="U70" s="81">
        <f t="shared" si="2"/>
        <v>27.050726685463612</v>
      </c>
    </row>
    <row r="71" spans="1:21">
      <c r="A71">
        <v>69</v>
      </c>
      <c r="B71" s="55">
        <f>+'Muertes por Edad M'!C92/'Población por Edad M'!C92*1000</f>
        <v>31.244488787561373</v>
      </c>
      <c r="C71" s="55">
        <f>+'Muertes por Edad M'!D92/'Población por Edad M'!D92*1000</f>
        <v>32.544942775424204</v>
      </c>
      <c r="D71" s="55">
        <f>+'Muertes por Edad M'!E92/'Población por Edad M'!E92*1000</f>
        <v>30.403104614421242</v>
      </c>
      <c r="E71" s="55">
        <f>+'Muertes por Edad M'!F92/'Población por Edad M'!F92*1000</f>
        <v>30.530524340928608</v>
      </c>
      <c r="F71" s="55">
        <f>+'Muertes por Edad M'!G92/'Población por Edad M'!G92*1000</f>
        <v>30.221437629865626</v>
      </c>
      <c r="G71" s="55">
        <f>+'Muertes por Edad M'!H92/'Población por Edad M'!H92*1000</f>
        <v>27.661374006741081</v>
      </c>
      <c r="H71" s="55">
        <f>+'Muertes por Edad M'!I92/'Población por Edad M'!I92*1000</f>
        <v>27.864649948345903</v>
      </c>
      <c r="I71" s="55">
        <f>+'Muertes por Edad M'!J92/'Población por Edad M'!J92*1000</f>
        <v>25.493051244072692</v>
      </c>
      <c r="J71" s="55">
        <f>+'Muertes por Edad M'!K92/'Población por Edad M'!K92*1000</f>
        <v>27.32323513230407</v>
      </c>
      <c r="K71" s="55">
        <f>+'Muertes por Edad M'!L92/'Población por Edad M'!L92*1000</f>
        <v>25.184203355394459</v>
      </c>
      <c r="L71" s="55">
        <f>+'Muertes por Edad M'!M92/'Población por Edad M'!M92*1000</f>
        <v>24.548214387782586</v>
      </c>
      <c r="M71" s="55">
        <f>+'Muertes por Edad M'!N92/'Población por Edad M'!N92*1000</f>
        <v>24.108316694784712</v>
      </c>
      <c r="N71" s="55">
        <f>+'Muertes por Edad M'!O92/'Población por Edad M'!O92*1000</f>
        <v>24.526014518102592</v>
      </c>
      <c r="O71" s="55">
        <f>+'Muertes por Edad M'!P92/'Población por Edad M'!P92*1000</f>
        <v>24.373962203623552</v>
      </c>
      <c r="P71" s="55">
        <f>+'Muertes por Edad M'!Q92/'Población por Edad M'!Q92*1000</f>
        <v>23.317291473322026</v>
      </c>
      <c r="Q71" s="55">
        <f>+'Muertes por Edad M'!R92/'Población por Edad M'!R92*1000</f>
        <v>23.041464814741058</v>
      </c>
      <c r="R71" s="55">
        <f>+'Muertes por Edad M'!S92/'Población por Edad M'!S92*1000</f>
        <v>23.977552587594499</v>
      </c>
      <c r="S71" s="72">
        <v>69</v>
      </c>
      <c r="T71" s="73">
        <f t="shared" si="3"/>
        <v>26.844931089118258</v>
      </c>
      <c r="U71" s="81">
        <f t="shared" si="2"/>
        <v>28.733762131462527</v>
      </c>
    </row>
    <row r="72" spans="1:21">
      <c r="A72">
        <v>70</v>
      </c>
      <c r="B72" s="55">
        <f>+'Muertes por Edad M'!C93/'Población por Edad M'!C93*1000</f>
        <v>40.981557288566584</v>
      </c>
      <c r="C72" s="55">
        <f>+'Muertes por Edad M'!D93/'Población por Edad M'!D93*1000</f>
        <v>41.718572599296913</v>
      </c>
      <c r="D72" s="55">
        <f>+'Muertes por Edad M'!E93/'Población por Edad M'!E93*1000</f>
        <v>41.165781319548657</v>
      </c>
      <c r="E72" s="55">
        <f>+'Muertes por Edad M'!F93/'Población por Edad M'!F93*1000</f>
        <v>41.139066366211303</v>
      </c>
      <c r="F72" s="55">
        <f>+'Muertes por Edad M'!G93/'Población por Edad M'!G93*1000</f>
        <v>39.671275418845212</v>
      </c>
      <c r="G72" s="55">
        <f>+'Muertes por Edad M'!H93/'Población por Edad M'!H93*1000</f>
        <v>41.022613121092611</v>
      </c>
      <c r="H72" s="55">
        <f>+'Muertes por Edad M'!I93/'Población por Edad M'!I93*1000</f>
        <v>40.386709210859742</v>
      </c>
      <c r="I72" s="55">
        <f>+'Muertes por Edad M'!J93/'Población por Edad M'!J93*1000</f>
        <v>37.248805158693244</v>
      </c>
      <c r="J72" s="55">
        <f>+'Muertes por Edad M'!K93/'Población por Edad M'!K93*1000</f>
        <v>38.975201268018296</v>
      </c>
      <c r="K72" s="55">
        <f>+'Muertes por Edad M'!L93/'Población por Edad M'!L93*1000</f>
        <v>36.297942112046087</v>
      </c>
      <c r="L72" s="55">
        <f>+'Muertes por Edad M'!M93/'Población por Edad M'!M93*1000</f>
        <v>34.89615158985702</v>
      </c>
      <c r="M72" s="55">
        <f>+'Muertes por Edad M'!N93/'Población por Edad M'!N93*1000</f>
        <v>35.527835071896845</v>
      </c>
      <c r="N72" s="55">
        <f>+'Muertes por Edad M'!O93/'Población por Edad M'!O93*1000</f>
        <v>35.750499707415464</v>
      </c>
      <c r="O72" s="55">
        <f>+'Muertes por Edad M'!P93/'Población por Edad M'!P93*1000</f>
        <v>35.748221326619891</v>
      </c>
      <c r="P72" s="55">
        <f>+'Muertes por Edad M'!Q93/'Población por Edad M'!Q93*1000</f>
        <v>34.634874030600088</v>
      </c>
      <c r="Q72" s="55">
        <f>+'Muertes por Edad M'!R93/'Población por Edad M'!R93*1000</f>
        <v>35.511263153406325</v>
      </c>
      <c r="R72" s="55">
        <f>+'Muertes por Edad M'!S93/'Población por Edad M'!S93*1000</f>
        <v>35.786079983809572</v>
      </c>
      <c r="S72" s="72">
        <v>70</v>
      </c>
      <c r="T72" s="73">
        <f t="shared" si="3"/>
        <v>38.027202866281399</v>
      </c>
      <c r="U72" s="81">
        <f t="shared" ref="U72:U101" si="4">+$V$1*EXP(S72*$V$2)</f>
        <v>30.521512262039984</v>
      </c>
    </row>
    <row r="73" spans="1:21">
      <c r="A73">
        <v>71</v>
      </c>
      <c r="B73" s="55">
        <f>+'Muertes por Edad M'!C94/'Población por Edad M'!C94*1000</f>
        <v>40.981557288566584</v>
      </c>
      <c r="C73" s="55">
        <f>+'Muertes por Edad M'!D94/'Población por Edad M'!D94*1000</f>
        <v>41.718572599296905</v>
      </c>
      <c r="D73" s="55">
        <f>+'Muertes por Edad M'!E94/'Población por Edad M'!E94*1000</f>
        <v>41.165781319548671</v>
      </c>
      <c r="E73" s="55">
        <f>+'Muertes por Edad M'!F94/'Población por Edad M'!F94*1000</f>
        <v>41.139066366211303</v>
      </c>
      <c r="F73" s="55">
        <f>+'Muertes por Edad M'!G94/'Población por Edad M'!G94*1000</f>
        <v>39.671275418845212</v>
      </c>
      <c r="G73" s="55">
        <f>+'Muertes por Edad M'!H94/'Población por Edad M'!H94*1000</f>
        <v>41.022613121092604</v>
      </c>
      <c r="H73" s="55">
        <f>+'Muertes por Edad M'!I94/'Población por Edad M'!I94*1000</f>
        <v>40.386709210859735</v>
      </c>
      <c r="I73" s="55">
        <f>+'Muertes por Edad M'!J94/'Población por Edad M'!J94*1000</f>
        <v>37.248805158693244</v>
      </c>
      <c r="J73" s="55">
        <f>+'Muertes por Edad M'!K94/'Población por Edad M'!K94*1000</f>
        <v>38.975201268018303</v>
      </c>
      <c r="K73" s="55">
        <f>+'Muertes por Edad M'!L94/'Población por Edad M'!L94*1000</f>
        <v>36.297942112046094</v>
      </c>
      <c r="L73" s="55">
        <f>+'Muertes por Edad M'!M94/'Población por Edad M'!M94*1000</f>
        <v>34.89615158985702</v>
      </c>
      <c r="M73" s="55">
        <f>+'Muertes por Edad M'!N94/'Población por Edad M'!N94*1000</f>
        <v>35.527835071896838</v>
      </c>
      <c r="N73" s="55">
        <f>+'Muertes por Edad M'!O94/'Población por Edad M'!O94*1000</f>
        <v>35.750499707415457</v>
      </c>
      <c r="O73" s="55">
        <f>+'Muertes por Edad M'!P94/'Población por Edad M'!P94*1000</f>
        <v>35.748221326619891</v>
      </c>
      <c r="P73" s="55">
        <f>+'Muertes por Edad M'!Q94/'Población por Edad M'!Q94*1000</f>
        <v>34.634874030600088</v>
      </c>
      <c r="Q73" s="55">
        <f>+'Muertes por Edad M'!R94/'Población por Edad M'!R94*1000</f>
        <v>35.511263153406333</v>
      </c>
      <c r="R73" s="55">
        <f>+'Muertes por Edad M'!S94/'Población por Edad M'!S94*1000</f>
        <v>35.786079983809572</v>
      </c>
      <c r="S73" s="72">
        <v>71</v>
      </c>
      <c r="T73" s="73">
        <f t="shared" si="3"/>
        <v>38.027202866281407</v>
      </c>
      <c r="U73" s="81">
        <f t="shared" si="4"/>
        <v>32.420492189633137</v>
      </c>
    </row>
    <row r="74" spans="1:21">
      <c r="A74">
        <v>72</v>
      </c>
      <c r="B74" s="55">
        <f>+'Muertes por Edad M'!C95/'Población por Edad M'!C95*1000</f>
        <v>40.981557288566584</v>
      </c>
      <c r="C74" s="55">
        <f>+'Muertes por Edad M'!D95/'Población por Edad M'!D95*1000</f>
        <v>41.718572599296913</v>
      </c>
      <c r="D74" s="55">
        <f>+'Muertes por Edad M'!E95/'Población por Edad M'!E95*1000</f>
        <v>41.165781319548664</v>
      </c>
      <c r="E74" s="55">
        <f>+'Muertes por Edad M'!F95/'Población por Edad M'!F95*1000</f>
        <v>41.139066366211303</v>
      </c>
      <c r="F74" s="55">
        <f>+'Muertes por Edad M'!G95/'Población por Edad M'!G95*1000</f>
        <v>39.671275418845205</v>
      </c>
      <c r="G74" s="55">
        <f>+'Muertes por Edad M'!H95/'Población por Edad M'!H95*1000</f>
        <v>41.022613121092604</v>
      </c>
      <c r="H74" s="55">
        <f>+'Muertes por Edad M'!I95/'Población por Edad M'!I95*1000</f>
        <v>40.386709210859735</v>
      </c>
      <c r="I74" s="55">
        <f>+'Muertes por Edad M'!J95/'Población por Edad M'!J95*1000</f>
        <v>37.248805158693244</v>
      </c>
      <c r="J74" s="55">
        <f>+'Muertes por Edad M'!K95/'Población por Edad M'!K95*1000</f>
        <v>38.975201268018303</v>
      </c>
      <c r="K74" s="55">
        <f>+'Muertes por Edad M'!L95/'Población por Edad M'!L95*1000</f>
        <v>36.297942112046094</v>
      </c>
      <c r="L74" s="55">
        <f>+'Muertes por Edad M'!M95/'Población por Edad M'!M95*1000</f>
        <v>34.89615158985702</v>
      </c>
      <c r="M74" s="55">
        <f>+'Muertes por Edad M'!N95/'Población por Edad M'!N95*1000</f>
        <v>35.527835071896845</v>
      </c>
      <c r="N74" s="55">
        <f>+'Muertes por Edad M'!O95/'Población por Edad M'!O95*1000</f>
        <v>35.750499707415457</v>
      </c>
      <c r="O74" s="55">
        <f>+'Muertes por Edad M'!P95/'Población por Edad M'!P95*1000</f>
        <v>35.748221326619891</v>
      </c>
      <c r="P74" s="55">
        <f>+'Muertes por Edad M'!Q95/'Población por Edad M'!Q95*1000</f>
        <v>34.634874030600095</v>
      </c>
      <c r="Q74" s="55">
        <f>+'Muertes por Edad M'!R95/'Población por Edad M'!R95*1000</f>
        <v>35.511263153406333</v>
      </c>
      <c r="R74" s="55">
        <f>+'Muertes por Edad M'!S95/'Población por Edad M'!S95*1000</f>
        <v>35.786079983809579</v>
      </c>
      <c r="S74" s="72">
        <v>72</v>
      </c>
      <c r="T74" s="73">
        <f t="shared" si="3"/>
        <v>38.027202866281407</v>
      </c>
      <c r="U74" s="81">
        <f t="shared" si="4"/>
        <v>34.437622382339057</v>
      </c>
    </row>
    <row r="75" spans="1:21">
      <c r="A75">
        <v>73</v>
      </c>
      <c r="B75" s="55">
        <f>+'Muertes por Edad M'!C96/'Población por Edad M'!C96*1000</f>
        <v>40.981557288566584</v>
      </c>
      <c r="C75" s="55">
        <f>+'Muertes por Edad M'!D96/'Población por Edad M'!D96*1000</f>
        <v>41.718572599296913</v>
      </c>
      <c r="D75" s="55">
        <f>+'Muertes por Edad M'!E96/'Población por Edad M'!E96*1000</f>
        <v>41.165781319548664</v>
      </c>
      <c r="E75" s="55">
        <f>+'Muertes por Edad M'!F96/'Población por Edad M'!F96*1000</f>
        <v>41.139066366211303</v>
      </c>
      <c r="F75" s="55">
        <f>+'Muertes por Edad M'!G96/'Población por Edad M'!G96*1000</f>
        <v>39.671275418845212</v>
      </c>
      <c r="G75" s="55">
        <f>+'Muertes por Edad M'!H96/'Población por Edad M'!H96*1000</f>
        <v>41.022613121092611</v>
      </c>
      <c r="H75" s="55">
        <f>+'Muertes por Edad M'!I96/'Población por Edad M'!I96*1000</f>
        <v>40.386709210859742</v>
      </c>
      <c r="I75" s="55">
        <f>+'Muertes por Edad M'!J96/'Población por Edad M'!J96*1000</f>
        <v>37.248805158693244</v>
      </c>
      <c r="J75" s="55">
        <f>+'Muertes por Edad M'!K96/'Población por Edad M'!K96*1000</f>
        <v>38.975201268018303</v>
      </c>
      <c r="K75" s="55">
        <f>+'Muertes por Edad M'!L96/'Población por Edad M'!L96*1000</f>
        <v>36.297942112046101</v>
      </c>
      <c r="L75" s="55">
        <f>+'Muertes por Edad M'!M96/'Población por Edad M'!M96*1000</f>
        <v>34.89615158985702</v>
      </c>
      <c r="M75" s="55">
        <f>+'Muertes por Edad M'!N96/'Población por Edad M'!N96*1000</f>
        <v>35.527835071896845</v>
      </c>
      <c r="N75" s="55">
        <f>+'Muertes por Edad M'!O96/'Población por Edad M'!O96*1000</f>
        <v>35.750499707415464</v>
      </c>
      <c r="O75" s="55">
        <f>+'Muertes por Edad M'!P96/'Población por Edad M'!P96*1000</f>
        <v>35.748221326619891</v>
      </c>
      <c r="P75" s="55">
        <f>+'Muertes por Edad M'!Q96/'Población por Edad M'!Q96*1000</f>
        <v>34.634874030600095</v>
      </c>
      <c r="Q75" s="55">
        <f>+'Muertes por Edad M'!R96/'Población por Edad M'!R96*1000</f>
        <v>35.511263153406325</v>
      </c>
      <c r="R75" s="55">
        <f>+'Muertes por Edad M'!S96/'Población por Edad M'!S96*1000</f>
        <v>35.786079983809572</v>
      </c>
      <c r="S75" s="72">
        <v>73</v>
      </c>
      <c r="T75" s="73">
        <f t="shared" si="3"/>
        <v>38.027202866281407</v>
      </c>
      <c r="U75" s="81">
        <f t="shared" si="4"/>
        <v>36.580253884233173</v>
      </c>
    </row>
    <row r="76" spans="1:21">
      <c r="A76">
        <v>74</v>
      </c>
      <c r="B76" s="55">
        <f>+'Muertes por Edad M'!C97/'Población por Edad M'!C97*1000</f>
        <v>40.981557288566584</v>
      </c>
      <c r="C76" s="55">
        <f>+'Muertes por Edad M'!D97/'Población por Edad M'!D97*1000</f>
        <v>41.718572599296913</v>
      </c>
      <c r="D76" s="55">
        <f>+'Muertes por Edad M'!E97/'Población por Edad M'!E97*1000</f>
        <v>41.165781319548664</v>
      </c>
      <c r="E76" s="55">
        <f>+'Muertes por Edad M'!F97/'Población por Edad M'!F97*1000</f>
        <v>41.139066366211303</v>
      </c>
      <c r="F76" s="55">
        <f>+'Muertes por Edad M'!G97/'Población por Edad M'!G97*1000</f>
        <v>39.671275418845212</v>
      </c>
      <c r="G76" s="55">
        <f>+'Muertes por Edad M'!H97/'Población por Edad M'!H97*1000</f>
        <v>41.022613121092611</v>
      </c>
      <c r="H76" s="55">
        <f>+'Muertes por Edad M'!I97/'Población por Edad M'!I97*1000</f>
        <v>40.386709210859742</v>
      </c>
      <c r="I76" s="55">
        <f>+'Muertes por Edad M'!J97/'Población por Edad M'!J97*1000</f>
        <v>37.248805158693244</v>
      </c>
      <c r="J76" s="55">
        <f>+'Muertes por Edad M'!K97/'Población por Edad M'!K97*1000</f>
        <v>38.975201268018303</v>
      </c>
      <c r="K76" s="55">
        <f>+'Muertes por Edad M'!L97/'Población por Edad M'!L97*1000</f>
        <v>36.297942112046087</v>
      </c>
      <c r="L76" s="55">
        <f>+'Muertes por Edad M'!M97/'Población por Edad M'!M97*1000</f>
        <v>34.89615158985702</v>
      </c>
      <c r="M76" s="55">
        <f>+'Muertes por Edad M'!N97/'Población por Edad M'!N97*1000</f>
        <v>35.527835071896845</v>
      </c>
      <c r="N76" s="55">
        <f>+'Muertes por Edad M'!O97/'Población por Edad M'!O97*1000</f>
        <v>35.750499707415457</v>
      </c>
      <c r="O76" s="55">
        <f>+'Muertes por Edad M'!P97/'Población por Edad M'!P97*1000</f>
        <v>35.748221326619891</v>
      </c>
      <c r="P76" s="55">
        <f>+'Muertes por Edad M'!Q97/'Población por Edad M'!Q97*1000</f>
        <v>34.634874030600088</v>
      </c>
      <c r="Q76" s="55">
        <f>+'Muertes por Edad M'!R97/'Población por Edad M'!R97*1000</f>
        <v>35.511263153406325</v>
      </c>
      <c r="R76" s="55">
        <f>+'Muertes por Edad M'!S97/'Población por Edad M'!S97*1000</f>
        <v>35.786079983809572</v>
      </c>
      <c r="S76" s="72">
        <v>74</v>
      </c>
      <c r="T76" s="73">
        <f t="shared" si="3"/>
        <v>38.027202866281399</v>
      </c>
      <c r="U76" s="81">
        <f t="shared" si="4"/>
        <v>38.856195104839557</v>
      </c>
    </row>
    <row r="77" spans="1:21">
      <c r="A77">
        <v>75</v>
      </c>
      <c r="B77" s="55">
        <f>+'Muertes por Edad M'!C98/'Población por Edad M'!C98*1000</f>
        <v>59.206373918116633</v>
      </c>
      <c r="C77" s="55">
        <f>+'Muertes por Edad M'!D98/'Población por Edad M'!D98*1000</f>
        <v>59.713305209136507</v>
      </c>
      <c r="D77" s="55">
        <f>+'Muertes por Edad M'!E98/'Población por Edad M'!E98*1000</f>
        <v>59.746566718187744</v>
      </c>
      <c r="E77" s="55">
        <f>+'Muertes por Edad M'!F98/'Población por Edad M'!F98*1000</f>
        <v>56.924528223778729</v>
      </c>
      <c r="F77" s="55">
        <f>+'Muertes por Edad M'!G98/'Población por Edad M'!G98*1000</f>
        <v>57.095965541592093</v>
      </c>
      <c r="G77" s="55">
        <f>+'Muertes por Edad M'!H98/'Población por Edad M'!H98*1000</f>
        <v>54.006462597887769</v>
      </c>
      <c r="H77" s="55">
        <f>+'Muertes por Edad M'!I98/'Población por Edad M'!I98*1000</f>
        <v>54.466154034465561</v>
      </c>
      <c r="I77" s="55">
        <f>+'Muertes por Edad M'!J98/'Población por Edad M'!J98*1000</f>
        <v>52.043258116915631</v>
      </c>
      <c r="J77" s="55">
        <f>+'Muertes por Edad M'!K98/'Población por Edad M'!K98*1000</f>
        <v>57.119786701633885</v>
      </c>
      <c r="K77" s="55">
        <f>+'Muertes por Edad M'!L98/'Población por Edad M'!L98*1000</f>
        <v>56.061334154830007</v>
      </c>
      <c r="L77" s="55">
        <f>+'Muertes por Edad M'!M98/'Población por Edad M'!M98*1000</f>
        <v>55.858826146527328</v>
      </c>
      <c r="M77" s="55">
        <f>+'Muertes por Edad M'!N98/'Población por Edad M'!N98*1000</f>
        <v>54.69597889817652</v>
      </c>
      <c r="N77" s="55">
        <f>+'Muertes por Edad M'!O98/'Población por Edad M'!O98*1000</f>
        <v>54.36045861642836</v>
      </c>
      <c r="O77" s="55">
        <f>+'Muertes por Edad M'!P98/'Población por Edad M'!P98*1000</f>
        <v>56.189240460034235</v>
      </c>
      <c r="P77" s="55">
        <f>+'Muertes por Edad M'!Q98/'Población por Edad M'!Q98*1000</f>
        <v>54.060401030298294</v>
      </c>
      <c r="Q77" s="55">
        <f>+'Muertes por Edad M'!R98/'Población por Edad M'!R98*1000</f>
        <v>53.322695495120854</v>
      </c>
      <c r="R77" s="55">
        <f>+'Muertes por Edad M'!S98/'Población por Edad M'!S98*1000</f>
        <v>52.219570394004315</v>
      </c>
      <c r="S77" s="72">
        <v>75</v>
      </c>
      <c r="T77" s="73">
        <f t="shared" si="3"/>
        <v>55.711229779831434</v>
      </c>
      <c r="U77" s="81">
        <f t="shared" si="4"/>
        <v>41.273740275381613</v>
      </c>
    </row>
    <row r="78" spans="1:21">
      <c r="A78">
        <v>76</v>
      </c>
      <c r="B78" s="55">
        <f>+'Muertes por Edad M'!C99/'Población por Edad M'!C99*1000</f>
        <v>59.20637391811664</v>
      </c>
      <c r="C78" s="55">
        <f>+'Muertes por Edad M'!D99/'Población por Edad M'!D99*1000</f>
        <v>59.713305209136507</v>
      </c>
      <c r="D78" s="55">
        <f>+'Muertes por Edad M'!E99/'Población por Edad M'!E99*1000</f>
        <v>59.746566718187751</v>
      </c>
      <c r="E78" s="55">
        <f>+'Muertes por Edad M'!F99/'Población por Edad M'!F99*1000</f>
        <v>56.924528223778736</v>
      </c>
      <c r="F78" s="55">
        <f>+'Muertes por Edad M'!G99/'Población por Edad M'!G99*1000</f>
        <v>57.095965541592093</v>
      </c>
      <c r="G78" s="55">
        <f>+'Muertes por Edad M'!H99/'Población por Edad M'!H99*1000</f>
        <v>54.006462597887769</v>
      </c>
      <c r="H78" s="55">
        <f>+'Muertes por Edad M'!I99/'Población por Edad M'!I99*1000</f>
        <v>54.466154034465568</v>
      </c>
      <c r="I78" s="55">
        <f>+'Muertes por Edad M'!J99/'Población por Edad M'!J99*1000</f>
        <v>52.043258116915624</v>
      </c>
      <c r="J78" s="55">
        <f>+'Muertes por Edad M'!K99/'Población por Edad M'!K99*1000</f>
        <v>57.119786701633885</v>
      </c>
      <c r="K78" s="55">
        <f>+'Muertes por Edad M'!L99/'Población por Edad M'!L99*1000</f>
        <v>56.061334154830007</v>
      </c>
      <c r="L78" s="55">
        <f>+'Muertes por Edad M'!M99/'Población por Edad M'!M99*1000</f>
        <v>55.858826146527335</v>
      </c>
      <c r="M78" s="55">
        <f>+'Muertes por Edad M'!N99/'Población por Edad M'!N99*1000</f>
        <v>54.695978898176527</v>
      </c>
      <c r="N78" s="55">
        <f>+'Muertes por Edad M'!O99/'Población por Edad M'!O99*1000</f>
        <v>54.360458616428367</v>
      </c>
      <c r="O78" s="55">
        <f>+'Muertes por Edad M'!P99/'Población por Edad M'!P99*1000</f>
        <v>56.189240460034242</v>
      </c>
      <c r="P78" s="55">
        <f>+'Muertes por Edad M'!Q99/'Población por Edad M'!Q99*1000</f>
        <v>54.060401030298301</v>
      </c>
      <c r="Q78" s="55">
        <f>+'Muertes por Edad M'!R99/'Población por Edad M'!R99*1000</f>
        <v>53.322695495120861</v>
      </c>
      <c r="R78" s="55">
        <f>+'Muertes por Edad M'!S99/'Población por Edad M'!S99*1000</f>
        <v>52.219570394004315</v>
      </c>
      <c r="S78" s="72">
        <v>76</v>
      </c>
      <c r="T78" s="73">
        <f t="shared" si="3"/>
        <v>55.711229779831449</v>
      </c>
      <c r="U78" s="81">
        <f t="shared" si="4"/>
        <v>43.841699675516658</v>
      </c>
    </row>
    <row r="79" spans="1:21">
      <c r="A79">
        <v>77</v>
      </c>
      <c r="B79" s="55">
        <f>+'Muertes por Edad M'!C100/'Población por Edad M'!C100*1000</f>
        <v>59.206373918116626</v>
      </c>
      <c r="C79" s="55">
        <f>+'Muertes por Edad M'!D100/'Población por Edad M'!D100*1000</f>
        <v>59.713305209136507</v>
      </c>
      <c r="D79" s="55">
        <f>+'Muertes por Edad M'!E100/'Población por Edad M'!E100*1000</f>
        <v>59.746566718187744</v>
      </c>
      <c r="E79" s="55">
        <f>+'Muertes por Edad M'!F100/'Población por Edad M'!F100*1000</f>
        <v>56.924528223778736</v>
      </c>
      <c r="F79" s="55">
        <f>+'Muertes por Edad M'!G100/'Población por Edad M'!G100*1000</f>
        <v>57.095965541592101</v>
      </c>
      <c r="G79" s="55">
        <f>+'Muertes por Edad M'!H100/'Población por Edad M'!H100*1000</f>
        <v>54.006462597887769</v>
      </c>
      <c r="H79" s="55">
        <f>+'Muertes por Edad M'!I100/'Población por Edad M'!I100*1000</f>
        <v>54.466154034465568</v>
      </c>
      <c r="I79" s="55">
        <f>+'Muertes por Edad M'!J100/'Población por Edad M'!J100*1000</f>
        <v>52.043258116915631</v>
      </c>
      <c r="J79" s="55">
        <f>+'Muertes por Edad M'!K100/'Población por Edad M'!K100*1000</f>
        <v>57.119786701633885</v>
      </c>
      <c r="K79" s="55">
        <f>+'Muertes por Edad M'!L100/'Población por Edad M'!L100*1000</f>
        <v>56.061334154830007</v>
      </c>
      <c r="L79" s="55">
        <f>+'Muertes por Edad M'!M100/'Población por Edad M'!M100*1000</f>
        <v>55.858826146527328</v>
      </c>
      <c r="M79" s="55">
        <f>+'Muertes por Edad M'!N100/'Población por Edad M'!N100*1000</f>
        <v>54.69597889817652</v>
      </c>
      <c r="N79" s="55">
        <f>+'Muertes por Edad M'!O100/'Población por Edad M'!O100*1000</f>
        <v>54.36045861642836</v>
      </c>
      <c r="O79" s="55">
        <f>+'Muertes por Edad M'!P100/'Población por Edad M'!P100*1000</f>
        <v>56.189240460034249</v>
      </c>
      <c r="P79" s="55">
        <f>+'Muertes por Edad M'!Q100/'Población por Edad M'!Q100*1000</f>
        <v>54.060401030298294</v>
      </c>
      <c r="Q79" s="55">
        <f>+'Muertes por Edad M'!R100/'Población por Edad M'!R100*1000</f>
        <v>53.322695495120854</v>
      </c>
      <c r="R79" s="55">
        <f>+'Muertes por Edad M'!S100/'Población por Edad M'!S100*1000</f>
        <v>52.219570394004315</v>
      </c>
      <c r="S79" s="72">
        <v>77</v>
      </c>
      <c r="T79" s="73">
        <f t="shared" si="3"/>
        <v>55.711229779831434</v>
      </c>
      <c r="U79" s="81">
        <f t="shared" si="4"/>
        <v>46.569431740710492</v>
      </c>
    </row>
    <row r="80" spans="1:21">
      <c r="A80">
        <v>78</v>
      </c>
      <c r="B80" s="55">
        <f>+'Muertes por Edad M'!C101/'Población por Edad M'!C101*1000</f>
        <v>59.20637391811664</v>
      </c>
      <c r="C80" s="55">
        <f>+'Muertes por Edad M'!D101/'Población por Edad M'!D101*1000</f>
        <v>59.7133052091365</v>
      </c>
      <c r="D80" s="55">
        <f>+'Muertes por Edad M'!E101/'Población por Edad M'!E101*1000</f>
        <v>59.746566718187751</v>
      </c>
      <c r="E80" s="55">
        <f>+'Muertes por Edad M'!F101/'Población por Edad M'!F101*1000</f>
        <v>56.924528223778729</v>
      </c>
      <c r="F80" s="55">
        <f>+'Muertes por Edad M'!G101/'Población por Edad M'!G101*1000</f>
        <v>57.095965541592093</v>
      </c>
      <c r="G80" s="55">
        <f>+'Muertes por Edad M'!H101/'Población por Edad M'!H101*1000</f>
        <v>54.006462597887776</v>
      </c>
      <c r="H80" s="55">
        <f>+'Muertes por Edad M'!I101/'Población por Edad M'!I101*1000</f>
        <v>54.466154034465561</v>
      </c>
      <c r="I80" s="55">
        <f>+'Muertes por Edad M'!J101/'Población por Edad M'!J101*1000</f>
        <v>52.043258116915631</v>
      </c>
      <c r="J80" s="55">
        <f>+'Muertes por Edad M'!K101/'Población por Edad M'!K101*1000</f>
        <v>57.119786701633892</v>
      </c>
      <c r="K80" s="55">
        <f>+'Muertes por Edad M'!L101/'Población por Edad M'!L101*1000</f>
        <v>56.061334154830007</v>
      </c>
      <c r="L80" s="55">
        <f>+'Muertes por Edad M'!M101/'Población por Edad M'!M101*1000</f>
        <v>55.858826146527335</v>
      </c>
      <c r="M80" s="55">
        <f>+'Muertes por Edad M'!N101/'Población por Edad M'!N101*1000</f>
        <v>54.69597889817652</v>
      </c>
      <c r="N80" s="55">
        <f>+'Muertes por Edad M'!O101/'Población por Edad M'!O101*1000</f>
        <v>54.36045861642836</v>
      </c>
      <c r="O80" s="55">
        <f>+'Muertes por Edad M'!P101/'Población por Edad M'!P101*1000</f>
        <v>56.189240460034249</v>
      </c>
      <c r="P80" s="55">
        <f>+'Muertes por Edad M'!Q101/'Población por Edad M'!Q101*1000</f>
        <v>54.060401030298294</v>
      </c>
      <c r="Q80" s="55">
        <f>+'Muertes por Edad M'!R101/'Población por Edad M'!R101*1000</f>
        <v>53.322695495120854</v>
      </c>
      <c r="R80" s="55">
        <f>+'Muertes por Edad M'!S101/'Población por Edad M'!S101*1000</f>
        <v>52.219570394004307</v>
      </c>
      <c r="S80" s="72">
        <v>78</v>
      </c>
      <c r="T80" s="73">
        <f t="shared" si="3"/>
        <v>55.711229779831434</v>
      </c>
      <c r="U80" s="81">
        <f t="shared" si="4"/>
        <v>49.466877167260201</v>
      </c>
    </row>
    <row r="81" spans="1:21">
      <c r="A81">
        <v>79</v>
      </c>
      <c r="B81" s="55">
        <f>+'Muertes por Edad M'!C102/'Población por Edad M'!C102*1000</f>
        <v>59.206373918116633</v>
      </c>
      <c r="C81" s="55">
        <f>+'Muertes por Edad M'!D102/'Población por Edad M'!D102*1000</f>
        <v>59.713305209136507</v>
      </c>
      <c r="D81" s="55">
        <f>+'Muertes por Edad M'!E102/'Población por Edad M'!E102*1000</f>
        <v>59.746566718187751</v>
      </c>
      <c r="E81" s="55">
        <f>+'Muertes por Edad M'!F102/'Población por Edad M'!F102*1000</f>
        <v>56.924528223778736</v>
      </c>
      <c r="F81" s="55">
        <f>+'Muertes por Edad M'!G102/'Población por Edad M'!G102*1000</f>
        <v>57.095965541592101</v>
      </c>
      <c r="G81" s="55">
        <f>+'Muertes por Edad M'!H102/'Población por Edad M'!H102*1000</f>
        <v>54.006462597887761</v>
      </c>
      <c r="H81" s="55">
        <f>+'Muertes por Edad M'!I102/'Población por Edad M'!I102*1000</f>
        <v>54.466154034465561</v>
      </c>
      <c r="I81" s="55">
        <f>+'Muertes por Edad M'!J102/'Población por Edad M'!J102*1000</f>
        <v>52.043258116915624</v>
      </c>
      <c r="J81" s="55">
        <f>+'Muertes por Edad M'!K102/'Población por Edad M'!K102*1000</f>
        <v>57.119786701633892</v>
      </c>
      <c r="K81" s="55">
        <f>+'Muertes por Edad M'!L102/'Población por Edad M'!L102*1000</f>
        <v>56.061334154830014</v>
      </c>
      <c r="L81" s="55">
        <f>+'Muertes por Edad M'!M102/'Población por Edad M'!M102*1000</f>
        <v>55.858826146527328</v>
      </c>
      <c r="M81" s="55">
        <f>+'Muertes por Edad M'!N102/'Población por Edad M'!N102*1000</f>
        <v>54.695978898176527</v>
      </c>
      <c r="N81" s="55">
        <f>+'Muertes por Edad M'!O102/'Población por Edad M'!O102*1000</f>
        <v>54.36045861642836</v>
      </c>
      <c r="O81" s="55">
        <f>+'Muertes por Edad M'!P102/'Población por Edad M'!P102*1000</f>
        <v>56.189240460034242</v>
      </c>
      <c r="P81" s="55">
        <f>+'Muertes por Edad M'!Q102/'Población por Edad M'!Q102*1000</f>
        <v>54.060401030298294</v>
      </c>
      <c r="Q81" s="55">
        <f>+'Muertes por Edad M'!R102/'Población por Edad M'!R102*1000</f>
        <v>53.322695495120854</v>
      </c>
      <c r="R81" s="55">
        <f>+'Muertes por Edad M'!S102/'Población por Edad M'!S102*1000</f>
        <v>52.219570394004315</v>
      </c>
      <c r="S81" s="72">
        <v>79</v>
      </c>
      <c r="T81" s="73">
        <f t="shared" si="3"/>
        <v>55.711229779831449</v>
      </c>
      <c r="U81" s="81">
        <f t="shared" si="4"/>
        <v>52.544595139255144</v>
      </c>
    </row>
    <row r="82" spans="1:21">
      <c r="S82" s="72">
        <v>80</v>
      </c>
      <c r="U82" s="81">
        <f t="shared" si="4"/>
        <v>55.813801809497797</v>
      </c>
    </row>
    <row r="83" spans="1:21">
      <c r="S83" s="72">
        <v>81</v>
      </c>
      <c r="U83" s="81">
        <f t="shared" si="4"/>
        <v>59.286411174621513</v>
      </c>
    </row>
    <row r="84" spans="1:21">
      <c r="S84" s="72">
        <v>82</v>
      </c>
      <c r="U84" s="81">
        <f t="shared" si="4"/>
        <v>62.975078493365828</v>
      </c>
    </row>
    <row r="85" spans="1:21">
      <c r="S85" s="72">
        <v>83</v>
      </c>
      <c r="U85" s="81">
        <f t="shared" si="4"/>
        <v>66.893246406239541</v>
      </c>
    </row>
    <row r="86" spans="1:21">
      <c r="S86" s="72">
        <v>84</v>
      </c>
      <c r="U86" s="81">
        <f t="shared" si="4"/>
        <v>71.055193924645408</v>
      </c>
    </row>
    <row r="87" spans="1:21">
      <c r="S87" s="72">
        <v>85</v>
      </c>
      <c r="U87" s="81">
        <f t="shared" si="4"/>
        <v>75.476088467998608</v>
      </c>
    </row>
    <row r="88" spans="1:21">
      <c r="S88" s="72">
        <v>86</v>
      </c>
      <c r="U88" s="81">
        <f t="shared" si="4"/>
        <v>80.17204113847734</v>
      </c>
    </row>
    <row r="89" spans="1:21">
      <c r="S89" s="72">
        <v>87</v>
      </c>
      <c r="U89" s="81">
        <f t="shared" si="4"/>
        <v>85.160165434844203</v>
      </c>
    </row>
    <row r="90" spans="1:21">
      <c r="S90" s="72">
        <v>88</v>
      </c>
      <c r="U90" s="81">
        <f t="shared" si="4"/>
        <v>90.458639619310219</v>
      </c>
    </row>
    <row r="91" spans="1:21">
      <c r="S91" s="72">
        <v>89</v>
      </c>
      <c r="U91" s="81">
        <f t="shared" si="4"/>
        <v>96.086772964724318</v>
      </c>
    </row>
    <row r="92" spans="1:21">
      <c r="S92" s="72">
        <v>90</v>
      </c>
      <c r="U92" s="81">
        <f t="shared" si="4"/>
        <v>102.06507612351473</v>
      </c>
    </row>
    <row r="93" spans="1:21">
      <c r="S93" s="72">
        <v>91</v>
      </c>
      <c r="U93" s="81">
        <f t="shared" si="4"/>
        <v>108.41533587482716</v>
      </c>
    </row>
    <row r="94" spans="1:21">
      <c r="S94" s="72">
        <v>92</v>
      </c>
      <c r="U94" s="81">
        <f t="shared" si="4"/>
        <v>115.16069452226287</v>
      </c>
    </row>
    <row r="95" spans="1:21">
      <c r="S95" s="72">
        <v>93</v>
      </c>
      <c r="U95" s="81">
        <f t="shared" si="4"/>
        <v>122.32573423156487</v>
      </c>
    </row>
    <row r="96" spans="1:21">
      <c r="S96" s="72">
        <v>94</v>
      </c>
      <c r="U96" s="81">
        <f t="shared" si="4"/>
        <v>129.93656661560587</v>
      </c>
    </row>
    <row r="97" spans="19:21">
      <c r="S97" s="72">
        <v>95</v>
      </c>
      <c r="U97" s="81">
        <f t="shared" si="4"/>
        <v>138.02092789315267</v>
      </c>
    </row>
    <row r="98" spans="19:21">
      <c r="S98" s="72">
        <v>96</v>
      </c>
      <c r="U98" s="81">
        <f t="shared" si="4"/>
        <v>146.60827996819566</v>
      </c>
    </row>
    <row r="99" spans="19:21">
      <c r="S99" s="72">
        <v>97</v>
      </c>
      <c r="U99" s="81">
        <f t="shared" si="4"/>
        <v>155.72991779820651</v>
      </c>
    </row>
    <row r="100" spans="19:21">
      <c r="S100" s="72">
        <v>98</v>
      </c>
      <c r="U100" s="81">
        <f t="shared" si="4"/>
        <v>165.41908344260767</v>
      </c>
    </row>
    <row r="101" spans="19:21">
      <c r="S101" s="72">
        <v>99</v>
      </c>
      <c r="U101" s="81">
        <f t="shared" si="4"/>
        <v>175.7110872070821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sheetPr>
    <tabColor rgb="FFFF0000"/>
  </sheetPr>
  <dimension ref="A1:V101"/>
  <sheetViews>
    <sheetView topLeftCell="J1" workbookViewId="0">
      <selection activeCell="U7" sqref="U7"/>
    </sheetView>
  </sheetViews>
  <sheetFormatPr baseColWidth="10" defaultRowHeight="15"/>
  <cols>
    <col min="19" max="19" width="11.42578125" style="69"/>
    <col min="20" max="20" width="11.42578125" style="69" customWidth="1"/>
    <col min="21" max="21" width="11.42578125" style="74"/>
    <col min="22" max="22" width="14.85546875" style="69" customWidth="1"/>
    <col min="23" max="23" width="16.42578125" customWidth="1"/>
  </cols>
  <sheetData>
    <row r="1" spans="1:22">
      <c r="A1" t="s">
        <v>95</v>
      </c>
      <c r="B1" s="2">
        <v>1995</v>
      </c>
      <c r="C1" s="2">
        <v>1996</v>
      </c>
      <c r="D1" s="2">
        <v>1997</v>
      </c>
      <c r="E1" s="2">
        <v>1998</v>
      </c>
      <c r="F1" s="2">
        <v>1999</v>
      </c>
      <c r="G1" s="2">
        <v>2000</v>
      </c>
      <c r="H1" s="2">
        <v>2001</v>
      </c>
      <c r="I1" s="2">
        <v>2002</v>
      </c>
      <c r="J1" s="2">
        <v>2003</v>
      </c>
      <c r="K1" s="2">
        <v>2004</v>
      </c>
      <c r="L1" s="2">
        <v>2005</v>
      </c>
      <c r="M1" s="2">
        <v>2006</v>
      </c>
      <c r="N1" s="2">
        <v>2007</v>
      </c>
      <c r="O1" s="2">
        <v>2008</v>
      </c>
      <c r="P1" s="2">
        <v>2009</v>
      </c>
      <c r="Q1" s="2">
        <v>2010</v>
      </c>
      <c r="R1" s="2">
        <v>2011</v>
      </c>
      <c r="S1" s="72" t="str">
        <f>+A1</f>
        <v>edad</v>
      </c>
      <c r="T1" s="69" t="s">
        <v>96</v>
      </c>
      <c r="U1" s="74" t="s">
        <v>101</v>
      </c>
    </row>
    <row r="2" spans="1:22">
      <c r="A2">
        <v>0</v>
      </c>
      <c r="B2" s="55">
        <f>+'Muertes por Edad F'!C23/'Población por Edad F'!C23*1000</f>
        <v>22.128816284195654</v>
      </c>
      <c r="C2" s="55">
        <f>+'Muertes por Edad F'!D23/'Población por Edad F'!D23*1000</f>
        <v>21.144529880314757</v>
      </c>
      <c r="D2" s="55">
        <f>+'Muertes por Edad F'!E23/'Población por Edad F'!E23*1000</f>
        <v>19.648451848759603</v>
      </c>
      <c r="E2" s="55">
        <f>+'Muertes por Edad F'!F23/'Población por Edad F'!F23*1000</f>
        <v>18.881613454617835</v>
      </c>
      <c r="F2" s="55">
        <f>+'Muertes por Edad F'!G23/'Población por Edad F'!G23*1000</f>
        <v>17.575395177272814</v>
      </c>
      <c r="G2" s="55">
        <f>+'Muertes por Edad F'!H23/'Población por Edad F'!H23*1000</f>
        <v>16.527711760467351</v>
      </c>
      <c r="H2" s="55">
        <f>+'Muertes por Edad F'!I23/'Población por Edad F'!I23*1000</f>
        <v>16.304122196987581</v>
      </c>
      <c r="I2" s="55">
        <f>+'Muertes por Edad F'!J23/'Población por Edad F'!J23*1000</f>
        <v>16.273987747333738</v>
      </c>
      <c r="J2" s="55">
        <f>+'Muertes por Edad F'!K23/'Población por Edad F'!K23*1000</f>
        <v>18.141217791644539</v>
      </c>
      <c r="K2" s="55">
        <f>+'Muertes por Edad F'!L23/'Población por Edad F'!L23*1000</f>
        <v>16.219204260102703</v>
      </c>
      <c r="L2" s="55">
        <f>+'Muertes por Edad F'!M23/'Población por Edad F'!M23*1000</f>
        <v>15.976699035260285</v>
      </c>
      <c r="M2" s="55">
        <f>+'Muertes por Edad F'!N23/'Población por Edad F'!N23*1000</f>
        <v>14.703713092779287</v>
      </c>
      <c r="N2" s="55">
        <f>+'Muertes por Edad F'!O23/'Población por Edad F'!O23*1000</f>
        <v>14.364633162051852</v>
      </c>
      <c r="O2" s="55">
        <f>+'Muertes por Edad F'!P23/'Población por Edad F'!P23*1000</f>
        <v>14.631970211006008</v>
      </c>
      <c r="P2" s="55">
        <f>+'Muertes por Edad F'!Q23/'Población por Edad F'!Q23*1000</f>
        <v>15.384699039943778</v>
      </c>
      <c r="Q2" s="55">
        <f>+'Muertes por Edad F'!R23/'Población por Edad F'!R23*1000</f>
        <v>16.204077038393145</v>
      </c>
      <c r="R2" s="55">
        <f>+'Muertes por Edad F'!S23/'Población por Edad F'!S23*1000</f>
        <v>16.328963674473869</v>
      </c>
      <c r="S2" s="72">
        <v>0</v>
      </c>
      <c r="T2" s="55">
        <v>1.6527711760467353E-2</v>
      </c>
      <c r="U2" s="81">
        <f>+G2</f>
        <v>16.527711760467351</v>
      </c>
    </row>
    <row r="3" spans="1:22">
      <c r="A3">
        <v>1</v>
      </c>
      <c r="B3" s="55">
        <f>+'Muertes por Edad F'!C24/'Población por Edad F'!C24*1000</f>
        <v>2.6550979481916857</v>
      </c>
      <c r="C3" s="55">
        <f>+'Muertes por Edad F'!D24/'Población por Edad F'!D24*1000</f>
        <v>3.0678232657870539</v>
      </c>
      <c r="D3" s="55">
        <f>+'Muertes por Edad F'!E24/'Población por Edad F'!E24*1000</f>
        <v>2.4017942337904343</v>
      </c>
      <c r="E3" s="55">
        <f>+'Muertes por Edad F'!F24/'Población por Edad F'!F24*1000</f>
        <v>2.4996687589069673</v>
      </c>
      <c r="F3" s="55">
        <f>+'Muertes por Edad F'!G24/'Población por Edad F'!G24*1000</f>
        <v>2.3119157466134723</v>
      </c>
      <c r="G3" s="55">
        <f>+'Muertes por Edad F'!H24/'Población por Edad F'!H24*1000</f>
        <v>2.3232723800909527</v>
      </c>
      <c r="H3" s="55">
        <f>+'Muertes por Edad F'!I24/'Población por Edad F'!I24*1000</f>
        <v>2.3731733806175566</v>
      </c>
      <c r="I3" s="55">
        <f>+'Muertes por Edad F'!J24/'Población por Edad F'!J24*1000</f>
        <v>2.2248083967794217</v>
      </c>
      <c r="J3" s="55">
        <f>+'Muertes por Edad F'!K24/'Población por Edad F'!K24*1000</f>
        <v>2.9152629272712303</v>
      </c>
      <c r="K3" s="55">
        <f>+'Muertes por Edad F'!L24/'Población por Edad F'!L24*1000</f>
        <v>2.0475828073259144</v>
      </c>
      <c r="L3" s="55">
        <f>+'Muertes por Edad F'!M24/'Población por Edad F'!M24*1000</f>
        <v>1.6458712427030411</v>
      </c>
      <c r="M3" s="55">
        <f>+'Muertes por Edad F'!N24/'Población por Edad F'!N24*1000</f>
        <v>1.6049305880480591</v>
      </c>
      <c r="N3" s="55">
        <f>+'Muertes por Edad F'!O24/'Población por Edad F'!O24*1000</f>
        <v>1.4991215546235699</v>
      </c>
      <c r="O3" s="55">
        <f>+'Muertes por Edad F'!P24/'Población por Edad F'!P24*1000</f>
        <v>1.2117382405094297</v>
      </c>
      <c r="P3" s="55">
        <f>+'Muertes por Edad F'!Q24/'Población por Edad F'!Q24*1000</f>
        <v>1.2801231726358253</v>
      </c>
      <c r="Q3" s="55">
        <f>+'Muertes por Edad F'!R24/'Población por Edad F'!R24*1000</f>
        <v>1.2123228254405904</v>
      </c>
      <c r="R3" s="55">
        <f>+'Muertes por Edad F'!S24/'Población por Edad F'!S24*1000</f>
        <v>1.2498606443629665</v>
      </c>
      <c r="S3" s="72">
        <v>1</v>
      </c>
      <c r="T3" s="55">
        <v>2.3232723800909526E-3</v>
      </c>
      <c r="U3" s="81">
        <f t="shared" ref="U3:U6" si="0">+G3</f>
        <v>2.3232723800909527</v>
      </c>
    </row>
    <row r="4" spans="1:22">
      <c r="A4">
        <v>2</v>
      </c>
      <c r="B4" s="55">
        <f>+'Muertes por Edad F'!C25/'Población por Edad F'!C25*1000</f>
        <v>1.0387714237405434</v>
      </c>
      <c r="C4" s="55">
        <f>+'Muertes por Edad F'!D25/'Población por Edad F'!D25*1000</f>
        <v>1.1576635309381595</v>
      </c>
      <c r="D4" s="55">
        <f>+'Muertes por Edad F'!E25/'Población por Edad F'!E25*1000</f>
        <v>1.0573829675570059</v>
      </c>
      <c r="E4" s="55">
        <f>+'Muertes por Edad F'!F25/'Población por Edad F'!F25*1000</f>
        <v>1.0492973970081723</v>
      </c>
      <c r="F4" s="55">
        <f>+'Muertes por Edad F'!G25/'Población por Edad F'!G25*1000</f>
        <v>0.93952407517350922</v>
      </c>
      <c r="G4" s="55">
        <f>+'Muertes por Edad F'!H25/'Población por Edad F'!H25*1000</f>
        <v>0.90064575514138334</v>
      </c>
      <c r="H4" s="55">
        <f>+'Muertes por Edad F'!I25/'Población por Edad F'!I25*1000</f>
        <v>0.96072862368581913</v>
      </c>
      <c r="I4" s="55">
        <f>+'Muertes por Edad F'!J25/'Población por Edad F'!J25*1000</f>
        <v>0.7640420324209134</v>
      </c>
      <c r="J4" s="55">
        <f>+'Muertes por Edad F'!K25/'Población por Edad F'!K25*1000</f>
        <v>1.1524130253905125</v>
      </c>
      <c r="K4" s="55">
        <f>+'Muertes por Edad F'!L25/'Población por Edad F'!L25*1000</f>
        <v>0.85083748534872761</v>
      </c>
      <c r="L4" s="55">
        <f>+'Muertes por Edad F'!M25/'Población por Edad F'!M25*1000</f>
        <v>0.70072150548462098</v>
      </c>
      <c r="M4" s="55">
        <f>+'Muertes por Edad F'!N25/'Población por Edad F'!N25*1000</f>
        <v>0.6080240309171252</v>
      </c>
      <c r="N4" s="55">
        <f>+'Muertes por Edad F'!O25/'Población por Edad F'!O25*1000</f>
        <v>0.68014097726450629</v>
      </c>
      <c r="O4" s="55">
        <f>+'Muertes por Edad F'!P25/'Población por Edad F'!P25*1000</f>
        <v>0.61674692629824368</v>
      </c>
      <c r="P4" s="55">
        <f>+'Muertes por Edad F'!Q25/'Población por Edad F'!Q25*1000</f>
        <v>0.73213849552698074</v>
      </c>
      <c r="Q4" s="55">
        <f>+'Muertes por Edad F'!R25/'Población por Edad F'!R25*1000</f>
        <v>0.57740282255099318</v>
      </c>
      <c r="R4" s="55">
        <f>+'Muertes por Edad F'!S25/'Población por Edad F'!S25*1000</f>
        <v>0.69076213618629589</v>
      </c>
      <c r="S4" s="72">
        <v>2</v>
      </c>
      <c r="T4" s="55">
        <v>9.0064575514138339E-4</v>
      </c>
      <c r="U4" s="81">
        <f t="shared" si="0"/>
        <v>0.90064575514138334</v>
      </c>
      <c r="V4">
        <v>4.0000000000000002E-9</v>
      </c>
    </row>
    <row r="5" spans="1:22">
      <c r="A5">
        <v>3</v>
      </c>
      <c r="B5" s="55">
        <f>+'Muertes por Edad F'!C26/'Población por Edad F'!C26*1000</f>
        <v>0.65747026478187787</v>
      </c>
      <c r="C5" s="55">
        <f>+'Muertes por Edad F'!D26/'Población por Edad F'!D26*1000</f>
        <v>0.6747594572983171</v>
      </c>
      <c r="D5" s="55">
        <f>+'Muertes por Edad F'!E26/'Población por Edad F'!E26*1000</f>
        <v>0.65509645435396568</v>
      </c>
      <c r="E5" s="55">
        <f>+'Muertes por Edad F'!F26/'Población por Edad F'!F26*1000</f>
        <v>0.6691588812060566</v>
      </c>
      <c r="F5" s="55">
        <f>+'Muertes por Edad F'!G26/'Población por Edad F'!G26*1000</f>
        <v>0.67129877107437796</v>
      </c>
      <c r="G5" s="55">
        <f>+'Muertes por Edad F'!H26/'Población por Edad F'!H26*1000</f>
        <v>0.5917654895933373</v>
      </c>
      <c r="H5" s="55">
        <f>+'Muertes por Edad F'!I26/'Población por Edad F'!I26*1000</f>
        <v>0.52118559716663526</v>
      </c>
      <c r="I5" s="55">
        <f>+'Muertes por Edad F'!J26/'Población por Edad F'!J26*1000</f>
        <v>0.57009372615938336</v>
      </c>
      <c r="J5" s="55">
        <f>+'Muertes por Edad F'!K26/'Población por Edad F'!K26*1000</f>
        <v>0.7219839358046376</v>
      </c>
      <c r="K5" s="55">
        <f>+'Muertes por Edad F'!L26/'Población por Edad F'!L26*1000</f>
        <v>0.59129143645873272</v>
      </c>
      <c r="L5" s="55">
        <f>+'Muertes por Edad F'!M26/'Población por Edad F'!M26*1000</f>
        <v>0.4401380656574061</v>
      </c>
      <c r="M5" s="55">
        <f>+'Muertes por Edad F'!N26/'Población por Edad F'!N26*1000</f>
        <v>0.41652034492784712</v>
      </c>
      <c r="N5" s="55">
        <f>+'Muertes por Edad F'!O26/'Población por Edad F'!O26*1000</f>
        <v>0.47584844450412772</v>
      </c>
      <c r="O5" s="55">
        <f>+'Muertes por Edad F'!P26/'Población por Edad F'!P26*1000</f>
        <v>0.4362805391654172</v>
      </c>
      <c r="P5" s="55">
        <f>+'Muertes por Edad F'!Q26/'Población por Edad F'!Q26*1000</f>
        <v>0.47186181611849182</v>
      </c>
      <c r="Q5" s="55">
        <f>+'Muertes por Edad F'!R26/'Población por Edad F'!R26*1000</f>
        <v>0.36960539772723727</v>
      </c>
      <c r="R5" s="55">
        <f>+'Muertes por Edad F'!S26/'Población por Edad F'!S26*1000</f>
        <v>0.44817369014650971</v>
      </c>
      <c r="S5" s="72">
        <v>3</v>
      </c>
      <c r="T5" s="55">
        <v>5.9176548959333729E-4</v>
      </c>
      <c r="U5" s="81">
        <f t="shared" si="0"/>
        <v>0.5917654895933373</v>
      </c>
      <c r="V5">
        <v>-3.4980000000000002E-7</v>
      </c>
    </row>
    <row r="6" spans="1:22">
      <c r="A6">
        <v>4</v>
      </c>
      <c r="B6" s="55">
        <f>+'Muertes por Edad F'!C27/'Población por Edad F'!C27*1000</f>
        <v>0.41263023648151659</v>
      </c>
      <c r="C6" s="55">
        <f>+'Muertes por Edad F'!D27/'Población por Edad F'!D27*1000</f>
        <v>0.54023433870812465</v>
      </c>
      <c r="D6" s="55">
        <f>+'Muertes por Edad F'!E27/'Población por Edad F'!E27*1000</f>
        <v>0.54193852356013128</v>
      </c>
      <c r="E6" s="55">
        <f>+'Muertes por Edad F'!F27/'Población por Edad F'!F27*1000</f>
        <v>0.44853516466625598</v>
      </c>
      <c r="F6" s="55">
        <f>+'Muertes por Edad F'!G27/'Población por Edad F'!G27*1000</f>
        <v>0.49275803958355141</v>
      </c>
      <c r="G6" s="55">
        <f>+'Muertes por Edad F'!H27/'Población por Edad F'!H27*1000</f>
        <v>0.42144977253783522</v>
      </c>
      <c r="H6" s="55">
        <f>+'Muertes por Edad F'!I27/'Población por Edad F'!I27*1000</f>
        <v>0.46213112205326795</v>
      </c>
      <c r="I6" s="55">
        <f>+'Muertes por Edad F'!J27/'Población por Edad F'!J27*1000</f>
        <v>0.45773376520429382</v>
      </c>
      <c r="J6" s="55">
        <f>+'Muertes por Edad F'!K27/'Población por Edad F'!K27*1000</f>
        <v>0.44544812156327318</v>
      </c>
      <c r="K6" s="55">
        <f>+'Muertes por Edad F'!L27/'Población por Edad F'!L27*1000</f>
        <v>0.51194026855104613</v>
      </c>
      <c r="L6" s="55">
        <f>+'Muertes por Edad F'!M27/'Población por Edad F'!M27*1000</f>
        <v>0.33913882781987459</v>
      </c>
      <c r="M6" s="55">
        <f>+'Muertes por Edad F'!N27/'Población por Edad F'!N27*1000</f>
        <v>0.41049564102347014</v>
      </c>
      <c r="N6" s="55">
        <f>+'Muertes por Edad F'!O27/'Población por Edad F'!O27*1000</f>
        <v>0.33282758229592802</v>
      </c>
      <c r="O6" s="55">
        <f>+'Muertes por Edad F'!P27/'Población por Edad F'!P27*1000</f>
        <v>0.33421430817753461</v>
      </c>
      <c r="P6" s="55">
        <f>+'Muertes por Edad F'!Q27/'Población por Edad F'!Q27*1000</f>
        <v>0.33168206782935278</v>
      </c>
      <c r="Q6" s="55">
        <f>+'Muertes por Edad F'!R27/'Población por Edad F'!R27*1000</f>
        <v>0.43918498288076152</v>
      </c>
      <c r="R6" s="55">
        <f>+'Muertes por Edad F'!S27/'Población por Edad F'!S27*1000</f>
        <v>0.39535018901098157</v>
      </c>
      <c r="S6" s="72">
        <v>4</v>
      </c>
      <c r="T6" s="55">
        <v>4.214497725378352E-4</v>
      </c>
      <c r="U6" s="81">
        <f t="shared" si="0"/>
        <v>0.42144977253783522</v>
      </c>
      <c r="V6">
        <v>1.0863700000000001E-5</v>
      </c>
    </row>
    <row r="7" spans="1:22">
      <c r="A7">
        <v>5</v>
      </c>
      <c r="B7" s="55">
        <f>+'Muertes por Edad F'!C28/'Población por Edad F'!C28*1000</f>
        <v>0.3356632300800414</v>
      </c>
      <c r="C7" s="55">
        <f>+'Muertes por Edad F'!D28/'Población por Edad F'!D28*1000</f>
        <v>0.33625400573778269</v>
      </c>
      <c r="D7" s="55">
        <f>+'Muertes por Edad F'!E28/'Población por Edad F'!E28*1000</f>
        <v>0.31114617040663722</v>
      </c>
      <c r="E7" s="55">
        <f>+'Muertes por Edad F'!F28/'Población por Edad F'!F28*1000</f>
        <v>0.3135999169986487</v>
      </c>
      <c r="F7" s="55">
        <f>+'Muertes por Edad F'!G28/'Población por Edad F'!G28*1000</f>
        <v>0.31907651079569421</v>
      </c>
      <c r="G7" s="55">
        <f>+'Muertes por Edad F'!H28/'Población por Edad F'!H28*1000</f>
        <v>0.30388325599129518</v>
      </c>
      <c r="H7" s="55">
        <f>+'Muertes por Edad F'!I28/'Población por Edad F'!I28*1000</f>
        <v>0.33371528429226982</v>
      </c>
      <c r="I7" s="55">
        <f>+'Muertes por Edad F'!J28/'Población por Edad F'!J28*1000</f>
        <v>0.28046423079066429</v>
      </c>
      <c r="J7" s="55">
        <f>+'Muertes por Edad F'!K28/'Población por Edad F'!K28*1000</f>
        <v>0.28886801067046725</v>
      </c>
      <c r="K7" s="55">
        <f>+'Muertes por Edad F'!L28/'Población por Edad F'!L28*1000</f>
        <v>0.28421451901310213</v>
      </c>
      <c r="L7" s="55">
        <f>+'Muertes por Edad F'!M28/'Población por Edad F'!M28*1000</f>
        <v>0.26239554995081454</v>
      </c>
      <c r="M7" s="55">
        <f>+'Muertes por Edad F'!N28/'Población por Edad F'!N28*1000</f>
        <v>0.27445818375998737</v>
      </c>
      <c r="N7" s="55">
        <f>+'Muertes por Edad F'!O28/'Población por Edad F'!O28*1000</f>
        <v>0.24472229995083356</v>
      </c>
      <c r="O7" s="55">
        <f>+'Muertes por Edad F'!P28/'Población por Edad F'!P28*1000</f>
        <v>0.24210550594584196</v>
      </c>
      <c r="P7" s="55">
        <f>+'Muertes por Edad F'!Q28/'Población por Edad F'!Q28*1000</f>
        <v>0.26788013951589157</v>
      </c>
      <c r="Q7" s="55">
        <f>+'Muertes por Edad F'!R28/'Población por Edad F'!R28*1000</f>
        <v>0.28034354940091077</v>
      </c>
      <c r="R7" s="55">
        <f>+'Muertes por Edad F'!S28/'Población por Edad F'!S28*1000</f>
        <v>0.24527014079709908</v>
      </c>
      <c r="S7" s="72">
        <v>5</v>
      </c>
      <c r="T7" s="55">
        <v>3.0388325599129518E-4</v>
      </c>
      <c r="U7" s="81">
        <f>$V$4*(S7^4)+$V$5*(S7^3)+$V$6*(S7^2)+$V$7*S7+$V$8</f>
        <v>2.7077160000000004E-4</v>
      </c>
      <c r="V7">
        <v>-1.052367E-4</v>
      </c>
    </row>
    <row r="8" spans="1:22">
      <c r="A8">
        <v>6</v>
      </c>
      <c r="B8" s="55">
        <f>+'Muertes por Edad F'!C29/'Población por Edad F'!C29*1000</f>
        <v>0.3356632300800414</v>
      </c>
      <c r="C8" s="55">
        <f>+'Muertes por Edad F'!D29/'Población por Edad F'!D29*1000</f>
        <v>0.33625400573778264</v>
      </c>
      <c r="D8" s="55">
        <f>+'Muertes por Edad F'!E29/'Población por Edad F'!E29*1000</f>
        <v>0.31114617040663722</v>
      </c>
      <c r="E8" s="55">
        <f>+'Muertes por Edad F'!F29/'Población por Edad F'!F29*1000</f>
        <v>0.31359991699864875</v>
      </c>
      <c r="F8" s="55">
        <f>+'Muertes por Edad F'!G29/'Población por Edad F'!G29*1000</f>
        <v>0.31907651079569427</v>
      </c>
      <c r="G8" s="55">
        <f>+'Muertes por Edad F'!H29/'Población por Edad F'!H29*1000</f>
        <v>0.30388325599129518</v>
      </c>
      <c r="H8" s="55">
        <f>+'Muertes por Edad F'!I29/'Población por Edad F'!I29*1000</f>
        <v>0.33371528429226976</v>
      </c>
      <c r="I8" s="55">
        <f>+'Muertes por Edad F'!J29/'Población por Edad F'!J29*1000</f>
        <v>0.28046423079066429</v>
      </c>
      <c r="J8" s="55">
        <f>+'Muertes por Edad F'!K29/'Población por Edad F'!K29*1000</f>
        <v>0.28886801067046725</v>
      </c>
      <c r="K8" s="55">
        <f>+'Muertes por Edad F'!L29/'Población por Edad F'!L29*1000</f>
        <v>0.28421451901310213</v>
      </c>
      <c r="L8" s="55">
        <f>+'Muertes por Edad F'!M29/'Población por Edad F'!M29*1000</f>
        <v>0.26239554995081454</v>
      </c>
      <c r="M8" s="55">
        <f>+'Muertes por Edad F'!N29/'Población por Edad F'!N29*1000</f>
        <v>0.27445818375998737</v>
      </c>
      <c r="N8" s="55">
        <f>+'Muertes por Edad F'!O29/'Población por Edad F'!O29*1000</f>
        <v>0.2447222999508335</v>
      </c>
      <c r="O8" s="55">
        <f>+'Muertes por Edad F'!P29/'Población por Edad F'!P29*1000</f>
        <v>0.24210550594584193</v>
      </c>
      <c r="P8" s="55">
        <f>+'Muertes por Edad F'!Q29/'Población por Edad F'!Q29*1000</f>
        <v>0.26788013951589157</v>
      </c>
      <c r="Q8" s="55">
        <f>+'Muertes por Edad F'!R29/'Población por Edad F'!R29*1000</f>
        <v>0.28034354940091072</v>
      </c>
      <c r="R8" s="55">
        <f>+'Muertes por Edad F'!S29/'Población por Edad F'!S29*1000</f>
        <v>0.24527014079709908</v>
      </c>
      <c r="S8" s="72">
        <v>6</v>
      </c>
      <c r="T8" s="55">
        <v>3.0388325599129518E-4</v>
      </c>
      <c r="U8" s="81">
        <f t="shared" ref="U8:U71" si="1">$V$4*(S8^4)+$V$5*(S8^3)+$V$6*(S8^2)+$V$7*S8+$V$8</f>
        <v>2.558878E-4</v>
      </c>
      <c r="V8">
        <v>5.665876E-4</v>
      </c>
    </row>
    <row r="9" spans="1:22">
      <c r="A9">
        <v>7</v>
      </c>
      <c r="B9" s="55">
        <f>+'Muertes por Edad F'!C30/'Población por Edad F'!C30*1000</f>
        <v>0.33566323008004145</v>
      </c>
      <c r="C9" s="55">
        <f>+'Muertes por Edad F'!D30/'Población por Edad F'!D30*1000</f>
        <v>0.33625400573778264</v>
      </c>
      <c r="D9" s="55">
        <f>+'Muertes por Edad F'!E30/'Población por Edad F'!E30*1000</f>
        <v>0.31114617040663722</v>
      </c>
      <c r="E9" s="55">
        <f>+'Muertes por Edad F'!F30/'Población por Edad F'!F30*1000</f>
        <v>0.3135999169986487</v>
      </c>
      <c r="F9" s="55">
        <f>+'Muertes por Edad F'!G30/'Población por Edad F'!G30*1000</f>
        <v>0.31907651079569427</v>
      </c>
      <c r="G9" s="55">
        <f>+'Muertes por Edad F'!H30/'Población por Edad F'!H30*1000</f>
        <v>0.30388325599129518</v>
      </c>
      <c r="H9" s="55">
        <f>+'Muertes por Edad F'!I30/'Población por Edad F'!I30*1000</f>
        <v>0.33371528429226976</v>
      </c>
      <c r="I9" s="55">
        <f>+'Muertes por Edad F'!J30/'Población por Edad F'!J30*1000</f>
        <v>0.28046423079066429</v>
      </c>
      <c r="J9" s="55">
        <f>+'Muertes por Edad F'!K30/'Población por Edad F'!K30*1000</f>
        <v>0.28886801067046719</v>
      </c>
      <c r="K9" s="55">
        <f>+'Muertes por Edad F'!L30/'Población por Edad F'!L30*1000</f>
        <v>0.28421451901310213</v>
      </c>
      <c r="L9" s="55">
        <f>+'Muertes por Edad F'!M30/'Población por Edad F'!M30*1000</f>
        <v>0.26239554995081454</v>
      </c>
      <c r="M9" s="55">
        <f>+'Muertes por Edad F'!N30/'Población por Edad F'!N30*1000</f>
        <v>0.27445818375998743</v>
      </c>
      <c r="N9" s="55">
        <f>+'Muertes por Edad F'!O30/'Población por Edad F'!O30*1000</f>
        <v>0.24472229995083356</v>
      </c>
      <c r="O9" s="55">
        <f>+'Muertes por Edad F'!P30/'Población por Edad F'!P30*1000</f>
        <v>0.24210550594584196</v>
      </c>
      <c r="P9" s="55">
        <f>+'Muertes por Edad F'!Q30/'Población por Edad F'!Q30*1000</f>
        <v>0.26788013951589162</v>
      </c>
      <c r="Q9" s="55">
        <f>+'Muertes por Edad F'!R30/'Población por Edad F'!R30*1000</f>
        <v>0.28034354940091077</v>
      </c>
      <c r="R9" s="55">
        <f>+'Muertes por Edad F'!S30/'Población por Edad F'!S30*1000</f>
        <v>0.24527014079709908</v>
      </c>
      <c r="S9" s="72">
        <v>7</v>
      </c>
      <c r="T9" s="55">
        <v>3.0388325599129518E-4</v>
      </c>
      <c r="U9" s="81">
        <f t="shared" si="1"/>
        <v>2.5187459999999996E-4</v>
      </c>
    </row>
    <row r="10" spans="1:22">
      <c r="A10">
        <v>8</v>
      </c>
      <c r="B10" s="55">
        <f>+'Muertes por Edad F'!C31/'Población por Edad F'!C31*1000</f>
        <v>0.3356632300800414</v>
      </c>
      <c r="C10" s="55">
        <f>+'Muertes por Edad F'!D31/'Población por Edad F'!D31*1000</f>
        <v>0.33625400573778269</v>
      </c>
      <c r="D10" s="55">
        <f>+'Muertes por Edad F'!E31/'Población por Edad F'!E31*1000</f>
        <v>0.31114617040663717</v>
      </c>
      <c r="E10" s="55">
        <f>+'Muertes por Edad F'!F31/'Población por Edad F'!F31*1000</f>
        <v>0.31359991699864875</v>
      </c>
      <c r="F10" s="55">
        <f>+'Muertes por Edad F'!G31/'Población por Edad F'!G31*1000</f>
        <v>0.31907651079569427</v>
      </c>
      <c r="G10" s="55">
        <f>+'Muertes por Edad F'!H31/'Población por Edad F'!H31*1000</f>
        <v>0.30388325599129518</v>
      </c>
      <c r="H10" s="55">
        <f>+'Muertes por Edad F'!I31/'Población por Edad F'!I31*1000</f>
        <v>0.33371528429226976</v>
      </c>
      <c r="I10" s="55">
        <f>+'Muertes por Edad F'!J31/'Población por Edad F'!J31*1000</f>
        <v>0.28046423079066429</v>
      </c>
      <c r="J10" s="55">
        <f>+'Muertes por Edad F'!K31/'Población por Edad F'!K31*1000</f>
        <v>0.28886801067046725</v>
      </c>
      <c r="K10" s="55">
        <f>+'Muertes por Edad F'!L31/'Población por Edad F'!L31*1000</f>
        <v>0.28421451901310213</v>
      </c>
      <c r="L10" s="55">
        <f>+'Muertes por Edad F'!M31/'Población por Edad F'!M31*1000</f>
        <v>0.26239554995081454</v>
      </c>
      <c r="M10" s="55">
        <f>+'Muertes por Edad F'!N31/'Población por Edad F'!N31*1000</f>
        <v>0.27445818375998737</v>
      </c>
      <c r="N10" s="55">
        <f>+'Muertes por Edad F'!O31/'Población por Edad F'!O31*1000</f>
        <v>0.24472229995083356</v>
      </c>
      <c r="O10" s="55">
        <f>+'Muertes por Edad F'!P31/'Población por Edad F'!P31*1000</f>
        <v>0.24210550594584196</v>
      </c>
      <c r="P10" s="55">
        <f>+'Muertes por Edad F'!Q31/'Población por Edad F'!Q31*1000</f>
        <v>0.26788013951589162</v>
      </c>
      <c r="Q10" s="55">
        <f>+'Muertes por Edad F'!R31/'Población por Edad F'!R31*1000</f>
        <v>0.28034354940091077</v>
      </c>
      <c r="R10" s="55">
        <f>+'Muertes por Edad F'!S31/'Población por Edad F'!S31*1000</f>
        <v>0.24527014079709913</v>
      </c>
      <c r="S10" s="72">
        <v>8</v>
      </c>
      <c r="T10" s="55">
        <v>3.0388325599129518E-4</v>
      </c>
      <c r="U10" s="81">
        <f t="shared" si="1"/>
        <v>2.5725720000000006E-4</v>
      </c>
    </row>
    <row r="11" spans="1:22">
      <c r="A11">
        <v>9</v>
      </c>
      <c r="B11" s="55">
        <f>+'Muertes por Edad F'!C32/'Población por Edad F'!C32*1000</f>
        <v>0.3356632300800414</v>
      </c>
      <c r="C11" s="55">
        <f>+'Muertes por Edad F'!D32/'Población por Edad F'!D32*1000</f>
        <v>0.33625400573778269</v>
      </c>
      <c r="D11" s="55">
        <f>+'Muertes por Edad F'!E32/'Población por Edad F'!E32*1000</f>
        <v>0.31114617040663722</v>
      </c>
      <c r="E11" s="55">
        <f>+'Muertes por Edad F'!F32/'Población por Edad F'!F32*1000</f>
        <v>0.31359991699864875</v>
      </c>
      <c r="F11" s="55">
        <f>+'Muertes por Edad F'!G32/'Población por Edad F'!G32*1000</f>
        <v>0.31907651079569421</v>
      </c>
      <c r="G11" s="55">
        <f>+'Muertes por Edad F'!H32/'Población por Edad F'!H32*1000</f>
        <v>0.30388325599129512</v>
      </c>
      <c r="H11" s="55">
        <f>+'Muertes por Edad F'!I32/'Población por Edad F'!I32*1000</f>
        <v>0.33371528429226976</v>
      </c>
      <c r="I11" s="55">
        <f>+'Muertes por Edad F'!J32/'Población por Edad F'!J32*1000</f>
        <v>0.28046423079066429</v>
      </c>
      <c r="J11" s="55">
        <f>+'Muertes por Edad F'!K32/'Población por Edad F'!K32*1000</f>
        <v>0.28886801067046719</v>
      </c>
      <c r="K11" s="55">
        <f>+'Muertes por Edad F'!L32/'Población por Edad F'!L32*1000</f>
        <v>0.28421451901310213</v>
      </c>
      <c r="L11" s="55">
        <f>+'Muertes por Edad F'!M32/'Población por Edad F'!M32*1000</f>
        <v>0.2623955499508146</v>
      </c>
      <c r="M11" s="55">
        <f>+'Muertes por Edad F'!N32/'Población por Edad F'!N32*1000</f>
        <v>0.27445818375998737</v>
      </c>
      <c r="N11" s="55">
        <f>+'Muertes por Edad F'!O32/'Población por Edad F'!O32*1000</f>
        <v>0.2447222999508335</v>
      </c>
      <c r="O11" s="55">
        <f>+'Muertes por Edad F'!P32/'Población por Edad F'!P32*1000</f>
        <v>0.24210550594584199</v>
      </c>
      <c r="P11" s="55">
        <f>+'Muertes por Edad F'!Q32/'Población por Edad F'!Q32*1000</f>
        <v>0.26788013951589162</v>
      </c>
      <c r="Q11" s="55">
        <f>+'Muertes por Edad F'!R32/'Población por Edad F'!R32*1000</f>
        <v>0.28034354940091072</v>
      </c>
      <c r="R11" s="55">
        <f>+'Muertes por Edad F'!S32/'Población por Edad F'!S32*1000</f>
        <v>0.24527014079709908</v>
      </c>
      <c r="S11" s="72">
        <v>9</v>
      </c>
      <c r="T11" s="55">
        <v>3.0388325599129513E-4</v>
      </c>
      <c r="U11" s="81">
        <f t="shared" si="1"/>
        <v>2.7065680000000003E-4</v>
      </c>
    </row>
    <row r="12" spans="1:22">
      <c r="A12">
        <v>10</v>
      </c>
      <c r="B12" s="55">
        <f>+'Muertes por Edad F'!C33/'Población por Edad F'!C33*1000</f>
        <v>0.35301599098189235</v>
      </c>
      <c r="C12" s="55">
        <f>+'Muertes por Edad F'!D33/'Población por Edad F'!D33*1000</f>
        <v>0.34610866904653281</v>
      </c>
      <c r="D12" s="55">
        <f>+'Muertes por Edad F'!E33/'Población por Edad F'!E33*1000</f>
        <v>0.33419575024977849</v>
      </c>
      <c r="E12" s="55">
        <f>+'Muertes por Edad F'!F33/'Población por Edad F'!F33*1000</f>
        <v>0.33209786869011199</v>
      </c>
      <c r="F12" s="55">
        <f>+'Muertes por Edad F'!G33/'Población por Edad F'!G33*1000</f>
        <v>0.3128058007087956</v>
      </c>
      <c r="G12" s="55">
        <f>+'Muertes por Edad F'!H33/'Población por Edad F'!H33*1000</f>
        <v>0.29114403047200943</v>
      </c>
      <c r="H12" s="55">
        <f>+'Muertes por Edad F'!I33/'Población por Edad F'!I33*1000</f>
        <v>0.3364182126628239</v>
      </c>
      <c r="I12" s="55">
        <f>+'Muertes por Edad F'!J33/'Población por Edad F'!J33*1000</f>
        <v>0.33493504087557618</v>
      </c>
      <c r="J12" s="55">
        <f>+'Muertes por Edad F'!K33/'Población por Edad F'!K33*1000</f>
        <v>0.33479233214570692</v>
      </c>
      <c r="K12" s="55">
        <f>+'Muertes por Edad F'!L33/'Población por Edad F'!L33*1000</f>
        <v>0.33597819619856817</v>
      </c>
      <c r="L12" s="55">
        <f>+'Muertes por Edad F'!M33/'Población por Edad F'!M33*1000</f>
        <v>0.2744329275685235</v>
      </c>
      <c r="M12" s="55">
        <f>+'Muertes por Edad F'!N33/'Población por Edad F'!N33*1000</f>
        <v>0.32729533606229272</v>
      </c>
      <c r="N12" s="55">
        <f>+'Muertes por Edad F'!O33/'Población por Edad F'!O33*1000</f>
        <v>0.31099417762578113</v>
      </c>
      <c r="O12" s="55">
        <f>+'Muertes por Edad F'!P33/'Población por Edad F'!P33*1000</f>
        <v>0.31104360560801558</v>
      </c>
      <c r="P12" s="55">
        <f>+'Muertes por Edad F'!Q33/'Población por Edad F'!Q33*1000</f>
        <v>0.28503149857972426</v>
      </c>
      <c r="Q12" s="55">
        <f>+'Muertes por Edad F'!R33/'Población por Edad F'!R33*1000</f>
        <v>0.2769482995951596</v>
      </c>
      <c r="R12" s="55">
        <f>+'Muertes por Edad F'!S33/'Población por Edad F'!S33*1000</f>
        <v>0.30610032471082083</v>
      </c>
      <c r="S12" s="72">
        <v>10</v>
      </c>
      <c r="T12" s="55">
        <v>2.9114403047200943E-4</v>
      </c>
      <c r="U12" s="81">
        <f t="shared" si="1"/>
        <v>2.9079060000000007E-4</v>
      </c>
    </row>
    <row r="13" spans="1:22">
      <c r="A13">
        <v>11</v>
      </c>
      <c r="B13" s="55">
        <f>+'Muertes por Edad F'!C34/'Población por Edad F'!C34*1000</f>
        <v>0.35301599098189235</v>
      </c>
      <c r="C13" s="55">
        <f>+'Muertes por Edad F'!D34/'Población por Edad F'!D34*1000</f>
        <v>0.34610866904653276</v>
      </c>
      <c r="D13" s="55">
        <f>+'Muertes por Edad F'!E34/'Población por Edad F'!E34*1000</f>
        <v>0.33419575024977849</v>
      </c>
      <c r="E13" s="55">
        <f>+'Muertes por Edad F'!F34/'Población por Edad F'!F34*1000</f>
        <v>0.33209786869011199</v>
      </c>
      <c r="F13" s="55">
        <f>+'Muertes por Edad F'!G34/'Población por Edad F'!G34*1000</f>
        <v>0.31280580070879566</v>
      </c>
      <c r="G13" s="55">
        <f>+'Muertes por Edad F'!H34/'Población por Edad F'!H34*1000</f>
        <v>0.29114403047200943</v>
      </c>
      <c r="H13" s="55">
        <f>+'Muertes por Edad F'!I34/'Población por Edad F'!I34*1000</f>
        <v>0.33641821266282396</v>
      </c>
      <c r="I13" s="55">
        <f>+'Muertes por Edad F'!J34/'Población por Edad F'!J34*1000</f>
        <v>0.33493504087557624</v>
      </c>
      <c r="J13" s="55">
        <f>+'Muertes por Edad F'!K34/'Población por Edad F'!K34*1000</f>
        <v>0.33479233214570692</v>
      </c>
      <c r="K13" s="55">
        <f>+'Muertes por Edad F'!L34/'Población por Edad F'!L34*1000</f>
        <v>0.33597819619856811</v>
      </c>
      <c r="L13" s="55">
        <f>+'Muertes por Edad F'!M34/'Población por Edad F'!M34*1000</f>
        <v>0.2744329275685235</v>
      </c>
      <c r="M13" s="55">
        <f>+'Muertes por Edad F'!N34/'Población por Edad F'!N34*1000</f>
        <v>0.32729533606229266</v>
      </c>
      <c r="N13" s="55">
        <f>+'Muertes por Edad F'!O34/'Población por Edad F'!O34*1000</f>
        <v>0.31099417762578113</v>
      </c>
      <c r="O13" s="55">
        <f>+'Muertes por Edad F'!P34/'Población por Edad F'!P34*1000</f>
        <v>0.31104360560801558</v>
      </c>
      <c r="P13" s="55">
        <f>+'Muertes por Edad F'!Q34/'Población por Edad F'!Q34*1000</f>
        <v>0.28503149857972432</v>
      </c>
      <c r="Q13" s="55">
        <f>+'Muertes por Edad F'!R34/'Población por Edad F'!R34*1000</f>
        <v>0.2769482995951596</v>
      </c>
      <c r="R13" s="55">
        <f>+'Muertes por Edad F'!S34/'Población por Edad F'!S34*1000</f>
        <v>0.30610032471082088</v>
      </c>
      <c r="S13" s="72">
        <v>11</v>
      </c>
      <c r="T13" s="55">
        <v>2.9114403047200943E-4</v>
      </c>
      <c r="U13" s="81">
        <f t="shared" si="1"/>
        <v>3.1647180000000019E-4</v>
      </c>
    </row>
    <row r="14" spans="1:22">
      <c r="A14">
        <v>12</v>
      </c>
      <c r="B14" s="55">
        <f>+'Muertes por Edad F'!C35/'Población por Edad F'!C35*1000</f>
        <v>0.35301599098189229</v>
      </c>
      <c r="C14" s="55">
        <f>+'Muertes por Edad F'!D35/'Población por Edad F'!D35*1000</f>
        <v>0.34610866904653276</v>
      </c>
      <c r="D14" s="55">
        <f>+'Muertes por Edad F'!E35/'Población por Edad F'!E35*1000</f>
        <v>0.33419575024977849</v>
      </c>
      <c r="E14" s="55">
        <f>+'Muertes por Edad F'!F35/'Población por Edad F'!F35*1000</f>
        <v>0.33209786869011199</v>
      </c>
      <c r="F14" s="55">
        <f>+'Muertes por Edad F'!G35/'Población por Edad F'!G35*1000</f>
        <v>0.31280580070879566</v>
      </c>
      <c r="G14" s="55">
        <f>+'Muertes por Edad F'!H35/'Población por Edad F'!H35*1000</f>
        <v>0.29114403047200937</v>
      </c>
      <c r="H14" s="55">
        <f>+'Muertes por Edad F'!I35/'Población por Edad F'!I35*1000</f>
        <v>0.33641821266282396</v>
      </c>
      <c r="I14" s="55">
        <f>+'Muertes por Edad F'!J35/'Población por Edad F'!J35*1000</f>
        <v>0.33493504087557624</v>
      </c>
      <c r="J14" s="55">
        <f>+'Muertes por Edad F'!K35/'Población por Edad F'!K35*1000</f>
        <v>0.33479233214570686</v>
      </c>
      <c r="K14" s="55">
        <f>+'Muertes por Edad F'!L35/'Población por Edad F'!L35*1000</f>
        <v>0.33597819619856817</v>
      </c>
      <c r="L14" s="55">
        <f>+'Muertes por Edad F'!M35/'Población por Edad F'!M35*1000</f>
        <v>0.2744329275685235</v>
      </c>
      <c r="M14" s="55">
        <f>+'Muertes por Edad F'!N35/'Población por Edad F'!N35*1000</f>
        <v>0.32729533606229261</v>
      </c>
      <c r="N14" s="55">
        <f>+'Muertes por Edad F'!O35/'Población por Edad F'!O35*1000</f>
        <v>0.31099417762578119</v>
      </c>
      <c r="O14" s="55">
        <f>+'Muertes por Edad F'!P35/'Población por Edad F'!P35*1000</f>
        <v>0.31104360560801553</v>
      </c>
      <c r="P14" s="55">
        <f>+'Muertes por Edad F'!Q35/'Población por Edad F'!Q35*1000</f>
        <v>0.28503149857972432</v>
      </c>
      <c r="Q14" s="55">
        <f>+'Muertes por Edad F'!R35/'Población por Edad F'!R35*1000</f>
        <v>0.2769482995951596</v>
      </c>
      <c r="R14" s="55">
        <f>+'Muertes por Edad F'!S35/'Población por Edad F'!S35*1000</f>
        <v>0.30610032471082088</v>
      </c>
      <c r="S14" s="72">
        <v>12</v>
      </c>
      <c r="T14" s="55">
        <v>2.9114403047200937E-4</v>
      </c>
      <c r="U14" s="81">
        <f t="shared" si="1"/>
        <v>3.4660959999999999E-4</v>
      </c>
    </row>
    <row r="15" spans="1:22">
      <c r="A15">
        <v>13</v>
      </c>
      <c r="B15" s="55">
        <f>+'Muertes por Edad F'!C36/'Población por Edad F'!C36*1000</f>
        <v>0.35301599098189229</v>
      </c>
      <c r="C15" s="55">
        <f>+'Muertes por Edad F'!D36/'Población por Edad F'!D36*1000</f>
        <v>0.34610866904653281</v>
      </c>
      <c r="D15" s="55">
        <f>+'Muertes por Edad F'!E36/'Población por Edad F'!E36*1000</f>
        <v>0.33419575024977849</v>
      </c>
      <c r="E15" s="55">
        <f>+'Muertes por Edad F'!F36/'Población por Edad F'!F36*1000</f>
        <v>0.33209786869011199</v>
      </c>
      <c r="F15" s="55">
        <f>+'Muertes por Edad F'!G36/'Población por Edad F'!G36*1000</f>
        <v>0.3128058007087956</v>
      </c>
      <c r="G15" s="55">
        <f>+'Muertes por Edad F'!H36/'Población por Edad F'!H36*1000</f>
        <v>0.29114403047200943</v>
      </c>
      <c r="H15" s="55">
        <f>+'Muertes por Edad F'!I36/'Población por Edad F'!I36*1000</f>
        <v>0.33641821266282396</v>
      </c>
      <c r="I15" s="55">
        <f>+'Muertes por Edad F'!J36/'Población por Edad F'!J36*1000</f>
        <v>0.33493504087557624</v>
      </c>
      <c r="J15" s="55">
        <f>+'Muertes por Edad F'!K36/'Población por Edad F'!K36*1000</f>
        <v>0.33479233214570692</v>
      </c>
      <c r="K15" s="55">
        <f>+'Muertes por Edad F'!L36/'Población por Edad F'!L36*1000</f>
        <v>0.33597819619856817</v>
      </c>
      <c r="L15" s="55">
        <f>+'Muertes por Edad F'!M36/'Población por Edad F'!M36*1000</f>
        <v>0.27443292756852344</v>
      </c>
      <c r="M15" s="55">
        <f>+'Muertes por Edad F'!N36/'Población por Edad F'!N36*1000</f>
        <v>0.32729533606229266</v>
      </c>
      <c r="N15" s="55">
        <f>+'Muertes por Edad F'!O36/'Población por Edad F'!O36*1000</f>
        <v>0.31099417762578119</v>
      </c>
      <c r="O15" s="55">
        <f>+'Muertes por Edad F'!P36/'Población por Edad F'!P36*1000</f>
        <v>0.31104360560801553</v>
      </c>
      <c r="P15" s="55">
        <f>+'Muertes por Edad F'!Q36/'Población por Edad F'!Q36*1000</f>
        <v>0.28503149857972432</v>
      </c>
      <c r="Q15" s="55">
        <f>+'Muertes por Edad F'!R36/'Población por Edad F'!R36*1000</f>
        <v>0.2769482995951596</v>
      </c>
      <c r="R15" s="55">
        <f>+'Muertes por Edad F'!S36/'Población por Edad F'!S36*1000</f>
        <v>0.30610032471082083</v>
      </c>
      <c r="S15" s="72">
        <v>13</v>
      </c>
      <c r="T15" s="55">
        <v>2.9114403047200943E-4</v>
      </c>
      <c r="U15" s="81">
        <f t="shared" si="1"/>
        <v>3.802091999999998E-4</v>
      </c>
    </row>
    <row r="16" spans="1:22">
      <c r="A16">
        <v>14</v>
      </c>
      <c r="B16" s="55">
        <f>+'Muertes por Edad F'!C37/'Población por Edad F'!C37*1000</f>
        <v>0.35301599098189229</v>
      </c>
      <c r="C16" s="55">
        <f>+'Muertes por Edad F'!D37/'Población por Edad F'!D37*1000</f>
        <v>0.34610866904653276</v>
      </c>
      <c r="D16" s="55">
        <f>+'Muertes por Edad F'!E37/'Población por Edad F'!E37*1000</f>
        <v>0.33419575024977843</v>
      </c>
      <c r="E16" s="55">
        <f>+'Muertes por Edad F'!F37/'Población por Edad F'!F37*1000</f>
        <v>0.33209786869011199</v>
      </c>
      <c r="F16" s="55">
        <f>+'Muertes por Edad F'!G37/'Población por Edad F'!G37*1000</f>
        <v>0.3128058007087956</v>
      </c>
      <c r="G16" s="55">
        <f>+'Muertes por Edad F'!H37/'Población por Edad F'!H37*1000</f>
        <v>0.29114403047200943</v>
      </c>
      <c r="H16" s="55">
        <f>+'Muertes por Edad F'!I37/'Población por Edad F'!I37*1000</f>
        <v>0.33641821266282396</v>
      </c>
      <c r="I16" s="55">
        <f>+'Muertes por Edad F'!J37/'Población por Edad F'!J37*1000</f>
        <v>0.33493504087557624</v>
      </c>
      <c r="J16" s="55">
        <f>+'Muertes por Edad F'!K37/'Población por Edad F'!K37*1000</f>
        <v>0.33479233214570686</v>
      </c>
      <c r="K16" s="55">
        <f>+'Muertes por Edad F'!L37/'Población por Edad F'!L37*1000</f>
        <v>0.33597819619856817</v>
      </c>
      <c r="L16" s="55">
        <f>+'Muertes por Edad F'!M37/'Población por Edad F'!M37*1000</f>
        <v>0.27443292756852344</v>
      </c>
      <c r="M16" s="55">
        <f>+'Muertes por Edad F'!N37/'Población por Edad F'!N37*1000</f>
        <v>0.32729533606229266</v>
      </c>
      <c r="N16" s="55">
        <f>+'Muertes por Edad F'!O37/'Población por Edad F'!O37*1000</f>
        <v>0.31099417762578113</v>
      </c>
      <c r="O16" s="55">
        <f>+'Muertes por Edad F'!P37/'Población por Edad F'!P37*1000</f>
        <v>0.31104360560801553</v>
      </c>
      <c r="P16" s="55">
        <f>+'Muertes por Edad F'!Q37/'Población por Edad F'!Q37*1000</f>
        <v>0.28503149857972426</v>
      </c>
      <c r="Q16" s="55">
        <f>+'Muertes por Edad F'!R37/'Población por Edad F'!R37*1000</f>
        <v>0.27694829959515954</v>
      </c>
      <c r="R16" s="55">
        <f>+'Muertes por Edad F'!S37/'Población por Edad F'!S37*1000</f>
        <v>0.30610032471082088</v>
      </c>
      <c r="S16" s="72">
        <v>14</v>
      </c>
      <c r="T16" s="55">
        <v>2.9114403047200943E-4</v>
      </c>
      <c r="U16" s="81">
        <f t="shared" si="1"/>
        <v>4.1637179999999996E-4</v>
      </c>
    </row>
    <row r="17" spans="1:21">
      <c r="A17">
        <v>15</v>
      </c>
      <c r="B17" s="55">
        <f>+'Muertes por Edad F'!C38/'Población por Edad F'!C38*1000</f>
        <v>0.61589910992435315</v>
      </c>
      <c r="C17" s="55">
        <f>+'Muertes por Edad F'!D38/'Población por Edad F'!D38*1000</f>
        <v>0.63060986565946864</v>
      </c>
      <c r="D17" s="55">
        <f>+'Muertes por Edad F'!E38/'Población por Edad F'!E38*1000</f>
        <v>0.56956264697108738</v>
      </c>
      <c r="E17" s="55">
        <f>+'Muertes por Edad F'!F38/'Población por Edad F'!F38*1000</f>
        <v>0.53509670432831558</v>
      </c>
      <c r="F17" s="55">
        <f>+'Muertes por Edad F'!G38/'Población por Edad F'!G38*1000</f>
        <v>0.57227922234212691</v>
      </c>
      <c r="G17" s="55">
        <f>+'Muertes por Edad F'!H38/'Población por Edad F'!H38*1000</f>
        <v>0.57513198190843551</v>
      </c>
      <c r="H17" s="55">
        <f>+'Muertes por Edad F'!I38/'Población por Edad F'!I38*1000</f>
        <v>0.56334842918190875</v>
      </c>
      <c r="I17" s="55">
        <f>+'Muertes por Edad F'!J38/'Población por Edad F'!J38*1000</f>
        <v>0.65017401733092828</v>
      </c>
      <c r="J17" s="55">
        <f>+'Muertes por Edad F'!K38/'Población por Edad F'!K38*1000</f>
        <v>0.59086939980423081</v>
      </c>
      <c r="K17" s="55">
        <f>+'Muertes por Edad F'!L38/'Población por Edad F'!L38*1000</f>
        <v>0.59143681159943684</v>
      </c>
      <c r="L17" s="55">
        <f>+'Muertes por Edad F'!M38/'Población por Edad F'!M38*1000</f>
        <v>0.528992737299954</v>
      </c>
      <c r="M17" s="55">
        <f>+'Muertes por Edad F'!N38/'Población por Edad F'!N38*1000</f>
        <v>0.575163720038951</v>
      </c>
      <c r="N17" s="55">
        <f>+'Muertes por Edad F'!O38/'Población por Edad F'!O38*1000</f>
        <v>0.55233310688271409</v>
      </c>
      <c r="O17" s="55">
        <f>+'Muertes por Edad F'!P38/'Población por Edad F'!P38*1000</f>
        <v>0.59584879583745909</v>
      </c>
      <c r="P17" s="55">
        <f>+'Muertes por Edad F'!Q38/'Población por Edad F'!Q38*1000</f>
        <v>0.59628005616234092</v>
      </c>
      <c r="Q17" s="55">
        <f>+'Muertes por Edad F'!R38/'Población por Edad F'!R38*1000</f>
        <v>0.5898815066380948</v>
      </c>
      <c r="R17" s="55">
        <f>+'Muertes por Edad F'!S38/'Población por Edad F'!S38*1000</f>
        <v>0.52170755338814845</v>
      </c>
      <c r="S17" s="72">
        <v>15</v>
      </c>
      <c r="T17" s="55">
        <v>5.7513198190843552E-4</v>
      </c>
      <c r="U17" s="81">
        <f t="shared" si="1"/>
        <v>4.5429460000000015E-4</v>
      </c>
    </row>
    <row r="18" spans="1:21">
      <c r="A18">
        <v>16</v>
      </c>
      <c r="B18" s="55">
        <f>+'Muertes por Edad F'!C39/'Población por Edad F'!C39*1000</f>
        <v>0.61589910992435304</v>
      </c>
      <c r="C18" s="55">
        <f>+'Muertes por Edad F'!D39/'Población por Edad F'!D39*1000</f>
        <v>0.63060986565946864</v>
      </c>
      <c r="D18" s="55">
        <f>+'Muertes por Edad F'!E39/'Población por Edad F'!E39*1000</f>
        <v>0.56956264697108727</v>
      </c>
      <c r="E18" s="55">
        <f>+'Muertes por Edad F'!F39/'Población por Edad F'!F39*1000</f>
        <v>0.53509670432831558</v>
      </c>
      <c r="F18" s="55">
        <f>+'Muertes por Edad F'!G39/'Población por Edad F'!G39*1000</f>
        <v>0.57227922234212691</v>
      </c>
      <c r="G18" s="55">
        <f>+'Muertes por Edad F'!H39/'Población por Edad F'!H39*1000</f>
        <v>0.57513198190843551</v>
      </c>
      <c r="H18" s="55">
        <f>+'Muertes por Edad F'!I39/'Población por Edad F'!I39*1000</f>
        <v>0.56334842918190864</v>
      </c>
      <c r="I18" s="55">
        <f>+'Muertes por Edad F'!J39/'Población por Edad F'!J39*1000</f>
        <v>0.65017401733092828</v>
      </c>
      <c r="J18" s="55">
        <f>+'Muertes por Edad F'!K39/'Población por Edad F'!K39*1000</f>
        <v>0.59086939980423092</v>
      </c>
      <c r="K18" s="55">
        <f>+'Muertes por Edad F'!L39/'Población por Edad F'!L39*1000</f>
        <v>0.59143681159943695</v>
      </c>
      <c r="L18" s="55">
        <f>+'Muertes por Edad F'!M39/'Población por Edad F'!M39*1000</f>
        <v>0.528992737299954</v>
      </c>
      <c r="M18" s="55">
        <f>+'Muertes por Edad F'!N39/'Población por Edad F'!N39*1000</f>
        <v>0.575163720038951</v>
      </c>
      <c r="N18" s="55">
        <f>+'Muertes por Edad F'!O39/'Población por Edad F'!O39*1000</f>
        <v>0.55233310688271409</v>
      </c>
      <c r="O18" s="55">
        <f>+'Muertes por Edad F'!P39/'Población por Edad F'!P39*1000</f>
        <v>0.59584879583745909</v>
      </c>
      <c r="P18" s="55">
        <f>+'Muertes por Edad F'!Q39/'Población por Edad F'!Q39*1000</f>
        <v>0.59628005616234103</v>
      </c>
      <c r="Q18" s="55">
        <f>+'Muertes por Edad F'!R39/'Población por Edad F'!R39*1000</f>
        <v>0.58988150663809491</v>
      </c>
      <c r="R18" s="55">
        <f>+'Muertes por Edad F'!S39/'Población por Edad F'!S39*1000</f>
        <v>0.52170755338814834</v>
      </c>
      <c r="S18" s="72">
        <v>16</v>
      </c>
      <c r="T18" s="55">
        <v>5.7513198190843552E-4</v>
      </c>
      <c r="U18" s="81">
        <f t="shared" si="1"/>
        <v>4.9327080000000003E-4</v>
      </c>
    </row>
    <row r="19" spans="1:21">
      <c r="A19">
        <v>17</v>
      </c>
      <c r="B19" s="55">
        <f>+'Muertes por Edad F'!C40/'Población por Edad F'!C40*1000</f>
        <v>0.61589910992435315</v>
      </c>
      <c r="C19" s="55">
        <f>+'Muertes por Edad F'!D40/'Población por Edad F'!D40*1000</f>
        <v>0.63060986565946864</v>
      </c>
      <c r="D19" s="55">
        <f>+'Muertes por Edad F'!E40/'Población por Edad F'!E40*1000</f>
        <v>0.56956264697108727</v>
      </c>
      <c r="E19" s="55">
        <f>+'Muertes por Edad F'!F40/'Población por Edad F'!F40*1000</f>
        <v>0.53509670432831546</v>
      </c>
      <c r="F19" s="55">
        <f>+'Muertes por Edad F'!G40/'Población por Edad F'!G40*1000</f>
        <v>0.57227922234212703</v>
      </c>
      <c r="G19" s="55">
        <f>+'Muertes por Edad F'!H40/'Población por Edad F'!H40*1000</f>
        <v>0.57513198190843551</v>
      </c>
      <c r="H19" s="55">
        <f>+'Muertes por Edad F'!I40/'Población por Edad F'!I40*1000</f>
        <v>0.56334842918190875</v>
      </c>
      <c r="I19" s="55">
        <f>+'Muertes por Edad F'!J40/'Población por Edad F'!J40*1000</f>
        <v>0.65017401733092839</v>
      </c>
      <c r="J19" s="55">
        <f>+'Muertes por Edad F'!K40/'Población por Edad F'!K40*1000</f>
        <v>0.59086939980423081</v>
      </c>
      <c r="K19" s="55">
        <f>+'Muertes por Edad F'!L40/'Población por Edad F'!L40*1000</f>
        <v>0.59143681159943706</v>
      </c>
      <c r="L19" s="55">
        <f>+'Muertes por Edad F'!M40/'Población por Edad F'!M40*1000</f>
        <v>0.528992737299954</v>
      </c>
      <c r="M19" s="55">
        <f>+'Muertes por Edad F'!N40/'Población por Edad F'!N40*1000</f>
        <v>0.575163720038951</v>
      </c>
      <c r="N19" s="55">
        <f>+'Muertes por Edad F'!O40/'Población por Edad F'!O40*1000</f>
        <v>0.55233310688271398</v>
      </c>
      <c r="O19" s="55">
        <f>+'Muertes por Edad F'!P40/'Población por Edad F'!P40*1000</f>
        <v>0.59584879583745909</v>
      </c>
      <c r="P19" s="55">
        <f>+'Muertes por Edad F'!Q40/'Población por Edad F'!Q40*1000</f>
        <v>0.59628005616234103</v>
      </c>
      <c r="Q19" s="55">
        <f>+'Muertes por Edad F'!R40/'Población por Edad F'!R40*1000</f>
        <v>0.58988150663809491</v>
      </c>
      <c r="R19" s="55">
        <f>+'Muertes por Edad F'!S40/'Población por Edad F'!S40*1000</f>
        <v>0.52170755338814845</v>
      </c>
      <c r="S19" s="72">
        <v>17</v>
      </c>
      <c r="T19" s="55">
        <v>5.7513198190843552E-4</v>
      </c>
      <c r="U19" s="81">
        <f t="shared" si="1"/>
        <v>5.3268959999999992E-4</v>
      </c>
    </row>
    <row r="20" spans="1:21">
      <c r="A20">
        <v>18</v>
      </c>
      <c r="B20" s="55">
        <f>+'Muertes por Edad F'!C41/'Población por Edad F'!C41*1000</f>
        <v>0.61589910992435304</v>
      </c>
      <c r="C20" s="55">
        <f>+'Muertes por Edad F'!D41/'Población por Edad F'!D41*1000</f>
        <v>0.63060986565946853</v>
      </c>
      <c r="D20" s="55">
        <f>+'Muertes por Edad F'!E41/'Población por Edad F'!E41*1000</f>
        <v>0.56956264697108727</v>
      </c>
      <c r="E20" s="55">
        <f>+'Muertes por Edad F'!F41/'Población por Edad F'!F41*1000</f>
        <v>0.53509670432831546</v>
      </c>
      <c r="F20" s="55">
        <f>+'Muertes por Edad F'!G41/'Población por Edad F'!G41*1000</f>
        <v>0.57227922234212691</v>
      </c>
      <c r="G20" s="55">
        <f>+'Muertes por Edad F'!H41/'Población por Edad F'!H41*1000</f>
        <v>0.57513198190843551</v>
      </c>
      <c r="H20" s="55">
        <f>+'Muertes por Edad F'!I41/'Población por Edad F'!I41*1000</f>
        <v>0.56334842918190875</v>
      </c>
      <c r="I20" s="55">
        <f>+'Muertes por Edad F'!J41/'Población por Edad F'!J41*1000</f>
        <v>0.65017401733092828</v>
      </c>
      <c r="J20" s="55">
        <f>+'Muertes por Edad F'!K41/'Población por Edad F'!K41*1000</f>
        <v>0.59086939980423081</v>
      </c>
      <c r="K20" s="55">
        <f>+'Muertes por Edad F'!L41/'Población por Edad F'!L41*1000</f>
        <v>0.59143681159943706</v>
      </c>
      <c r="L20" s="55">
        <f>+'Muertes por Edad F'!M41/'Población por Edad F'!M41*1000</f>
        <v>0.528992737299954</v>
      </c>
      <c r="M20" s="55">
        <f>+'Muertes por Edad F'!N41/'Población por Edad F'!N41*1000</f>
        <v>0.575163720038951</v>
      </c>
      <c r="N20" s="55">
        <f>+'Muertes por Edad F'!O41/'Población por Edad F'!O41*1000</f>
        <v>0.55233310688271398</v>
      </c>
      <c r="O20" s="55">
        <f>+'Muertes por Edad F'!P41/'Población por Edad F'!P41*1000</f>
        <v>0.59584879583745909</v>
      </c>
      <c r="P20" s="55">
        <f>+'Muertes por Edad F'!Q41/'Población por Edad F'!Q41*1000</f>
        <v>0.59628005616234092</v>
      </c>
      <c r="Q20" s="55">
        <f>+'Muertes por Edad F'!R41/'Población por Edad F'!R41*1000</f>
        <v>0.58988150663809491</v>
      </c>
      <c r="R20" s="55">
        <f>+'Muertes por Edad F'!S41/'Población por Edad F'!S41*1000</f>
        <v>0.52170755338814845</v>
      </c>
      <c r="S20" s="72">
        <v>18</v>
      </c>
      <c r="T20" s="55">
        <v>5.7513198190843552E-4</v>
      </c>
      <c r="U20" s="81">
        <f t="shared" si="1"/>
        <v>5.720361999999999E-4</v>
      </c>
    </row>
    <row r="21" spans="1:21">
      <c r="A21">
        <v>19</v>
      </c>
      <c r="B21" s="55">
        <f>+'Muertes por Edad F'!C42/'Población por Edad F'!C42*1000</f>
        <v>0.61589910992435304</v>
      </c>
      <c r="C21" s="55">
        <f>+'Muertes por Edad F'!D42/'Población por Edad F'!D42*1000</f>
        <v>0.63060986565946875</v>
      </c>
      <c r="D21" s="55">
        <f>+'Muertes por Edad F'!E42/'Población por Edad F'!E42*1000</f>
        <v>0.56956264697108727</v>
      </c>
      <c r="E21" s="55">
        <f>+'Muertes por Edad F'!F42/'Población por Edad F'!F42*1000</f>
        <v>0.53509670432831558</v>
      </c>
      <c r="F21" s="55">
        <f>+'Muertes por Edad F'!G42/'Población por Edad F'!G42*1000</f>
        <v>0.57227922234212691</v>
      </c>
      <c r="G21" s="55">
        <f>+'Muertes por Edad F'!H42/'Población por Edad F'!H42*1000</f>
        <v>0.57513198190843551</v>
      </c>
      <c r="H21" s="55">
        <f>+'Muertes por Edad F'!I42/'Población por Edad F'!I42*1000</f>
        <v>0.56334842918190864</v>
      </c>
      <c r="I21" s="55">
        <f>+'Muertes por Edad F'!J42/'Población por Edad F'!J42*1000</f>
        <v>0.65017401733092828</v>
      </c>
      <c r="J21" s="55">
        <f>+'Muertes por Edad F'!K42/'Población por Edad F'!K42*1000</f>
        <v>0.59086939980423092</v>
      </c>
      <c r="K21" s="55">
        <f>+'Muertes por Edad F'!L42/'Población por Edad F'!L42*1000</f>
        <v>0.59143681159943695</v>
      </c>
      <c r="L21" s="55">
        <f>+'Muertes por Edad F'!M42/'Población por Edad F'!M42*1000</f>
        <v>0.528992737299954</v>
      </c>
      <c r="M21" s="55">
        <f>+'Muertes por Edad F'!N42/'Población por Edad F'!N42*1000</f>
        <v>0.57516372003895089</v>
      </c>
      <c r="N21" s="55">
        <f>+'Muertes por Edad F'!O42/'Población por Edad F'!O42*1000</f>
        <v>0.55233310688271409</v>
      </c>
      <c r="O21" s="55">
        <f>+'Muertes por Edad F'!P42/'Población por Edad F'!P42*1000</f>
        <v>0.59584879583745909</v>
      </c>
      <c r="P21" s="55">
        <f>+'Muertes por Edad F'!Q42/'Población por Edad F'!Q42*1000</f>
        <v>0.59628005616234092</v>
      </c>
      <c r="Q21" s="55">
        <f>+'Muertes por Edad F'!R42/'Población por Edad F'!R42*1000</f>
        <v>0.58988150663809491</v>
      </c>
      <c r="R21" s="55">
        <f>+'Muertes por Edad F'!S42/'Población por Edad F'!S42*1000</f>
        <v>0.52170755338814845</v>
      </c>
      <c r="S21" s="72">
        <v>19</v>
      </c>
      <c r="T21" s="55">
        <v>5.7513198190843552E-4</v>
      </c>
      <c r="U21" s="81">
        <f t="shared" si="1"/>
        <v>6.1089180000000029E-4</v>
      </c>
    </row>
    <row r="22" spans="1:21">
      <c r="A22">
        <v>20</v>
      </c>
      <c r="B22" s="55">
        <f>+'Muertes por Edad F'!C43/'Población por Edad F'!C43*1000</f>
        <v>0.68414536895798861</v>
      </c>
      <c r="C22" s="55">
        <f>+'Muertes por Edad F'!D43/'Población por Edad F'!D43*1000</f>
        <v>0.67436639784391983</v>
      </c>
      <c r="D22" s="55">
        <f>+'Muertes por Edad F'!E43/'Población por Edad F'!E43*1000</f>
        <v>0.67795256032689544</v>
      </c>
      <c r="E22" s="55">
        <f>+'Muertes por Edad F'!F43/'Población por Edad F'!F43*1000</f>
        <v>0.63856485319107703</v>
      </c>
      <c r="F22" s="55">
        <f>+'Muertes por Edad F'!G43/'Población por Edad F'!G43*1000</f>
        <v>0.68920161914394396</v>
      </c>
      <c r="G22" s="55">
        <f>+'Muertes por Edad F'!H43/'Población por Edad F'!H43*1000</f>
        <v>0.64603392670631887</v>
      </c>
      <c r="H22" s="55">
        <f>+'Muertes por Edad F'!I43/'Población por Edad F'!I43*1000</f>
        <v>0.65895736711176101</v>
      </c>
      <c r="I22" s="55">
        <f>+'Muertes por Edad F'!J43/'Población por Edad F'!J43*1000</f>
        <v>0.81933662271024454</v>
      </c>
      <c r="J22" s="55">
        <f>+'Muertes por Edad F'!K43/'Población por Edad F'!K43*1000</f>
        <v>0.76640691327977006</v>
      </c>
      <c r="K22" s="55">
        <f>+'Muertes por Edad F'!L43/'Población por Edad F'!L43*1000</f>
        <v>0.70683053976057175</v>
      </c>
      <c r="L22" s="55">
        <f>+'Muertes por Edad F'!M43/'Población por Edad F'!M43*1000</f>
        <v>0.69002842271921816</v>
      </c>
      <c r="M22" s="55">
        <f>+'Muertes por Edad F'!N43/'Población por Edad F'!N43*1000</f>
        <v>0.63470254158297168</v>
      </c>
      <c r="N22" s="55">
        <f>+'Muertes por Edad F'!O43/'Población por Edad F'!O43*1000</f>
        <v>0.65197400103223657</v>
      </c>
      <c r="O22" s="55">
        <f>+'Muertes por Edad F'!P43/'Población por Edad F'!P43*1000</f>
        <v>0.70550332337480248</v>
      </c>
      <c r="P22" s="55">
        <f>+'Muertes por Edad F'!Q43/'Población por Edad F'!Q43*1000</f>
        <v>0.6849159266167989</v>
      </c>
      <c r="Q22" s="55">
        <f>+'Muertes por Edad F'!R43/'Población por Edad F'!R43*1000</f>
        <v>0.67456246572058454</v>
      </c>
      <c r="R22" s="55">
        <f>+'Muertes por Edad F'!S43/'Población por Edad F'!S43*1000</f>
        <v>0.61702859551713907</v>
      </c>
      <c r="S22" s="72">
        <v>20</v>
      </c>
      <c r="T22" s="55">
        <v>6.4603392670631885E-4</v>
      </c>
      <c r="U22" s="81">
        <f t="shared" si="1"/>
        <v>6.4893360000000007E-4</v>
      </c>
    </row>
    <row r="23" spans="1:21">
      <c r="A23">
        <v>21</v>
      </c>
      <c r="B23" s="55">
        <f>+'Muertes por Edad F'!C44/'Población por Edad F'!C44*1000</f>
        <v>0.68414536895798861</v>
      </c>
      <c r="C23" s="55">
        <f>+'Muertes por Edad F'!D44/'Población por Edad F'!D44*1000</f>
        <v>0.67436639784391983</v>
      </c>
      <c r="D23" s="55">
        <f>+'Muertes por Edad F'!E44/'Población por Edad F'!E44*1000</f>
        <v>0.67795256032689533</v>
      </c>
      <c r="E23" s="55">
        <f>+'Muertes por Edad F'!F44/'Población por Edad F'!F44*1000</f>
        <v>0.63856485319107714</v>
      </c>
      <c r="F23" s="55">
        <f>+'Muertes por Edad F'!G44/'Población por Edad F'!G44*1000</f>
        <v>0.68920161914394407</v>
      </c>
      <c r="G23" s="55">
        <f>+'Muertes por Edad F'!H44/'Población por Edad F'!H44*1000</f>
        <v>0.64603392670631876</v>
      </c>
      <c r="H23" s="55">
        <f>+'Muertes por Edad F'!I44/'Población por Edad F'!I44*1000</f>
        <v>0.65895736711176112</v>
      </c>
      <c r="I23" s="55">
        <f>+'Muertes por Edad F'!J44/'Población por Edad F'!J44*1000</f>
        <v>0.81933662271024432</v>
      </c>
      <c r="J23" s="55">
        <f>+'Muertes por Edad F'!K44/'Población por Edad F'!K44*1000</f>
        <v>0.76640691327976995</v>
      </c>
      <c r="K23" s="55">
        <f>+'Muertes por Edad F'!L44/'Población por Edad F'!L44*1000</f>
        <v>0.70683053976057175</v>
      </c>
      <c r="L23" s="55">
        <f>+'Muertes por Edad F'!M44/'Población por Edad F'!M44*1000</f>
        <v>0.69002842271921816</v>
      </c>
      <c r="M23" s="55">
        <f>+'Muertes por Edad F'!N44/'Población por Edad F'!N44*1000</f>
        <v>0.63470254158297168</v>
      </c>
      <c r="N23" s="55">
        <f>+'Muertes por Edad F'!O44/'Población por Edad F'!O44*1000</f>
        <v>0.65197400103223646</v>
      </c>
      <c r="O23" s="55">
        <f>+'Muertes por Edad F'!P44/'Población por Edad F'!P44*1000</f>
        <v>0.70550332337480237</v>
      </c>
      <c r="P23" s="55">
        <f>+'Muertes por Edad F'!Q44/'Población por Edad F'!Q44*1000</f>
        <v>0.6849159266167989</v>
      </c>
      <c r="Q23" s="55">
        <f>+'Muertes por Edad F'!R44/'Población por Edad F'!R44*1000</f>
        <v>0.67456246572058454</v>
      </c>
      <c r="R23" s="55">
        <f>+'Muertes por Edad F'!S44/'Población por Edad F'!S44*1000</f>
        <v>0.61702859551713896</v>
      </c>
      <c r="S23" s="72">
        <v>21</v>
      </c>
      <c r="T23" s="55">
        <v>6.4603392670631874E-4</v>
      </c>
      <c r="U23" s="81">
        <f t="shared" si="1"/>
        <v>6.8593479999999975E-4</v>
      </c>
    </row>
    <row r="24" spans="1:21">
      <c r="A24">
        <v>22</v>
      </c>
      <c r="B24" s="55">
        <f>+'Muertes por Edad F'!C45/'Población por Edad F'!C45*1000</f>
        <v>0.68414536895798872</v>
      </c>
      <c r="C24" s="55">
        <f>+'Muertes por Edad F'!D45/'Población por Edad F'!D45*1000</f>
        <v>0.67436639784391972</v>
      </c>
      <c r="D24" s="55">
        <f>+'Muertes por Edad F'!E45/'Población por Edad F'!E45*1000</f>
        <v>0.67795256032689533</v>
      </c>
      <c r="E24" s="55">
        <f>+'Muertes por Edad F'!F45/'Población por Edad F'!F45*1000</f>
        <v>0.63856485319107703</v>
      </c>
      <c r="F24" s="55">
        <f>+'Muertes por Edad F'!G45/'Población por Edad F'!G45*1000</f>
        <v>0.68920161914394407</v>
      </c>
      <c r="G24" s="55">
        <f>+'Muertes por Edad F'!H45/'Población por Edad F'!H45*1000</f>
        <v>0.64603392670631887</v>
      </c>
      <c r="H24" s="55">
        <f>+'Muertes por Edad F'!I45/'Población por Edad F'!I45*1000</f>
        <v>0.65895736711176112</v>
      </c>
      <c r="I24" s="55">
        <f>+'Muertes por Edad F'!J45/'Población por Edad F'!J45*1000</f>
        <v>0.81933662271024432</v>
      </c>
      <c r="J24" s="55">
        <f>+'Muertes por Edad F'!K45/'Población por Edad F'!K45*1000</f>
        <v>0.76640691327976995</v>
      </c>
      <c r="K24" s="55">
        <f>+'Muertes por Edad F'!L45/'Población por Edad F'!L45*1000</f>
        <v>0.70683053976057175</v>
      </c>
      <c r="L24" s="55">
        <f>+'Muertes por Edad F'!M45/'Población por Edad F'!M45*1000</f>
        <v>0.69002842271921816</v>
      </c>
      <c r="M24" s="55">
        <f>+'Muertes por Edad F'!N45/'Población por Edad F'!N45*1000</f>
        <v>0.63470254158297168</v>
      </c>
      <c r="N24" s="55">
        <f>+'Muertes por Edad F'!O45/'Población por Edad F'!O45*1000</f>
        <v>0.65197400103223646</v>
      </c>
      <c r="O24" s="55">
        <f>+'Muertes por Edad F'!P45/'Población por Edad F'!P45*1000</f>
        <v>0.70550332337480237</v>
      </c>
      <c r="P24" s="55">
        <f>+'Muertes por Edad F'!Q45/'Población por Edad F'!Q45*1000</f>
        <v>0.6849159266167989</v>
      </c>
      <c r="Q24" s="55">
        <f>+'Muertes por Edad F'!R45/'Población por Edad F'!R45*1000</f>
        <v>0.67456246572058443</v>
      </c>
      <c r="R24" s="55">
        <f>+'Muertes por Edad F'!S45/'Población por Edad F'!S45*1000</f>
        <v>0.61702859551713896</v>
      </c>
      <c r="S24" s="72">
        <v>22</v>
      </c>
      <c r="T24" s="55">
        <v>6.4603392670631885E-4</v>
      </c>
      <c r="U24" s="81">
        <f t="shared" si="1"/>
        <v>7.2176460000000027E-4</v>
      </c>
    </row>
    <row r="25" spans="1:21">
      <c r="A25">
        <v>23</v>
      </c>
      <c r="B25" s="55">
        <f>+'Muertes por Edad F'!C46/'Población por Edad F'!C46*1000</f>
        <v>0.68414536895798872</v>
      </c>
      <c r="C25" s="55">
        <f>+'Muertes por Edad F'!D46/'Población por Edad F'!D46*1000</f>
        <v>0.67436639784391983</v>
      </c>
      <c r="D25" s="55">
        <f>+'Muertes por Edad F'!E46/'Población por Edad F'!E46*1000</f>
        <v>0.67795256032689533</v>
      </c>
      <c r="E25" s="55">
        <f>+'Muertes por Edad F'!F46/'Población por Edad F'!F46*1000</f>
        <v>0.63856485319107703</v>
      </c>
      <c r="F25" s="55">
        <f>+'Muertes por Edad F'!G46/'Población por Edad F'!G46*1000</f>
        <v>0.68920161914394407</v>
      </c>
      <c r="G25" s="55">
        <f>+'Muertes por Edad F'!H46/'Población por Edad F'!H46*1000</f>
        <v>0.64603392670631887</v>
      </c>
      <c r="H25" s="55">
        <f>+'Muertes por Edad F'!I46/'Población por Edad F'!I46*1000</f>
        <v>0.65895736711176101</v>
      </c>
      <c r="I25" s="55">
        <f>+'Muertes por Edad F'!J46/'Población por Edad F'!J46*1000</f>
        <v>0.81933662271024443</v>
      </c>
      <c r="J25" s="55">
        <f>+'Muertes por Edad F'!K46/'Población por Edad F'!K46*1000</f>
        <v>0.76640691327977006</v>
      </c>
      <c r="K25" s="55">
        <f>+'Muertes por Edad F'!L46/'Población por Edad F'!L46*1000</f>
        <v>0.70683053976057175</v>
      </c>
      <c r="L25" s="55">
        <f>+'Muertes por Edad F'!M46/'Población por Edad F'!M46*1000</f>
        <v>0.69002842271921827</v>
      </c>
      <c r="M25" s="55">
        <f>+'Muertes por Edad F'!N46/'Población por Edad F'!N46*1000</f>
        <v>0.63470254158297168</v>
      </c>
      <c r="N25" s="55">
        <f>+'Muertes por Edad F'!O46/'Población por Edad F'!O46*1000</f>
        <v>0.65197400103223646</v>
      </c>
      <c r="O25" s="55">
        <f>+'Muertes por Edad F'!P46/'Población por Edad F'!P46*1000</f>
        <v>0.70550332337480237</v>
      </c>
      <c r="P25" s="55">
        <f>+'Muertes por Edad F'!Q46/'Población por Edad F'!Q46*1000</f>
        <v>0.68491592661679901</v>
      </c>
      <c r="Q25" s="55">
        <f>+'Muertes por Edad F'!R46/'Población por Edad F'!R46*1000</f>
        <v>0.67456246572058431</v>
      </c>
      <c r="R25" s="55">
        <f>+'Muertes por Edad F'!S46/'Población por Edad F'!S46*1000</f>
        <v>0.61702859551713896</v>
      </c>
      <c r="S25" s="72">
        <v>23</v>
      </c>
      <c r="T25" s="55">
        <v>6.4603392670631885E-4</v>
      </c>
      <c r="U25" s="81">
        <f t="shared" si="1"/>
        <v>7.5638820000000016E-4</v>
      </c>
    </row>
    <row r="26" spans="1:21">
      <c r="A26">
        <v>24</v>
      </c>
      <c r="B26" s="55">
        <f>+'Muertes por Edad F'!C47/'Población por Edad F'!C47*1000</f>
        <v>0.68414536895798861</v>
      </c>
      <c r="C26" s="55">
        <f>+'Muertes por Edad F'!D47/'Población por Edad F'!D47*1000</f>
        <v>0.67436639784391972</v>
      </c>
      <c r="D26" s="55">
        <f>+'Muertes por Edad F'!E47/'Población por Edad F'!E47*1000</f>
        <v>0.67795256032689533</v>
      </c>
      <c r="E26" s="55">
        <f>+'Muertes por Edad F'!F47/'Población por Edad F'!F47*1000</f>
        <v>0.63856485319107703</v>
      </c>
      <c r="F26" s="55">
        <f>+'Muertes por Edad F'!G47/'Población por Edad F'!G47*1000</f>
        <v>0.68920161914394396</v>
      </c>
      <c r="G26" s="55">
        <f>+'Muertes por Edad F'!H47/'Población por Edad F'!H47*1000</f>
        <v>0.64603392670631887</v>
      </c>
      <c r="H26" s="55">
        <f>+'Muertes por Edad F'!I47/'Población por Edad F'!I47*1000</f>
        <v>0.65895736711176112</v>
      </c>
      <c r="I26" s="55">
        <f>+'Muertes por Edad F'!J47/'Población por Edad F'!J47*1000</f>
        <v>0.81933662271024443</v>
      </c>
      <c r="J26" s="55">
        <f>+'Muertes por Edad F'!K47/'Población por Edad F'!K47*1000</f>
        <v>0.76640691327976995</v>
      </c>
      <c r="K26" s="55">
        <f>+'Muertes por Edad F'!L47/'Población por Edad F'!L47*1000</f>
        <v>0.70683053976057175</v>
      </c>
      <c r="L26" s="55">
        <f>+'Muertes por Edad F'!M47/'Población por Edad F'!M47*1000</f>
        <v>0.69002842271921816</v>
      </c>
      <c r="M26" s="55">
        <f>+'Muertes por Edad F'!N47/'Población por Edad F'!N47*1000</f>
        <v>0.63470254158297168</v>
      </c>
      <c r="N26" s="55">
        <f>+'Muertes por Edad F'!O47/'Población por Edad F'!O47*1000</f>
        <v>0.65197400103223646</v>
      </c>
      <c r="O26" s="55">
        <f>+'Muertes por Edad F'!P47/'Población por Edad F'!P47*1000</f>
        <v>0.70550332337480237</v>
      </c>
      <c r="P26" s="55">
        <f>+'Muertes por Edad F'!Q47/'Población por Edad F'!Q47*1000</f>
        <v>0.6849159266167989</v>
      </c>
      <c r="Q26" s="55">
        <f>+'Muertes por Edad F'!R47/'Población por Edad F'!R47*1000</f>
        <v>0.67456246572058443</v>
      </c>
      <c r="R26" s="55">
        <f>+'Muertes por Edad F'!S47/'Población por Edad F'!S47*1000</f>
        <v>0.61702859551713896</v>
      </c>
      <c r="S26" s="72">
        <v>24</v>
      </c>
      <c r="T26" s="55">
        <v>6.4603392670631885E-4</v>
      </c>
      <c r="U26" s="81">
        <f t="shared" si="1"/>
        <v>7.8986679999999991E-4</v>
      </c>
    </row>
    <row r="27" spans="1:21">
      <c r="A27">
        <v>25</v>
      </c>
      <c r="B27" s="55">
        <f>+'Muertes por Edad F'!C48/'Población por Edad F'!C48*1000</f>
        <v>0.8197353876036193</v>
      </c>
      <c r="C27" s="55">
        <f>+'Muertes por Edad F'!D48/'Población por Edad F'!D48*1000</f>
        <v>0.87271247036551081</v>
      </c>
      <c r="D27" s="55">
        <f>+'Muertes por Edad F'!E48/'Población por Edad F'!E48*1000</f>
        <v>0.83603452670618006</v>
      </c>
      <c r="E27" s="55">
        <f>+'Muertes por Edad F'!F48/'Población por Edad F'!F48*1000</f>
        <v>0.82310325731616485</v>
      </c>
      <c r="F27" s="55">
        <f>+'Muertes por Edad F'!G48/'Población por Edad F'!G48*1000</f>
        <v>0.80251911296776934</v>
      </c>
      <c r="G27" s="55">
        <f>+'Muertes por Edad F'!H48/'Población por Edad F'!H48*1000</f>
        <v>0.78425330072374089</v>
      </c>
      <c r="H27" s="55">
        <f>+'Muertes por Edad F'!I48/'Población por Edad F'!I48*1000</f>
        <v>0.82523470465243465</v>
      </c>
      <c r="I27" s="55">
        <f>+'Muertes por Edad F'!J48/'Población por Edad F'!J48*1000</f>
        <v>0.96576088385793679</v>
      </c>
      <c r="J27" s="55">
        <f>+'Muertes por Edad F'!K48/'Población por Edad F'!K48*1000</f>
        <v>0.89292680533122049</v>
      </c>
      <c r="K27" s="55">
        <f>+'Muertes por Edad F'!L48/'Población por Edad F'!L48*1000</f>
        <v>0.82628632501620836</v>
      </c>
      <c r="L27" s="55">
        <f>+'Muertes por Edad F'!M48/'Población por Edad F'!M48*1000</f>
        <v>0.79909681174659686</v>
      </c>
      <c r="M27" s="55">
        <f>+'Muertes por Edad F'!N48/'Población por Edad F'!N48*1000</f>
        <v>0.84375816293822459</v>
      </c>
      <c r="N27" s="55">
        <f>+'Muertes por Edad F'!O48/'Población por Edad F'!O48*1000</f>
        <v>0.80437958968478329</v>
      </c>
      <c r="O27" s="55">
        <f>+'Muertes por Edad F'!P48/'Población por Edad F'!P48*1000</f>
        <v>0.82368553138108702</v>
      </c>
      <c r="P27" s="55">
        <f>+'Muertes por Edad F'!Q48/'Población por Edad F'!Q48*1000</f>
        <v>0.90071306582251809</v>
      </c>
      <c r="Q27" s="55">
        <f>+'Muertes por Edad F'!R48/'Población por Edad F'!R48*1000</f>
        <v>0.82060914718973987</v>
      </c>
      <c r="R27" s="55">
        <f>+'Muertes por Edad F'!S48/'Población por Edad F'!S48*1000</f>
        <v>0.7965465678324618</v>
      </c>
      <c r="S27" s="72">
        <v>25</v>
      </c>
      <c r="T27" s="55">
        <v>7.8425330072374089E-4</v>
      </c>
      <c r="U27" s="81">
        <f t="shared" si="1"/>
        <v>8.2235760000000065E-4</v>
      </c>
    </row>
    <row r="28" spans="1:21">
      <c r="A28">
        <v>26</v>
      </c>
      <c r="B28" s="55">
        <f>+'Muertes por Edad F'!C49/'Población por Edad F'!C49*1000</f>
        <v>0.8197353876036193</v>
      </c>
      <c r="C28" s="55">
        <f>+'Muertes por Edad F'!D49/'Población por Edad F'!D49*1000</f>
        <v>0.87271247036551081</v>
      </c>
      <c r="D28" s="55">
        <f>+'Muertes por Edad F'!E49/'Población por Edad F'!E49*1000</f>
        <v>0.83603452670618017</v>
      </c>
      <c r="E28" s="55">
        <f>+'Muertes por Edad F'!F49/'Población por Edad F'!F49*1000</f>
        <v>0.82310325731616474</v>
      </c>
      <c r="F28" s="55">
        <f>+'Muertes por Edad F'!G49/'Población por Edad F'!G49*1000</f>
        <v>0.80251911296776945</v>
      </c>
      <c r="G28" s="55">
        <f>+'Muertes por Edad F'!H49/'Población por Edad F'!H49*1000</f>
        <v>0.78425330072374111</v>
      </c>
      <c r="H28" s="55">
        <f>+'Muertes por Edad F'!I49/'Población por Edad F'!I49*1000</f>
        <v>0.82523470465243454</v>
      </c>
      <c r="I28" s="55">
        <f>+'Muertes por Edad F'!J49/'Población por Edad F'!J49*1000</f>
        <v>0.96576088385793679</v>
      </c>
      <c r="J28" s="55">
        <f>+'Muertes por Edad F'!K49/'Población por Edad F'!K49*1000</f>
        <v>0.89292680533122049</v>
      </c>
      <c r="K28" s="55">
        <f>+'Muertes por Edad F'!L49/'Población por Edad F'!L49*1000</f>
        <v>0.82628632501620825</v>
      </c>
      <c r="L28" s="55">
        <f>+'Muertes por Edad F'!M49/'Población por Edad F'!M49*1000</f>
        <v>0.79909681174659686</v>
      </c>
      <c r="M28" s="55">
        <f>+'Muertes por Edad F'!N49/'Población por Edad F'!N49*1000</f>
        <v>0.84375816293822459</v>
      </c>
      <c r="N28" s="55">
        <f>+'Muertes por Edad F'!O49/'Población por Edad F'!O49*1000</f>
        <v>0.8043795896847834</v>
      </c>
      <c r="O28" s="55">
        <f>+'Muertes por Edad F'!P49/'Población por Edad F'!P49*1000</f>
        <v>0.82368553138108702</v>
      </c>
      <c r="P28" s="55">
        <f>+'Muertes por Edad F'!Q49/'Población por Edad F'!Q49*1000</f>
        <v>0.9007130658225182</v>
      </c>
      <c r="Q28" s="55">
        <f>+'Muertes por Edad F'!R49/'Población por Edad F'!R49*1000</f>
        <v>0.82060914718973987</v>
      </c>
      <c r="R28" s="55">
        <f>+'Muertes por Edad F'!S49/'Población por Edad F'!S49*1000</f>
        <v>0.7965465678324618</v>
      </c>
      <c r="S28" s="72">
        <v>26</v>
      </c>
      <c r="T28" s="55">
        <v>7.842533007237411E-4</v>
      </c>
      <c r="U28" s="81">
        <f t="shared" si="1"/>
        <v>8.5411379999999983E-4</v>
      </c>
    </row>
    <row r="29" spans="1:21">
      <c r="A29">
        <v>27</v>
      </c>
      <c r="B29" s="55">
        <f>+'Muertes por Edad F'!C50/'Población por Edad F'!C50*1000</f>
        <v>0.81973538760361919</v>
      </c>
      <c r="C29" s="55">
        <f>+'Muertes por Edad F'!D50/'Población por Edad F'!D50*1000</f>
        <v>0.87271247036551081</v>
      </c>
      <c r="D29" s="55">
        <f>+'Muertes por Edad F'!E50/'Población por Edad F'!E50*1000</f>
        <v>0.83603452670618028</v>
      </c>
      <c r="E29" s="55">
        <f>+'Muertes por Edad F'!F50/'Población por Edad F'!F50*1000</f>
        <v>0.82310325731616485</v>
      </c>
      <c r="F29" s="55">
        <f>+'Muertes por Edad F'!G50/'Población por Edad F'!G50*1000</f>
        <v>0.80251911296776934</v>
      </c>
      <c r="G29" s="55">
        <f>+'Muertes por Edad F'!H50/'Población por Edad F'!H50*1000</f>
        <v>0.784253300723741</v>
      </c>
      <c r="H29" s="55">
        <f>+'Muertes por Edad F'!I50/'Población por Edad F'!I50*1000</f>
        <v>0.82523470465243465</v>
      </c>
      <c r="I29" s="55">
        <f>+'Muertes por Edad F'!J50/'Población por Edad F'!J50*1000</f>
        <v>0.96576088385793679</v>
      </c>
      <c r="J29" s="55">
        <f>+'Muertes por Edad F'!K50/'Población por Edad F'!K50*1000</f>
        <v>0.89292680533122049</v>
      </c>
      <c r="K29" s="55">
        <f>+'Muertes por Edad F'!L50/'Población por Edad F'!L50*1000</f>
        <v>0.82628632501620825</v>
      </c>
      <c r="L29" s="55">
        <f>+'Muertes por Edad F'!M50/'Población por Edad F'!M50*1000</f>
        <v>0.79909681174659686</v>
      </c>
      <c r="M29" s="55">
        <f>+'Muertes por Edad F'!N50/'Población por Edad F'!N50*1000</f>
        <v>0.84375816293822448</v>
      </c>
      <c r="N29" s="55">
        <f>+'Muertes por Edad F'!O50/'Población por Edad F'!O50*1000</f>
        <v>0.8043795896847834</v>
      </c>
      <c r="O29" s="55">
        <f>+'Muertes por Edad F'!P50/'Población por Edad F'!P50*1000</f>
        <v>0.82368553138108691</v>
      </c>
      <c r="P29" s="55">
        <f>+'Muertes por Edad F'!Q50/'Población por Edad F'!Q50*1000</f>
        <v>0.90071306582251809</v>
      </c>
      <c r="Q29" s="55">
        <f>+'Muertes por Edad F'!R50/'Población por Edad F'!R50*1000</f>
        <v>0.82060914718973987</v>
      </c>
      <c r="R29" s="55">
        <f>+'Muertes por Edad F'!S50/'Población por Edad F'!S50*1000</f>
        <v>0.7965465678324618</v>
      </c>
      <c r="S29" s="72">
        <v>27</v>
      </c>
      <c r="T29" s="55">
        <v>7.8425330072374099E-4</v>
      </c>
      <c r="U29" s="81">
        <f t="shared" si="1"/>
        <v>8.8548460000000115E-4</v>
      </c>
    </row>
    <row r="30" spans="1:21">
      <c r="A30">
        <v>28</v>
      </c>
      <c r="B30" s="55">
        <f>+'Muertes por Edad F'!C51/'Población por Edad F'!C51*1000</f>
        <v>0.8197353876036193</v>
      </c>
      <c r="C30" s="55">
        <f>+'Muertes por Edad F'!D51/'Población por Edad F'!D51*1000</f>
        <v>0.87271247036551092</v>
      </c>
      <c r="D30" s="55">
        <f>+'Muertes por Edad F'!E51/'Población por Edad F'!E51*1000</f>
        <v>0.83603452670617995</v>
      </c>
      <c r="E30" s="55">
        <f>+'Muertes por Edad F'!F51/'Población por Edad F'!F51*1000</f>
        <v>0.82310325731616485</v>
      </c>
      <c r="F30" s="55">
        <f>+'Muertes por Edad F'!G51/'Población por Edad F'!G51*1000</f>
        <v>0.80251911296776934</v>
      </c>
      <c r="G30" s="55">
        <f>+'Muertes por Edad F'!H51/'Población por Edad F'!H51*1000</f>
        <v>0.78425330072374089</v>
      </c>
      <c r="H30" s="55">
        <f>+'Muertes por Edad F'!I51/'Población por Edad F'!I51*1000</f>
        <v>0.82523470465243465</v>
      </c>
      <c r="I30" s="55">
        <f>+'Muertes por Edad F'!J51/'Población por Edad F'!J51*1000</f>
        <v>0.96576088385793679</v>
      </c>
      <c r="J30" s="55">
        <f>+'Muertes por Edad F'!K51/'Población por Edad F'!K51*1000</f>
        <v>0.89292680533122049</v>
      </c>
      <c r="K30" s="55">
        <f>+'Muertes por Edad F'!L51/'Población por Edad F'!L51*1000</f>
        <v>0.82628632501620825</v>
      </c>
      <c r="L30" s="55">
        <f>+'Muertes por Edad F'!M51/'Población por Edad F'!M51*1000</f>
        <v>0.79909681174659675</v>
      </c>
      <c r="M30" s="55">
        <f>+'Muertes por Edad F'!N51/'Población por Edad F'!N51*1000</f>
        <v>0.84375816293822448</v>
      </c>
      <c r="N30" s="55">
        <f>+'Muertes por Edad F'!O51/'Población por Edad F'!O51*1000</f>
        <v>0.80437958968478329</v>
      </c>
      <c r="O30" s="55">
        <f>+'Muertes por Edad F'!P51/'Población por Edad F'!P51*1000</f>
        <v>0.82368553138108691</v>
      </c>
      <c r="P30" s="55">
        <f>+'Muertes por Edad F'!Q51/'Población por Edad F'!Q51*1000</f>
        <v>0.90071306582251809</v>
      </c>
      <c r="Q30" s="55">
        <f>+'Muertes por Edad F'!R51/'Población por Edad F'!R51*1000</f>
        <v>0.82060914718973987</v>
      </c>
      <c r="R30" s="55">
        <f>+'Muertes por Edad F'!S51/'Población por Edad F'!S51*1000</f>
        <v>0.7965465678324618</v>
      </c>
      <c r="S30" s="72">
        <v>28</v>
      </c>
      <c r="T30" s="55">
        <v>7.8425330072374089E-4</v>
      </c>
      <c r="U30" s="81">
        <f t="shared" si="1"/>
        <v>9.1691519999999988E-4</v>
      </c>
    </row>
    <row r="31" spans="1:21">
      <c r="A31">
        <v>29</v>
      </c>
      <c r="B31" s="55">
        <f>+'Muertes por Edad F'!C52/'Población por Edad F'!C52*1000</f>
        <v>0.8197353876036193</v>
      </c>
      <c r="C31" s="55">
        <f>+'Muertes por Edad F'!D52/'Población por Edad F'!D52*1000</f>
        <v>0.87271247036551081</v>
      </c>
      <c r="D31" s="55">
        <f>+'Muertes por Edad F'!E52/'Población por Edad F'!E52*1000</f>
        <v>0.83603452670617995</v>
      </c>
      <c r="E31" s="55">
        <f>+'Muertes por Edad F'!F52/'Población por Edad F'!F52*1000</f>
        <v>0.82310325731616485</v>
      </c>
      <c r="F31" s="55">
        <f>+'Muertes por Edad F'!G52/'Población por Edad F'!G52*1000</f>
        <v>0.80251911296776923</v>
      </c>
      <c r="G31" s="55">
        <f>+'Muertes por Edad F'!H52/'Población por Edad F'!H52*1000</f>
        <v>0.784253300723741</v>
      </c>
      <c r="H31" s="55">
        <f>+'Muertes por Edad F'!I52/'Población por Edad F'!I52*1000</f>
        <v>0.82523470465243454</v>
      </c>
      <c r="I31" s="55">
        <f>+'Muertes por Edad F'!J52/'Población por Edad F'!J52*1000</f>
        <v>0.96576088385793679</v>
      </c>
      <c r="J31" s="55">
        <f>+'Muertes por Edad F'!K52/'Población por Edad F'!K52*1000</f>
        <v>0.89292680533122049</v>
      </c>
      <c r="K31" s="55">
        <f>+'Muertes por Edad F'!L52/'Población por Edad F'!L52*1000</f>
        <v>0.82628632501620825</v>
      </c>
      <c r="L31" s="55">
        <f>+'Muertes por Edad F'!M52/'Población por Edad F'!M52*1000</f>
        <v>0.79909681174659686</v>
      </c>
      <c r="M31" s="55">
        <f>+'Muertes por Edad F'!N52/'Población por Edad F'!N52*1000</f>
        <v>0.84375816293822459</v>
      </c>
      <c r="N31" s="55">
        <f>+'Muertes por Edad F'!O52/'Población por Edad F'!O52*1000</f>
        <v>0.80437958968478329</v>
      </c>
      <c r="O31" s="55">
        <f>+'Muertes por Edad F'!P52/'Población por Edad F'!P52*1000</f>
        <v>0.82368553138108702</v>
      </c>
      <c r="P31" s="55">
        <f>+'Muertes por Edad F'!Q52/'Población por Edad F'!Q52*1000</f>
        <v>0.90071306582251809</v>
      </c>
      <c r="Q31" s="55">
        <f>+'Muertes por Edad F'!R52/'Población por Edad F'!R52*1000</f>
        <v>0.82060914718973987</v>
      </c>
      <c r="R31" s="55">
        <f>+'Muertes por Edad F'!S52/'Población por Edad F'!S52*1000</f>
        <v>0.7965465678324618</v>
      </c>
      <c r="S31" s="72">
        <v>29</v>
      </c>
      <c r="T31" s="55">
        <v>7.8425330072374099E-4</v>
      </c>
      <c r="U31" s="81">
        <f t="shared" si="1"/>
        <v>9.4894680000000146E-4</v>
      </c>
    </row>
    <row r="32" spans="1:21">
      <c r="A32">
        <v>30</v>
      </c>
      <c r="B32" s="55">
        <f>+'Muertes por Edad F'!C53/'Población por Edad F'!C53*1000</f>
        <v>1.066072052958287</v>
      </c>
      <c r="C32" s="55">
        <f>+'Muertes por Edad F'!D53/'Población por Edad F'!D53*1000</f>
        <v>1.1448508067316177</v>
      </c>
      <c r="D32" s="55">
        <f>+'Muertes por Edad F'!E53/'Población por Edad F'!E53*1000</f>
        <v>1.0382940014988138</v>
      </c>
      <c r="E32" s="55">
        <f>+'Muertes por Edad F'!F53/'Población por Edad F'!F53*1000</f>
        <v>0.97069714789206341</v>
      </c>
      <c r="F32" s="55">
        <f>+'Muertes por Edad F'!G53/'Población por Edad F'!G53*1000</f>
        <v>1.0034840937504099</v>
      </c>
      <c r="G32" s="55">
        <f>+'Muertes por Edad F'!H53/'Población por Edad F'!H53*1000</f>
        <v>0.98220646656237232</v>
      </c>
      <c r="H32" s="55">
        <f>+'Muertes por Edad F'!I53/'Población por Edad F'!I53*1000</f>
        <v>0.99824550992636463</v>
      </c>
      <c r="I32" s="55">
        <f>+'Muertes por Edad F'!J53/'Población por Edad F'!J53*1000</f>
        <v>1.058946332395601</v>
      </c>
      <c r="J32" s="55">
        <f>+'Muertes por Edad F'!K53/'Población por Edad F'!K53*1000</f>
        <v>1.0177994167998661</v>
      </c>
      <c r="K32" s="55">
        <f>+'Muertes por Edad F'!L53/'Población por Edad F'!L53*1000</f>
        <v>0.93546126745898495</v>
      </c>
      <c r="L32" s="55">
        <f>+'Muertes por Edad F'!M53/'Población por Edad F'!M53*1000</f>
        <v>0.88792916653089515</v>
      </c>
      <c r="M32" s="55">
        <f>+'Muertes por Edad F'!N53/'Población por Edad F'!N53*1000</f>
        <v>0.9487976700980969</v>
      </c>
      <c r="N32" s="55">
        <f>+'Muertes por Edad F'!O53/'Población por Edad F'!O53*1000</f>
        <v>0.95807897072458448</v>
      </c>
      <c r="O32" s="55">
        <f>+'Muertes por Edad F'!P53/'Población por Edad F'!P53*1000</f>
        <v>0.94570507894152267</v>
      </c>
      <c r="P32" s="55">
        <f>+'Muertes por Edad F'!Q53/'Población por Edad F'!Q53*1000</f>
        <v>0.95978806119442073</v>
      </c>
      <c r="Q32" s="55">
        <f>+'Muertes por Edad F'!R53/'Población por Edad F'!R53*1000</f>
        <v>0.99595776531574609</v>
      </c>
      <c r="R32" s="55">
        <f>+'Muertes por Edad F'!S53/'Población por Edad F'!S53*1000</f>
        <v>1.0241310642358337</v>
      </c>
      <c r="S32" s="72">
        <v>30</v>
      </c>
      <c r="T32" s="55">
        <v>9.8220646656237229E-4</v>
      </c>
      <c r="U32" s="81">
        <f t="shared" si="1"/>
        <v>9.8221659999999994E-4</v>
      </c>
    </row>
    <row r="33" spans="1:21">
      <c r="A33">
        <v>31</v>
      </c>
      <c r="B33" s="55">
        <f>+'Muertes por Edad F'!C54/'Población por Edad F'!C54*1000</f>
        <v>1.0660720529582868</v>
      </c>
      <c r="C33" s="55">
        <f>+'Muertes por Edad F'!D54/'Población por Edad F'!D54*1000</f>
        <v>1.1448508067316179</v>
      </c>
      <c r="D33" s="55">
        <f>+'Muertes por Edad F'!E54/'Población por Edad F'!E54*1000</f>
        <v>1.038294001498814</v>
      </c>
      <c r="E33" s="55">
        <f>+'Muertes por Edad F'!F54/'Población por Edad F'!F54*1000</f>
        <v>0.97069714789206341</v>
      </c>
      <c r="F33" s="55">
        <f>+'Muertes por Edad F'!G54/'Población por Edad F'!G54*1000</f>
        <v>1.0034840937504099</v>
      </c>
      <c r="G33" s="55">
        <f>+'Muertes por Edad F'!H54/'Población por Edad F'!H54*1000</f>
        <v>0.98220646656237232</v>
      </c>
      <c r="H33" s="55">
        <f>+'Muertes por Edad F'!I54/'Población por Edad F'!I54*1000</f>
        <v>0.99824550992636463</v>
      </c>
      <c r="I33" s="55">
        <f>+'Muertes por Edad F'!J54/'Población por Edad F'!J54*1000</f>
        <v>1.058946332395601</v>
      </c>
      <c r="J33" s="55">
        <f>+'Muertes por Edad F'!K54/'Población por Edad F'!K54*1000</f>
        <v>1.0177994167998661</v>
      </c>
      <c r="K33" s="55">
        <f>+'Muertes por Edad F'!L54/'Población por Edad F'!L54*1000</f>
        <v>0.93546126745898484</v>
      </c>
      <c r="L33" s="55">
        <f>+'Muertes por Edad F'!M54/'Población por Edad F'!M54*1000</f>
        <v>0.88792916653089504</v>
      </c>
      <c r="M33" s="55">
        <f>+'Muertes por Edad F'!N54/'Población por Edad F'!N54*1000</f>
        <v>0.94879767009809679</v>
      </c>
      <c r="N33" s="55">
        <f>+'Muertes por Edad F'!O54/'Población por Edad F'!O54*1000</f>
        <v>0.95807897072458459</v>
      </c>
      <c r="O33" s="55">
        <f>+'Muertes por Edad F'!P54/'Población por Edad F'!P54*1000</f>
        <v>0.94570507894152278</v>
      </c>
      <c r="P33" s="55">
        <f>+'Muertes por Edad F'!Q54/'Población por Edad F'!Q54*1000</f>
        <v>0.95978806119442062</v>
      </c>
      <c r="Q33" s="55">
        <f>+'Muertes por Edad F'!R54/'Población por Edad F'!R54*1000</f>
        <v>0.99595776531574609</v>
      </c>
      <c r="R33" s="55">
        <f>+'Muertes por Edad F'!S54/'Población por Edad F'!S54*1000</f>
        <v>1.0241310642358337</v>
      </c>
      <c r="S33" s="72">
        <v>31</v>
      </c>
      <c r="T33" s="55">
        <v>9.8220646656237229E-4</v>
      </c>
      <c r="U33" s="81">
        <f t="shared" si="1"/>
        <v>1.0174578000000014E-3</v>
      </c>
    </row>
    <row r="34" spans="1:21">
      <c r="A34">
        <v>32</v>
      </c>
      <c r="B34" s="55">
        <f>+'Muertes por Edad F'!C55/'Población por Edad F'!C55*1000</f>
        <v>1.066072052958287</v>
      </c>
      <c r="C34" s="55">
        <f>+'Muertes por Edad F'!D55/'Población por Edad F'!D55*1000</f>
        <v>1.1448508067316179</v>
      </c>
      <c r="D34" s="55">
        <f>+'Muertes por Edad F'!E55/'Población por Edad F'!E55*1000</f>
        <v>1.038294001498814</v>
      </c>
      <c r="E34" s="55">
        <f>+'Muertes por Edad F'!F55/'Población por Edad F'!F55*1000</f>
        <v>0.97069714789206341</v>
      </c>
      <c r="F34" s="55">
        <f>+'Muertes por Edad F'!G55/'Población por Edad F'!G55*1000</f>
        <v>1.0034840937504097</v>
      </c>
      <c r="G34" s="55">
        <f>+'Muertes por Edad F'!H55/'Población por Edad F'!H55*1000</f>
        <v>0.98220646656237232</v>
      </c>
      <c r="H34" s="55">
        <f>+'Muertes por Edad F'!I55/'Población por Edad F'!I55*1000</f>
        <v>0.99824550992636463</v>
      </c>
      <c r="I34" s="55">
        <f>+'Muertes por Edad F'!J55/'Población por Edad F'!J55*1000</f>
        <v>1.058946332395601</v>
      </c>
      <c r="J34" s="55">
        <f>+'Muertes por Edad F'!K55/'Población por Edad F'!K55*1000</f>
        <v>1.0177994167998661</v>
      </c>
      <c r="K34" s="55">
        <f>+'Muertes por Edad F'!L55/'Población por Edad F'!L55*1000</f>
        <v>0.93546126745898495</v>
      </c>
      <c r="L34" s="55">
        <f>+'Muertes por Edad F'!M55/'Población por Edad F'!M55*1000</f>
        <v>0.88792916653089493</v>
      </c>
      <c r="M34" s="55">
        <f>+'Muertes por Edad F'!N55/'Población por Edad F'!N55*1000</f>
        <v>0.9487976700980969</v>
      </c>
      <c r="N34" s="55">
        <f>+'Muertes por Edad F'!O55/'Población por Edad F'!O55*1000</f>
        <v>0.95807897072458459</v>
      </c>
      <c r="O34" s="55">
        <f>+'Muertes por Edad F'!P55/'Población por Edad F'!P55*1000</f>
        <v>0.94570507894152267</v>
      </c>
      <c r="P34" s="55">
        <f>+'Muertes por Edad F'!Q55/'Población por Edad F'!Q55*1000</f>
        <v>0.95978806119442073</v>
      </c>
      <c r="Q34" s="55">
        <f>+'Muertes por Edad F'!R55/'Población por Edad F'!R55*1000</f>
        <v>0.99595776531574609</v>
      </c>
      <c r="R34" s="55">
        <f>+'Muertes por Edad F'!S55/'Población por Edad F'!S55*1000</f>
        <v>1.0241310642358337</v>
      </c>
      <c r="S34" s="72">
        <v>32</v>
      </c>
      <c r="T34" s="55">
        <v>9.8220646656237229E-4</v>
      </c>
      <c r="U34" s="81">
        <f t="shared" si="1"/>
        <v>1.0554996000000003E-3</v>
      </c>
    </row>
    <row r="35" spans="1:21">
      <c r="A35">
        <v>33</v>
      </c>
      <c r="B35" s="55">
        <f>+'Muertes por Edad F'!C56/'Población por Edad F'!C56*1000</f>
        <v>1.0660720529582868</v>
      </c>
      <c r="C35" s="55">
        <f>+'Muertes por Edad F'!D56/'Población por Edad F'!D56*1000</f>
        <v>1.1448508067316179</v>
      </c>
      <c r="D35" s="55">
        <f>+'Muertes por Edad F'!E56/'Población por Edad F'!E56*1000</f>
        <v>1.0382940014988138</v>
      </c>
      <c r="E35" s="55">
        <f>+'Muertes por Edad F'!F56/'Población por Edad F'!F56*1000</f>
        <v>0.97069714789206341</v>
      </c>
      <c r="F35" s="55">
        <f>+'Muertes por Edad F'!G56/'Población por Edad F'!G56*1000</f>
        <v>1.0034840937504097</v>
      </c>
      <c r="G35" s="55">
        <f>+'Muertes por Edad F'!H56/'Población por Edad F'!H56*1000</f>
        <v>0.98220646656237232</v>
      </c>
      <c r="H35" s="55">
        <f>+'Muertes por Edad F'!I56/'Población por Edad F'!I56*1000</f>
        <v>0.99824550992636463</v>
      </c>
      <c r="I35" s="55">
        <f>+'Muertes por Edad F'!J56/'Población por Edad F'!J56*1000</f>
        <v>1.058946332395601</v>
      </c>
      <c r="J35" s="55">
        <f>+'Muertes por Edad F'!K56/'Población por Edad F'!K56*1000</f>
        <v>1.0177994167998661</v>
      </c>
      <c r="K35" s="55">
        <f>+'Muertes por Edad F'!L56/'Población por Edad F'!L56*1000</f>
        <v>0.93546126745898484</v>
      </c>
      <c r="L35" s="55">
        <f>+'Muertes por Edad F'!M56/'Población por Edad F'!M56*1000</f>
        <v>0.88792916653089504</v>
      </c>
      <c r="M35" s="55">
        <f>+'Muertes por Edad F'!N56/'Población por Edad F'!N56*1000</f>
        <v>0.9487976700980969</v>
      </c>
      <c r="N35" s="55">
        <f>+'Muertes por Edad F'!O56/'Población por Edad F'!O56*1000</f>
        <v>0.95807897072458459</v>
      </c>
      <c r="O35" s="55">
        <f>+'Muertes por Edad F'!P56/'Población por Edad F'!P56*1000</f>
        <v>0.94570507894152267</v>
      </c>
      <c r="P35" s="55">
        <f>+'Muertes por Edad F'!Q56/'Población por Edad F'!Q56*1000</f>
        <v>0.95978806119442062</v>
      </c>
      <c r="Q35" s="55">
        <f>+'Muertes por Edad F'!R56/'Población por Edad F'!R56*1000</f>
        <v>0.99595776531574609</v>
      </c>
      <c r="R35" s="55">
        <f>+'Muertes por Edad F'!S56/'Población por Edad F'!S56*1000</f>
        <v>1.0241310642358337</v>
      </c>
      <c r="S35" s="72">
        <v>33</v>
      </c>
      <c r="T35" s="55">
        <v>9.8220646656237229E-4</v>
      </c>
      <c r="U35" s="81">
        <f t="shared" si="1"/>
        <v>1.0972672000000025E-3</v>
      </c>
    </row>
    <row r="36" spans="1:21">
      <c r="A36">
        <v>34</v>
      </c>
      <c r="B36" s="55">
        <f>+'Muertes por Edad F'!C57/'Población por Edad F'!C57*1000</f>
        <v>1.066072052958287</v>
      </c>
      <c r="C36" s="55">
        <f>+'Muertes por Edad F'!D57/'Población por Edad F'!D57*1000</f>
        <v>1.1448508067316179</v>
      </c>
      <c r="D36" s="55">
        <f>+'Muertes por Edad F'!E57/'Población por Edad F'!E57*1000</f>
        <v>1.038294001498814</v>
      </c>
      <c r="E36" s="55">
        <f>+'Muertes por Edad F'!F57/'Población por Edad F'!F57*1000</f>
        <v>0.97069714789206329</v>
      </c>
      <c r="F36" s="55">
        <f>+'Muertes por Edad F'!G57/'Población por Edad F'!G57*1000</f>
        <v>1.0034840937504099</v>
      </c>
      <c r="G36" s="55">
        <f>+'Muertes por Edad F'!H57/'Población por Edad F'!H57*1000</f>
        <v>0.98220646656237232</v>
      </c>
      <c r="H36" s="55">
        <f>+'Muertes por Edad F'!I57/'Población por Edad F'!I57*1000</f>
        <v>0.99824550992636463</v>
      </c>
      <c r="I36" s="55">
        <f>+'Muertes por Edad F'!J57/'Población por Edad F'!J57*1000</f>
        <v>1.058946332395601</v>
      </c>
      <c r="J36" s="55">
        <f>+'Muertes por Edad F'!K57/'Población por Edad F'!K57*1000</f>
        <v>1.0177994167998659</v>
      </c>
      <c r="K36" s="55">
        <f>+'Muertes por Edad F'!L57/'Población por Edad F'!L57*1000</f>
        <v>0.93546126745898484</v>
      </c>
      <c r="L36" s="55">
        <f>+'Muertes por Edad F'!M57/'Población por Edad F'!M57*1000</f>
        <v>0.88792916653089515</v>
      </c>
      <c r="M36" s="55">
        <f>+'Muertes por Edad F'!N57/'Población por Edad F'!N57*1000</f>
        <v>0.94879767009809701</v>
      </c>
      <c r="N36" s="55">
        <f>+'Muertes por Edad F'!O57/'Población por Edad F'!O57*1000</f>
        <v>0.95807897072458459</v>
      </c>
      <c r="O36" s="55">
        <f>+'Muertes por Edad F'!P57/'Población por Edad F'!P57*1000</f>
        <v>0.94570507894152267</v>
      </c>
      <c r="P36" s="55">
        <f>+'Muertes por Edad F'!Q57/'Población por Edad F'!Q57*1000</f>
        <v>0.95978806119442073</v>
      </c>
      <c r="Q36" s="55">
        <f>+'Muertes por Edad F'!R57/'Población por Edad F'!R57*1000</f>
        <v>0.99595776531574609</v>
      </c>
      <c r="R36" s="55">
        <f>+'Muertes por Edad F'!S57/'Población por Edad F'!S57*1000</f>
        <v>1.0241310642358334</v>
      </c>
      <c r="S36" s="72">
        <v>34</v>
      </c>
      <c r="T36" s="55">
        <v>9.8220646656237229E-4</v>
      </c>
      <c r="U36" s="81">
        <f t="shared" si="1"/>
        <v>1.1437817999999998E-3</v>
      </c>
    </row>
    <row r="37" spans="1:21">
      <c r="A37">
        <v>35</v>
      </c>
      <c r="B37" s="55">
        <f>+'Muertes por Edad F'!C58/'Población por Edad F'!C58*1000</f>
        <v>1.4662625921048078</v>
      </c>
      <c r="C37" s="55">
        <f>+'Muertes por Edad F'!D58/'Población por Edad F'!D58*1000</f>
        <v>1.5111782505494311</v>
      </c>
      <c r="D37" s="55">
        <f>+'Muertes por Edad F'!E58/'Población por Edad F'!E58*1000</f>
        <v>1.5361429606565389</v>
      </c>
      <c r="E37" s="55">
        <f>+'Muertes por Edad F'!F58/'Población por Edad F'!F58*1000</f>
        <v>1.4396732171417694</v>
      </c>
      <c r="F37" s="55">
        <f>+'Muertes por Edad F'!G58/'Población por Edad F'!G58*1000</f>
        <v>1.3834434851614248</v>
      </c>
      <c r="G37" s="55">
        <f>+'Muertes por Edad F'!H58/'Población por Edad F'!H58*1000</f>
        <v>1.3483058126433183</v>
      </c>
      <c r="H37" s="55">
        <f>+'Muertes por Edad F'!I58/'Población por Edad F'!I58*1000</f>
        <v>1.343739534109424</v>
      </c>
      <c r="I37" s="55">
        <f>+'Muertes por Edad F'!J58/'Población por Edad F'!J58*1000</f>
        <v>1.4083871198675704</v>
      </c>
      <c r="J37" s="55">
        <f>+'Muertes por Edad F'!K58/'Población por Edad F'!K58*1000</f>
        <v>1.3392445783074476</v>
      </c>
      <c r="K37" s="55">
        <f>+'Muertes por Edad F'!L58/'Población por Edad F'!L58*1000</f>
        <v>1.2379753720726581</v>
      </c>
      <c r="L37" s="55">
        <f>+'Muertes por Edad F'!M58/'Población por Edad F'!M58*1000</f>
        <v>1.2529577869193489</v>
      </c>
      <c r="M37" s="55">
        <f>+'Muertes por Edad F'!N58/'Población por Edad F'!N58*1000</f>
        <v>1.2049487951758289</v>
      </c>
      <c r="N37" s="55">
        <f>+'Muertes por Edad F'!O58/'Población por Edad F'!O58*1000</f>
        <v>1.2610536468337805</v>
      </c>
      <c r="O37" s="55">
        <f>+'Muertes por Edad F'!P58/'Población por Edad F'!P58*1000</f>
        <v>1.2494589296600898</v>
      </c>
      <c r="P37" s="55">
        <f>+'Muertes por Edad F'!Q58/'Población por Edad F'!Q58*1000</f>
        <v>1.2453944365058005</v>
      </c>
      <c r="Q37" s="55">
        <f>+'Muertes por Edad F'!R58/'Población por Edad F'!R58*1000</f>
        <v>1.2874375205957067</v>
      </c>
      <c r="R37" s="55">
        <f>+'Muertes por Edad F'!S58/'Población por Edad F'!S58*1000</f>
        <v>1.3147449192586314</v>
      </c>
      <c r="S37" s="72">
        <v>35</v>
      </c>
      <c r="T37" s="55">
        <v>1.3483058126433183E-3</v>
      </c>
      <c r="U37" s="81">
        <f t="shared" si="1"/>
        <v>1.1961605999999997E-3</v>
      </c>
    </row>
    <row r="38" spans="1:21">
      <c r="A38">
        <v>36</v>
      </c>
      <c r="B38" s="55">
        <f>+'Muertes por Edad F'!C59/'Población por Edad F'!C59*1000</f>
        <v>1.4662625921048078</v>
      </c>
      <c r="C38" s="55">
        <f>+'Muertes por Edad F'!D59/'Población por Edad F'!D59*1000</f>
        <v>1.5111782505494311</v>
      </c>
      <c r="D38" s="55">
        <f>+'Muertes por Edad F'!E59/'Población por Edad F'!E59*1000</f>
        <v>1.5361429606565389</v>
      </c>
      <c r="E38" s="55">
        <f>+'Muertes por Edad F'!F59/'Población por Edad F'!F59*1000</f>
        <v>1.4396732171417694</v>
      </c>
      <c r="F38" s="55">
        <f>+'Muertes por Edad F'!G59/'Población por Edad F'!G59*1000</f>
        <v>1.3834434851614248</v>
      </c>
      <c r="G38" s="55">
        <f>+'Muertes por Edad F'!H59/'Población por Edad F'!H59*1000</f>
        <v>1.3483058126433183</v>
      </c>
      <c r="H38" s="55">
        <f>+'Muertes por Edad F'!I59/'Población por Edad F'!I59*1000</f>
        <v>1.343739534109424</v>
      </c>
      <c r="I38" s="55">
        <f>+'Muertes por Edad F'!J59/'Población por Edad F'!J59*1000</f>
        <v>1.4083871198675706</v>
      </c>
      <c r="J38" s="55">
        <f>+'Muertes por Edad F'!K59/'Población por Edad F'!K59*1000</f>
        <v>1.3392445783074476</v>
      </c>
      <c r="K38" s="55">
        <f>+'Muertes por Edad F'!L59/'Población por Edad F'!L59*1000</f>
        <v>1.2379753720726581</v>
      </c>
      <c r="L38" s="55">
        <f>+'Muertes por Edad F'!M59/'Población por Edad F'!M59*1000</f>
        <v>1.2529577869193491</v>
      </c>
      <c r="M38" s="55">
        <f>+'Muertes por Edad F'!N59/'Población por Edad F'!N59*1000</f>
        <v>1.2049487951758289</v>
      </c>
      <c r="N38" s="55">
        <f>+'Muertes por Edad F'!O59/'Población por Edad F'!O59*1000</f>
        <v>1.2610536468337807</v>
      </c>
      <c r="O38" s="55">
        <f>+'Muertes por Edad F'!P59/'Población por Edad F'!P59*1000</f>
        <v>1.2494589296600898</v>
      </c>
      <c r="P38" s="55">
        <f>+'Muertes por Edad F'!Q59/'Población por Edad F'!Q59*1000</f>
        <v>1.2453944365058005</v>
      </c>
      <c r="Q38" s="55">
        <f>+'Muertes por Edad F'!R59/'Población por Edad F'!R59*1000</f>
        <v>1.2874375205957067</v>
      </c>
      <c r="R38" s="55">
        <f>+'Muertes por Edad F'!S59/'Población por Edad F'!S59*1000</f>
        <v>1.3147449192586314</v>
      </c>
      <c r="S38" s="72">
        <v>36</v>
      </c>
      <c r="T38" s="55">
        <v>1.3483058126433183E-3</v>
      </c>
      <c r="U38" s="81">
        <f t="shared" si="1"/>
        <v>1.2556167999999987E-3</v>
      </c>
    </row>
    <row r="39" spans="1:21">
      <c r="A39">
        <v>37</v>
      </c>
      <c r="B39" s="55">
        <f>+'Muertes por Edad F'!C60/'Población por Edad F'!C60*1000</f>
        <v>1.4662625921048078</v>
      </c>
      <c r="C39" s="55">
        <f>+'Muertes por Edad F'!D60/'Población por Edad F'!D60*1000</f>
        <v>1.5111782505494311</v>
      </c>
      <c r="D39" s="55">
        <f>+'Muertes por Edad F'!E60/'Población por Edad F'!E60*1000</f>
        <v>1.5361429606565391</v>
      </c>
      <c r="E39" s="55">
        <f>+'Muertes por Edad F'!F60/'Población por Edad F'!F60*1000</f>
        <v>1.4396732171417694</v>
      </c>
      <c r="F39" s="55">
        <f>+'Muertes por Edad F'!G60/'Población por Edad F'!G60*1000</f>
        <v>1.3834434851614246</v>
      </c>
      <c r="G39" s="55">
        <f>+'Muertes por Edad F'!H60/'Población por Edad F'!H60*1000</f>
        <v>1.3483058126433181</v>
      </c>
      <c r="H39" s="55">
        <f>+'Muertes por Edad F'!I60/'Población por Edad F'!I60*1000</f>
        <v>1.343739534109424</v>
      </c>
      <c r="I39" s="55">
        <f>+'Muertes por Edad F'!J60/'Población por Edad F'!J60*1000</f>
        <v>1.4083871198675704</v>
      </c>
      <c r="J39" s="55">
        <f>+'Muertes por Edad F'!K60/'Población por Edad F'!K60*1000</f>
        <v>1.3392445783074476</v>
      </c>
      <c r="K39" s="55">
        <f>+'Muertes por Edad F'!L60/'Población por Edad F'!L60*1000</f>
        <v>1.2379753720726581</v>
      </c>
      <c r="L39" s="55">
        <f>+'Muertes por Edad F'!M60/'Población por Edad F'!M60*1000</f>
        <v>1.2529577869193491</v>
      </c>
      <c r="M39" s="55">
        <f>+'Muertes por Edad F'!N60/'Población por Edad F'!N60*1000</f>
        <v>1.2049487951758289</v>
      </c>
      <c r="N39" s="55">
        <f>+'Muertes por Edad F'!O60/'Población por Edad F'!O60*1000</f>
        <v>1.2610536468337807</v>
      </c>
      <c r="O39" s="55">
        <f>+'Muertes por Edad F'!P60/'Población por Edad F'!P60*1000</f>
        <v>1.2494589296600898</v>
      </c>
      <c r="P39" s="55">
        <f>+'Muertes por Edad F'!Q60/'Población por Edad F'!Q60*1000</f>
        <v>1.2453944365058005</v>
      </c>
      <c r="Q39" s="55">
        <f>+'Muertes por Edad F'!R60/'Población por Edad F'!R60*1000</f>
        <v>1.2874375205957067</v>
      </c>
      <c r="R39" s="55">
        <f>+'Muertes por Edad F'!S60/'Población por Edad F'!S60*1000</f>
        <v>1.3147449192586314</v>
      </c>
      <c r="S39" s="72">
        <v>37</v>
      </c>
      <c r="T39" s="55">
        <v>1.348305812643318E-3</v>
      </c>
      <c r="U39" s="81">
        <f t="shared" si="1"/>
        <v>1.3234595999999997E-3</v>
      </c>
    </row>
    <row r="40" spans="1:21">
      <c r="A40">
        <v>38</v>
      </c>
      <c r="B40" s="55">
        <f>+'Muertes por Edad F'!C61/'Población por Edad F'!C61*1000</f>
        <v>1.466262592104808</v>
      </c>
      <c r="C40" s="55">
        <f>+'Muertes por Edad F'!D61/'Población por Edad F'!D61*1000</f>
        <v>1.5111782505494311</v>
      </c>
      <c r="D40" s="55">
        <f>+'Muertes por Edad F'!E61/'Población por Edad F'!E61*1000</f>
        <v>1.5361429606565389</v>
      </c>
      <c r="E40" s="55">
        <f>+'Muertes por Edad F'!F61/'Población por Edad F'!F61*1000</f>
        <v>1.4396732171417694</v>
      </c>
      <c r="F40" s="55">
        <f>+'Muertes por Edad F'!G61/'Población por Edad F'!G61*1000</f>
        <v>1.3834434851614246</v>
      </c>
      <c r="G40" s="55">
        <f>+'Muertes por Edad F'!H61/'Población por Edad F'!H61*1000</f>
        <v>1.3483058126433183</v>
      </c>
      <c r="H40" s="55">
        <f>+'Muertes por Edad F'!I61/'Población por Edad F'!I61*1000</f>
        <v>1.343739534109424</v>
      </c>
      <c r="I40" s="55">
        <f>+'Muertes por Edad F'!J61/'Población por Edad F'!J61*1000</f>
        <v>1.4083871198675704</v>
      </c>
      <c r="J40" s="55">
        <f>+'Muertes por Edad F'!K61/'Población por Edad F'!K61*1000</f>
        <v>1.3392445783074478</v>
      </c>
      <c r="K40" s="55">
        <f>+'Muertes por Edad F'!L61/'Población por Edad F'!L61*1000</f>
        <v>1.2379753720726581</v>
      </c>
      <c r="L40" s="55">
        <f>+'Muertes por Edad F'!M61/'Población por Edad F'!M61*1000</f>
        <v>1.2529577869193491</v>
      </c>
      <c r="M40" s="55">
        <f>+'Muertes por Edad F'!N61/'Población por Edad F'!N61*1000</f>
        <v>1.2049487951758289</v>
      </c>
      <c r="N40" s="55">
        <f>+'Muertes por Edad F'!O61/'Población por Edad F'!O61*1000</f>
        <v>1.2610536468337807</v>
      </c>
      <c r="O40" s="55">
        <f>+'Muertes por Edad F'!P61/'Población por Edad F'!P61*1000</f>
        <v>1.2494589296600898</v>
      </c>
      <c r="P40" s="55">
        <f>+'Muertes por Edad F'!Q61/'Población por Edad F'!Q61*1000</f>
        <v>1.2453944365058005</v>
      </c>
      <c r="Q40" s="55">
        <f>+'Muertes por Edad F'!R61/'Población por Edad F'!R61*1000</f>
        <v>1.2874375205957067</v>
      </c>
      <c r="R40" s="55">
        <f>+'Muertes por Edad F'!S61/'Población por Edad F'!S61*1000</f>
        <v>1.3147449192586314</v>
      </c>
      <c r="S40" s="72">
        <v>38</v>
      </c>
      <c r="T40" s="55">
        <v>1.3483058126433183E-3</v>
      </c>
      <c r="U40" s="81">
        <f t="shared" si="1"/>
        <v>1.4010942000000017E-3</v>
      </c>
    </row>
    <row r="41" spans="1:21">
      <c r="A41">
        <v>39</v>
      </c>
      <c r="B41" s="55">
        <f>+'Muertes por Edad F'!C62/'Población por Edad F'!C62*1000</f>
        <v>1.466262592104808</v>
      </c>
      <c r="C41" s="55">
        <f>+'Muertes por Edad F'!D62/'Población por Edad F'!D62*1000</f>
        <v>1.5111782505494309</v>
      </c>
      <c r="D41" s="55">
        <f>+'Muertes por Edad F'!E62/'Población por Edad F'!E62*1000</f>
        <v>1.5361429606565389</v>
      </c>
      <c r="E41" s="55">
        <f>+'Muertes por Edad F'!F62/'Población por Edad F'!F62*1000</f>
        <v>1.4396732171417692</v>
      </c>
      <c r="F41" s="55">
        <f>+'Muertes por Edad F'!G62/'Población por Edad F'!G62*1000</f>
        <v>1.3834434851614246</v>
      </c>
      <c r="G41" s="55">
        <f>+'Muertes por Edad F'!H62/'Población por Edad F'!H62*1000</f>
        <v>1.3483058126433181</v>
      </c>
      <c r="H41" s="55">
        <f>+'Muertes por Edad F'!I62/'Población por Edad F'!I62*1000</f>
        <v>1.3437395341094238</v>
      </c>
      <c r="I41" s="55">
        <f>+'Muertes por Edad F'!J62/'Población por Edad F'!J62*1000</f>
        <v>1.4083871198675704</v>
      </c>
      <c r="J41" s="55">
        <f>+'Muertes por Edad F'!K62/'Población por Edad F'!K62*1000</f>
        <v>1.3392445783074476</v>
      </c>
      <c r="K41" s="55">
        <f>+'Muertes por Edad F'!L62/'Población por Edad F'!L62*1000</f>
        <v>1.2379753720726581</v>
      </c>
      <c r="L41" s="55">
        <f>+'Muertes por Edad F'!M62/'Población por Edad F'!M62*1000</f>
        <v>1.2529577869193491</v>
      </c>
      <c r="M41" s="55">
        <f>+'Muertes por Edad F'!N62/'Población por Edad F'!N62*1000</f>
        <v>1.2049487951758289</v>
      </c>
      <c r="N41" s="55">
        <f>+'Muertes por Edad F'!O62/'Población por Edad F'!O62*1000</f>
        <v>1.2610536468337807</v>
      </c>
      <c r="O41" s="55">
        <f>+'Muertes por Edad F'!P62/'Población por Edad F'!P62*1000</f>
        <v>1.2494589296600898</v>
      </c>
      <c r="P41" s="55">
        <f>+'Muertes por Edad F'!Q62/'Población por Edad F'!Q62*1000</f>
        <v>1.2453944365058005</v>
      </c>
      <c r="Q41" s="55">
        <f>+'Muertes por Edad F'!R62/'Población por Edad F'!R62*1000</f>
        <v>1.2874375205957067</v>
      </c>
      <c r="R41" s="55">
        <f>+'Muertes por Edad F'!S62/'Población por Edad F'!S62*1000</f>
        <v>1.3147449192586311</v>
      </c>
      <c r="S41" s="72">
        <v>39</v>
      </c>
      <c r="T41" s="55">
        <v>1.348305812643318E-3</v>
      </c>
      <c r="U41" s="81">
        <f t="shared" si="1"/>
        <v>1.4900218000000001E-3</v>
      </c>
    </row>
    <row r="42" spans="1:21">
      <c r="A42">
        <v>40</v>
      </c>
      <c r="B42" s="55">
        <f>+'Muertes por Edad F'!C63/'Población por Edad F'!C63*1000</f>
        <v>2.1675480339937452</v>
      </c>
      <c r="C42" s="55">
        <f>+'Muertes por Edad F'!D63/'Población por Edad F'!D63*1000</f>
        <v>2.0889262872843761</v>
      </c>
      <c r="D42" s="55">
        <f>+'Muertes por Edad F'!E63/'Población por Edad F'!E63*1000</f>
        <v>2.2214588573940177</v>
      </c>
      <c r="E42" s="55">
        <f>+'Muertes por Edad F'!F63/'Población por Edad F'!F63*1000</f>
        <v>1.963257750609217</v>
      </c>
      <c r="F42" s="55">
        <f>+'Muertes por Edad F'!G63/'Población por Edad F'!G63*1000</f>
        <v>2.0060720588042034</v>
      </c>
      <c r="G42" s="55">
        <f>+'Muertes por Edad F'!H63/'Población por Edad F'!H63*1000</f>
        <v>1.9284274501393066</v>
      </c>
      <c r="H42" s="55">
        <f>+'Muertes por Edad F'!I63/'Población por Edad F'!I63*1000</f>
        <v>2.0011930520949921</v>
      </c>
      <c r="I42" s="55">
        <f>+'Muertes por Edad F'!J63/'Población por Edad F'!J63*1000</f>
        <v>2.018342821541157</v>
      </c>
      <c r="J42" s="55">
        <f>+'Muertes por Edad F'!K63/'Población por Edad F'!K63*1000</f>
        <v>1.9348922664882247</v>
      </c>
      <c r="K42" s="55">
        <f>+'Muertes por Edad F'!L63/'Población por Edad F'!L63*1000</f>
        <v>1.8095887892028384</v>
      </c>
      <c r="L42" s="55">
        <f>+'Muertes por Edad F'!M63/'Población por Edad F'!M63*1000</f>
        <v>1.7639283425943224</v>
      </c>
      <c r="M42" s="55">
        <f>+'Muertes por Edad F'!N63/'Población por Edad F'!N63*1000</f>
        <v>1.8331724831135519</v>
      </c>
      <c r="N42" s="55">
        <f>+'Muertes por Edad F'!O63/'Población por Edad F'!O63*1000</f>
        <v>1.7165382938640514</v>
      </c>
      <c r="O42" s="55">
        <f>+'Muertes por Edad F'!P63/'Población por Edad F'!P63*1000</f>
        <v>1.7531787536856853</v>
      </c>
      <c r="P42" s="55">
        <f>+'Muertes por Edad F'!Q63/'Población por Edad F'!Q63*1000</f>
        <v>1.791986818563774</v>
      </c>
      <c r="Q42" s="55">
        <f>+'Muertes por Edad F'!R63/'Población por Edad F'!R63*1000</f>
        <v>1.7756549421734384</v>
      </c>
      <c r="R42" s="55">
        <f>+'Muertes por Edad F'!S63/'Población por Edad F'!S63*1000</f>
        <v>1.8094121306382416</v>
      </c>
      <c r="S42" s="72">
        <v>40</v>
      </c>
      <c r="T42" s="55">
        <v>1.9284274501393066E-3</v>
      </c>
      <c r="U42" s="81">
        <f t="shared" si="1"/>
        <v>1.5918396E-3</v>
      </c>
    </row>
    <row r="43" spans="1:21">
      <c r="A43">
        <v>41</v>
      </c>
      <c r="B43" s="55">
        <f>+'Muertes por Edad F'!C64/'Población por Edad F'!C64*1000</f>
        <v>2.1675480339937452</v>
      </c>
      <c r="C43" s="55">
        <f>+'Muertes por Edad F'!D64/'Población por Edad F'!D64*1000</f>
        <v>2.0889262872843766</v>
      </c>
      <c r="D43" s="55">
        <f>+'Muertes por Edad F'!E64/'Población por Edad F'!E64*1000</f>
        <v>2.2214588573940177</v>
      </c>
      <c r="E43" s="55">
        <f>+'Muertes por Edad F'!F64/'Población por Edad F'!F64*1000</f>
        <v>1.963257750609217</v>
      </c>
      <c r="F43" s="55">
        <f>+'Muertes por Edad F'!G64/'Población por Edad F'!G64*1000</f>
        <v>2.0060720588042034</v>
      </c>
      <c r="G43" s="55">
        <f>+'Muertes por Edad F'!H64/'Población por Edad F'!H64*1000</f>
        <v>1.9284274501393066</v>
      </c>
      <c r="H43" s="55">
        <f>+'Muertes por Edad F'!I64/'Población por Edad F'!I64*1000</f>
        <v>2.0011930520949921</v>
      </c>
      <c r="I43" s="55">
        <f>+'Muertes por Edad F'!J64/'Población por Edad F'!J64*1000</f>
        <v>2.018342821541157</v>
      </c>
      <c r="J43" s="55">
        <f>+'Muertes por Edad F'!K64/'Población por Edad F'!K64*1000</f>
        <v>1.9348922664882247</v>
      </c>
      <c r="K43" s="55">
        <f>+'Muertes por Edad F'!L64/'Población por Edad F'!L64*1000</f>
        <v>1.8095887892028386</v>
      </c>
      <c r="L43" s="55">
        <f>+'Muertes por Edad F'!M64/'Población por Edad F'!M64*1000</f>
        <v>1.7639283425943222</v>
      </c>
      <c r="M43" s="55">
        <f>+'Muertes por Edad F'!N64/'Población por Edad F'!N64*1000</f>
        <v>1.8331724831135516</v>
      </c>
      <c r="N43" s="55">
        <f>+'Muertes por Edad F'!O64/'Población por Edad F'!O64*1000</f>
        <v>1.7165382938640517</v>
      </c>
      <c r="O43" s="55">
        <f>+'Muertes por Edad F'!P64/'Población por Edad F'!P64*1000</f>
        <v>1.7531787536856855</v>
      </c>
      <c r="P43" s="55">
        <f>+'Muertes por Edad F'!Q64/'Población por Edad F'!Q64*1000</f>
        <v>1.7919868185637742</v>
      </c>
      <c r="Q43" s="55">
        <f>+'Muertes por Edad F'!R64/'Población por Edad F'!R64*1000</f>
        <v>1.7756549421734382</v>
      </c>
      <c r="R43" s="55">
        <f>+'Muertes por Edad F'!S64/'Población por Edad F'!S64*1000</f>
        <v>1.8094121306382418</v>
      </c>
      <c r="S43" s="72">
        <v>41</v>
      </c>
      <c r="T43" s="55">
        <v>1.9284274501393066E-3</v>
      </c>
      <c r="U43" s="81">
        <f t="shared" si="1"/>
        <v>1.7082407999999987E-3</v>
      </c>
    </row>
    <row r="44" spans="1:21">
      <c r="A44">
        <v>42</v>
      </c>
      <c r="B44" s="55">
        <f>+'Muertes por Edad F'!C65/'Población por Edad F'!C65*1000</f>
        <v>2.1675480339937452</v>
      </c>
      <c r="C44" s="55">
        <f>+'Muertes por Edad F'!D65/'Población por Edad F'!D65*1000</f>
        <v>2.0889262872843766</v>
      </c>
      <c r="D44" s="55">
        <f>+'Muertes por Edad F'!E65/'Población por Edad F'!E65*1000</f>
        <v>2.2214588573940177</v>
      </c>
      <c r="E44" s="55">
        <f>+'Muertes por Edad F'!F65/'Población por Edad F'!F65*1000</f>
        <v>1.963257750609217</v>
      </c>
      <c r="F44" s="55">
        <f>+'Muertes por Edad F'!G65/'Población por Edad F'!G65*1000</f>
        <v>2.0060720588042034</v>
      </c>
      <c r="G44" s="55">
        <f>+'Muertes por Edad F'!H65/'Población por Edad F'!H65*1000</f>
        <v>1.9284274501393068</v>
      </c>
      <c r="H44" s="55">
        <f>+'Muertes por Edad F'!I65/'Población por Edad F'!I65*1000</f>
        <v>2.0011930520949921</v>
      </c>
      <c r="I44" s="55">
        <f>+'Muertes por Edad F'!J65/'Población por Edad F'!J65*1000</f>
        <v>2.0183428215411565</v>
      </c>
      <c r="J44" s="55">
        <f>+'Muertes por Edad F'!K65/'Población por Edad F'!K65*1000</f>
        <v>1.9348922664882244</v>
      </c>
      <c r="K44" s="55">
        <f>+'Muertes por Edad F'!L65/'Población por Edad F'!L65*1000</f>
        <v>1.8095887892028384</v>
      </c>
      <c r="L44" s="55">
        <f>+'Muertes por Edad F'!M65/'Población por Edad F'!M65*1000</f>
        <v>1.7639283425943222</v>
      </c>
      <c r="M44" s="55">
        <f>+'Muertes por Edad F'!N65/'Población por Edad F'!N65*1000</f>
        <v>1.8331724831135519</v>
      </c>
      <c r="N44" s="55">
        <f>+'Muertes por Edad F'!O65/'Población por Edad F'!O65*1000</f>
        <v>1.7165382938640512</v>
      </c>
      <c r="O44" s="55">
        <f>+'Muertes por Edad F'!P65/'Población por Edad F'!P65*1000</f>
        <v>1.7531787536856855</v>
      </c>
      <c r="P44" s="55">
        <f>+'Muertes por Edad F'!Q65/'Población por Edad F'!Q65*1000</f>
        <v>1.7919868185637742</v>
      </c>
      <c r="Q44" s="55">
        <f>+'Muertes por Edad F'!R65/'Población por Edad F'!R65*1000</f>
        <v>1.7756549421734382</v>
      </c>
      <c r="R44" s="55">
        <f>+'Muertes por Edad F'!S65/'Población por Edad F'!S65*1000</f>
        <v>1.8094121306382418</v>
      </c>
      <c r="S44" s="72">
        <v>42</v>
      </c>
      <c r="T44" s="55">
        <v>1.9284274501393068E-3</v>
      </c>
      <c r="U44" s="81">
        <f t="shared" si="1"/>
        <v>1.8410145999999982E-3</v>
      </c>
    </row>
    <row r="45" spans="1:21">
      <c r="A45">
        <v>43</v>
      </c>
      <c r="B45" s="55">
        <f>+'Muertes por Edad F'!C66/'Población por Edad F'!C66*1000</f>
        <v>2.1675480339937447</v>
      </c>
      <c r="C45" s="55">
        <f>+'Muertes por Edad F'!D66/'Población por Edad F'!D66*1000</f>
        <v>2.0889262872843766</v>
      </c>
      <c r="D45" s="55">
        <f>+'Muertes por Edad F'!E66/'Población por Edad F'!E66*1000</f>
        <v>2.2214588573940177</v>
      </c>
      <c r="E45" s="55">
        <f>+'Muertes por Edad F'!F66/'Población por Edad F'!F66*1000</f>
        <v>1.963257750609217</v>
      </c>
      <c r="F45" s="55">
        <f>+'Muertes por Edad F'!G66/'Población por Edad F'!G66*1000</f>
        <v>2.0060720588042034</v>
      </c>
      <c r="G45" s="55">
        <f>+'Muertes por Edad F'!H66/'Población por Edad F'!H66*1000</f>
        <v>1.9284274501393064</v>
      </c>
      <c r="H45" s="55">
        <f>+'Muertes por Edad F'!I66/'Población por Edad F'!I66*1000</f>
        <v>2.0011930520949921</v>
      </c>
      <c r="I45" s="55">
        <f>+'Muertes por Edad F'!J66/'Población por Edad F'!J66*1000</f>
        <v>2.018342821541157</v>
      </c>
      <c r="J45" s="55">
        <f>+'Muertes por Edad F'!K66/'Población por Edad F'!K66*1000</f>
        <v>1.9348922664882244</v>
      </c>
      <c r="K45" s="55">
        <f>+'Muertes por Edad F'!L66/'Población por Edad F'!L66*1000</f>
        <v>1.8095887892028382</v>
      </c>
      <c r="L45" s="55">
        <f>+'Muertes por Edad F'!M66/'Población por Edad F'!M66*1000</f>
        <v>1.7639283425943222</v>
      </c>
      <c r="M45" s="55">
        <f>+'Muertes por Edad F'!N66/'Población por Edad F'!N66*1000</f>
        <v>1.8331724831135516</v>
      </c>
      <c r="N45" s="55">
        <f>+'Muertes por Edad F'!O66/'Población por Edad F'!O66*1000</f>
        <v>1.7165382938640514</v>
      </c>
      <c r="O45" s="55">
        <f>+'Muertes por Edad F'!P66/'Población por Edad F'!P66*1000</f>
        <v>1.7531787536856851</v>
      </c>
      <c r="P45" s="55">
        <f>+'Muertes por Edad F'!Q66/'Población por Edad F'!Q66*1000</f>
        <v>1.7919868185637742</v>
      </c>
      <c r="Q45" s="55">
        <f>+'Muertes por Edad F'!R66/'Población por Edad F'!R66*1000</f>
        <v>1.775654942173438</v>
      </c>
      <c r="R45" s="55">
        <f>+'Muertes por Edad F'!S66/'Población por Edad F'!S66*1000</f>
        <v>1.8094121306382418</v>
      </c>
      <c r="S45" s="72">
        <v>43</v>
      </c>
      <c r="T45" s="55">
        <v>1.9284274501393064E-3</v>
      </c>
      <c r="U45" s="81">
        <f t="shared" si="1"/>
        <v>1.9920461999999996E-3</v>
      </c>
    </row>
    <row r="46" spans="1:21">
      <c r="A46">
        <v>44</v>
      </c>
      <c r="B46" s="55">
        <f>+'Muertes por Edad F'!C67/'Población por Edad F'!C67*1000</f>
        <v>2.1675480339937447</v>
      </c>
      <c r="C46" s="55">
        <f>+'Muertes por Edad F'!D67/'Población por Edad F'!D67*1000</f>
        <v>2.0889262872843761</v>
      </c>
      <c r="D46" s="55">
        <f>+'Muertes por Edad F'!E67/'Población por Edad F'!E67*1000</f>
        <v>2.2214588573940177</v>
      </c>
      <c r="E46" s="55">
        <f>+'Muertes por Edad F'!F67/'Población por Edad F'!F67*1000</f>
        <v>1.963257750609217</v>
      </c>
      <c r="F46" s="55">
        <f>+'Muertes por Edad F'!G67/'Población por Edad F'!G67*1000</f>
        <v>2.0060720588042034</v>
      </c>
      <c r="G46" s="55">
        <f>+'Muertes por Edad F'!H67/'Población por Edad F'!H67*1000</f>
        <v>1.9284274501393068</v>
      </c>
      <c r="H46" s="55">
        <f>+'Muertes por Edad F'!I67/'Población por Edad F'!I67*1000</f>
        <v>2.0011930520949921</v>
      </c>
      <c r="I46" s="55">
        <f>+'Muertes por Edad F'!J67/'Población por Edad F'!J67*1000</f>
        <v>2.018342821541157</v>
      </c>
      <c r="J46" s="55">
        <f>+'Muertes por Edad F'!K67/'Población por Edad F'!K67*1000</f>
        <v>1.9348922664882249</v>
      </c>
      <c r="K46" s="55">
        <f>+'Muertes por Edad F'!L67/'Población por Edad F'!L67*1000</f>
        <v>1.8095887892028384</v>
      </c>
      <c r="L46" s="55">
        <f>+'Muertes por Edad F'!M67/'Población por Edad F'!M67*1000</f>
        <v>1.7639283425943226</v>
      </c>
      <c r="M46" s="55">
        <f>+'Muertes por Edad F'!N67/'Población por Edad F'!N67*1000</f>
        <v>1.8331724831135519</v>
      </c>
      <c r="N46" s="55">
        <f>+'Muertes por Edad F'!O67/'Población por Edad F'!O67*1000</f>
        <v>1.7165382938640517</v>
      </c>
      <c r="O46" s="55">
        <f>+'Muertes por Edad F'!P67/'Población por Edad F'!P67*1000</f>
        <v>1.7531787536856855</v>
      </c>
      <c r="P46" s="55">
        <f>+'Muertes por Edad F'!Q67/'Población por Edad F'!Q67*1000</f>
        <v>1.7919868185637742</v>
      </c>
      <c r="Q46" s="55">
        <f>+'Muertes por Edad F'!R67/'Población por Edad F'!R67*1000</f>
        <v>1.7756549421734382</v>
      </c>
      <c r="R46" s="55">
        <f>+'Muertes por Edad F'!S67/'Población por Edad F'!S67*1000</f>
        <v>1.8094121306382418</v>
      </c>
      <c r="S46" s="72">
        <v>44</v>
      </c>
      <c r="T46" s="55">
        <v>1.9284274501393068E-3</v>
      </c>
      <c r="U46" s="81">
        <f t="shared" si="1"/>
        <v>2.1633168000000009E-3</v>
      </c>
    </row>
    <row r="47" spans="1:21">
      <c r="A47">
        <v>45</v>
      </c>
      <c r="B47" s="55">
        <f>+'Muertes por Edad F'!C68/'Población por Edad F'!C68*1000</f>
        <v>3.2373373958762928</v>
      </c>
      <c r="C47" s="55">
        <f>+'Muertes por Edad F'!D68/'Población por Edad F'!D68*1000</f>
        <v>3.0888823320447067</v>
      </c>
      <c r="D47" s="55">
        <f>+'Muertes por Edad F'!E68/'Población por Edad F'!E68*1000</f>
        <v>3.0731041001051906</v>
      </c>
      <c r="E47" s="55">
        <f>+'Muertes por Edad F'!F68/'Población por Edad F'!F68*1000</f>
        <v>3.1245247788930843</v>
      </c>
      <c r="F47" s="55">
        <f>+'Muertes por Edad F'!G68/'Población por Edad F'!G68*1000</f>
        <v>3.1366614521785308</v>
      </c>
      <c r="G47" s="55">
        <f>+'Muertes por Edad F'!H68/'Población por Edad F'!H68*1000</f>
        <v>2.9449170764495607</v>
      </c>
      <c r="H47" s="55">
        <f>+'Muertes por Edad F'!I68/'Población por Edad F'!I68*1000</f>
        <v>2.9921367378146533</v>
      </c>
      <c r="I47" s="55">
        <f>+'Muertes por Edad F'!J68/'Población por Edad F'!J68*1000</f>
        <v>3.1199943859049086</v>
      </c>
      <c r="J47" s="55">
        <f>+'Muertes por Edad F'!K68/'Población por Edad F'!K68*1000</f>
        <v>2.9498896698737429</v>
      </c>
      <c r="K47" s="55">
        <f>+'Muertes por Edad F'!L68/'Población por Edad F'!L68*1000</f>
        <v>2.8568179617362017</v>
      </c>
      <c r="L47" s="55">
        <f>+'Muertes por Edad F'!M68/'Población por Edad F'!M68*1000</f>
        <v>2.7389955511488675</v>
      </c>
      <c r="M47" s="55">
        <f>+'Muertes por Edad F'!N68/'Población por Edad F'!N68*1000</f>
        <v>2.8285320773031652</v>
      </c>
      <c r="N47" s="55">
        <f>+'Muertes por Edad F'!O68/'Población por Edad F'!O68*1000</f>
        <v>2.8146339030960359</v>
      </c>
      <c r="O47" s="55">
        <f>+'Muertes por Edad F'!P68/'Población por Edad F'!P68*1000</f>
        <v>2.7502139112606985</v>
      </c>
      <c r="P47" s="55">
        <f>+'Muertes por Edad F'!Q68/'Población por Edad F'!Q68*1000</f>
        <v>2.7790907726606395</v>
      </c>
      <c r="Q47" s="55">
        <f>+'Muertes por Edad F'!R68/'Población por Edad F'!R68*1000</f>
        <v>2.6151945740823717</v>
      </c>
      <c r="R47" s="55">
        <f>+'Muertes por Edad F'!S68/'Población por Edad F'!S68*1000</f>
        <v>2.5919561449409114</v>
      </c>
      <c r="S47" s="72">
        <v>45</v>
      </c>
      <c r="T47" s="55">
        <v>2.9449170764495607E-3</v>
      </c>
      <c r="U47" s="81">
        <f t="shared" si="1"/>
        <v>2.3569036000000002E-3</v>
      </c>
    </row>
    <row r="48" spans="1:21">
      <c r="A48">
        <v>46</v>
      </c>
      <c r="B48" s="55">
        <f>+'Muertes por Edad F'!C69/'Población por Edad F'!C69*1000</f>
        <v>3.2373373958762928</v>
      </c>
      <c r="C48" s="55">
        <f>+'Muertes por Edad F'!D69/'Población por Edad F'!D69*1000</f>
        <v>3.0888823320447067</v>
      </c>
      <c r="D48" s="55">
        <f>+'Muertes por Edad F'!E69/'Población por Edad F'!E69*1000</f>
        <v>3.0731041001051906</v>
      </c>
      <c r="E48" s="55">
        <f>+'Muertes por Edad F'!F69/'Población por Edad F'!F69*1000</f>
        <v>3.1245247788930839</v>
      </c>
      <c r="F48" s="55">
        <f>+'Muertes por Edad F'!G69/'Población por Edad F'!G69*1000</f>
        <v>3.1366614521785308</v>
      </c>
      <c r="G48" s="55">
        <f>+'Muertes por Edad F'!H69/'Población por Edad F'!H69*1000</f>
        <v>2.9449170764495607</v>
      </c>
      <c r="H48" s="55">
        <f>+'Muertes por Edad F'!I69/'Población por Edad F'!I69*1000</f>
        <v>2.9921367378146537</v>
      </c>
      <c r="I48" s="55">
        <f>+'Muertes por Edad F'!J69/'Población por Edad F'!J69*1000</f>
        <v>3.1199943859049082</v>
      </c>
      <c r="J48" s="55">
        <f>+'Muertes por Edad F'!K69/'Población por Edad F'!K69*1000</f>
        <v>2.9498896698737429</v>
      </c>
      <c r="K48" s="55">
        <f>+'Muertes por Edad F'!L69/'Población por Edad F'!L69*1000</f>
        <v>2.8568179617362017</v>
      </c>
      <c r="L48" s="55">
        <f>+'Muertes por Edad F'!M69/'Población por Edad F'!M69*1000</f>
        <v>2.7389955511488679</v>
      </c>
      <c r="M48" s="55">
        <f>+'Muertes por Edad F'!N69/'Población por Edad F'!N69*1000</f>
        <v>2.8285320773031652</v>
      </c>
      <c r="N48" s="55">
        <f>+'Muertes por Edad F'!O69/'Población por Edad F'!O69*1000</f>
        <v>2.8146339030960359</v>
      </c>
      <c r="O48" s="55">
        <f>+'Muertes por Edad F'!P69/'Población por Edad F'!P69*1000</f>
        <v>2.7502139112606989</v>
      </c>
      <c r="P48" s="55">
        <f>+'Muertes por Edad F'!Q69/'Población por Edad F'!Q69*1000</f>
        <v>2.7790907726606395</v>
      </c>
      <c r="Q48" s="55">
        <f>+'Muertes por Edad F'!R69/'Población por Edad F'!R69*1000</f>
        <v>2.6151945740823717</v>
      </c>
      <c r="R48" s="55">
        <f>+'Muertes por Edad F'!S69/'Población por Edad F'!S69*1000</f>
        <v>2.5919561449409114</v>
      </c>
      <c r="S48" s="72">
        <v>46</v>
      </c>
      <c r="T48" s="55">
        <v>2.9449170764495607E-3</v>
      </c>
      <c r="U48" s="81">
        <f t="shared" si="1"/>
        <v>2.5749797999999979E-3</v>
      </c>
    </row>
    <row r="49" spans="1:21">
      <c r="A49">
        <v>47</v>
      </c>
      <c r="B49" s="55">
        <f>+'Muertes por Edad F'!C70/'Población por Edad F'!C70*1000</f>
        <v>3.2373373958762928</v>
      </c>
      <c r="C49" s="55">
        <f>+'Muertes por Edad F'!D70/'Población por Edad F'!D70*1000</f>
        <v>3.0888823320447063</v>
      </c>
      <c r="D49" s="55">
        <f>+'Muertes por Edad F'!E70/'Población por Edad F'!E70*1000</f>
        <v>3.0731041001051906</v>
      </c>
      <c r="E49" s="55">
        <f>+'Muertes por Edad F'!F70/'Población por Edad F'!F70*1000</f>
        <v>3.1245247788930848</v>
      </c>
      <c r="F49" s="55">
        <f>+'Muertes por Edad F'!G70/'Población por Edad F'!G70*1000</f>
        <v>3.1366614521785303</v>
      </c>
      <c r="G49" s="55">
        <f>+'Muertes por Edad F'!H70/'Población por Edad F'!H70*1000</f>
        <v>2.9449170764495611</v>
      </c>
      <c r="H49" s="55">
        <f>+'Muertes por Edad F'!I70/'Población por Edad F'!I70*1000</f>
        <v>2.9921367378146537</v>
      </c>
      <c r="I49" s="55">
        <f>+'Muertes por Edad F'!J70/'Población por Edad F'!J70*1000</f>
        <v>3.1199943859049082</v>
      </c>
      <c r="J49" s="55">
        <f>+'Muertes por Edad F'!K70/'Población por Edad F'!K70*1000</f>
        <v>2.9498896698737429</v>
      </c>
      <c r="K49" s="55">
        <f>+'Muertes por Edad F'!L70/'Población por Edad F'!L70*1000</f>
        <v>2.8568179617362017</v>
      </c>
      <c r="L49" s="55">
        <f>+'Muertes por Edad F'!M70/'Población por Edad F'!M70*1000</f>
        <v>2.7389955511488679</v>
      </c>
      <c r="M49" s="55">
        <f>+'Muertes por Edad F'!N70/'Población por Edad F'!N70*1000</f>
        <v>2.8285320773031652</v>
      </c>
      <c r="N49" s="55">
        <f>+'Muertes por Edad F'!O70/'Población por Edad F'!O70*1000</f>
        <v>2.8146339030960359</v>
      </c>
      <c r="O49" s="55">
        <f>+'Muertes por Edad F'!P70/'Población por Edad F'!P70*1000</f>
        <v>2.7502139112606985</v>
      </c>
      <c r="P49" s="55">
        <f>+'Muertes por Edad F'!Q70/'Población por Edad F'!Q70*1000</f>
        <v>2.7790907726606395</v>
      </c>
      <c r="Q49" s="55">
        <f>+'Muertes por Edad F'!R70/'Población por Edad F'!R70*1000</f>
        <v>2.6151945740823717</v>
      </c>
      <c r="R49" s="55">
        <f>+'Muertes por Edad F'!S70/'Población por Edad F'!S70*1000</f>
        <v>2.5919561449409119</v>
      </c>
      <c r="S49" s="72">
        <v>47</v>
      </c>
      <c r="T49" s="55">
        <v>2.9449170764495611E-3</v>
      </c>
      <c r="U49" s="81">
        <f t="shared" si="1"/>
        <v>2.819814600000001E-3</v>
      </c>
    </row>
    <row r="50" spans="1:21">
      <c r="A50">
        <v>48</v>
      </c>
      <c r="B50" s="55">
        <f>+'Muertes por Edad F'!C71/'Población por Edad F'!C71*1000</f>
        <v>3.2373373958762928</v>
      </c>
      <c r="C50" s="55">
        <f>+'Muertes por Edad F'!D71/'Población por Edad F'!D71*1000</f>
        <v>3.0888823320447067</v>
      </c>
      <c r="D50" s="55">
        <f>+'Muertes por Edad F'!E71/'Población por Edad F'!E71*1000</f>
        <v>3.0731041001051906</v>
      </c>
      <c r="E50" s="55">
        <f>+'Muertes por Edad F'!F71/'Población por Edad F'!F71*1000</f>
        <v>3.1245247788930843</v>
      </c>
      <c r="F50" s="55">
        <f>+'Muertes por Edad F'!G71/'Población por Edad F'!G71*1000</f>
        <v>3.1366614521785308</v>
      </c>
      <c r="G50" s="55">
        <f>+'Muertes por Edad F'!H71/'Población por Edad F'!H71*1000</f>
        <v>2.9449170764495611</v>
      </c>
      <c r="H50" s="55">
        <f>+'Muertes por Edad F'!I71/'Población por Edad F'!I71*1000</f>
        <v>2.9921367378146537</v>
      </c>
      <c r="I50" s="55">
        <f>+'Muertes por Edad F'!J71/'Población por Edad F'!J71*1000</f>
        <v>3.1199943859049086</v>
      </c>
      <c r="J50" s="55">
        <f>+'Muertes por Edad F'!K71/'Población por Edad F'!K71*1000</f>
        <v>2.9498896698737429</v>
      </c>
      <c r="K50" s="55">
        <f>+'Muertes por Edad F'!L71/'Población por Edad F'!L71*1000</f>
        <v>2.8568179617362017</v>
      </c>
      <c r="L50" s="55">
        <f>+'Muertes por Edad F'!M71/'Población por Edad F'!M71*1000</f>
        <v>2.7389955511488679</v>
      </c>
      <c r="M50" s="55">
        <f>+'Muertes por Edad F'!N71/'Población por Edad F'!N71*1000</f>
        <v>2.8285320773031652</v>
      </c>
      <c r="N50" s="55">
        <f>+'Muertes por Edad F'!O71/'Población por Edad F'!O71*1000</f>
        <v>2.8146339030960359</v>
      </c>
      <c r="O50" s="55">
        <f>+'Muertes por Edad F'!P71/'Población por Edad F'!P71*1000</f>
        <v>2.750213911260698</v>
      </c>
      <c r="P50" s="55">
        <f>+'Muertes por Edad F'!Q71/'Población por Edad F'!Q71*1000</f>
        <v>2.7790907726606395</v>
      </c>
      <c r="Q50" s="55">
        <f>+'Muertes por Edad F'!R71/'Población por Edad F'!R71*1000</f>
        <v>2.6151945740823717</v>
      </c>
      <c r="R50" s="55">
        <f>+'Muertes por Edad F'!S71/'Población por Edad F'!S71*1000</f>
        <v>2.5919561449409119</v>
      </c>
      <c r="S50" s="72">
        <v>48</v>
      </c>
      <c r="T50" s="55">
        <v>2.9449170764495611E-3</v>
      </c>
      <c r="U50" s="81">
        <f t="shared" si="1"/>
        <v>3.0937732000000007E-3</v>
      </c>
    </row>
    <row r="51" spans="1:21">
      <c r="A51">
        <v>49</v>
      </c>
      <c r="B51" s="55">
        <f>+'Muertes por Edad F'!C72/'Población por Edad F'!C72*1000</f>
        <v>3.2373373958762928</v>
      </c>
      <c r="C51" s="55">
        <f>+'Muertes por Edad F'!D72/'Población por Edad F'!D72*1000</f>
        <v>3.0888823320447067</v>
      </c>
      <c r="D51" s="55">
        <f>+'Muertes por Edad F'!E72/'Población por Edad F'!E72*1000</f>
        <v>3.0731041001051906</v>
      </c>
      <c r="E51" s="55">
        <f>+'Muertes por Edad F'!F72/'Población por Edad F'!F72*1000</f>
        <v>3.1245247788930843</v>
      </c>
      <c r="F51" s="55">
        <f>+'Muertes por Edad F'!G72/'Población por Edad F'!G72*1000</f>
        <v>3.1366614521785308</v>
      </c>
      <c r="G51" s="55">
        <f>+'Muertes por Edad F'!H72/'Población por Edad F'!H72*1000</f>
        <v>2.9449170764495611</v>
      </c>
      <c r="H51" s="55">
        <f>+'Muertes por Edad F'!I72/'Población por Edad F'!I72*1000</f>
        <v>2.9921367378146537</v>
      </c>
      <c r="I51" s="55">
        <f>+'Muertes por Edad F'!J72/'Población por Edad F'!J72*1000</f>
        <v>3.1199943859049082</v>
      </c>
      <c r="J51" s="55">
        <f>+'Muertes por Edad F'!K72/'Población por Edad F'!K72*1000</f>
        <v>2.9498896698737429</v>
      </c>
      <c r="K51" s="55">
        <f>+'Muertes por Edad F'!L72/'Población por Edad F'!L72*1000</f>
        <v>2.8568179617362022</v>
      </c>
      <c r="L51" s="55">
        <f>+'Muertes por Edad F'!M72/'Población por Edad F'!M72*1000</f>
        <v>2.7389955511488679</v>
      </c>
      <c r="M51" s="55">
        <f>+'Muertes por Edad F'!N72/'Población por Edad F'!N72*1000</f>
        <v>2.8285320773031652</v>
      </c>
      <c r="N51" s="55">
        <f>+'Muertes por Edad F'!O72/'Población por Edad F'!O72*1000</f>
        <v>2.8146339030960363</v>
      </c>
      <c r="O51" s="55">
        <f>+'Muertes por Edad F'!P72/'Población por Edad F'!P72*1000</f>
        <v>2.750213911260698</v>
      </c>
      <c r="P51" s="55">
        <f>+'Muertes por Edad F'!Q72/'Población por Edad F'!Q72*1000</f>
        <v>2.7790907726606391</v>
      </c>
      <c r="Q51" s="55">
        <f>+'Muertes por Edad F'!R72/'Población por Edad F'!R72*1000</f>
        <v>2.6151945740823717</v>
      </c>
      <c r="R51" s="55">
        <f>+'Muertes por Edad F'!S72/'Población por Edad F'!S72*1000</f>
        <v>2.5919561449409114</v>
      </c>
      <c r="S51" s="72">
        <v>49</v>
      </c>
      <c r="T51" s="55">
        <v>2.9449170764495611E-3</v>
      </c>
      <c r="U51" s="81">
        <f t="shared" si="1"/>
        <v>3.3993167999999976E-3</v>
      </c>
    </row>
    <row r="52" spans="1:21">
      <c r="A52">
        <v>50</v>
      </c>
      <c r="B52" s="55">
        <f>+'Muertes por Edad F'!C73/'Población por Edad F'!C73*1000</f>
        <v>4.3297892012689658</v>
      </c>
      <c r="C52" s="55">
        <f>+'Muertes por Edad F'!D73/'Población por Edad F'!D73*1000</f>
        <v>4.4871149230553762</v>
      </c>
      <c r="D52" s="55">
        <f>+'Muertes por Edad F'!E73/'Población por Edad F'!E73*1000</f>
        <v>4.3268945624172925</v>
      </c>
      <c r="E52" s="55">
        <f>+'Muertes por Edad F'!F73/'Población por Edad F'!F73*1000</f>
        <v>4.2567518828930178</v>
      </c>
      <c r="F52" s="55">
        <f>+'Muertes por Edad F'!G73/'Población por Edad F'!G73*1000</f>
        <v>4.26302765705627</v>
      </c>
      <c r="G52" s="55">
        <f>+'Muertes por Edad F'!H73/'Población por Edad F'!H73*1000</f>
        <v>4.2921157758907764</v>
      </c>
      <c r="H52" s="55">
        <f>+'Muertes por Edad F'!I73/'Población por Edad F'!I73*1000</f>
        <v>4.2862564022369805</v>
      </c>
      <c r="I52" s="55">
        <f>+'Muertes por Edad F'!J73/'Población por Edad F'!J73*1000</f>
        <v>4.4604687089198034</v>
      </c>
      <c r="J52" s="55">
        <f>+'Muertes por Edad F'!K73/'Población por Edad F'!K73*1000</f>
        <v>4.5675870065364474</v>
      </c>
      <c r="K52" s="55">
        <f>+'Muertes por Edad F'!L73/'Población por Edad F'!L73*1000</f>
        <v>4.2310591088894896</v>
      </c>
      <c r="L52" s="55">
        <f>+'Muertes por Edad F'!M73/'Población por Edad F'!M73*1000</f>
        <v>4.250580310701622</v>
      </c>
      <c r="M52" s="55">
        <f>+'Muertes por Edad F'!N73/'Población por Edad F'!N73*1000</f>
        <v>4.2697131468762626</v>
      </c>
      <c r="N52" s="55">
        <f>+'Muertes por Edad F'!O73/'Población por Edad F'!O73*1000</f>
        <v>4.1143841986497547</v>
      </c>
      <c r="O52" s="55">
        <f>+'Muertes por Edad F'!P73/'Población por Edad F'!P73*1000</f>
        <v>3.9741891263337892</v>
      </c>
      <c r="P52" s="55">
        <f>+'Muertes por Edad F'!Q73/'Población por Edad F'!Q73*1000</f>
        <v>3.9553755009933629</v>
      </c>
      <c r="Q52" s="55">
        <f>+'Muertes por Edad F'!R73/'Población por Edad F'!R73*1000</f>
        <v>3.9162783963204753</v>
      </c>
      <c r="R52" s="55">
        <f>+'Muertes por Edad F'!S73/'Población por Edad F'!S73*1000</f>
        <v>4.0890276884026795</v>
      </c>
      <c r="S52" s="72">
        <v>50</v>
      </c>
      <c r="T52" s="55">
        <v>4.2921157758907761E-3</v>
      </c>
      <c r="U52" s="81">
        <f t="shared" si="1"/>
        <v>3.7390026000000041E-3</v>
      </c>
    </row>
    <row r="53" spans="1:21">
      <c r="A53">
        <v>51</v>
      </c>
      <c r="B53" s="55">
        <f>+'Muertes por Edad F'!C74/'Población por Edad F'!C74*1000</f>
        <v>4.3297892012689658</v>
      </c>
      <c r="C53" s="55">
        <f>+'Muertes por Edad F'!D74/'Población por Edad F'!D74*1000</f>
        <v>4.4871149230553753</v>
      </c>
      <c r="D53" s="55">
        <f>+'Muertes por Edad F'!E74/'Población por Edad F'!E74*1000</f>
        <v>4.3268945624172925</v>
      </c>
      <c r="E53" s="55">
        <f>+'Muertes por Edad F'!F74/'Población por Edad F'!F74*1000</f>
        <v>4.2567518828930178</v>
      </c>
      <c r="F53" s="55">
        <f>+'Muertes por Edad F'!G74/'Población por Edad F'!G74*1000</f>
        <v>4.26302765705627</v>
      </c>
      <c r="G53" s="55">
        <f>+'Muertes por Edad F'!H74/'Población por Edad F'!H74*1000</f>
        <v>4.2921157758907773</v>
      </c>
      <c r="H53" s="55">
        <f>+'Muertes por Edad F'!I74/'Población por Edad F'!I74*1000</f>
        <v>4.2862564022369805</v>
      </c>
      <c r="I53" s="55">
        <f>+'Muertes por Edad F'!J74/'Población por Edad F'!J74*1000</f>
        <v>4.4604687089198043</v>
      </c>
      <c r="J53" s="55">
        <f>+'Muertes por Edad F'!K74/'Población por Edad F'!K74*1000</f>
        <v>4.5675870065364474</v>
      </c>
      <c r="K53" s="55">
        <f>+'Muertes por Edad F'!L74/'Población por Edad F'!L74*1000</f>
        <v>4.2310591088894896</v>
      </c>
      <c r="L53" s="55">
        <f>+'Muertes por Edad F'!M74/'Población por Edad F'!M74*1000</f>
        <v>4.250580310701622</v>
      </c>
      <c r="M53" s="55">
        <f>+'Muertes por Edad F'!N74/'Población por Edad F'!N74*1000</f>
        <v>4.2697131468762626</v>
      </c>
      <c r="N53" s="55">
        <f>+'Muertes por Edad F'!O74/'Población por Edad F'!O74*1000</f>
        <v>4.1143841986497556</v>
      </c>
      <c r="O53" s="55">
        <f>+'Muertes por Edad F'!P74/'Población por Edad F'!P74*1000</f>
        <v>3.9741891263337892</v>
      </c>
      <c r="P53" s="55">
        <f>+'Muertes por Edad F'!Q74/'Población por Edad F'!Q74*1000</f>
        <v>3.9553755009933629</v>
      </c>
      <c r="Q53" s="55">
        <f>+'Muertes por Edad F'!R74/'Población por Edad F'!R74*1000</f>
        <v>3.9162783963204735</v>
      </c>
      <c r="R53" s="55">
        <f>+'Muertes por Edad F'!S74/'Población por Edad F'!S74*1000</f>
        <v>4.0890276884026795</v>
      </c>
      <c r="S53" s="72">
        <v>51</v>
      </c>
      <c r="T53" s="55">
        <v>4.292115775890777E-3</v>
      </c>
      <c r="U53" s="81">
        <f t="shared" si="1"/>
        <v>4.1154838000000016E-3</v>
      </c>
    </row>
    <row r="54" spans="1:21">
      <c r="A54">
        <v>52</v>
      </c>
      <c r="B54" s="55">
        <f>+'Muertes por Edad F'!C75/'Población por Edad F'!C75*1000</f>
        <v>4.3297892012689658</v>
      </c>
      <c r="C54" s="55">
        <f>+'Muertes por Edad F'!D75/'Población por Edad F'!D75*1000</f>
        <v>4.4871149230553753</v>
      </c>
      <c r="D54" s="55">
        <f>+'Muertes por Edad F'!E75/'Población por Edad F'!E75*1000</f>
        <v>4.3268945624172925</v>
      </c>
      <c r="E54" s="55">
        <f>+'Muertes por Edad F'!F75/'Población por Edad F'!F75*1000</f>
        <v>4.2567518828930178</v>
      </c>
      <c r="F54" s="55">
        <f>+'Muertes por Edad F'!G75/'Población por Edad F'!G75*1000</f>
        <v>4.2630276570562708</v>
      </c>
      <c r="G54" s="55">
        <f>+'Muertes por Edad F'!H75/'Población por Edad F'!H75*1000</f>
        <v>4.2921157758907764</v>
      </c>
      <c r="H54" s="55">
        <f>+'Muertes por Edad F'!I75/'Población por Edad F'!I75*1000</f>
        <v>4.2862564022369805</v>
      </c>
      <c r="I54" s="55">
        <f>+'Muertes por Edad F'!J75/'Población por Edad F'!J75*1000</f>
        <v>4.4604687089198034</v>
      </c>
      <c r="J54" s="55">
        <f>+'Muertes por Edad F'!K75/'Población por Edad F'!K75*1000</f>
        <v>4.5675870065364474</v>
      </c>
      <c r="K54" s="55">
        <f>+'Muertes por Edad F'!L75/'Población por Edad F'!L75*1000</f>
        <v>4.2310591088894896</v>
      </c>
      <c r="L54" s="55">
        <f>+'Muertes por Edad F'!M75/'Población por Edad F'!M75*1000</f>
        <v>4.2505803107016229</v>
      </c>
      <c r="M54" s="55">
        <f>+'Muertes por Edad F'!N75/'Población por Edad F'!N75*1000</f>
        <v>4.2697131468762626</v>
      </c>
      <c r="N54" s="55">
        <f>+'Muertes por Edad F'!O75/'Población por Edad F'!O75*1000</f>
        <v>4.1143841986497556</v>
      </c>
      <c r="O54" s="55">
        <f>+'Muertes por Edad F'!P75/'Población por Edad F'!P75*1000</f>
        <v>3.9741891263337901</v>
      </c>
      <c r="P54" s="55">
        <f>+'Muertes por Edad F'!Q75/'Población por Edad F'!Q75*1000</f>
        <v>3.9553755009933629</v>
      </c>
      <c r="Q54" s="55">
        <f>+'Muertes por Edad F'!R75/'Población por Edad F'!R75*1000</f>
        <v>3.9162783963204753</v>
      </c>
      <c r="R54" s="55">
        <f>+'Muertes por Edad F'!S75/'Población por Edad F'!S75*1000</f>
        <v>4.0890276884026804</v>
      </c>
      <c r="S54" s="72">
        <v>52</v>
      </c>
      <c r="T54" s="55">
        <v>4.2921157758907761E-3</v>
      </c>
      <c r="U54" s="81">
        <f t="shared" si="1"/>
        <v>4.5315096000000023E-3</v>
      </c>
    </row>
    <row r="55" spans="1:21">
      <c r="A55">
        <v>53</v>
      </c>
      <c r="B55" s="55">
        <f>+'Muertes por Edad F'!C76/'Población por Edad F'!C76*1000</f>
        <v>4.3297892012689658</v>
      </c>
      <c r="C55" s="55">
        <f>+'Muertes por Edad F'!D76/'Población por Edad F'!D76*1000</f>
        <v>4.4871149230553753</v>
      </c>
      <c r="D55" s="55">
        <f>+'Muertes por Edad F'!E76/'Población por Edad F'!E76*1000</f>
        <v>4.3268945624172934</v>
      </c>
      <c r="E55" s="55">
        <f>+'Muertes por Edad F'!F76/'Población por Edad F'!F76*1000</f>
        <v>4.2567518828930178</v>
      </c>
      <c r="F55" s="55">
        <f>+'Muertes por Edad F'!G76/'Población por Edad F'!G76*1000</f>
        <v>4.26302765705627</v>
      </c>
      <c r="G55" s="55">
        <f>+'Muertes por Edad F'!H76/'Población por Edad F'!H76*1000</f>
        <v>4.2921157758907764</v>
      </c>
      <c r="H55" s="55">
        <f>+'Muertes por Edad F'!I76/'Población por Edad F'!I76*1000</f>
        <v>4.2862564022369796</v>
      </c>
      <c r="I55" s="55">
        <f>+'Muertes por Edad F'!J76/'Población por Edad F'!J76*1000</f>
        <v>4.4604687089198034</v>
      </c>
      <c r="J55" s="55">
        <f>+'Muertes por Edad F'!K76/'Población por Edad F'!K76*1000</f>
        <v>4.5675870065364474</v>
      </c>
      <c r="K55" s="55">
        <f>+'Muertes por Edad F'!L76/'Población por Edad F'!L76*1000</f>
        <v>4.2310591088894896</v>
      </c>
      <c r="L55" s="55">
        <f>+'Muertes por Edad F'!M76/'Población por Edad F'!M76*1000</f>
        <v>4.2505803107016229</v>
      </c>
      <c r="M55" s="55">
        <f>+'Muertes por Edad F'!N76/'Población por Edad F'!N76*1000</f>
        <v>4.2697131468762626</v>
      </c>
      <c r="N55" s="55">
        <f>+'Muertes por Edad F'!O76/'Población por Edad F'!O76*1000</f>
        <v>4.1143841986497547</v>
      </c>
      <c r="O55" s="55">
        <f>+'Muertes por Edad F'!P76/'Población por Edad F'!P76*1000</f>
        <v>3.9741891263337901</v>
      </c>
      <c r="P55" s="55">
        <f>+'Muertes por Edad F'!Q76/'Población por Edad F'!Q76*1000</f>
        <v>3.9553755009933629</v>
      </c>
      <c r="Q55" s="55">
        <f>+'Muertes por Edad F'!R76/'Población por Edad F'!R76*1000</f>
        <v>3.9162783963204744</v>
      </c>
      <c r="R55" s="55">
        <f>+'Muertes por Edad F'!S76/'Población por Edad F'!S76*1000</f>
        <v>4.0890276884026804</v>
      </c>
      <c r="S55" s="72">
        <v>53</v>
      </c>
      <c r="T55" s="55">
        <v>4.2921157758907761E-3</v>
      </c>
      <c r="U55" s="81">
        <f t="shared" si="1"/>
        <v>4.989925200000001E-3</v>
      </c>
    </row>
    <row r="56" spans="1:21">
      <c r="A56">
        <v>54</v>
      </c>
      <c r="B56" s="55">
        <f>+'Muertes por Edad F'!C77/'Población por Edad F'!C77*1000</f>
        <v>4.3297892012689658</v>
      </c>
      <c r="C56" s="55">
        <f>+'Muertes por Edad F'!D77/'Población por Edad F'!D77*1000</f>
        <v>4.4871149230553753</v>
      </c>
      <c r="D56" s="55">
        <f>+'Muertes por Edad F'!E77/'Población por Edad F'!E77*1000</f>
        <v>4.3268945624172925</v>
      </c>
      <c r="E56" s="55">
        <f>+'Muertes por Edad F'!F77/'Población por Edad F'!F77*1000</f>
        <v>4.2567518828930178</v>
      </c>
      <c r="F56" s="55">
        <f>+'Muertes por Edad F'!G77/'Población por Edad F'!G77*1000</f>
        <v>4.26302765705627</v>
      </c>
      <c r="G56" s="55">
        <f>+'Muertes por Edad F'!H77/'Población por Edad F'!H77*1000</f>
        <v>4.2921157758907764</v>
      </c>
      <c r="H56" s="55">
        <f>+'Muertes por Edad F'!I77/'Población por Edad F'!I77*1000</f>
        <v>4.2862564022369805</v>
      </c>
      <c r="I56" s="55">
        <f>+'Muertes por Edad F'!J77/'Población por Edad F'!J77*1000</f>
        <v>4.4604687089198034</v>
      </c>
      <c r="J56" s="55">
        <f>+'Muertes por Edad F'!K77/'Población por Edad F'!K77*1000</f>
        <v>4.5675870065364474</v>
      </c>
      <c r="K56" s="55">
        <f>+'Muertes por Edad F'!L77/'Población por Edad F'!L77*1000</f>
        <v>4.2310591088894896</v>
      </c>
      <c r="L56" s="55">
        <f>+'Muertes por Edad F'!M77/'Población por Edad F'!M77*1000</f>
        <v>4.2505803107016229</v>
      </c>
      <c r="M56" s="55">
        <f>+'Muertes por Edad F'!N77/'Población por Edad F'!N77*1000</f>
        <v>4.2697131468762626</v>
      </c>
      <c r="N56" s="55">
        <f>+'Muertes por Edad F'!O77/'Población por Edad F'!O77*1000</f>
        <v>4.1143841986497547</v>
      </c>
      <c r="O56" s="55">
        <f>+'Muertes por Edad F'!P77/'Población por Edad F'!P77*1000</f>
        <v>3.9741891263337901</v>
      </c>
      <c r="P56" s="55">
        <f>+'Muertes por Edad F'!Q77/'Población por Edad F'!Q77*1000</f>
        <v>3.9553755009933629</v>
      </c>
      <c r="Q56" s="55">
        <f>+'Muertes por Edad F'!R77/'Población por Edad F'!R77*1000</f>
        <v>3.9162783963204744</v>
      </c>
      <c r="R56" s="55">
        <f>+'Muertes por Edad F'!S77/'Población por Edad F'!S77*1000</f>
        <v>4.0890276884026804</v>
      </c>
      <c r="S56" s="72">
        <v>54</v>
      </c>
      <c r="T56" s="55">
        <v>4.2921157758907761E-3</v>
      </c>
      <c r="U56" s="81">
        <f t="shared" si="1"/>
        <v>5.4936718000000023E-3</v>
      </c>
    </row>
    <row r="57" spans="1:21">
      <c r="A57">
        <v>55</v>
      </c>
      <c r="B57" s="55">
        <f>+'Muertes por Edad F'!C78/'Población por Edad F'!C78*1000</f>
        <v>8.7104193823462239</v>
      </c>
      <c r="C57" s="55">
        <f>+'Muertes por Edad F'!D78/'Población por Edad F'!D78*1000</f>
        <v>8.3585495555121891</v>
      </c>
      <c r="D57" s="55">
        <f>+'Muertes por Edad F'!E78/'Población por Edad F'!E78*1000</f>
        <v>7.7774575390445682</v>
      </c>
      <c r="E57" s="55">
        <f>+'Muertes por Edad F'!F78/'Población por Edad F'!F78*1000</f>
        <v>7.5195570738297395</v>
      </c>
      <c r="F57" s="55">
        <f>+'Muertes por Edad F'!G78/'Población por Edad F'!G78*1000</f>
        <v>7.5654129760296209</v>
      </c>
      <c r="G57" s="55">
        <f>+'Muertes por Edad F'!H78/'Población por Edad F'!H78*1000</f>
        <v>6.710292662752666</v>
      </c>
      <c r="H57" s="55">
        <f>+'Muertes por Edad F'!I78/'Población por Edad F'!I78*1000</f>
        <v>6.5459737063389918</v>
      </c>
      <c r="I57" s="55">
        <f>+'Muertes por Edad F'!J78/'Población por Edad F'!J78*1000</f>
        <v>6.9154664555357224</v>
      </c>
      <c r="J57" s="55">
        <f>+'Muertes por Edad F'!K78/'Población por Edad F'!K78*1000</f>
        <v>6.8705308025117118</v>
      </c>
      <c r="K57" s="55">
        <f>+'Muertes por Edad F'!L78/'Población por Edad F'!L78*1000</f>
        <v>6.4772639041251399</v>
      </c>
      <c r="L57" s="55">
        <f>+'Muertes por Edad F'!M78/'Población por Edad F'!M78*1000</f>
        <v>6.6059759380811087</v>
      </c>
      <c r="M57" s="55">
        <f>+'Muertes por Edad F'!N78/'Población por Edad F'!N78*1000</f>
        <v>6.2726637670889778</v>
      </c>
      <c r="N57" s="55">
        <f>+'Muertes por Edad F'!O78/'Población por Edad F'!O78*1000</f>
        <v>6.0887388891823928</v>
      </c>
      <c r="O57" s="55">
        <f>+'Muertes por Edad F'!P78/'Población por Edad F'!P78*1000</f>
        <v>6.4257880775691936</v>
      </c>
      <c r="P57" s="55">
        <f>+'Muertes por Edad F'!Q78/'Población por Edad F'!Q78*1000</f>
        <v>6.1061199969099276</v>
      </c>
      <c r="Q57" s="55">
        <f>+'Muertes por Edad F'!R78/'Población por Edad F'!R78*1000</f>
        <v>6.0189594284004526</v>
      </c>
      <c r="R57" s="55">
        <f>+'Muertes por Edad F'!S78/'Población por Edad F'!S78*1000</f>
        <v>5.8021466567978646</v>
      </c>
      <c r="S57" s="72">
        <v>55</v>
      </c>
      <c r="T57" s="55">
        <v>6.7102926627526658E-3</v>
      </c>
      <c r="U57" s="81">
        <f t="shared" si="1"/>
        <v>6.045786599999995E-3</v>
      </c>
    </row>
    <row r="58" spans="1:21">
      <c r="A58">
        <v>56</v>
      </c>
      <c r="B58" s="55">
        <f>+'Muertes por Edad F'!C79/'Población por Edad F'!C79*1000</f>
        <v>8.7104193823462239</v>
      </c>
      <c r="C58" s="55">
        <f>+'Muertes por Edad F'!D79/'Población por Edad F'!D79*1000</f>
        <v>8.3585495555121891</v>
      </c>
      <c r="D58" s="55">
        <f>+'Muertes por Edad F'!E79/'Población por Edad F'!E79*1000</f>
        <v>7.7774575390445682</v>
      </c>
      <c r="E58" s="55">
        <f>+'Muertes por Edad F'!F79/'Población por Edad F'!F79*1000</f>
        <v>7.5195570738297395</v>
      </c>
      <c r="F58" s="55">
        <f>+'Muertes por Edad F'!G79/'Población por Edad F'!G79*1000</f>
        <v>7.5654129760296209</v>
      </c>
      <c r="G58" s="55">
        <f>+'Muertes por Edad F'!H79/'Población por Edad F'!H79*1000</f>
        <v>6.7102926627526642</v>
      </c>
      <c r="H58" s="55">
        <f>+'Muertes por Edad F'!I79/'Población por Edad F'!I79*1000</f>
        <v>6.5459737063389918</v>
      </c>
      <c r="I58" s="55">
        <f>+'Muertes por Edad F'!J79/'Población por Edad F'!J79*1000</f>
        <v>6.9154664555357224</v>
      </c>
      <c r="J58" s="55">
        <f>+'Muertes por Edad F'!K79/'Población por Edad F'!K79*1000</f>
        <v>6.8705308025117127</v>
      </c>
      <c r="K58" s="55">
        <f>+'Muertes por Edad F'!L79/'Población por Edad F'!L79*1000</f>
        <v>6.477263904125139</v>
      </c>
      <c r="L58" s="55">
        <f>+'Muertes por Edad F'!M79/'Población por Edad F'!M79*1000</f>
        <v>6.6059759380811096</v>
      </c>
      <c r="M58" s="55">
        <f>+'Muertes por Edad F'!N79/'Población por Edad F'!N79*1000</f>
        <v>6.272663767088976</v>
      </c>
      <c r="N58" s="55">
        <f>+'Muertes por Edad F'!O79/'Población por Edad F'!O79*1000</f>
        <v>6.0887388891823937</v>
      </c>
      <c r="O58" s="55">
        <f>+'Muertes por Edad F'!P79/'Población por Edad F'!P79*1000</f>
        <v>6.4257880775691945</v>
      </c>
      <c r="P58" s="55">
        <f>+'Muertes por Edad F'!Q79/'Población por Edad F'!Q79*1000</f>
        <v>6.1061199969099276</v>
      </c>
      <c r="Q58" s="55">
        <f>+'Muertes por Edad F'!R79/'Población por Edad F'!R79*1000</f>
        <v>6.0189594284004526</v>
      </c>
      <c r="R58" s="55">
        <f>+'Muertes por Edad F'!S79/'Población por Edad F'!S79*1000</f>
        <v>5.8021466567978655</v>
      </c>
      <c r="S58" s="72">
        <v>56</v>
      </c>
      <c r="T58" s="55">
        <v>6.710292662752664E-3</v>
      </c>
      <c r="U58" s="81">
        <f t="shared" si="1"/>
        <v>6.6494027999999964E-3</v>
      </c>
    </row>
    <row r="59" spans="1:21">
      <c r="A59">
        <v>57</v>
      </c>
      <c r="B59" s="55">
        <f>+'Muertes por Edad F'!C80/'Población por Edad F'!C80*1000</f>
        <v>8.7104193823462239</v>
      </c>
      <c r="C59" s="55">
        <f>+'Muertes por Edad F'!D80/'Población por Edad F'!D80*1000</f>
        <v>8.3585495555121891</v>
      </c>
      <c r="D59" s="55">
        <f>+'Muertes por Edad F'!E80/'Población por Edad F'!E80*1000</f>
        <v>7.7774575390445682</v>
      </c>
      <c r="E59" s="55">
        <f>+'Muertes por Edad F'!F80/'Población por Edad F'!F80*1000</f>
        <v>7.5195570738297395</v>
      </c>
      <c r="F59" s="55">
        <f>+'Muertes por Edad F'!G80/'Población por Edad F'!G80*1000</f>
        <v>7.5654129760296209</v>
      </c>
      <c r="G59" s="55">
        <f>+'Muertes por Edad F'!H80/'Población por Edad F'!H80*1000</f>
        <v>6.7102926627526651</v>
      </c>
      <c r="H59" s="55">
        <f>+'Muertes por Edad F'!I80/'Población por Edad F'!I80*1000</f>
        <v>6.5459737063389918</v>
      </c>
      <c r="I59" s="55">
        <f>+'Muertes por Edad F'!J80/'Población por Edad F'!J80*1000</f>
        <v>6.9154664555357215</v>
      </c>
      <c r="J59" s="55">
        <f>+'Muertes por Edad F'!K80/'Población por Edad F'!K80*1000</f>
        <v>6.8705308025117109</v>
      </c>
      <c r="K59" s="55">
        <f>+'Muertes por Edad F'!L80/'Población por Edad F'!L80*1000</f>
        <v>6.477263904125139</v>
      </c>
      <c r="L59" s="55">
        <f>+'Muertes por Edad F'!M80/'Población por Edad F'!M80*1000</f>
        <v>6.6059759380811087</v>
      </c>
      <c r="M59" s="55">
        <f>+'Muertes por Edad F'!N80/'Población por Edad F'!N80*1000</f>
        <v>6.2726637670889778</v>
      </c>
      <c r="N59" s="55">
        <f>+'Muertes por Edad F'!O80/'Población por Edad F'!O80*1000</f>
        <v>6.0887388891823928</v>
      </c>
      <c r="O59" s="55">
        <f>+'Muertes por Edad F'!P80/'Población por Edad F'!P80*1000</f>
        <v>6.4257880775691945</v>
      </c>
      <c r="P59" s="55">
        <f>+'Muertes por Edad F'!Q80/'Población por Edad F'!Q80*1000</f>
        <v>6.1061199969099276</v>
      </c>
      <c r="Q59" s="55">
        <f>+'Muertes por Edad F'!R80/'Población por Edad F'!R80*1000</f>
        <v>6.0189594284004526</v>
      </c>
      <c r="R59" s="55">
        <f>+'Muertes por Edad F'!S80/'Población por Edad F'!S80*1000</f>
        <v>5.8021466567978655</v>
      </c>
      <c r="S59" s="72">
        <v>57</v>
      </c>
      <c r="T59" s="55">
        <v>6.7102926627526649E-3</v>
      </c>
      <c r="U59" s="81">
        <f t="shared" si="1"/>
        <v>7.3077496000000016E-3</v>
      </c>
    </row>
    <row r="60" spans="1:21">
      <c r="A60">
        <v>58</v>
      </c>
      <c r="B60" s="55">
        <f>+'Muertes por Edad F'!C81/'Población por Edad F'!C81*1000</f>
        <v>8.7104193823462239</v>
      </c>
      <c r="C60" s="55">
        <f>+'Muertes por Edad F'!D81/'Población por Edad F'!D81*1000</f>
        <v>8.3585495555121909</v>
      </c>
      <c r="D60" s="55">
        <f>+'Muertes por Edad F'!E81/'Población por Edad F'!E81*1000</f>
        <v>7.777457539044569</v>
      </c>
      <c r="E60" s="55">
        <f>+'Muertes por Edad F'!F81/'Población por Edad F'!F81*1000</f>
        <v>7.5195570738297395</v>
      </c>
      <c r="F60" s="55">
        <f>+'Muertes por Edad F'!G81/'Población por Edad F'!G81*1000</f>
        <v>7.5654129760296209</v>
      </c>
      <c r="G60" s="55">
        <f>+'Muertes por Edad F'!H81/'Población por Edad F'!H81*1000</f>
        <v>6.7102926627526651</v>
      </c>
      <c r="H60" s="55">
        <f>+'Muertes por Edad F'!I81/'Población por Edad F'!I81*1000</f>
        <v>6.5459737063389909</v>
      </c>
      <c r="I60" s="55">
        <f>+'Muertes por Edad F'!J81/'Población por Edad F'!J81*1000</f>
        <v>6.9154664555357224</v>
      </c>
      <c r="J60" s="55">
        <f>+'Muertes por Edad F'!K81/'Población por Edad F'!K81*1000</f>
        <v>6.8705308025117118</v>
      </c>
      <c r="K60" s="55">
        <f>+'Muertes por Edad F'!L81/'Población por Edad F'!L81*1000</f>
        <v>6.477263904125139</v>
      </c>
      <c r="L60" s="55">
        <f>+'Muertes por Edad F'!M81/'Población por Edad F'!M81*1000</f>
        <v>6.6059759380811087</v>
      </c>
      <c r="M60" s="55">
        <f>+'Muertes por Edad F'!N81/'Población por Edad F'!N81*1000</f>
        <v>6.2726637670889769</v>
      </c>
      <c r="N60" s="55">
        <f>+'Muertes por Edad F'!O81/'Población por Edad F'!O81*1000</f>
        <v>6.0887388891823928</v>
      </c>
      <c r="O60" s="55">
        <f>+'Muertes por Edad F'!P81/'Población por Edad F'!P81*1000</f>
        <v>6.4257880775691936</v>
      </c>
      <c r="P60" s="55">
        <f>+'Muertes por Edad F'!Q81/'Población por Edad F'!Q81*1000</f>
        <v>6.1061199969099276</v>
      </c>
      <c r="Q60" s="55">
        <f>+'Muertes por Edad F'!R81/'Población por Edad F'!R81*1000</f>
        <v>6.0189594284004526</v>
      </c>
      <c r="R60" s="55">
        <f>+'Muertes por Edad F'!S81/'Población por Edad F'!S81*1000</f>
        <v>5.8021466567978655</v>
      </c>
      <c r="S60" s="72">
        <v>58</v>
      </c>
      <c r="T60" s="55">
        <v>6.7102926627526649E-3</v>
      </c>
      <c r="U60" s="81">
        <f t="shared" si="1"/>
        <v>8.0241522000000041E-3</v>
      </c>
    </row>
    <row r="61" spans="1:21">
      <c r="A61">
        <v>59</v>
      </c>
      <c r="B61" s="55">
        <f>+'Muertes por Edad F'!C82/'Población por Edad F'!C82*1000</f>
        <v>8.7104193823462239</v>
      </c>
      <c r="C61" s="55">
        <f>+'Muertes por Edad F'!D82/'Población por Edad F'!D82*1000</f>
        <v>8.3585495555121891</v>
      </c>
      <c r="D61" s="55">
        <f>+'Muertes por Edad F'!E82/'Población por Edad F'!E82*1000</f>
        <v>7.7774575390445699</v>
      </c>
      <c r="E61" s="55">
        <f>+'Muertes por Edad F'!F82/'Población por Edad F'!F82*1000</f>
        <v>7.5195570738297386</v>
      </c>
      <c r="F61" s="55">
        <f>+'Muertes por Edad F'!G82/'Población por Edad F'!G82*1000</f>
        <v>7.5654129760296209</v>
      </c>
      <c r="G61" s="55">
        <f>+'Muertes por Edad F'!H82/'Población por Edad F'!H82*1000</f>
        <v>6.7102926627526651</v>
      </c>
      <c r="H61" s="55">
        <f>+'Muertes por Edad F'!I82/'Población por Edad F'!I82*1000</f>
        <v>6.5459737063389918</v>
      </c>
      <c r="I61" s="55">
        <f>+'Muertes por Edad F'!J82/'Población por Edad F'!J82*1000</f>
        <v>6.9154664555357224</v>
      </c>
      <c r="J61" s="55">
        <f>+'Muertes por Edad F'!K82/'Población por Edad F'!K82*1000</f>
        <v>6.8705308025117109</v>
      </c>
      <c r="K61" s="55">
        <f>+'Muertes por Edad F'!L82/'Población por Edad F'!L82*1000</f>
        <v>6.4772639041251399</v>
      </c>
      <c r="L61" s="55">
        <f>+'Muertes por Edad F'!M82/'Población por Edad F'!M82*1000</f>
        <v>6.6059759380811096</v>
      </c>
      <c r="M61" s="55">
        <f>+'Muertes por Edad F'!N82/'Población por Edad F'!N82*1000</f>
        <v>6.2726637670889769</v>
      </c>
      <c r="N61" s="55">
        <f>+'Muertes por Edad F'!O82/'Población por Edad F'!O82*1000</f>
        <v>6.0887388891823928</v>
      </c>
      <c r="O61" s="55">
        <f>+'Muertes por Edad F'!P82/'Población por Edad F'!P82*1000</f>
        <v>6.4257880775691936</v>
      </c>
      <c r="P61" s="55">
        <f>+'Muertes por Edad F'!Q82/'Población por Edad F'!Q82*1000</f>
        <v>6.1061199969099276</v>
      </c>
      <c r="Q61" s="55">
        <f>+'Muertes por Edad F'!R82/'Población por Edad F'!R82*1000</f>
        <v>6.0189594284004517</v>
      </c>
      <c r="R61" s="55">
        <f>+'Muertes por Edad F'!S82/'Población por Edad F'!S82*1000</f>
        <v>5.8021466567978663</v>
      </c>
      <c r="S61" s="72">
        <v>59</v>
      </c>
      <c r="T61" s="55">
        <v>6.7102926627526649E-3</v>
      </c>
      <c r="U61" s="81">
        <f t="shared" si="1"/>
        <v>8.8020317999999969E-3</v>
      </c>
    </row>
    <row r="62" spans="1:21">
      <c r="A62">
        <v>60</v>
      </c>
      <c r="B62" s="55">
        <f>+'Muertes por Edad F'!C83/'Población por Edad F'!C83*1000</f>
        <v>12.359469870616929</v>
      </c>
      <c r="C62" s="55">
        <f>+'Muertes por Edad F'!D83/'Población por Edad F'!D83*1000</f>
        <v>12.049960347556375</v>
      </c>
      <c r="D62" s="55">
        <f>+'Muertes por Edad F'!E83/'Población por Edad F'!E83*1000</f>
        <v>12.033350875335573</v>
      </c>
      <c r="E62" s="55">
        <f>+'Muertes por Edad F'!F83/'Población por Edad F'!F83*1000</f>
        <v>11.295245878753285</v>
      </c>
      <c r="F62" s="55">
        <f>+'Muertes por Edad F'!G83/'Población por Edad F'!G83*1000</f>
        <v>11.566994846723256</v>
      </c>
      <c r="G62" s="55">
        <f>+'Muertes por Edad F'!H83/'Población por Edad F'!H83*1000</f>
        <v>11.106805075646259</v>
      </c>
      <c r="H62" s="55">
        <f>+'Muertes por Edad F'!I83/'Población por Edad F'!I83*1000</f>
        <v>10.6211728516616</v>
      </c>
      <c r="I62" s="55">
        <f>+'Muertes por Edad F'!J83/'Población por Edad F'!J83*1000</f>
        <v>9.9162588994444931</v>
      </c>
      <c r="J62" s="55">
        <f>+'Muertes por Edad F'!K83/'Población por Edad F'!K83*1000</f>
        <v>9.7496819023302184</v>
      </c>
      <c r="K62" s="55">
        <f>+'Muertes por Edad F'!L83/'Población por Edad F'!L83*1000</f>
        <v>8.9120244446169625</v>
      </c>
      <c r="L62" s="55">
        <f>+'Muertes por Edad F'!M83/'Población por Edad F'!M83*1000</f>
        <v>8.9692042543385071</v>
      </c>
      <c r="M62" s="55">
        <f>+'Muertes por Edad F'!N83/'Población por Edad F'!N83*1000</f>
        <v>8.6728826713043023</v>
      </c>
      <c r="N62" s="55">
        <f>+'Muertes por Edad F'!O83/'Población por Edad F'!O83*1000</f>
        <v>8.5787297817640606</v>
      </c>
      <c r="O62" s="55">
        <f>+'Muertes por Edad F'!P83/'Población por Edad F'!P83*1000</f>
        <v>8.5782969625537433</v>
      </c>
      <c r="P62" s="55">
        <f>+'Muertes por Edad F'!Q83/'Población por Edad F'!Q83*1000</f>
        <v>8.6275902402926086</v>
      </c>
      <c r="Q62" s="55">
        <f>+'Muertes por Edad F'!R83/'Población por Edad F'!R83*1000</f>
        <v>8.6399908249703437</v>
      </c>
      <c r="R62" s="55">
        <f>+'Muertes por Edad F'!S83/'Población por Edad F'!S83*1000</f>
        <v>8.9748167653625437</v>
      </c>
      <c r="S62" s="72">
        <v>60</v>
      </c>
      <c r="T62" s="55">
        <v>1.1106805075646259E-2</v>
      </c>
      <c r="U62" s="81">
        <f t="shared" si="1"/>
        <v>9.6449055999999998E-3</v>
      </c>
    </row>
    <row r="63" spans="1:21">
      <c r="A63">
        <v>61</v>
      </c>
      <c r="B63" s="55">
        <f>+'Muertes por Edad F'!C84/'Población por Edad F'!C84*1000</f>
        <v>12.359469870616927</v>
      </c>
      <c r="C63" s="55">
        <f>+'Muertes por Edad F'!D84/'Población por Edad F'!D84*1000</f>
        <v>12.049960347556377</v>
      </c>
      <c r="D63" s="55">
        <f>+'Muertes por Edad F'!E84/'Población por Edad F'!E84*1000</f>
        <v>12.033350875335575</v>
      </c>
      <c r="E63" s="55">
        <f>+'Muertes por Edad F'!F84/'Población por Edad F'!F84*1000</f>
        <v>11.295245878753283</v>
      </c>
      <c r="F63" s="55">
        <f>+'Muertes por Edad F'!G84/'Población por Edad F'!G84*1000</f>
        <v>11.566994846723256</v>
      </c>
      <c r="G63" s="55">
        <f>+'Muertes por Edad F'!H84/'Población por Edad F'!H84*1000</f>
        <v>11.106805075646259</v>
      </c>
      <c r="H63" s="55">
        <f>+'Muertes por Edad F'!I84/'Población por Edad F'!I84*1000</f>
        <v>10.621172851661598</v>
      </c>
      <c r="I63" s="55">
        <f>+'Muertes por Edad F'!J84/'Población por Edad F'!J84*1000</f>
        <v>9.9162588994444931</v>
      </c>
      <c r="J63" s="55">
        <f>+'Muertes por Edad F'!K84/'Población por Edad F'!K84*1000</f>
        <v>9.7496819023302184</v>
      </c>
      <c r="K63" s="55">
        <f>+'Muertes por Edad F'!L84/'Población por Edad F'!L84*1000</f>
        <v>8.9120244446169607</v>
      </c>
      <c r="L63" s="55">
        <f>+'Muertes por Edad F'!M84/'Población por Edad F'!M84*1000</f>
        <v>8.9692042543385053</v>
      </c>
      <c r="M63" s="55">
        <f>+'Muertes por Edad F'!N84/'Población por Edad F'!N84*1000</f>
        <v>8.6728826713043023</v>
      </c>
      <c r="N63" s="55">
        <f>+'Muertes por Edad F'!O84/'Población por Edad F'!O84*1000</f>
        <v>8.5787297817640624</v>
      </c>
      <c r="O63" s="55">
        <f>+'Muertes por Edad F'!P84/'Población por Edad F'!P84*1000</f>
        <v>8.5782969625537433</v>
      </c>
      <c r="P63" s="55">
        <f>+'Muertes por Edad F'!Q84/'Población por Edad F'!Q84*1000</f>
        <v>8.6275902402926086</v>
      </c>
      <c r="Q63" s="55">
        <f>+'Muertes por Edad F'!R84/'Población por Edad F'!R84*1000</f>
        <v>8.6399908249703419</v>
      </c>
      <c r="R63" s="55">
        <f>+'Muertes por Edad F'!S84/'Población por Edad F'!S84*1000</f>
        <v>8.9748167653625437</v>
      </c>
      <c r="S63" s="72">
        <v>61</v>
      </c>
      <c r="T63" s="55">
        <v>1.1106805075646259E-2</v>
      </c>
      <c r="U63" s="81">
        <f t="shared" si="1"/>
        <v>1.0556386800000005E-2</v>
      </c>
    </row>
    <row r="64" spans="1:21">
      <c r="A64">
        <v>62</v>
      </c>
      <c r="B64" s="55">
        <f>+'Muertes por Edad F'!C85/'Población por Edad F'!C85*1000</f>
        <v>12.359469870616929</v>
      </c>
      <c r="C64" s="55">
        <f>+'Muertes por Edad F'!D85/'Población por Edad F'!D85*1000</f>
        <v>12.049960347556375</v>
      </c>
      <c r="D64" s="55">
        <f>+'Muertes por Edad F'!E85/'Población por Edad F'!E85*1000</f>
        <v>12.033350875335575</v>
      </c>
      <c r="E64" s="55">
        <f>+'Muertes por Edad F'!F85/'Población por Edad F'!F85*1000</f>
        <v>11.295245878753283</v>
      </c>
      <c r="F64" s="55">
        <f>+'Muertes por Edad F'!G85/'Población por Edad F'!G85*1000</f>
        <v>11.566994846723256</v>
      </c>
      <c r="G64" s="55">
        <f>+'Muertes por Edad F'!H85/'Población por Edad F'!H85*1000</f>
        <v>11.10680507564626</v>
      </c>
      <c r="H64" s="55">
        <f>+'Muertes por Edad F'!I85/'Población por Edad F'!I85*1000</f>
        <v>10.621172851661598</v>
      </c>
      <c r="I64" s="55">
        <f>+'Muertes por Edad F'!J85/'Población por Edad F'!J85*1000</f>
        <v>9.9162588994444931</v>
      </c>
      <c r="J64" s="55">
        <f>+'Muertes por Edad F'!K85/'Población por Edad F'!K85*1000</f>
        <v>9.7496819023302184</v>
      </c>
      <c r="K64" s="55">
        <f>+'Muertes por Edad F'!L85/'Población por Edad F'!L85*1000</f>
        <v>8.9120244446169625</v>
      </c>
      <c r="L64" s="55">
        <f>+'Muertes por Edad F'!M85/'Población por Edad F'!M85*1000</f>
        <v>8.9692042543385071</v>
      </c>
      <c r="M64" s="55">
        <f>+'Muertes por Edad F'!N85/'Población por Edad F'!N85*1000</f>
        <v>8.6728826713043006</v>
      </c>
      <c r="N64" s="55">
        <f>+'Muertes por Edad F'!O85/'Población por Edad F'!O85*1000</f>
        <v>8.5787297817640624</v>
      </c>
      <c r="O64" s="55">
        <f>+'Muertes por Edad F'!P85/'Población por Edad F'!P85*1000</f>
        <v>8.5782969625537433</v>
      </c>
      <c r="P64" s="55">
        <f>+'Muertes por Edad F'!Q85/'Población por Edad F'!Q85*1000</f>
        <v>8.6275902402926086</v>
      </c>
      <c r="Q64" s="55">
        <f>+'Muertes por Edad F'!R85/'Población por Edad F'!R85*1000</f>
        <v>8.6399908249703437</v>
      </c>
      <c r="R64" s="55">
        <f>+'Muertes por Edad F'!S85/'Población por Edad F'!S85*1000</f>
        <v>8.9748167653625419</v>
      </c>
      <c r="S64" s="72">
        <v>62</v>
      </c>
      <c r="T64" s="55">
        <v>1.1106805075646261E-2</v>
      </c>
      <c r="U64" s="81">
        <f t="shared" si="1"/>
        <v>1.1540184600000008E-2</v>
      </c>
    </row>
    <row r="65" spans="1:21">
      <c r="A65">
        <v>63</v>
      </c>
      <c r="B65" s="55">
        <f>+'Muertes por Edad F'!C86/'Población por Edad F'!C86*1000</f>
        <v>12.359469870616929</v>
      </c>
      <c r="C65" s="55">
        <f>+'Muertes por Edad F'!D86/'Población por Edad F'!D86*1000</f>
        <v>12.049960347556377</v>
      </c>
      <c r="D65" s="55">
        <f>+'Muertes por Edad F'!E86/'Población por Edad F'!E86*1000</f>
        <v>12.033350875335573</v>
      </c>
      <c r="E65" s="55">
        <f>+'Muertes por Edad F'!F86/'Población por Edad F'!F86*1000</f>
        <v>11.295245878753285</v>
      </c>
      <c r="F65" s="55">
        <f>+'Muertes por Edad F'!G86/'Población por Edad F'!G86*1000</f>
        <v>11.566994846723254</v>
      </c>
      <c r="G65" s="55">
        <f>+'Muertes por Edad F'!H86/'Población por Edad F'!H86*1000</f>
        <v>11.106805075646259</v>
      </c>
      <c r="H65" s="55">
        <f>+'Muertes por Edad F'!I86/'Población por Edad F'!I86*1000</f>
        <v>10.621172851661596</v>
      </c>
      <c r="I65" s="55">
        <f>+'Muertes por Edad F'!J86/'Población por Edad F'!J86*1000</f>
        <v>9.9162588994444931</v>
      </c>
      <c r="J65" s="55">
        <f>+'Muertes por Edad F'!K86/'Población por Edad F'!K86*1000</f>
        <v>9.7496819023302184</v>
      </c>
      <c r="K65" s="55">
        <f>+'Muertes por Edad F'!L86/'Población por Edad F'!L86*1000</f>
        <v>8.9120244446169607</v>
      </c>
      <c r="L65" s="55">
        <f>+'Muertes por Edad F'!M86/'Población por Edad F'!M86*1000</f>
        <v>8.9692042543385053</v>
      </c>
      <c r="M65" s="55">
        <f>+'Muertes por Edad F'!N86/'Población por Edad F'!N86*1000</f>
        <v>8.6728826713043006</v>
      </c>
      <c r="N65" s="55">
        <f>+'Muertes por Edad F'!O86/'Población por Edad F'!O86*1000</f>
        <v>8.5787297817640606</v>
      </c>
      <c r="O65" s="55">
        <f>+'Muertes por Edad F'!P86/'Población por Edad F'!P86*1000</f>
        <v>8.5782969625537433</v>
      </c>
      <c r="P65" s="55">
        <f>+'Muertes por Edad F'!Q86/'Población por Edad F'!Q86*1000</f>
        <v>8.6275902402926068</v>
      </c>
      <c r="Q65" s="55">
        <f>+'Muertes por Edad F'!R86/'Población por Edad F'!R86*1000</f>
        <v>8.6399908249703437</v>
      </c>
      <c r="R65" s="55">
        <f>+'Muertes por Edad F'!S86/'Población por Edad F'!S86*1000</f>
        <v>8.9748167653625437</v>
      </c>
      <c r="S65" s="72">
        <v>63</v>
      </c>
      <c r="T65" s="55">
        <v>1.1106805075646259E-2</v>
      </c>
      <c r="U65" s="81">
        <f t="shared" si="1"/>
        <v>1.2600104199999998E-2</v>
      </c>
    </row>
    <row r="66" spans="1:21">
      <c r="A66">
        <v>64</v>
      </c>
      <c r="B66" s="55">
        <f>+'Muertes por Edad F'!C87/'Población por Edad F'!C87*1000</f>
        <v>12.359469870616929</v>
      </c>
      <c r="C66" s="55">
        <f>+'Muertes por Edad F'!D87/'Población por Edad F'!D87*1000</f>
        <v>12.049960347556375</v>
      </c>
      <c r="D66" s="55">
        <f>+'Muertes por Edad F'!E87/'Población por Edad F'!E87*1000</f>
        <v>12.033350875335573</v>
      </c>
      <c r="E66" s="55">
        <f>+'Muertes por Edad F'!F87/'Población por Edad F'!F87*1000</f>
        <v>11.295245878753283</v>
      </c>
      <c r="F66" s="55">
        <f>+'Muertes por Edad F'!G87/'Población por Edad F'!G87*1000</f>
        <v>11.566994846723256</v>
      </c>
      <c r="G66" s="55">
        <f>+'Muertes por Edad F'!H87/'Población por Edad F'!H87*1000</f>
        <v>11.10680507564626</v>
      </c>
      <c r="H66" s="55">
        <f>+'Muertes por Edad F'!I87/'Población por Edad F'!I87*1000</f>
        <v>10.621172851661598</v>
      </c>
      <c r="I66" s="55">
        <f>+'Muertes por Edad F'!J87/'Población por Edad F'!J87*1000</f>
        <v>9.9162588994444913</v>
      </c>
      <c r="J66" s="55">
        <f>+'Muertes por Edad F'!K87/'Población por Edad F'!K87*1000</f>
        <v>9.7496819023302184</v>
      </c>
      <c r="K66" s="55">
        <f>+'Muertes por Edad F'!L87/'Población por Edad F'!L87*1000</f>
        <v>8.9120244446169607</v>
      </c>
      <c r="L66" s="55">
        <f>+'Muertes por Edad F'!M87/'Población por Edad F'!M87*1000</f>
        <v>8.9692042543385071</v>
      </c>
      <c r="M66" s="55">
        <f>+'Muertes por Edad F'!N87/'Población por Edad F'!N87*1000</f>
        <v>8.6728826713043023</v>
      </c>
      <c r="N66" s="55">
        <f>+'Muertes por Edad F'!O87/'Población por Edad F'!O87*1000</f>
        <v>8.5787297817640606</v>
      </c>
      <c r="O66" s="55">
        <f>+'Muertes por Edad F'!P87/'Población por Edad F'!P87*1000</f>
        <v>8.5782969625537433</v>
      </c>
      <c r="P66" s="55">
        <f>+'Muertes por Edad F'!Q87/'Población por Edad F'!Q87*1000</f>
        <v>8.6275902402926086</v>
      </c>
      <c r="Q66" s="55">
        <f>+'Muertes por Edad F'!R87/'Población por Edad F'!R87*1000</f>
        <v>8.6399908249703437</v>
      </c>
      <c r="R66" s="55">
        <f>+'Muertes por Edad F'!S87/'Población por Edad F'!S87*1000</f>
        <v>8.9748167653625419</v>
      </c>
      <c r="S66" s="72">
        <v>64</v>
      </c>
      <c r="T66" s="55">
        <v>1.1106805075646261E-2</v>
      </c>
      <c r="U66" s="81">
        <f t="shared" si="1"/>
        <v>1.3740046800000001E-2</v>
      </c>
    </row>
    <row r="67" spans="1:21">
      <c r="A67">
        <v>65</v>
      </c>
      <c r="B67" s="55">
        <f>+'Muertes por Edad F'!C88/'Población por Edad F'!C88*1000</f>
        <v>20.346067906062853</v>
      </c>
      <c r="C67" s="55">
        <f>+'Muertes por Edad F'!D88/'Población por Edad F'!D88*1000</f>
        <v>20.13992286961625</v>
      </c>
      <c r="D67" s="55">
        <f>+'Muertes por Edad F'!E88/'Población por Edad F'!E88*1000</f>
        <v>18.92615326118527</v>
      </c>
      <c r="E67" s="55">
        <f>+'Muertes por Edad F'!F88/'Población por Edad F'!F88*1000</f>
        <v>19.064286440578474</v>
      </c>
      <c r="F67" s="55">
        <f>+'Muertes por Edad F'!G88/'Población por Edad F'!G88*1000</f>
        <v>18.210518027304879</v>
      </c>
      <c r="G67" s="55">
        <f>+'Muertes por Edad F'!H88/'Población por Edad F'!H88*1000</f>
        <v>16.833342298948427</v>
      </c>
      <c r="H67" s="55">
        <f>+'Muertes por Edad F'!I88/'Población por Edad F'!I88*1000</f>
        <v>16.548841776282721</v>
      </c>
      <c r="I67" s="55">
        <f>+'Muertes por Edad F'!J88/'Población por Edad F'!J88*1000</f>
        <v>16.641366205373053</v>
      </c>
      <c r="J67" s="55">
        <f>+'Muertes por Edad F'!K88/'Población por Edad F'!K88*1000</f>
        <v>16.527209886114754</v>
      </c>
      <c r="K67" s="55">
        <f>+'Muertes por Edad F'!L88/'Población por Edad F'!L88*1000</f>
        <v>15.400629073863012</v>
      </c>
      <c r="L67" s="55">
        <f>+'Muertes por Edad F'!M88/'Población por Edad F'!M88*1000</f>
        <v>14.893399708711605</v>
      </c>
      <c r="M67" s="55">
        <f>+'Muertes por Edad F'!N88/'Población por Edad F'!N88*1000</f>
        <v>14.148010256898999</v>
      </c>
      <c r="N67" s="55">
        <f>+'Muertes por Edad F'!O88/'Población por Edad F'!O88*1000</f>
        <v>13.815614579702574</v>
      </c>
      <c r="O67" s="55">
        <f>+'Muertes por Edad F'!P88/'Población por Edad F'!P88*1000</f>
        <v>13.926837381314634</v>
      </c>
      <c r="P67" s="55">
        <f>+'Muertes por Edad F'!Q88/'Población por Edad F'!Q88*1000</f>
        <v>13.347844362695657</v>
      </c>
      <c r="Q67" s="55">
        <f>+'Muertes por Edad F'!R88/'Población por Edad F'!R88*1000</f>
        <v>13.638258197843362</v>
      </c>
      <c r="R67" s="55">
        <f>+'Muertes por Edad F'!S88/'Población por Edad F'!S88*1000</f>
        <v>13.51781363155893</v>
      </c>
      <c r="S67" s="72">
        <v>65</v>
      </c>
      <c r="T67" s="55">
        <v>1.6833342298948426E-2</v>
      </c>
      <c r="U67" s="81">
        <f t="shared" si="1"/>
        <v>1.4964009600000003E-2</v>
      </c>
    </row>
    <row r="68" spans="1:21">
      <c r="A68">
        <v>66</v>
      </c>
      <c r="B68" s="55">
        <f>+'Muertes por Edad F'!C89/'Población por Edad F'!C89*1000</f>
        <v>20.346067906062856</v>
      </c>
      <c r="C68" s="55">
        <f>+'Muertes por Edad F'!D89/'Población por Edad F'!D89*1000</f>
        <v>20.13992286961625</v>
      </c>
      <c r="D68" s="55">
        <f>+'Muertes por Edad F'!E89/'Población por Edad F'!E89*1000</f>
        <v>18.92615326118527</v>
      </c>
      <c r="E68" s="55">
        <f>+'Muertes por Edad F'!F89/'Población por Edad F'!F89*1000</f>
        <v>19.064286440578474</v>
      </c>
      <c r="F68" s="55">
        <f>+'Muertes por Edad F'!G89/'Población por Edad F'!G89*1000</f>
        <v>18.210518027304875</v>
      </c>
      <c r="G68" s="55">
        <f>+'Muertes por Edad F'!H89/'Población por Edad F'!H89*1000</f>
        <v>16.833342298948427</v>
      </c>
      <c r="H68" s="55">
        <f>+'Muertes por Edad F'!I89/'Población por Edad F'!I89*1000</f>
        <v>16.548841776282721</v>
      </c>
      <c r="I68" s="55">
        <f>+'Muertes por Edad F'!J89/'Población por Edad F'!J89*1000</f>
        <v>16.641366205373053</v>
      </c>
      <c r="J68" s="55">
        <f>+'Muertes por Edad F'!K89/'Población por Edad F'!K89*1000</f>
        <v>16.527209886114751</v>
      </c>
      <c r="K68" s="55">
        <f>+'Muertes por Edad F'!L89/'Población por Edad F'!L89*1000</f>
        <v>15.400629073863012</v>
      </c>
      <c r="L68" s="55">
        <f>+'Muertes por Edad F'!M89/'Población por Edad F'!M89*1000</f>
        <v>14.893399708711604</v>
      </c>
      <c r="M68" s="55">
        <f>+'Muertes por Edad F'!N89/'Población por Edad F'!N89*1000</f>
        <v>14.148010256898997</v>
      </c>
      <c r="N68" s="55">
        <f>+'Muertes por Edad F'!O89/'Población por Edad F'!O89*1000</f>
        <v>13.815614579702572</v>
      </c>
      <c r="O68" s="55">
        <f>+'Muertes por Edad F'!P89/'Población por Edad F'!P89*1000</f>
        <v>13.926837381314634</v>
      </c>
      <c r="P68" s="55">
        <f>+'Muertes por Edad F'!Q89/'Población por Edad F'!Q89*1000</f>
        <v>13.347844362695659</v>
      </c>
      <c r="Q68" s="55">
        <f>+'Muertes por Edad F'!R89/'Población por Edad F'!R89*1000</f>
        <v>13.638258197843362</v>
      </c>
      <c r="R68" s="55">
        <f>+'Muertes por Edad F'!S89/'Población por Edad F'!S89*1000</f>
        <v>13.517813631558932</v>
      </c>
      <c r="S68" s="72">
        <v>66</v>
      </c>
      <c r="T68" s="55">
        <v>1.6833342298948426E-2</v>
      </c>
      <c r="U68" s="81">
        <f t="shared" si="1"/>
        <v>1.6276085800000013E-2</v>
      </c>
    </row>
    <row r="69" spans="1:21">
      <c r="A69">
        <v>67</v>
      </c>
      <c r="B69" s="55">
        <f>+'Muertes por Edad F'!C90/'Población por Edad F'!C90*1000</f>
        <v>20.346067906062856</v>
      </c>
      <c r="C69" s="55">
        <f>+'Muertes por Edad F'!D90/'Población por Edad F'!D90*1000</f>
        <v>20.13992286961625</v>
      </c>
      <c r="D69" s="55">
        <f>+'Muertes por Edad F'!E90/'Población por Edad F'!E90*1000</f>
        <v>18.926153261185274</v>
      </c>
      <c r="E69" s="55">
        <f>+'Muertes por Edad F'!F90/'Población por Edad F'!F90*1000</f>
        <v>19.064286440578474</v>
      </c>
      <c r="F69" s="55">
        <f>+'Muertes por Edad F'!G90/'Población por Edad F'!G90*1000</f>
        <v>18.210518027304875</v>
      </c>
      <c r="G69" s="55">
        <f>+'Muertes por Edad F'!H90/'Población por Edad F'!H90*1000</f>
        <v>16.83334229894843</v>
      </c>
      <c r="H69" s="55">
        <f>+'Muertes por Edad F'!I90/'Población por Edad F'!I90*1000</f>
        <v>16.548841776282721</v>
      </c>
      <c r="I69" s="55">
        <f>+'Muertes por Edad F'!J90/'Población por Edad F'!J90*1000</f>
        <v>16.641366205373053</v>
      </c>
      <c r="J69" s="55">
        <f>+'Muertes por Edad F'!K90/'Población por Edad F'!K90*1000</f>
        <v>16.527209886114754</v>
      </c>
      <c r="K69" s="55">
        <f>+'Muertes por Edad F'!L90/'Población por Edad F'!L90*1000</f>
        <v>15.400629073863012</v>
      </c>
      <c r="L69" s="55">
        <f>+'Muertes por Edad F'!M90/'Población por Edad F'!M90*1000</f>
        <v>14.893399708711604</v>
      </c>
      <c r="M69" s="55">
        <f>+'Muertes por Edad F'!N90/'Población por Edad F'!N90*1000</f>
        <v>14.148010256898997</v>
      </c>
      <c r="N69" s="55">
        <f>+'Muertes por Edad F'!O90/'Población por Edad F'!O90*1000</f>
        <v>13.815614579702574</v>
      </c>
      <c r="O69" s="55">
        <f>+'Muertes por Edad F'!P90/'Población por Edad F'!P90*1000</f>
        <v>13.926837381314634</v>
      </c>
      <c r="P69" s="55">
        <f>+'Muertes por Edad F'!Q90/'Población por Edad F'!Q90*1000</f>
        <v>13.347844362695657</v>
      </c>
      <c r="Q69" s="55">
        <f>+'Muertes por Edad F'!R90/'Población por Edad F'!R90*1000</f>
        <v>13.63825819784336</v>
      </c>
      <c r="R69" s="55">
        <f>+'Muertes por Edad F'!S90/'Población por Edad F'!S90*1000</f>
        <v>13.517813631558932</v>
      </c>
      <c r="S69" s="72">
        <v>67</v>
      </c>
      <c r="T69" s="55">
        <v>1.683334229894843E-2</v>
      </c>
      <c r="U69" s="81">
        <f t="shared" si="1"/>
        <v>1.7680464599999994E-2</v>
      </c>
    </row>
    <row r="70" spans="1:21">
      <c r="A70">
        <v>68</v>
      </c>
      <c r="B70" s="55">
        <f>+'Muertes por Edad F'!C91/'Población por Edad F'!C91*1000</f>
        <v>20.346067906062856</v>
      </c>
      <c r="C70" s="55">
        <f>+'Muertes por Edad F'!D91/'Población por Edad F'!D91*1000</f>
        <v>20.13992286961625</v>
      </c>
      <c r="D70" s="55">
        <f>+'Muertes por Edad F'!E91/'Población por Edad F'!E91*1000</f>
        <v>18.92615326118527</v>
      </c>
      <c r="E70" s="55">
        <f>+'Muertes por Edad F'!F91/'Población por Edad F'!F91*1000</f>
        <v>19.064286440578471</v>
      </c>
      <c r="F70" s="55">
        <f>+'Muertes por Edad F'!G91/'Población por Edad F'!G91*1000</f>
        <v>18.210518027304875</v>
      </c>
      <c r="G70" s="55">
        <f>+'Muertes por Edad F'!H91/'Población por Edad F'!H91*1000</f>
        <v>16.833342298948427</v>
      </c>
      <c r="H70" s="55">
        <f>+'Muertes por Edad F'!I91/'Población por Edad F'!I91*1000</f>
        <v>16.548841776282721</v>
      </c>
      <c r="I70" s="55">
        <f>+'Muertes por Edad F'!J91/'Población por Edad F'!J91*1000</f>
        <v>16.641366205373053</v>
      </c>
      <c r="J70" s="55">
        <f>+'Muertes por Edad F'!K91/'Población por Edad F'!K91*1000</f>
        <v>16.527209886114751</v>
      </c>
      <c r="K70" s="55">
        <f>+'Muertes por Edad F'!L91/'Población por Edad F'!L91*1000</f>
        <v>15.40062907386301</v>
      </c>
      <c r="L70" s="55">
        <f>+'Muertes por Edad F'!M91/'Población por Edad F'!M91*1000</f>
        <v>14.893399708711604</v>
      </c>
      <c r="M70" s="55">
        <f>+'Muertes por Edad F'!N91/'Población por Edad F'!N91*1000</f>
        <v>14.148010256898999</v>
      </c>
      <c r="N70" s="55">
        <f>+'Muertes por Edad F'!O91/'Población por Edad F'!O91*1000</f>
        <v>13.815614579702574</v>
      </c>
      <c r="O70" s="55">
        <f>+'Muertes por Edad F'!P91/'Población por Edad F'!P91*1000</f>
        <v>13.926837381314636</v>
      </c>
      <c r="P70" s="55">
        <f>+'Muertes por Edad F'!Q91/'Población por Edad F'!Q91*1000</f>
        <v>13.347844362695657</v>
      </c>
      <c r="Q70" s="55">
        <f>+'Muertes por Edad F'!R91/'Población por Edad F'!R91*1000</f>
        <v>13.638258197843362</v>
      </c>
      <c r="R70" s="55">
        <f>+'Muertes por Edad F'!S91/'Población por Edad F'!S91*1000</f>
        <v>13.517813631558932</v>
      </c>
      <c r="S70" s="72">
        <v>68</v>
      </c>
      <c r="T70" s="55">
        <v>1.6833342298948426E-2</v>
      </c>
      <c r="U70" s="81">
        <f t="shared" si="1"/>
        <v>1.9181431199999995E-2</v>
      </c>
    </row>
    <row r="71" spans="1:21">
      <c r="A71">
        <v>69</v>
      </c>
      <c r="B71" s="55">
        <f>+'Muertes por Edad F'!C92/'Población por Edad F'!C92*1000</f>
        <v>20.346067906062856</v>
      </c>
      <c r="C71" s="55">
        <f>+'Muertes por Edad F'!D92/'Población por Edad F'!D92*1000</f>
        <v>20.13992286961625</v>
      </c>
      <c r="D71" s="55">
        <f>+'Muertes por Edad F'!E92/'Población por Edad F'!E92*1000</f>
        <v>18.92615326118527</v>
      </c>
      <c r="E71" s="55">
        <f>+'Muertes por Edad F'!F92/'Población por Edad F'!F92*1000</f>
        <v>19.064286440578474</v>
      </c>
      <c r="F71" s="55">
        <f>+'Muertes por Edad F'!G92/'Población por Edad F'!G92*1000</f>
        <v>18.210518027304879</v>
      </c>
      <c r="G71" s="55">
        <f>+'Muertes por Edad F'!H92/'Población por Edad F'!H92*1000</f>
        <v>16.833342298948427</v>
      </c>
      <c r="H71" s="55">
        <f>+'Muertes por Edad F'!I92/'Población por Edad F'!I92*1000</f>
        <v>16.548841776282721</v>
      </c>
      <c r="I71" s="55">
        <f>+'Muertes por Edad F'!J92/'Población por Edad F'!J92*1000</f>
        <v>16.641366205373053</v>
      </c>
      <c r="J71" s="55">
        <f>+'Muertes por Edad F'!K92/'Población por Edad F'!K92*1000</f>
        <v>16.527209886114751</v>
      </c>
      <c r="K71" s="55">
        <f>+'Muertes por Edad F'!L92/'Población por Edad F'!L92*1000</f>
        <v>15.400629073863012</v>
      </c>
      <c r="L71" s="55">
        <f>+'Muertes por Edad F'!M92/'Población por Edad F'!M92*1000</f>
        <v>14.893399708711604</v>
      </c>
      <c r="M71" s="55">
        <f>+'Muertes por Edad F'!N92/'Población por Edad F'!N92*1000</f>
        <v>14.148010256898997</v>
      </c>
      <c r="N71" s="55">
        <f>+'Muertes por Edad F'!O92/'Población por Edad F'!O92*1000</f>
        <v>13.815614579702572</v>
      </c>
      <c r="O71" s="55">
        <f>+'Muertes por Edad F'!P92/'Población por Edad F'!P92*1000</f>
        <v>13.926837381314636</v>
      </c>
      <c r="P71" s="55">
        <f>+'Muertes por Edad F'!Q92/'Población por Edad F'!Q92*1000</f>
        <v>13.347844362695657</v>
      </c>
      <c r="Q71" s="55">
        <f>+'Muertes por Edad F'!R92/'Población por Edad F'!R92*1000</f>
        <v>13.638258197843362</v>
      </c>
      <c r="R71" s="55">
        <f>+'Muertes por Edad F'!S92/'Población por Edad F'!S92*1000</f>
        <v>13.51781363155893</v>
      </c>
      <c r="S71" s="72">
        <v>69</v>
      </c>
      <c r="T71" s="55">
        <v>1.6833342298948426E-2</v>
      </c>
      <c r="U71" s="81">
        <f t="shared" si="1"/>
        <v>2.0783366800000008E-2</v>
      </c>
    </row>
    <row r="72" spans="1:21">
      <c r="A72">
        <v>70</v>
      </c>
      <c r="B72" s="55">
        <f>+'Muertes por Edad F'!C93/'Población por Edad F'!C93*1000</f>
        <v>28.131472258678411</v>
      </c>
      <c r="C72" s="55">
        <f>+'Muertes por Edad F'!D93/'Población por Edad F'!D93*1000</f>
        <v>26.586084957996842</v>
      </c>
      <c r="D72" s="55">
        <f>+'Muertes por Edad F'!E93/'Población por Edad F'!E93*1000</f>
        <v>26.233256088209277</v>
      </c>
      <c r="E72" s="55">
        <f>+'Muertes por Edad F'!F93/'Población por Edad F'!F93*1000</f>
        <v>26.448456721015596</v>
      </c>
      <c r="F72" s="55">
        <f>+'Muertes por Edad F'!G93/'Población por Edad F'!G93*1000</f>
        <v>26.901151991508492</v>
      </c>
      <c r="G72" s="55">
        <f>+'Muertes por Edad F'!H93/'Población por Edad F'!H93*1000</f>
        <v>25.473183097984045</v>
      </c>
      <c r="H72" s="55">
        <f>+'Muertes por Edad F'!I93/'Población por Edad F'!I93*1000</f>
        <v>26.223607878961921</v>
      </c>
      <c r="I72" s="55">
        <f>+'Muertes por Edad F'!J93/'Población por Edad F'!J93*1000</f>
        <v>24.333447553222097</v>
      </c>
      <c r="J72" s="55">
        <f>+'Muertes por Edad F'!K93/'Población por Edad F'!K93*1000</f>
        <v>25.223362298455815</v>
      </c>
      <c r="K72" s="55">
        <f>+'Muertes por Edad F'!L93/'Población por Edad F'!L93*1000</f>
        <v>23.783400844594279</v>
      </c>
      <c r="L72" s="55">
        <f>+'Muertes por Edad F'!M93/'Población por Edad F'!M93*1000</f>
        <v>22.370840228784953</v>
      </c>
      <c r="M72" s="55">
        <f>+'Muertes por Edad F'!N93/'Población por Edad F'!N93*1000</f>
        <v>21.793311305290015</v>
      </c>
      <c r="N72" s="55">
        <f>+'Muertes por Edad F'!O93/'Población por Edad F'!O93*1000</f>
        <v>22.140397578573392</v>
      </c>
      <c r="O72" s="55">
        <f>+'Muertes por Edad F'!P93/'Población por Edad F'!P93*1000</f>
        <v>21.790718829007925</v>
      </c>
      <c r="P72" s="55">
        <f>+'Muertes por Edad F'!Q93/'Población por Edad F'!Q93*1000</f>
        <v>21.5306395804737</v>
      </c>
      <c r="Q72" s="55">
        <f>+'Muertes por Edad F'!R93/'Población por Edad F'!R93*1000</f>
        <v>22.7824789447059</v>
      </c>
      <c r="R72" s="55">
        <f>+'Muertes por Edad F'!S93/'Población por Edad F'!S93*1000</f>
        <v>21.87997643450618</v>
      </c>
      <c r="S72" s="72">
        <v>70</v>
      </c>
      <c r="T72" s="55">
        <v>2.5473183097984044E-2</v>
      </c>
      <c r="U72" s="81">
        <f t="shared" ref="U72:U101" si="2">$V$4*(S72^4)+$V$5*(S72^3)+$V$6*(S72^2)+$V$7*S72+$V$8</f>
        <v>2.2490748600000002E-2</v>
      </c>
    </row>
    <row r="73" spans="1:21">
      <c r="A73">
        <v>71</v>
      </c>
      <c r="B73" s="55">
        <f>+'Muertes por Edad F'!C94/'Población por Edad F'!C94*1000</f>
        <v>28.131472258678411</v>
      </c>
      <c r="C73" s="55">
        <f>+'Muertes por Edad F'!D94/'Población por Edad F'!D94*1000</f>
        <v>26.586084957996839</v>
      </c>
      <c r="D73" s="55">
        <f>+'Muertes por Edad F'!E94/'Población por Edad F'!E94*1000</f>
        <v>26.233256088209274</v>
      </c>
      <c r="E73" s="55">
        <f>+'Muertes por Edad F'!F94/'Población por Edad F'!F94*1000</f>
        <v>26.448456721015596</v>
      </c>
      <c r="F73" s="55">
        <f>+'Muertes por Edad F'!G94/'Población por Edad F'!G94*1000</f>
        <v>26.901151991508488</v>
      </c>
      <c r="G73" s="55">
        <f>+'Muertes por Edad F'!H94/'Población por Edad F'!H94*1000</f>
        <v>25.473183097984045</v>
      </c>
      <c r="H73" s="55">
        <f>+'Muertes por Edad F'!I94/'Población por Edad F'!I94*1000</f>
        <v>26.223607878961921</v>
      </c>
      <c r="I73" s="55">
        <f>+'Muertes por Edad F'!J94/'Población por Edad F'!J94*1000</f>
        <v>24.333447553222097</v>
      </c>
      <c r="J73" s="55">
        <f>+'Muertes por Edad F'!K94/'Población por Edad F'!K94*1000</f>
        <v>25.223362298455815</v>
      </c>
      <c r="K73" s="55">
        <f>+'Muertes por Edad F'!L94/'Población por Edad F'!L94*1000</f>
        <v>23.783400844594279</v>
      </c>
      <c r="L73" s="55">
        <f>+'Muertes por Edad F'!M94/'Población por Edad F'!M94*1000</f>
        <v>22.370840228784953</v>
      </c>
      <c r="M73" s="55">
        <f>+'Muertes por Edad F'!N94/'Población por Edad F'!N94*1000</f>
        <v>21.793311305290015</v>
      </c>
      <c r="N73" s="55">
        <f>+'Muertes por Edad F'!O94/'Población por Edad F'!O94*1000</f>
        <v>22.140397578573392</v>
      </c>
      <c r="O73" s="55">
        <f>+'Muertes por Edad F'!P94/'Población por Edad F'!P94*1000</f>
        <v>21.790718829007929</v>
      </c>
      <c r="P73" s="55">
        <f>+'Muertes por Edad F'!Q94/'Población por Edad F'!Q94*1000</f>
        <v>21.530639580473697</v>
      </c>
      <c r="Q73" s="55">
        <f>+'Muertes por Edad F'!R94/'Población por Edad F'!R94*1000</f>
        <v>22.782478944705904</v>
      </c>
      <c r="R73" s="55">
        <f>+'Muertes por Edad F'!S94/'Población por Edad F'!S94*1000</f>
        <v>21.87997643450618</v>
      </c>
      <c r="S73" s="72">
        <v>71</v>
      </c>
      <c r="T73" s="55">
        <v>2.5473183097984044E-2</v>
      </c>
      <c r="U73" s="81">
        <f t="shared" si="2"/>
        <v>2.4308149799999998E-2</v>
      </c>
    </row>
    <row r="74" spans="1:21">
      <c r="A74">
        <v>72</v>
      </c>
      <c r="B74" s="55">
        <f>+'Muertes por Edad F'!C95/'Población por Edad F'!C95*1000</f>
        <v>28.131472258678407</v>
      </c>
      <c r="C74" s="55">
        <f>+'Muertes por Edad F'!D95/'Población por Edad F'!D95*1000</f>
        <v>26.586084957996839</v>
      </c>
      <c r="D74" s="55">
        <f>+'Muertes por Edad F'!E95/'Población por Edad F'!E95*1000</f>
        <v>26.233256088209277</v>
      </c>
      <c r="E74" s="55">
        <f>+'Muertes por Edad F'!F95/'Población por Edad F'!F95*1000</f>
        <v>26.448456721015599</v>
      </c>
      <c r="F74" s="55">
        <f>+'Muertes por Edad F'!G95/'Población por Edad F'!G95*1000</f>
        <v>26.901151991508492</v>
      </c>
      <c r="G74" s="55">
        <f>+'Muertes por Edad F'!H95/'Población por Edad F'!H95*1000</f>
        <v>25.473183097984045</v>
      </c>
      <c r="H74" s="55">
        <f>+'Muertes por Edad F'!I95/'Población por Edad F'!I95*1000</f>
        <v>26.223607878961918</v>
      </c>
      <c r="I74" s="55">
        <f>+'Muertes por Edad F'!J95/'Población por Edad F'!J95*1000</f>
        <v>24.333447553222097</v>
      </c>
      <c r="J74" s="55">
        <f>+'Muertes por Edad F'!K95/'Población por Edad F'!K95*1000</f>
        <v>25.223362298455811</v>
      </c>
      <c r="K74" s="55">
        <f>+'Muertes por Edad F'!L95/'Población por Edad F'!L95*1000</f>
        <v>23.783400844594279</v>
      </c>
      <c r="L74" s="55">
        <f>+'Muertes por Edad F'!M95/'Población por Edad F'!M95*1000</f>
        <v>22.370840228784953</v>
      </c>
      <c r="M74" s="55">
        <f>+'Muertes por Edad F'!N95/'Población por Edad F'!N95*1000</f>
        <v>21.793311305290015</v>
      </c>
      <c r="N74" s="55">
        <f>+'Muertes por Edad F'!O95/'Población por Edad F'!O95*1000</f>
        <v>22.140397578573396</v>
      </c>
      <c r="O74" s="55">
        <f>+'Muertes por Edad F'!P95/'Población por Edad F'!P95*1000</f>
        <v>21.790718829007929</v>
      </c>
      <c r="P74" s="55">
        <f>+'Muertes por Edad F'!Q95/'Población por Edad F'!Q95*1000</f>
        <v>21.530639580473697</v>
      </c>
      <c r="Q74" s="55">
        <f>+'Muertes por Edad F'!R95/'Población por Edad F'!R95*1000</f>
        <v>22.7824789447059</v>
      </c>
      <c r="R74" s="55">
        <f>+'Muertes por Edad F'!S95/'Población por Edad F'!S95*1000</f>
        <v>21.879976434506183</v>
      </c>
      <c r="S74" s="72">
        <v>72</v>
      </c>
      <c r="T74" s="55">
        <v>2.5473183097984044E-2</v>
      </c>
      <c r="U74" s="81">
        <f t="shared" si="2"/>
        <v>2.6240239599999989E-2</v>
      </c>
    </row>
    <row r="75" spans="1:21">
      <c r="A75">
        <v>73</v>
      </c>
      <c r="B75" s="55">
        <f>+'Muertes por Edad F'!C96/'Población por Edad F'!C96*1000</f>
        <v>28.131472258678407</v>
      </c>
      <c r="C75" s="55">
        <f>+'Muertes por Edad F'!D96/'Población por Edad F'!D96*1000</f>
        <v>26.586084957996839</v>
      </c>
      <c r="D75" s="55">
        <f>+'Muertes por Edad F'!E96/'Población por Edad F'!E96*1000</f>
        <v>26.233256088209277</v>
      </c>
      <c r="E75" s="55">
        <f>+'Muertes por Edad F'!F96/'Población por Edad F'!F96*1000</f>
        <v>26.448456721015596</v>
      </c>
      <c r="F75" s="55">
        <f>+'Muertes por Edad F'!G96/'Población por Edad F'!G96*1000</f>
        <v>26.901151991508495</v>
      </c>
      <c r="G75" s="55">
        <f>+'Muertes por Edad F'!H96/'Población por Edad F'!H96*1000</f>
        <v>25.473183097984041</v>
      </c>
      <c r="H75" s="55">
        <f>+'Muertes por Edad F'!I96/'Población por Edad F'!I96*1000</f>
        <v>26.223607878961921</v>
      </c>
      <c r="I75" s="55">
        <f>+'Muertes por Edad F'!J96/'Población por Edad F'!J96*1000</f>
        <v>24.333447553222097</v>
      </c>
      <c r="J75" s="55">
        <f>+'Muertes por Edad F'!K96/'Población por Edad F'!K96*1000</f>
        <v>25.223362298455815</v>
      </c>
      <c r="K75" s="55">
        <f>+'Muertes por Edad F'!L96/'Población por Edad F'!L96*1000</f>
        <v>23.783400844594279</v>
      </c>
      <c r="L75" s="55">
        <f>+'Muertes por Edad F'!M96/'Población por Edad F'!M96*1000</f>
        <v>22.370840228784953</v>
      </c>
      <c r="M75" s="55">
        <f>+'Muertes por Edad F'!N96/'Población por Edad F'!N96*1000</f>
        <v>21.793311305290015</v>
      </c>
      <c r="N75" s="55">
        <f>+'Muertes por Edad F'!O96/'Población por Edad F'!O96*1000</f>
        <v>22.140397578573396</v>
      </c>
      <c r="O75" s="55">
        <f>+'Muertes por Edad F'!P96/'Población por Edad F'!P96*1000</f>
        <v>21.790718829007933</v>
      </c>
      <c r="P75" s="55">
        <f>+'Muertes por Edad F'!Q96/'Población por Edad F'!Q96*1000</f>
        <v>21.530639580473697</v>
      </c>
      <c r="Q75" s="55">
        <f>+'Muertes por Edad F'!R96/'Población por Edad F'!R96*1000</f>
        <v>22.782478944705904</v>
      </c>
      <c r="R75" s="55">
        <f>+'Muertes por Edad F'!S96/'Población por Edad F'!S96*1000</f>
        <v>21.87997643450618</v>
      </c>
      <c r="S75" s="72">
        <v>73</v>
      </c>
      <c r="T75" s="55">
        <v>2.5473183097984041E-2</v>
      </c>
      <c r="U75" s="81">
        <f t="shared" si="2"/>
        <v>2.8291783200000004E-2</v>
      </c>
    </row>
    <row r="76" spans="1:21">
      <c r="A76">
        <v>74</v>
      </c>
      <c r="B76" s="55">
        <f>+'Muertes por Edad F'!C97/'Población por Edad F'!C97*1000</f>
        <v>28.131472258678407</v>
      </c>
      <c r="C76" s="55">
        <f>+'Muertes por Edad F'!D97/'Población por Edad F'!D97*1000</f>
        <v>26.586084957996842</v>
      </c>
      <c r="D76" s="55">
        <f>+'Muertes por Edad F'!E97/'Población por Edad F'!E97*1000</f>
        <v>26.233256088209277</v>
      </c>
      <c r="E76" s="55">
        <f>+'Muertes por Edad F'!F97/'Población por Edad F'!F97*1000</f>
        <v>26.448456721015596</v>
      </c>
      <c r="F76" s="55">
        <f>+'Muertes por Edad F'!G97/'Población por Edad F'!G97*1000</f>
        <v>26.901151991508492</v>
      </c>
      <c r="G76" s="55">
        <f>+'Muertes por Edad F'!H97/'Población por Edad F'!H97*1000</f>
        <v>25.473183097984045</v>
      </c>
      <c r="H76" s="55">
        <f>+'Muertes por Edad F'!I97/'Población por Edad F'!I97*1000</f>
        <v>26.223607878961918</v>
      </c>
      <c r="I76" s="55">
        <f>+'Muertes por Edad F'!J97/'Población por Edad F'!J97*1000</f>
        <v>24.333447553222097</v>
      </c>
      <c r="J76" s="55">
        <f>+'Muertes por Edad F'!K97/'Población por Edad F'!K97*1000</f>
        <v>25.223362298455818</v>
      </c>
      <c r="K76" s="55">
        <f>+'Muertes por Edad F'!L97/'Población por Edad F'!L97*1000</f>
        <v>23.783400844594279</v>
      </c>
      <c r="L76" s="55">
        <f>+'Muertes por Edad F'!M97/'Población por Edad F'!M97*1000</f>
        <v>22.370840228784953</v>
      </c>
      <c r="M76" s="55">
        <f>+'Muertes por Edad F'!N97/'Población por Edad F'!N97*1000</f>
        <v>21.793311305290015</v>
      </c>
      <c r="N76" s="55">
        <f>+'Muertes por Edad F'!O97/'Población por Edad F'!O97*1000</f>
        <v>22.140397578573392</v>
      </c>
      <c r="O76" s="55">
        <f>+'Muertes por Edad F'!P97/'Población por Edad F'!P97*1000</f>
        <v>21.790718829007929</v>
      </c>
      <c r="P76" s="55">
        <f>+'Muertes por Edad F'!Q97/'Población por Edad F'!Q97*1000</f>
        <v>21.530639580473697</v>
      </c>
      <c r="Q76" s="55">
        <f>+'Muertes por Edad F'!R97/'Población por Edad F'!R97*1000</f>
        <v>22.782478944705908</v>
      </c>
      <c r="R76" s="55">
        <f>+'Muertes por Edad F'!S97/'Población por Edad F'!S97*1000</f>
        <v>21.879976434506183</v>
      </c>
      <c r="S76" s="72">
        <v>74</v>
      </c>
      <c r="T76" s="55">
        <v>2.5473183097984044E-2</v>
      </c>
      <c r="U76" s="81">
        <f t="shared" si="2"/>
        <v>3.04676418E-2</v>
      </c>
    </row>
    <row r="77" spans="1:21">
      <c r="A77">
        <v>75</v>
      </c>
      <c r="B77" s="55">
        <f>+'Muertes por Edad F'!C98/'Población por Edad F'!C98*1000</f>
        <v>42.607550298630215</v>
      </c>
      <c r="C77" s="55">
        <f>+'Muertes por Edad F'!D98/'Población por Edad F'!D98*1000</f>
        <v>44.339119911568019</v>
      </c>
      <c r="D77" s="55">
        <f>+'Muertes por Edad F'!E98/'Población por Edad F'!E98*1000</f>
        <v>40.983453005106398</v>
      </c>
      <c r="E77" s="55">
        <f>+'Muertes por Edad F'!F98/'Población por Edad F'!F98*1000</f>
        <v>41.344432609549237</v>
      </c>
      <c r="F77" s="55">
        <f>+'Muertes por Edad F'!G98/'Población por Edad F'!G98*1000</f>
        <v>41.945045454251698</v>
      </c>
      <c r="G77" s="55">
        <f>+'Muertes por Edad F'!H98/'Población por Edad F'!H98*1000</f>
        <v>38.548853006340117</v>
      </c>
      <c r="H77" s="55">
        <f>+'Muertes por Edad F'!I98/'Población por Edad F'!I98*1000</f>
        <v>39.969199316880776</v>
      </c>
      <c r="I77" s="55">
        <f>+'Muertes por Edad F'!J98/'Población por Edad F'!J98*1000</f>
        <v>38.849286082336143</v>
      </c>
      <c r="J77" s="55">
        <f>+'Muertes por Edad F'!K98/'Población por Edad F'!K98*1000</f>
        <v>40.863945319335748</v>
      </c>
      <c r="K77" s="55">
        <f>+'Muertes por Edad F'!L98/'Población por Edad F'!L98*1000</f>
        <v>39.235628688842837</v>
      </c>
      <c r="L77" s="55">
        <f>+'Muertes por Edad F'!M98/'Población por Edad F'!M98*1000</f>
        <v>38.857102698043086</v>
      </c>
      <c r="M77" s="55">
        <f>+'Muertes por Edad F'!N98/'Población por Edad F'!N98*1000</f>
        <v>36.340236800433203</v>
      </c>
      <c r="N77" s="55">
        <f>+'Muertes por Edad F'!O98/'Población por Edad F'!O98*1000</f>
        <v>36.729988382605178</v>
      </c>
      <c r="O77" s="55">
        <f>+'Muertes por Edad F'!P98/'Población por Edad F'!P98*1000</f>
        <v>36.387789259170688</v>
      </c>
      <c r="P77" s="55">
        <f>+'Muertes por Edad F'!Q98/'Población por Edad F'!Q98*1000</f>
        <v>34.592147253896165</v>
      </c>
      <c r="Q77" s="55">
        <f>+'Muertes por Edad F'!R98/'Población por Edad F'!R98*1000</f>
        <v>34.9253373905633</v>
      </c>
      <c r="R77" s="55">
        <f>+'Muertes por Edad F'!S98/'Población por Edad F'!S98*1000</f>
        <v>35.609735066165968</v>
      </c>
      <c r="S77" s="72">
        <v>75</v>
      </c>
      <c r="T77" s="55">
        <v>3.8548853006340117E-2</v>
      </c>
      <c r="U77" s="81">
        <f t="shared" si="2"/>
        <v>3.2772772599999979E-2</v>
      </c>
    </row>
    <row r="78" spans="1:21">
      <c r="A78">
        <v>76</v>
      </c>
      <c r="B78" s="55">
        <f>+'Muertes por Edad F'!C99/'Población por Edad F'!C99*1000</f>
        <v>42.607550298630223</v>
      </c>
      <c r="C78" s="55">
        <f>+'Muertes por Edad F'!D99/'Población por Edad F'!D99*1000</f>
        <v>44.339119911568012</v>
      </c>
      <c r="D78" s="55">
        <f>+'Muertes por Edad F'!E99/'Población por Edad F'!E99*1000</f>
        <v>40.983453005106405</v>
      </c>
      <c r="E78" s="55">
        <f>+'Muertes por Edad F'!F99/'Población por Edad F'!F99*1000</f>
        <v>41.344432609549237</v>
      </c>
      <c r="F78" s="55">
        <f>+'Muertes por Edad F'!G99/'Población por Edad F'!G99*1000</f>
        <v>41.945045454251698</v>
      </c>
      <c r="G78" s="55">
        <f>+'Muertes por Edad F'!H99/'Población por Edad F'!H99*1000</f>
        <v>38.548853006340117</v>
      </c>
      <c r="H78" s="55">
        <f>+'Muertes por Edad F'!I99/'Población por Edad F'!I99*1000</f>
        <v>39.969199316880776</v>
      </c>
      <c r="I78" s="55">
        <f>+'Muertes por Edad F'!J99/'Población por Edad F'!J99*1000</f>
        <v>38.849286082336143</v>
      </c>
      <c r="J78" s="55">
        <f>+'Muertes por Edad F'!K99/'Población por Edad F'!K99*1000</f>
        <v>40.863945319335748</v>
      </c>
      <c r="K78" s="55">
        <f>+'Muertes por Edad F'!L99/'Población por Edad F'!L99*1000</f>
        <v>39.235628688842837</v>
      </c>
      <c r="L78" s="55">
        <f>+'Muertes por Edad F'!M99/'Población por Edad F'!M99*1000</f>
        <v>38.857102698043086</v>
      </c>
      <c r="M78" s="55">
        <f>+'Muertes por Edad F'!N99/'Población por Edad F'!N99*1000</f>
        <v>36.340236800433203</v>
      </c>
      <c r="N78" s="55">
        <f>+'Muertes por Edad F'!O99/'Población por Edad F'!O99*1000</f>
        <v>36.729988382605178</v>
      </c>
      <c r="O78" s="55">
        <f>+'Muertes por Edad F'!P99/'Población por Edad F'!P99*1000</f>
        <v>36.387789259170688</v>
      </c>
      <c r="P78" s="55">
        <f>+'Muertes por Edad F'!Q99/'Población por Edad F'!Q99*1000</f>
        <v>34.592147253896165</v>
      </c>
      <c r="Q78" s="55">
        <f>+'Muertes por Edad F'!R99/'Población por Edad F'!R99*1000</f>
        <v>34.9253373905633</v>
      </c>
      <c r="R78" s="55">
        <f>+'Muertes por Edad F'!S99/'Población por Edad F'!S99*1000</f>
        <v>35.60973506616596</v>
      </c>
      <c r="S78" s="72">
        <v>76</v>
      </c>
      <c r="T78" s="55">
        <v>3.8548853006340117E-2</v>
      </c>
      <c r="U78" s="81">
        <f t="shared" si="2"/>
        <v>3.5212228800000009E-2</v>
      </c>
    </row>
    <row r="79" spans="1:21">
      <c r="A79">
        <v>77</v>
      </c>
      <c r="B79" s="55">
        <f>+'Muertes por Edad F'!C100/'Población por Edad F'!C100*1000</f>
        <v>42.607550298630223</v>
      </c>
      <c r="C79" s="55">
        <f>+'Muertes por Edad F'!D100/'Población por Edad F'!D100*1000</f>
        <v>44.339119911568012</v>
      </c>
      <c r="D79" s="55">
        <f>+'Muertes por Edad F'!E100/'Población por Edad F'!E100*1000</f>
        <v>40.983453005106405</v>
      </c>
      <c r="E79" s="55">
        <f>+'Muertes por Edad F'!F100/'Población por Edad F'!F100*1000</f>
        <v>41.344432609549237</v>
      </c>
      <c r="F79" s="55">
        <f>+'Muertes por Edad F'!G100/'Población por Edad F'!G100*1000</f>
        <v>41.945045454251698</v>
      </c>
      <c r="G79" s="55">
        <f>+'Muertes por Edad F'!H100/'Población por Edad F'!H100*1000</f>
        <v>38.548853006340117</v>
      </c>
      <c r="H79" s="55">
        <f>+'Muertes por Edad F'!I100/'Población por Edad F'!I100*1000</f>
        <v>39.969199316880783</v>
      </c>
      <c r="I79" s="55">
        <f>+'Muertes por Edad F'!J100/'Población por Edad F'!J100*1000</f>
        <v>38.849286082336143</v>
      </c>
      <c r="J79" s="55">
        <f>+'Muertes por Edad F'!K100/'Población por Edad F'!K100*1000</f>
        <v>40.863945319335748</v>
      </c>
      <c r="K79" s="55">
        <f>+'Muertes por Edad F'!L100/'Población por Edad F'!L100*1000</f>
        <v>39.23562868884283</v>
      </c>
      <c r="L79" s="55">
        <f>+'Muertes por Edad F'!M100/'Población por Edad F'!M100*1000</f>
        <v>38.857102698043079</v>
      </c>
      <c r="M79" s="55">
        <f>+'Muertes por Edad F'!N100/'Población por Edad F'!N100*1000</f>
        <v>36.340236800433203</v>
      </c>
      <c r="N79" s="55">
        <f>+'Muertes por Edad F'!O100/'Población por Edad F'!O100*1000</f>
        <v>36.729988382605178</v>
      </c>
      <c r="O79" s="55">
        <f>+'Muertes por Edad F'!P100/'Población por Edad F'!P100*1000</f>
        <v>36.387789259170688</v>
      </c>
      <c r="P79" s="55">
        <f>+'Muertes por Edad F'!Q100/'Población por Edad F'!Q100*1000</f>
        <v>34.592147253896165</v>
      </c>
      <c r="Q79" s="55">
        <f>+'Muertes por Edad F'!R100/'Población por Edad F'!R100*1000</f>
        <v>34.925337390563307</v>
      </c>
      <c r="R79" s="55">
        <f>+'Muertes por Edad F'!S100/'Población por Edad F'!S100*1000</f>
        <v>35.60973506616596</v>
      </c>
      <c r="S79" s="72">
        <v>77</v>
      </c>
      <c r="T79" s="55">
        <v>3.8548853006340117E-2</v>
      </c>
      <c r="U79" s="81">
        <f t="shared" si="2"/>
        <v>3.7791159599999999E-2</v>
      </c>
    </row>
    <row r="80" spans="1:21">
      <c r="A80">
        <v>78</v>
      </c>
      <c r="B80" s="55">
        <f>+'Muertes por Edad F'!C101/'Población por Edad F'!C101*1000</f>
        <v>42.607550298630223</v>
      </c>
      <c r="C80" s="55">
        <f>+'Muertes por Edad F'!D101/'Población por Edad F'!D101*1000</f>
        <v>44.339119911568019</v>
      </c>
      <c r="D80" s="55">
        <f>+'Muertes por Edad F'!E101/'Población por Edad F'!E101*1000</f>
        <v>40.983453005106398</v>
      </c>
      <c r="E80" s="55">
        <f>+'Muertes por Edad F'!F101/'Población por Edad F'!F101*1000</f>
        <v>41.34443260954923</v>
      </c>
      <c r="F80" s="55">
        <f>+'Muertes por Edad F'!G101/'Población por Edad F'!G101*1000</f>
        <v>41.945045454251698</v>
      </c>
      <c r="G80" s="55">
        <f>+'Muertes por Edad F'!H101/'Población por Edad F'!H101*1000</f>
        <v>38.548853006340124</v>
      </c>
      <c r="H80" s="55">
        <f>+'Muertes por Edad F'!I101/'Población por Edad F'!I101*1000</f>
        <v>39.969199316880783</v>
      </c>
      <c r="I80" s="55">
        <f>+'Muertes por Edad F'!J101/'Población por Edad F'!J101*1000</f>
        <v>38.84928608233615</v>
      </c>
      <c r="J80" s="55">
        <f>+'Muertes por Edad F'!K101/'Población por Edad F'!K101*1000</f>
        <v>40.863945319335748</v>
      </c>
      <c r="K80" s="55">
        <f>+'Muertes por Edad F'!L101/'Población por Edad F'!L101*1000</f>
        <v>39.235628688842837</v>
      </c>
      <c r="L80" s="55">
        <f>+'Muertes por Edad F'!M101/'Población por Edad F'!M101*1000</f>
        <v>38.857102698043086</v>
      </c>
      <c r="M80" s="55">
        <f>+'Muertes por Edad F'!N101/'Población por Edad F'!N101*1000</f>
        <v>36.340236800433196</v>
      </c>
      <c r="N80" s="55">
        <f>+'Muertes por Edad F'!O101/'Población por Edad F'!O101*1000</f>
        <v>36.729988382605178</v>
      </c>
      <c r="O80" s="55">
        <f>+'Muertes por Edad F'!P101/'Población por Edad F'!P101*1000</f>
        <v>36.387789259170688</v>
      </c>
      <c r="P80" s="55">
        <f>+'Muertes por Edad F'!Q101/'Población por Edad F'!Q101*1000</f>
        <v>34.592147253896165</v>
      </c>
      <c r="Q80" s="55">
        <f>+'Muertes por Edad F'!R101/'Población por Edad F'!R101*1000</f>
        <v>34.9253373905633</v>
      </c>
      <c r="R80" s="55">
        <f>+'Muertes por Edad F'!S101/'Población por Edad F'!S101*1000</f>
        <v>35.609735066165968</v>
      </c>
      <c r="S80" s="72">
        <v>78</v>
      </c>
      <c r="T80" s="55">
        <v>3.8548853006340124E-2</v>
      </c>
      <c r="U80" s="81">
        <f t="shared" si="2"/>
        <v>4.0514810200000008E-2</v>
      </c>
    </row>
    <row r="81" spans="1:21">
      <c r="A81">
        <v>79</v>
      </c>
      <c r="B81" s="55">
        <f>+'Muertes por Edad F'!C102/'Población por Edad F'!C102*1000</f>
        <v>42.607550298630215</v>
      </c>
      <c r="C81" s="55">
        <f>+'Muertes por Edad F'!D102/'Población por Edad F'!D102*1000</f>
        <v>44.339119911568019</v>
      </c>
      <c r="D81" s="55">
        <f>+'Muertes por Edad F'!E102/'Población por Edad F'!E102*1000</f>
        <v>40.983453005106398</v>
      </c>
      <c r="E81" s="55">
        <f>+'Muertes por Edad F'!F102/'Población por Edad F'!F102*1000</f>
        <v>41.344432609549237</v>
      </c>
      <c r="F81" s="55">
        <f>+'Muertes por Edad F'!G102/'Población por Edad F'!G102*1000</f>
        <v>41.945045454251691</v>
      </c>
      <c r="G81" s="55">
        <f>+'Muertes por Edad F'!H102/'Población por Edad F'!H102*1000</f>
        <v>38.548853006340117</v>
      </c>
      <c r="H81" s="55">
        <f>+'Muertes por Edad F'!I102/'Población por Edad F'!I102*1000</f>
        <v>39.969199316880783</v>
      </c>
      <c r="I81" s="55">
        <f>+'Muertes por Edad F'!J102/'Población por Edad F'!J102*1000</f>
        <v>38.849286082336143</v>
      </c>
      <c r="J81" s="55">
        <f>+'Muertes por Edad F'!K102/'Población por Edad F'!K102*1000</f>
        <v>40.863945319335748</v>
      </c>
      <c r="K81" s="55">
        <f>+'Muertes por Edad F'!L102/'Población por Edad F'!L102*1000</f>
        <v>39.235628688842837</v>
      </c>
      <c r="L81" s="55">
        <f>+'Muertes por Edad F'!M102/'Población por Edad F'!M102*1000</f>
        <v>38.857102698043079</v>
      </c>
      <c r="M81" s="55">
        <f>+'Muertes por Edad F'!N102/'Población por Edad F'!N102*1000</f>
        <v>36.340236800433203</v>
      </c>
      <c r="N81" s="55">
        <f>+'Muertes por Edad F'!O102/'Población por Edad F'!O102*1000</f>
        <v>36.729988382605178</v>
      </c>
      <c r="O81" s="55">
        <f>+'Muertes por Edad F'!P102/'Población por Edad F'!P102*1000</f>
        <v>36.387789259170695</v>
      </c>
      <c r="P81" s="55">
        <f>+'Muertes por Edad F'!Q102/'Población por Edad F'!Q102*1000</f>
        <v>34.592147253896165</v>
      </c>
      <c r="Q81" s="55">
        <f>+'Muertes por Edad F'!R102/'Población por Edad F'!R102*1000</f>
        <v>34.9253373905633</v>
      </c>
      <c r="R81" s="55">
        <f>+'Muertes por Edad F'!S102/'Población por Edad F'!S102*1000</f>
        <v>35.60973506616596</v>
      </c>
      <c r="S81" s="72">
        <v>79</v>
      </c>
      <c r="T81" s="55">
        <v>3.8548853006340117E-2</v>
      </c>
      <c r="U81" s="81">
        <f t="shared" si="2"/>
        <v>4.3388521800000031E-2</v>
      </c>
    </row>
    <row r="82" spans="1:21">
      <c r="S82" s="72">
        <v>80</v>
      </c>
      <c r="U82" s="81">
        <f t="shared" si="2"/>
        <v>4.6417731599999998E-2</v>
      </c>
    </row>
    <row r="83" spans="1:21">
      <c r="S83" s="72">
        <v>81</v>
      </c>
      <c r="U83" s="81">
        <f t="shared" si="2"/>
        <v>4.9607972800000011E-2</v>
      </c>
    </row>
    <row r="84" spans="1:21">
      <c r="S84" s="72">
        <v>82</v>
      </c>
      <c r="U84" s="81">
        <f t="shared" si="2"/>
        <v>5.2964874599999989E-2</v>
      </c>
    </row>
    <row r="85" spans="1:21">
      <c r="S85" s="72">
        <v>83</v>
      </c>
      <c r="U85" s="81">
        <f t="shared" si="2"/>
        <v>5.6494162199999996E-2</v>
      </c>
    </row>
    <row r="86" spans="1:21">
      <c r="S86" s="72">
        <v>84</v>
      </c>
      <c r="U86" s="81">
        <f t="shared" si="2"/>
        <v>6.0201656799999989E-2</v>
      </c>
    </row>
    <row r="87" spans="1:21">
      <c r="S87" s="72">
        <v>85</v>
      </c>
      <c r="U87" s="81">
        <f t="shared" si="2"/>
        <v>6.4093275599999985E-2</v>
      </c>
    </row>
    <row r="88" spans="1:21">
      <c r="S88" s="72">
        <v>86</v>
      </c>
      <c r="U88" s="81">
        <f t="shared" si="2"/>
        <v>6.8175031800000008E-2</v>
      </c>
    </row>
    <row r="89" spans="1:21">
      <c r="S89" s="72">
        <v>87</v>
      </c>
      <c r="U89" s="81">
        <f t="shared" si="2"/>
        <v>7.2453034600000008E-2</v>
      </c>
    </row>
    <row r="90" spans="1:21">
      <c r="S90" s="72">
        <v>88</v>
      </c>
      <c r="U90" s="81">
        <f t="shared" si="2"/>
        <v>7.693348920000001E-2</v>
      </c>
    </row>
    <row r="91" spans="1:21">
      <c r="S91" s="72">
        <v>89</v>
      </c>
      <c r="U91" s="81">
        <f t="shared" si="2"/>
        <v>8.1622696799999991E-2</v>
      </c>
    </row>
    <row r="92" spans="1:21">
      <c r="S92" s="72">
        <v>90</v>
      </c>
      <c r="U92" s="81">
        <f t="shared" si="2"/>
        <v>8.65270546E-2</v>
      </c>
    </row>
    <row r="93" spans="1:21">
      <c r="S93" s="72">
        <v>91</v>
      </c>
      <c r="U93" s="81">
        <f t="shared" si="2"/>
        <v>9.1653055800000036E-2</v>
      </c>
    </row>
    <row r="94" spans="1:21">
      <c r="S94" s="72">
        <v>92</v>
      </c>
      <c r="U94" s="81">
        <f t="shared" si="2"/>
        <v>9.7007289599999991E-2</v>
      </c>
    </row>
    <row r="95" spans="1:21">
      <c r="S95" s="72">
        <v>93</v>
      </c>
      <c r="U95" s="81">
        <f t="shared" si="2"/>
        <v>0.1025964412</v>
      </c>
    </row>
    <row r="96" spans="1:21">
      <c r="S96" s="72">
        <v>94</v>
      </c>
      <c r="U96" s="81">
        <f t="shared" si="2"/>
        <v>0.10842729180000001</v>
      </c>
    </row>
    <row r="97" spans="19:21">
      <c r="S97" s="72">
        <v>95</v>
      </c>
      <c r="U97" s="81">
        <f t="shared" si="2"/>
        <v>0.11450671859999996</v>
      </c>
    </row>
    <row r="98" spans="19:21">
      <c r="S98" s="72">
        <v>96</v>
      </c>
      <c r="U98" s="81">
        <f t="shared" si="2"/>
        <v>0.12084169480000001</v>
      </c>
    </row>
    <row r="99" spans="19:21">
      <c r="S99" s="72">
        <v>97</v>
      </c>
      <c r="U99" s="81">
        <f t="shared" si="2"/>
        <v>0.12743928960000001</v>
      </c>
    </row>
    <row r="100" spans="19:21">
      <c r="S100" s="72">
        <v>98</v>
      </c>
      <c r="U100" s="81">
        <f t="shared" si="2"/>
        <v>0.13430666819999998</v>
      </c>
    </row>
    <row r="101" spans="19:21">
      <c r="S101" s="72">
        <v>99</v>
      </c>
      <c r="U101" s="81">
        <f t="shared" si="2"/>
        <v>0.14145109180000001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tabColor rgb="FF00B0F0"/>
  </sheetPr>
  <dimension ref="A1:AF125"/>
  <sheetViews>
    <sheetView workbookViewId="0">
      <pane xSplit="2" ySplit="4" topLeftCell="C18" activePane="bottomRight" state="frozen"/>
      <selection pane="topRight" activeCell="C1" sqref="C1"/>
      <selection pane="bottomLeft" activeCell="A5" sqref="A5"/>
      <selection pane="bottomRight" activeCell="G24" sqref="A22:G24"/>
    </sheetView>
  </sheetViews>
  <sheetFormatPr baseColWidth="10" defaultRowHeight="15"/>
  <cols>
    <col min="1" max="1" width="4" customWidth="1"/>
    <col min="2" max="2" width="11.85546875" style="75" customWidth="1"/>
    <col min="3" max="3" width="9.7109375" bestFit="1" customWidth="1"/>
    <col min="4" max="4" width="13" bestFit="1" customWidth="1"/>
    <col min="5" max="5" width="8.5703125" bestFit="1" customWidth="1"/>
    <col min="6" max="6" width="10.85546875" bestFit="1" customWidth="1"/>
    <col min="7" max="7" width="8" style="97" bestFit="1" customWidth="1"/>
    <col min="8" max="8" width="10.85546875" style="97" customWidth="1"/>
    <col min="9" max="9" width="8.5703125" style="97" bestFit="1" customWidth="1"/>
    <col min="10" max="10" width="10.85546875" style="97" bestFit="1" customWidth="1"/>
    <col min="11" max="11" width="8" style="97" bestFit="1" customWidth="1"/>
    <col min="12" max="12" width="10.85546875" style="97" bestFit="1" customWidth="1"/>
    <col min="13" max="13" width="8.5703125" style="97" bestFit="1" customWidth="1"/>
    <col min="14" max="14" width="10.85546875" style="97" bestFit="1" customWidth="1"/>
    <col min="15" max="15" width="8.5703125" style="97" bestFit="1" customWidth="1"/>
    <col min="16" max="16" width="10.85546875" style="97" bestFit="1" customWidth="1"/>
    <col min="17" max="17" width="9" style="97" bestFit="1" customWidth="1"/>
    <col min="18" max="18" width="10.85546875" style="97" bestFit="1" customWidth="1"/>
    <col min="19" max="19" width="8" style="98" bestFit="1" customWidth="1"/>
    <col min="20" max="20" width="32.7109375" style="98" customWidth="1"/>
    <col min="21" max="21" width="8" style="98" bestFit="1" customWidth="1"/>
    <col min="22" max="22" width="20" style="98" customWidth="1"/>
    <col min="23" max="23" width="8" style="99" bestFit="1" customWidth="1"/>
    <col min="24" max="24" width="24" style="97" customWidth="1"/>
    <col min="25" max="25" width="9" style="97" bestFit="1" customWidth="1"/>
    <col min="26" max="26" width="10.85546875" style="97" bestFit="1" customWidth="1"/>
    <col min="27" max="27" width="11" style="97" bestFit="1" customWidth="1"/>
    <col min="28" max="28" width="21.5703125" customWidth="1"/>
    <col min="29" max="29" width="9" bestFit="1" customWidth="1"/>
    <col min="30" max="30" width="10.85546875" bestFit="1" customWidth="1"/>
    <col min="31" max="31" width="8" bestFit="1" customWidth="1"/>
    <col min="32" max="32" width="26.7109375" customWidth="1"/>
  </cols>
  <sheetData>
    <row r="1" spans="1:32">
      <c r="B1" s="75" t="s">
        <v>149</v>
      </c>
    </row>
    <row r="2" spans="1:32" ht="90.75" thickBot="1">
      <c r="D2" s="68" t="s">
        <v>126</v>
      </c>
      <c r="F2" s="71" t="s">
        <v>99</v>
      </c>
      <c r="H2" s="109" t="s">
        <v>133</v>
      </c>
      <c r="J2" s="71" t="s">
        <v>130</v>
      </c>
      <c r="L2" s="100" t="s">
        <v>127</v>
      </c>
      <c r="N2" s="71" t="s">
        <v>100</v>
      </c>
      <c r="P2" s="71" t="s">
        <v>104</v>
      </c>
      <c r="R2" s="100" t="s">
        <v>103</v>
      </c>
      <c r="T2" s="100" t="s">
        <v>105</v>
      </c>
      <c r="V2" s="100" t="s">
        <v>145</v>
      </c>
      <c r="X2" s="101" t="s">
        <v>128</v>
      </c>
      <c r="Z2" s="101" t="s">
        <v>129</v>
      </c>
      <c r="AB2" s="101" t="s">
        <v>131</v>
      </c>
      <c r="AD2" s="101" t="s">
        <v>132</v>
      </c>
      <c r="AF2" s="101" t="s">
        <v>134</v>
      </c>
    </row>
    <row r="3" spans="1:32" s="68" customFormat="1" ht="15.75" thickBot="1">
      <c r="B3" s="76" t="s">
        <v>101</v>
      </c>
      <c r="D3" s="68">
        <f>+SUM(D25:D84)</f>
        <v>1.263697369724712E-3</v>
      </c>
      <c r="F3" s="68">
        <f>+SUM(F25:F84)</f>
        <v>2.7012679623234222E-2</v>
      </c>
      <c r="G3" s="60"/>
      <c r="H3" s="68">
        <f>+SUM(H25:H84)</f>
        <v>6.0844375517271248E-3</v>
      </c>
      <c r="I3" s="71"/>
      <c r="J3" s="68">
        <f>+SUM(J25:J84)</f>
        <v>6.1006619735446454E-3</v>
      </c>
      <c r="K3" s="100"/>
      <c r="L3" s="68">
        <f>+SUM(L25:L84)</f>
        <v>1.237447136113953E-3</v>
      </c>
      <c r="M3" s="71"/>
      <c r="N3" s="68">
        <f>+SUM(N25:N84)</f>
        <v>3.3311606814071366E-2</v>
      </c>
      <c r="O3" s="71"/>
      <c r="P3" s="68">
        <f>+SUM(P25:P84)</f>
        <v>8.9574124597353974E-4</v>
      </c>
      <c r="Q3" s="100"/>
      <c r="R3" s="68">
        <f>+SUM(R25:R84)</f>
        <v>6.0386573028408767E-2</v>
      </c>
      <c r="S3" s="100"/>
      <c r="T3" s="68">
        <f>+SUM(T25:T84)</f>
        <v>1.9717056798252727E-3</v>
      </c>
      <c r="U3" s="100"/>
      <c r="V3" s="68">
        <f>+SUM(V25:V84)</f>
        <v>1.9111575915223733E-3</v>
      </c>
      <c r="W3" s="101"/>
      <c r="X3" s="68">
        <f>+SUM(X25:X84)</f>
        <v>2.1019035450251162E-3</v>
      </c>
      <c r="Y3" s="101"/>
      <c r="Z3" s="68">
        <f>+SUM(Z25:Z84)</f>
        <v>1.0513441829325015E-3</v>
      </c>
      <c r="AA3" s="101"/>
      <c r="AB3" s="68">
        <f>+SUM(AB25:AB84)</f>
        <v>1.6257781100287058E-3</v>
      </c>
      <c r="AC3" s="101"/>
      <c r="AD3" s="68">
        <f>+SUM(AD25:AD84)</f>
        <v>3.4517811157993928E-3</v>
      </c>
      <c r="AF3" s="68">
        <f>+SUM(AF25:AF84)</f>
        <v>2.400821788157629E-3</v>
      </c>
    </row>
    <row r="4" spans="1:32">
      <c r="A4" s="59" t="s">
        <v>97</v>
      </c>
      <c r="B4" s="77"/>
      <c r="C4" s="82" t="s">
        <v>124</v>
      </c>
      <c r="D4" s="60"/>
      <c r="E4" s="66" t="s">
        <v>98</v>
      </c>
      <c r="G4" s="93"/>
      <c r="H4" s="93"/>
      <c r="I4" s="66" t="s">
        <v>98</v>
      </c>
      <c r="J4" s="60"/>
      <c r="K4" s="93"/>
      <c r="L4" s="60"/>
      <c r="M4" s="66" t="s">
        <v>98</v>
      </c>
      <c r="N4" s="60"/>
      <c r="O4" s="66" t="s">
        <v>98</v>
      </c>
      <c r="P4" s="60"/>
      <c r="Q4" s="66" t="s">
        <v>98</v>
      </c>
      <c r="R4" s="60"/>
      <c r="S4" s="94" t="s">
        <v>98</v>
      </c>
      <c r="T4" s="60"/>
      <c r="V4" s="60"/>
    </row>
    <row r="5" spans="1:32">
      <c r="A5" s="61">
        <v>0</v>
      </c>
      <c r="B5" s="78">
        <f>+QxM!U2/1000</f>
        <v>2.1952421122057916E-2</v>
      </c>
      <c r="D5" s="62"/>
      <c r="E5" s="67">
        <v>2.2579999999999999E-2</v>
      </c>
      <c r="F5" s="62"/>
      <c r="G5" s="97">
        <v>6.3299999999999997E-3</v>
      </c>
      <c r="H5" s="96"/>
      <c r="I5" s="102">
        <v>4.1799999999999997E-3</v>
      </c>
      <c r="J5" s="62"/>
      <c r="K5" s="97">
        <v>7.1999999999999994E-4</v>
      </c>
      <c r="L5" s="62"/>
      <c r="M5" s="102">
        <v>0</v>
      </c>
      <c r="N5" s="62"/>
      <c r="O5" s="102">
        <v>6.9899999999999997E-3</v>
      </c>
      <c r="P5" s="62"/>
      <c r="Q5" s="97">
        <v>4.0980000000000003E-2</v>
      </c>
      <c r="R5" s="62"/>
      <c r="S5" s="98">
        <v>4.8000000000000001E-4</v>
      </c>
      <c r="T5" s="95"/>
      <c r="U5" s="98">
        <v>1.08E-3</v>
      </c>
      <c r="V5" s="95"/>
      <c r="W5" s="97">
        <v>2.7399999999999998E-3</v>
      </c>
      <c r="Y5" s="97">
        <v>1.1327E-2</v>
      </c>
      <c r="AA5" s="97">
        <v>1.48481E-3</v>
      </c>
      <c r="AC5">
        <v>1.2964E-2</v>
      </c>
      <c r="AE5">
        <v>8.1499999999999993E-3</v>
      </c>
    </row>
    <row r="6" spans="1:32">
      <c r="A6" s="61">
        <v>1</v>
      </c>
      <c r="B6" s="78">
        <f>+QxM!U3/1000</f>
        <v>2.4866412589535751E-3</v>
      </c>
      <c r="D6" s="62"/>
      <c r="E6" s="67">
        <v>5.77E-3</v>
      </c>
      <c r="F6" s="62">
        <f>+(E6-$B6)^2</f>
        <v>1.0780444622405964E-5</v>
      </c>
      <c r="G6" s="97">
        <v>1E-3</v>
      </c>
      <c r="H6" s="62">
        <f t="shared" ref="H6:H69" si="0">+(G6-$B6)^2</f>
        <v>2.2101022328230707E-6</v>
      </c>
      <c r="I6" s="102">
        <v>1.07E-3</v>
      </c>
      <c r="J6" s="62">
        <f>+(I6-$B6)^2</f>
        <v>2.0068724565695702E-6</v>
      </c>
      <c r="K6" s="97">
        <v>4.6000000000000001E-4</v>
      </c>
      <c r="L6" s="62">
        <f>+(K6-$B6)^2</f>
        <v>4.1072747924929322E-6</v>
      </c>
      <c r="M6" s="102">
        <v>0</v>
      </c>
      <c r="N6" s="62">
        <f>+(M6-$B6)^2</f>
        <v>6.1833847507302211E-6</v>
      </c>
      <c r="O6" s="102">
        <v>4.4700000000000002E-4</v>
      </c>
      <c r="P6" s="62">
        <f>+(O6-$B6)^2</f>
        <v>4.1601364652257248E-6</v>
      </c>
      <c r="Q6" s="97">
        <v>2.8872999999999999E-2</v>
      </c>
      <c r="R6" s="62">
        <f>+(Q6-$B6)^2</f>
        <v>6.9623992761119703E-4</v>
      </c>
      <c r="S6" s="98">
        <v>4.0000000000000002E-4</v>
      </c>
      <c r="T6" s="95">
        <f>+(S6-$B6)^2</f>
        <v>4.3540717435673605E-6</v>
      </c>
      <c r="U6" s="98">
        <v>7.5000000000000002E-4</v>
      </c>
      <c r="V6" s="95">
        <f>+(U6-$B6)^2</f>
        <v>3.0159228622998581E-6</v>
      </c>
      <c r="W6" s="97">
        <v>9.5E-4</v>
      </c>
      <c r="X6" s="95">
        <f>+(W6-$B6)^2</f>
        <v>2.3612663587184287E-6</v>
      </c>
      <c r="Y6" s="97">
        <v>5.9999999999999995E-4</v>
      </c>
      <c r="Z6" s="95">
        <f>+(Y6-$B6)^2</f>
        <v>3.5594152399859316E-6</v>
      </c>
      <c r="AA6" s="97">
        <v>1.4853500000000001E-3</v>
      </c>
      <c r="AB6" s="95">
        <f t="shared" ref="AB6:AF69" si="1">+(AA6-$B6)^2</f>
        <v>1.0025841852568353E-6</v>
      </c>
      <c r="AC6">
        <v>1.011E-3</v>
      </c>
      <c r="AD6" s="95">
        <f t="shared" si="1"/>
        <v>2.1775171251260924E-6</v>
      </c>
      <c r="AE6">
        <v>6.4999999999999997E-4</v>
      </c>
      <c r="AF6" s="95">
        <f t="shared" si="1"/>
        <v>3.3732511140905735E-6</v>
      </c>
    </row>
    <row r="7" spans="1:32">
      <c r="A7" s="61">
        <v>2</v>
      </c>
      <c r="B7" s="78">
        <f>+QxM!U4/1000</f>
        <v>1.0632966757924758E-3</v>
      </c>
      <c r="D7" s="62"/>
      <c r="E7" s="67">
        <v>4.1399999999999996E-3</v>
      </c>
      <c r="F7" s="62">
        <f t="shared" ref="F7:F70" si="2">+(E7-$B7)^2</f>
        <v>9.4661033451896266E-6</v>
      </c>
      <c r="G7" s="97">
        <v>7.5000000000000002E-4</v>
      </c>
      <c r="H7" s="62">
        <f t="shared" si="0"/>
        <v>9.8154807062615702E-8</v>
      </c>
      <c r="I7" s="102">
        <v>9.8999999999999999E-4</v>
      </c>
      <c r="J7" s="62">
        <f t="shared" ref="J7" si="3">+(I7-$B7)^2</f>
        <v>5.3724026822273134E-9</v>
      </c>
      <c r="K7" s="97">
        <v>3.3E-4</v>
      </c>
      <c r="L7" s="62">
        <f t="shared" ref="L7:L22" si="4">+(K7-$B7)^2</f>
        <v>5.3772401472829537E-7</v>
      </c>
      <c r="M7" s="102">
        <v>0</v>
      </c>
      <c r="N7" s="62">
        <f t="shared" ref="N7:V7" si="5">+(M7-$B7)^2</f>
        <v>1.1305998207513295E-6</v>
      </c>
      <c r="O7" s="102">
        <v>3.01E-4</v>
      </c>
      <c r="P7" s="62">
        <f t="shared" si="5"/>
        <v>5.8109622192425894E-7</v>
      </c>
      <c r="Q7" s="97">
        <v>1.9359000000000001E-2</v>
      </c>
      <c r="R7" s="62">
        <f t="shared" si="5"/>
        <v>3.3473276012741828E-4</v>
      </c>
      <c r="S7" s="98">
        <v>3.8000000000000002E-4</v>
      </c>
      <c r="T7" s="95">
        <f t="shared" si="5"/>
        <v>4.668943471490478E-7</v>
      </c>
      <c r="U7" s="98">
        <v>4.8999999999999998E-4</v>
      </c>
      <c r="V7" s="95">
        <f t="shared" si="5"/>
        <v>3.2866907847470319E-7</v>
      </c>
      <c r="W7" s="97">
        <v>4.8000000000000001E-4</v>
      </c>
      <c r="X7" s="95">
        <f t="shared" ref="X7:X70" si="6">+(W7-$B7)^2</f>
        <v>3.4023501199055272E-7</v>
      </c>
      <c r="Y7" s="97">
        <v>5.4000000000000001E-4</v>
      </c>
      <c r="Z7" s="95">
        <f t="shared" ref="Z7:Z70" si="7">+(Y7-$B7)^2</f>
        <v>2.7383941089545554E-7</v>
      </c>
      <c r="AA7" s="97">
        <v>1.4859700000000001E-3</v>
      </c>
      <c r="AB7" s="95">
        <f t="shared" si="1"/>
        <v>1.786527389966389E-7</v>
      </c>
      <c r="AC7">
        <v>7.0399999999999998E-4</v>
      </c>
      <c r="AD7" s="95">
        <f t="shared" si="1"/>
        <v>1.2909410123552349E-7</v>
      </c>
      <c r="AE7">
        <v>3.8000000000000002E-4</v>
      </c>
      <c r="AF7" s="95">
        <f t="shared" si="1"/>
        <v>4.668943471490478E-7</v>
      </c>
    </row>
    <row r="8" spans="1:32">
      <c r="A8" s="63">
        <v>3</v>
      </c>
      <c r="B8" s="78">
        <f>+QxM!U5/1000</f>
        <v>6.8029436577970537E-4</v>
      </c>
      <c r="D8" s="62"/>
      <c r="E8" s="67">
        <v>3.3800000000000002E-3</v>
      </c>
      <c r="F8" s="62">
        <f t="shared" si="2"/>
        <v>7.2884105114408045E-6</v>
      </c>
      <c r="G8" s="97">
        <v>6.8000000000000005E-4</v>
      </c>
      <c r="H8" s="62">
        <f t="shared" si="0"/>
        <v>8.6651212261520881E-14</v>
      </c>
      <c r="I8" s="102">
        <v>9.7999999999999997E-4</v>
      </c>
      <c r="J8" s="62">
        <f t="shared" ref="J8" si="8">+(I8-$B8)^2</f>
        <v>8.9823467183389022E-8</v>
      </c>
      <c r="K8" s="97">
        <v>2.3999999999999998E-4</v>
      </c>
      <c r="L8" s="62">
        <f t="shared" si="4"/>
        <v>1.9385912853735299E-7</v>
      </c>
      <c r="M8" s="102">
        <v>0</v>
      </c>
      <c r="N8" s="62">
        <f t="shared" ref="N8:V8" si="9">+(M8-$B8)^2</f>
        <v>4.6280042411161156E-7</v>
      </c>
      <c r="O8" s="102">
        <v>2.33E-4</v>
      </c>
      <c r="P8" s="62">
        <f t="shared" si="9"/>
        <v>2.0007224965826885E-7</v>
      </c>
      <c r="Q8" s="97">
        <v>1.1989E-2</v>
      </c>
      <c r="R8" s="62">
        <f t="shared" si="9"/>
        <v>1.2788682312144583E-4</v>
      </c>
      <c r="S8" s="98">
        <v>3.6999999999999999E-4</v>
      </c>
      <c r="T8" s="95">
        <f t="shared" si="9"/>
        <v>9.6282593434629594E-8</v>
      </c>
      <c r="U8" s="98">
        <v>3.1E-4</v>
      </c>
      <c r="V8" s="95">
        <f t="shared" si="9"/>
        <v>1.3711791732819423E-7</v>
      </c>
      <c r="W8" s="97">
        <v>2.9999999999999997E-4</v>
      </c>
      <c r="X8" s="95">
        <f t="shared" si="6"/>
        <v>1.4462380464378836E-7</v>
      </c>
      <c r="Y8" s="97">
        <v>4.8999999999999998E-4</v>
      </c>
      <c r="Z8" s="95">
        <f t="shared" si="7"/>
        <v>3.6211945647500307E-8</v>
      </c>
      <c r="AA8" s="97">
        <v>1.48668E-3</v>
      </c>
      <c r="AB8" s="95">
        <f t="shared" si="1"/>
        <v>6.5025779107686679E-7</v>
      </c>
      <c r="AC8">
        <v>5.5000000000000003E-4</v>
      </c>
      <c r="AD8" s="95">
        <f t="shared" si="1"/>
        <v>1.6976621753935647E-8</v>
      </c>
      <c r="AE8">
        <v>2.9999999999999997E-4</v>
      </c>
      <c r="AF8" s="95">
        <f t="shared" si="1"/>
        <v>1.4462380464378836E-7</v>
      </c>
    </row>
    <row r="9" spans="1:32">
      <c r="A9" s="63">
        <v>4</v>
      </c>
      <c r="B9" s="78">
        <f>+QxM!U6/1000</f>
        <v>5.424818617848924E-4</v>
      </c>
      <c r="D9" s="62"/>
      <c r="E9" s="67">
        <v>2.99E-3</v>
      </c>
      <c r="F9" s="62">
        <f t="shared" si="2"/>
        <v>5.9903450368919481E-6</v>
      </c>
      <c r="G9" s="97">
        <v>6.0999999999999997E-4</v>
      </c>
      <c r="H9" s="62">
        <f t="shared" si="0"/>
        <v>4.5586989880343697E-9</v>
      </c>
      <c r="I9" s="102">
        <v>9.5E-4</v>
      </c>
      <c r="J9" s="62">
        <f t="shared" ref="J9" si="10">+(I9-$B9)^2</f>
        <v>1.6607103297430755E-7</v>
      </c>
      <c r="K9" s="97">
        <v>2.0999999999999998E-4</v>
      </c>
      <c r="L9" s="62">
        <f t="shared" si="4"/>
        <v>1.1054418841594829E-7</v>
      </c>
      <c r="M9" s="102">
        <v>0</v>
      </c>
      <c r="N9" s="62">
        <f t="shared" ref="N9:V9" si="11">+(M9-$B9)^2</f>
        <v>2.9428657036560311E-7</v>
      </c>
      <c r="O9" s="102">
        <v>1.7699999999999999E-4</v>
      </c>
      <c r="P9" s="62">
        <f t="shared" si="11"/>
        <v>1.3357699129375121E-7</v>
      </c>
      <c r="Q9" s="97">
        <v>6.417E-3</v>
      </c>
      <c r="R9" s="62">
        <f t="shared" si="11"/>
        <v>3.4509963356218288E-5</v>
      </c>
      <c r="S9" s="98">
        <v>3.6000000000000002E-4</v>
      </c>
      <c r="T9" s="95">
        <f t="shared" si="11"/>
        <v>3.3299629880480569E-8</v>
      </c>
      <c r="U9" s="98">
        <v>2.1000000000000001E-4</v>
      </c>
      <c r="V9" s="95">
        <f t="shared" si="11"/>
        <v>1.1054418841594829E-7</v>
      </c>
      <c r="W9" s="97">
        <v>2.2000000000000001E-4</v>
      </c>
      <c r="X9" s="95">
        <f t="shared" si="6"/>
        <v>1.0399455118025042E-7</v>
      </c>
      <c r="Y9" s="97">
        <v>4.6000000000000001E-4</v>
      </c>
      <c r="Z9" s="95">
        <f t="shared" si="7"/>
        <v>6.8032575235020913E-9</v>
      </c>
      <c r="AA9" s="97">
        <v>1.4874899999999999E-3</v>
      </c>
      <c r="AB9" s="95">
        <f t="shared" si="1"/>
        <v>8.9304038129278383E-7</v>
      </c>
      <c r="AC9">
        <v>4.44E-4</v>
      </c>
      <c r="AD9" s="95">
        <f t="shared" si="1"/>
        <v>9.6986771006186494E-9</v>
      </c>
      <c r="AE9">
        <v>2.5000000000000001E-4</v>
      </c>
      <c r="AF9" s="95">
        <f t="shared" si="1"/>
        <v>8.5545639473156897E-8</v>
      </c>
    </row>
    <row r="10" spans="1:32">
      <c r="A10" s="63">
        <v>5</v>
      </c>
      <c r="B10" s="78">
        <f>+QxM!U7/1000</f>
        <v>6.0356621452454422E-4</v>
      </c>
      <c r="D10" s="62"/>
      <c r="E10" s="67">
        <v>2.7599999999999999E-3</v>
      </c>
      <c r="F10" s="62">
        <f t="shared" si="2"/>
        <v>4.6502066711400037E-6</v>
      </c>
      <c r="G10" s="97">
        <v>5.5000000000000003E-4</v>
      </c>
      <c r="H10" s="62">
        <f t="shared" si="0"/>
        <v>2.8693393384894887E-9</v>
      </c>
      <c r="I10" s="102">
        <v>8.9999999999999998E-4</v>
      </c>
      <c r="J10" s="62">
        <f t="shared" ref="J10" si="12">+(I10-$B10)^2</f>
        <v>8.7872989171308518E-8</v>
      </c>
      <c r="K10" s="97">
        <v>2.2000000000000001E-4</v>
      </c>
      <c r="L10" s="62">
        <f t="shared" si="4"/>
        <v>1.4712304092468866E-7</v>
      </c>
      <c r="M10" s="102">
        <v>0</v>
      </c>
      <c r="N10" s="62">
        <f t="shared" ref="N10:V10" si="13">+(M10-$B10)^2</f>
        <v>3.6429217531548816E-7</v>
      </c>
      <c r="O10" s="102">
        <v>1.6100000000000001E-4</v>
      </c>
      <c r="P10" s="62">
        <f t="shared" si="13"/>
        <v>1.958648542385849E-7</v>
      </c>
      <c r="Q10" s="97">
        <v>5.2420000000000001E-3</v>
      </c>
      <c r="R10" s="62">
        <f t="shared" si="13"/>
        <v>2.1515067982240171E-5</v>
      </c>
      <c r="S10" s="98">
        <v>3.5E-4</v>
      </c>
      <c r="T10" s="95">
        <f t="shared" si="13"/>
        <v>6.429582514830718E-8</v>
      </c>
      <c r="U10" s="98">
        <v>1.7000000000000001E-4</v>
      </c>
      <c r="V10" s="95">
        <f t="shared" si="13"/>
        <v>1.879796623771431E-7</v>
      </c>
      <c r="W10" s="97">
        <v>1.8000000000000001E-4</v>
      </c>
      <c r="X10" s="95">
        <f t="shared" si="6"/>
        <v>1.7940833808665218E-7</v>
      </c>
      <c r="Y10" s="97">
        <v>4.2999999999999999E-4</v>
      </c>
      <c r="Z10" s="95">
        <f t="shared" si="7"/>
        <v>3.012523082438011E-8</v>
      </c>
      <c r="AA10" s="97">
        <v>1.4884099999999999E-3</v>
      </c>
      <c r="AB10" s="95">
        <f t="shared" si="1"/>
        <v>7.8294852469453419E-7</v>
      </c>
      <c r="AC10">
        <v>3.77E-4</v>
      </c>
      <c r="AD10" s="95">
        <f t="shared" si="1"/>
        <v>5.133224956398179E-8</v>
      </c>
      <c r="AE10">
        <v>2.2000000000000001E-4</v>
      </c>
      <c r="AF10" s="95">
        <f t="shared" si="1"/>
        <v>1.4712304092468866E-7</v>
      </c>
    </row>
    <row r="11" spans="1:32">
      <c r="A11" s="63">
        <v>6</v>
      </c>
      <c r="B11" s="78">
        <f>+QxM!U8/1000</f>
        <v>6.4111874850501121E-4</v>
      </c>
      <c r="D11" s="62"/>
      <c r="E11" s="67">
        <v>2.6099999999999999E-3</v>
      </c>
      <c r="F11" s="62">
        <f t="shared" si="2"/>
        <v>3.876493382488472E-6</v>
      </c>
      <c r="G11" s="97">
        <v>4.8999999999999998E-4</v>
      </c>
      <c r="H11" s="62">
        <f t="shared" si="0"/>
        <v>2.2836876149720834E-8</v>
      </c>
      <c r="I11" s="102">
        <v>8.5999999999999998E-4</v>
      </c>
      <c r="J11" s="62">
        <f t="shared" ref="J11" si="14">+(I11-$B11)^2</f>
        <v>4.7909002256012522E-8</v>
      </c>
      <c r="K11" s="97">
        <v>2.2000000000000001E-4</v>
      </c>
      <c r="L11" s="62">
        <f t="shared" si="4"/>
        <v>1.7734100034242686E-7</v>
      </c>
      <c r="M11" s="102">
        <v>0</v>
      </c>
      <c r="N11" s="62">
        <f t="shared" ref="N11:V11" si="15">+(M11-$B11)^2</f>
        <v>4.1103324968463183E-7</v>
      </c>
      <c r="O11" s="102">
        <v>1.4999999999999999E-4</v>
      </c>
      <c r="P11" s="62">
        <f t="shared" si="15"/>
        <v>2.4119762513312852E-7</v>
      </c>
      <c r="Q11" s="97">
        <v>4.2940000000000001E-3</v>
      </c>
      <c r="R11" s="62">
        <f t="shared" si="15"/>
        <v>1.3343541437523597E-5</v>
      </c>
      <c r="S11" s="98">
        <v>3.5E-4</v>
      </c>
      <c r="T11" s="95">
        <f t="shared" si="15"/>
        <v>8.4750125731123971E-8</v>
      </c>
      <c r="U11" s="98">
        <v>1.6000000000000001E-4</v>
      </c>
      <c r="V11" s="95">
        <f t="shared" si="15"/>
        <v>2.3147525016302825E-7</v>
      </c>
      <c r="W11" s="97">
        <v>1.6000000000000001E-4</v>
      </c>
      <c r="X11" s="95">
        <f t="shared" si="6"/>
        <v>2.3147525016302825E-7</v>
      </c>
      <c r="Y11" s="97">
        <v>4.0999999999999999E-4</v>
      </c>
      <c r="Z11" s="95">
        <f t="shared" si="7"/>
        <v>5.3415875910522623E-8</v>
      </c>
      <c r="AA11" s="97">
        <v>1.4894699999999999E-3</v>
      </c>
      <c r="AB11" s="95">
        <f t="shared" si="1"/>
        <v>7.1969984591311352E-7</v>
      </c>
      <c r="AC11">
        <v>3.4000000000000002E-4</v>
      </c>
      <c r="AD11" s="95">
        <f t="shared" si="1"/>
        <v>9.0672500701224173E-8</v>
      </c>
      <c r="AE11">
        <v>2.0000000000000001E-4</v>
      </c>
      <c r="AF11" s="95">
        <f t="shared" si="1"/>
        <v>1.9458575028262735E-7</v>
      </c>
    </row>
    <row r="12" spans="1:32">
      <c r="A12" s="63">
        <v>7</v>
      </c>
      <c r="B12" s="78">
        <f>+QxM!U9/1000</f>
        <v>6.8100771678948407E-4</v>
      </c>
      <c r="D12" s="62"/>
      <c r="E12" s="67">
        <v>2.47E-3</v>
      </c>
      <c r="F12" s="62">
        <f t="shared" si="2"/>
        <v>3.2004933893867749E-6</v>
      </c>
      <c r="G12" s="97">
        <v>4.4000000000000002E-4</v>
      </c>
      <c r="H12" s="62">
        <f t="shared" si="0"/>
        <v>5.8084719552080154E-8</v>
      </c>
      <c r="I12" s="102">
        <v>8.0000000000000004E-4</v>
      </c>
      <c r="J12" s="62">
        <f t="shared" ref="J12" si="16">+(I12-$B12)^2</f>
        <v>1.415916346365164E-8</v>
      </c>
      <c r="K12" s="97">
        <v>2.2000000000000001E-4</v>
      </c>
      <c r="L12" s="62">
        <f t="shared" si="4"/>
        <v>2.1252811493945311E-7</v>
      </c>
      <c r="M12" s="102">
        <v>0</v>
      </c>
      <c r="N12" s="62">
        <f t="shared" ref="N12:V12" si="17">+(M12-$B12)^2</f>
        <v>4.6377151032682613E-7</v>
      </c>
      <c r="O12" s="102">
        <v>1.3899999999999999E-4</v>
      </c>
      <c r="P12" s="62">
        <f t="shared" si="17"/>
        <v>2.9377236505934955E-7</v>
      </c>
      <c r="Q12" s="97">
        <v>3.5360000000000001E-3</v>
      </c>
      <c r="R12" s="62">
        <f t="shared" si="17"/>
        <v>8.1509809371915956E-6</v>
      </c>
      <c r="S12" s="98">
        <v>3.5E-4</v>
      </c>
      <c r="T12" s="95">
        <f t="shared" si="17"/>
        <v>1.095661085741873E-7</v>
      </c>
      <c r="U12" s="98">
        <v>1.6000000000000001E-4</v>
      </c>
      <c r="V12" s="95">
        <f t="shared" si="17"/>
        <v>2.7144904095419127E-7</v>
      </c>
      <c r="W12" s="97">
        <v>1.4999999999999999E-4</v>
      </c>
      <c r="X12" s="95">
        <f t="shared" si="6"/>
        <v>2.8196919528998096E-7</v>
      </c>
      <c r="Y12" s="97">
        <v>4.0000000000000002E-4</v>
      </c>
      <c r="Z12" s="95">
        <f t="shared" si="7"/>
        <v>7.8965336895238883E-8</v>
      </c>
      <c r="AA12" s="97">
        <v>1.4906699999999999E-3</v>
      </c>
      <c r="AB12" s="95">
        <f t="shared" si="1"/>
        <v>6.5555301285366557E-7</v>
      </c>
      <c r="AC12">
        <v>3.2400000000000001E-4</v>
      </c>
      <c r="AD12" s="95">
        <f t="shared" si="1"/>
        <v>1.2745450984724046E-7</v>
      </c>
      <c r="AE12">
        <v>1.8000000000000001E-4</v>
      </c>
      <c r="AF12" s="95">
        <f t="shared" si="1"/>
        <v>2.5100873228261183E-7</v>
      </c>
    </row>
    <row r="13" spans="1:32">
      <c r="A13" s="63">
        <v>8</v>
      </c>
      <c r="B13" s="78">
        <f>+QxM!U10/1000</f>
        <v>7.2337848707165222E-4</v>
      </c>
      <c r="D13" s="62"/>
      <c r="E13" s="67">
        <v>2.31E-3</v>
      </c>
      <c r="F13" s="62">
        <f t="shared" si="2"/>
        <v>2.517367825287039E-6</v>
      </c>
      <c r="G13" s="97">
        <v>4.0000000000000002E-4</v>
      </c>
      <c r="H13" s="62">
        <f t="shared" si="0"/>
        <v>1.0457364590075072E-7</v>
      </c>
      <c r="I13" s="102">
        <v>7.6000000000000004E-4</v>
      </c>
      <c r="J13" s="62">
        <f t="shared" ref="J13" si="18">+(I13-$B13)^2</f>
        <v>1.341135209161147E-9</v>
      </c>
      <c r="K13" s="97">
        <v>2.2000000000000001E-4</v>
      </c>
      <c r="L13" s="62">
        <f t="shared" si="4"/>
        <v>2.5338990124654549E-7</v>
      </c>
      <c r="M13" s="102">
        <v>0</v>
      </c>
      <c r="N13" s="62">
        <f t="shared" ref="N13:V13" si="19">+(M13-$B13)^2</f>
        <v>5.2327643555807252E-7</v>
      </c>
      <c r="O13" s="102">
        <v>1.2300000000000001E-4</v>
      </c>
      <c r="P13" s="62">
        <f t="shared" si="19"/>
        <v>3.6045432773844613E-7</v>
      </c>
      <c r="Q13" s="97">
        <v>2.983E-3</v>
      </c>
      <c r="R13" s="62">
        <f t="shared" si="19"/>
        <v>5.1058893816885946E-6</v>
      </c>
      <c r="S13" s="98">
        <v>3.4000000000000002E-4</v>
      </c>
      <c r="T13" s="95">
        <f t="shared" si="19"/>
        <v>1.4697906434934897E-7</v>
      </c>
      <c r="U13" s="98">
        <v>1.6000000000000001E-4</v>
      </c>
      <c r="V13" s="95">
        <f t="shared" si="19"/>
        <v>3.1739531969514383E-7</v>
      </c>
      <c r="W13" s="97">
        <v>1.4999999999999999E-4</v>
      </c>
      <c r="X13" s="95">
        <f t="shared" si="6"/>
        <v>3.2876288943657691E-7</v>
      </c>
      <c r="Y13" s="97">
        <v>3.8999999999999999E-4</v>
      </c>
      <c r="Z13" s="95">
        <f t="shared" si="7"/>
        <v>1.1114121564218379E-7</v>
      </c>
      <c r="AA13" s="97">
        <v>1.49205E-3</v>
      </c>
      <c r="AB13" s="95">
        <f t="shared" si="1"/>
        <v>5.9085589478755505E-7</v>
      </c>
      <c r="AC13">
        <v>3.2000000000000003E-4</v>
      </c>
      <c r="AD13" s="95">
        <f t="shared" si="1"/>
        <v>1.6271420383221506E-7</v>
      </c>
      <c r="AE13">
        <v>1.7000000000000001E-4</v>
      </c>
      <c r="AF13" s="95">
        <f t="shared" si="1"/>
        <v>3.0622774995371076E-7</v>
      </c>
    </row>
    <row r="14" spans="1:32">
      <c r="A14" s="63">
        <v>9</v>
      </c>
      <c r="B14" s="78">
        <f>+QxM!U11/1000</f>
        <v>7.6838547149654386E-4</v>
      </c>
      <c r="D14" s="62"/>
      <c r="E14" s="67">
        <v>2.1199999999999999E-3</v>
      </c>
      <c r="F14" s="62">
        <f t="shared" si="2"/>
        <v>1.8268618336616195E-6</v>
      </c>
      <c r="G14" s="97">
        <v>3.6999999999999999E-4</v>
      </c>
      <c r="H14" s="62">
        <f t="shared" si="0"/>
        <v>1.5871098389952357E-7</v>
      </c>
      <c r="I14" s="102">
        <v>7.3999999999999999E-4</v>
      </c>
      <c r="J14" s="62">
        <f t="shared" ref="J14" si="20">+(I14-$B14)^2</f>
        <v>8.0573499208110439E-10</v>
      </c>
      <c r="K14" s="97">
        <v>2.3000000000000001E-4</v>
      </c>
      <c r="L14" s="62">
        <f t="shared" si="4"/>
        <v>2.8985891591855579E-7</v>
      </c>
      <c r="M14" s="102">
        <v>0</v>
      </c>
      <c r="N14" s="62">
        <f t="shared" ref="N14:V14" si="21">+(M14-$B14)^2</f>
        <v>5.9041623280696596E-7</v>
      </c>
      <c r="O14" s="102">
        <v>1.05E-4</v>
      </c>
      <c r="P14" s="62">
        <f t="shared" si="21"/>
        <v>4.4008028379269189E-7</v>
      </c>
      <c r="Q14" s="97">
        <v>2.539E-3</v>
      </c>
      <c r="R14" s="62">
        <f t="shared" si="21"/>
        <v>3.1350758085475159E-6</v>
      </c>
      <c r="S14" s="98">
        <v>3.4000000000000002E-4</v>
      </c>
      <c r="T14" s="95">
        <f t="shared" si="21"/>
        <v>1.8351411218931617E-7</v>
      </c>
      <c r="U14" s="98">
        <v>1.4999999999999999E-4</v>
      </c>
      <c r="V14" s="95">
        <f t="shared" si="21"/>
        <v>3.8240059135800293E-7</v>
      </c>
      <c r="W14" s="97">
        <v>1.6000000000000001E-4</v>
      </c>
      <c r="X14" s="95">
        <f t="shared" si="6"/>
        <v>3.7013288192807199E-7</v>
      </c>
      <c r="Y14" s="97">
        <v>3.8000000000000002E-4</v>
      </c>
      <c r="Z14" s="95">
        <f t="shared" si="7"/>
        <v>1.5084327446959267E-7</v>
      </c>
      <c r="AA14" s="97">
        <v>1.49362E-3</v>
      </c>
      <c r="AB14" s="95">
        <f t="shared" si="1"/>
        <v>5.2596512133363032E-7</v>
      </c>
      <c r="AC14">
        <v>3.19E-4</v>
      </c>
      <c r="AD14" s="95">
        <f t="shared" si="1"/>
        <v>2.0194730199217102E-7</v>
      </c>
      <c r="AE14">
        <v>1.6000000000000001E-4</v>
      </c>
      <c r="AF14" s="95">
        <f t="shared" si="1"/>
        <v>3.7013288192807199E-7</v>
      </c>
    </row>
    <row r="15" spans="1:32">
      <c r="A15" s="63">
        <v>10</v>
      </c>
      <c r="B15" s="78">
        <f>+QxM!U12/1000</f>
        <v>8.1619268938597027E-4</v>
      </c>
      <c r="D15" s="62"/>
      <c r="E15" s="67">
        <v>1.97E-3</v>
      </c>
      <c r="F15" s="62">
        <f t="shared" si="2"/>
        <v>1.33127131002638E-6</v>
      </c>
      <c r="G15" s="97">
        <v>3.6000000000000002E-4</v>
      </c>
      <c r="H15" s="62">
        <f t="shared" si="0"/>
        <v>2.0811176984920433E-7</v>
      </c>
      <c r="I15" s="102">
        <v>7.2999999999999996E-4</v>
      </c>
      <c r="J15" s="62">
        <f t="shared" ref="J15" si="22">+(I15-$B15)^2</f>
        <v>7.4291797035863591E-9</v>
      </c>
      <c r="K15" s="97">
        <v>2.3999999999999998E-4</v>
      </c>
      <c r="L15" s="62">
        <f t="shared" si="4"/>
        <v>3.3199801530183723E-7</v>
      </c>
      <c r="M15" s="102">
        <v>6.1309683999999998E-3</v>
      </c>
      <c r="N15" s="62">
        <f t="shared" ref="N15:V15" si="23">+(M15-$B15)^2</f>
        <v>2.824684085413286E-5</v>
      </c>
      <c r="O15" s="102">
        <v>9.1000000000000003E-5</v>
      </c>
      <c r="P15" s="62">
        <f t="shared" si="23"/>
        <v>5.2590443673885627E-7</v>
      </c>
      <c r="Q15" s="97">
        <v>2.2390000000000001E-3</v>
      </c>
      <c r="R15" s="62">
        <f t="shared" si="23"/>
        <v>2.0243806431367283E-6</v>
      </c>
      <c r="S15" s="98">
        <v>3.5E-4</v>
      </c>
      <c r="T15" s="95">
        <f t="shared" si="23"/>
        <v>2.1733562363692377E-7</v>
      </c>
      <c r="U15" s="98">
        <v>1.3999999999999999E-4</v>
      </c>
      <c r="V15" s="95">
        <f t="shared" si="23"/>
        <v>4.5723655317903135E-7</v>
      </c>
      <c r="W15" s="97">
        <v>1.8000000000000001E-4</v>
      </c>
      <c r="X15" s="95">
        <f t="shared" si="6"/>
        <v>4.0474113802815358E-7</v>
      </c>
      <c r="Y15" s="97">
        <v>3.6999999999999999E-4</v>
      </c>
      <c r="Z15" s="95">
        <f t="shared" si="7"/>
        <v>1.9908791606148496E-7</v>
      </c>
      <c r="AA15" s="97">
        <v>1.4954199999999999E-3</v>
      </c>
      <c r="AB15" s="95">
        <f t="shared" si="1"/>
        <v>4.6134973948396751E-7</v>
      </c>
      <c r="AC15">
        <v>3.1100000000000002E-4</v>
      </c>
      <c r="AD15" s="95">
        <f t="shared" si="1"/>
        <v>2.5521965340902934E-7</v>
      </c>
      <c r="AE15">
        <v>1.4999999999999999E-4</v>
      </c>
      <c r="AF15" s="95">
        <f t="shared" si="1"/>
        <v>4.4381269939131191E-7</v>
      </c>
    </row>
    <row r="16" spans="1:32">
      <c r="A16" s="63">
        <v>11</v>
      </c>
      <c r="B16" s="78">
        <f>+QxM!U13/1000</f>
        <v>8.6697436497548241E-4</v>
      </c>
      <c r="D16" s="62"/>
      <c r="E16" s="67">
        <v>1.91E-3</v>
      </c>
      <c r="F16" s="62">
        <f t="shared" si="2"/>
        <v>1.0879024753182984E-6</v>
      </c>
      <c r="G16" s="97">
        <v>3.6999999999999999E-4</v>
      </c>
      <c r="H16" s="62">
        <f t="shared" si="0"/>
        <v>2.46983519442784E-7</v>
      </c>
      <c r="I16" s="102">
        <v>7.6999999999999996E-4</v>
      </c>
      <c r="J16" s="62">
        <f t="shared" ref="J16" si="24">+(I16-$B16)^2</f>
        <v>9.4040274623980782E-9</v>
      </c>
      <c r="K16" s="97">
        <v>2.8000000000000003E-4</v>
      </c>
      <c r="L16" s="62">
        <f t="shared" si="4"/>
        <v>3.4453890513837086E-7</v>
      </c>
      <c r="M16" s="102">
        <v>6.1687883000000002E-3</v>
      </c>
      <c r="N16" s="62">
        <f t="shared" ref="N16:V16" si="25">+(M16-$B16)^2</f>
        <v>2.8109231001620161E-5</v>
      </c>
      <c r="O16" s="102">
        <v>9.6000000000000002E-5</v>
      </c>
      <c r="P16" s="62">
        <f t="shared" si="25"/>
        <v>5.9440147144934824E-7</v>
      </c>
      <c r="Q16" s="97">
        <v>2.0960000000000002E-3</v>
      </c>
      <c r="R16" s="62">
        <f t="shared" si="25"/>
        <v>1.510504011547419E-6</v>
      </c>
      <c r="S16" s="98">
        <v>3.6999999999999999E-4</v>
      </c>
      <c r="T16" s="95">
        <f t="shared" si="25"/>
        <v>2.46983519442784E-7</v>
      </c>
      <c r="U16" s="98">
        <v>1.2999999999999999E-4</v>
      </c>
      <c r="V16" s="95">
        <f t="shared" si="25"/>
        <v>5.4313121463101549E-7</v>
      </c>
      <c r="W16" s="97">
        <v>2.1000000000000001E-4</v>
      </c>
      <c r="X16" s="95">
        <f t="shared" si="6"/>
        <v>4.3161531623493835E-7</v>
      </c>
      <c r="Y16" s="97">
        <v>3.6999999999999999E-4</v>
      </c>
      <c r="Z16" s="95">
        <f t="shared" si="7"/>
        <v>2.46983519442784E-7</v>
      </c>
      <c r="AA16" s="97">
        <v>1.49748E-3</v>
      </c>
      <c r="AB16" s="95">
        <f t="shared" si="1"/>
        <v>3.9753735579767023E-7</v>
      </c>
      <c r="AC16">
        <v>2.92E-4</v>
      </c>
      <c r="AD16" s="95">
        <f t="shared" si="1"/>
        <v>3.3059552037895922E-7</v>
      </c>
      <c r="AE16">
        <v>1.6000000000000001E-4</v>
      </c>
      <c r="AF16" s="95">
        <f t="shared" si="1"/>
        <v>4.9981275273248662E-7</v>
      </c>
    </row>
    <row r="17" spans="1:32">
      <c r="A17" s="63">
        <v>12</v>
      </c>
      <c r="B17" s="78">
        <f>+QxM!U14/1000</f>
        <v>9.2091556234118026E-4</v>
      </c>
      <c r="D17" s="62"/>
      <c r="E17" s="67">
        <v>1.92E-3</v>
      </c>
      <c r="F17" s="62">
        <f t="shared" si="2"/>
        <v>9.9816971357204006E-7</v>
      </c>
      <c r="G17" s="97">
        <v>3.8999999999999999E-4</v>
      </c>
      <c r="H17" s="62">
        <f t="shared" si="0"/>
        <v>2.8187133433605163E-7</v>
      </c>
      <c r="I17" s="102">
        <v>8.4999999999999995E-4</v>
      </c>
      <c r="J17" s="62">
        <f t="shared" ref="J17" si="26">+(I17-$B17)^2</f>
        <v>5.02901698216583E-9</v>
      </c>
      <c r="K17" s="97">
        <v>3.4000000000000002E-4</v>
      </c>
      <c r="L17" s="62">
        <f t="shared" si="4"/>
        <v>3.3746289057016965E-7</v>
      </c>
      <c r="M17" s="102">
        <v>6.1882127E-3</v>
      </c>
      <c r="N17" s="62">
        <f t="shared" ref="N17:V17" si="27">+(M17-$B17)^2</f>
        <v>2.7744419136388798E-5</v>
      </c>
      <c r="O17" s="102">
        <v>1.35E-4</v>
      </c>
      <c r="P17" s="62">
        <f t="shared" si="27"/>
        <v>6.1766327113005354E-7</v>
      </c>
      <c r="Q17" s="97">
        <v>2.0309999999999998E-3</v>
      </c>
      <c r="R17" s="62">
        <f t="shared" si="27"/>
        <v>1.232287458732298E-6</v>
      </c>
      <c r="S17" s="98">
        <v>4.0999999999999999E-4</v>
      </c>
      <c r="T17" s="95">
        <f t="shared" si="27"/>
        <v>2.6103471184240443E-7</v>
      </c>
      <c r="U17" s="98">
        <v>1.3999999999999999E-4</v>
      </c>
      <c r="V17" s="95">
        <f t="shared" si="27"/>
        <v>6.0982911550664177E-7</v>
      </c>
      <c r="W17" s="97">
        <v>2.5999999999999998E-4</v>
      </c>
      <c r="X17" s="95">
        <f t="shared" si="6"/>
        <v>4.3680938054475863E-7</v>
      </c>
      <c r="Y17" s="97">
        <v>3.5E-4</v>
      </c>
      <c r="Z17" s="95">
        <f t="shared" si="7"/>
        <v>3.2594457932334615E-7</v>
      </c>
      <c r="AA17" s="97">
        <v>1.49982E-3</v>
      </c>
      <c r="AB17" s="95">
        <f t="shared" si="1"/>
        <v>3.3513034794107436E-7</v>
      </c>
      <c r="AC17">
        <v>2.9999999999999997E-4</v>
      </c>
      <c r="AD17" s="95">
        <f t="shared" si="1"/>
        <v>3.8553613555746405E-7</v>
      </c>
      <c r="AE17">
        <v>1.8000000000000001E-4</v>
      </c>
      <c r="AF17" s="95">
        <f t="shared" si="1"/>
        <v>5.4895587051934731E-7</v>
      </c>
    </row>
    <row r="18" spans="1:32">
      <c r="A18" s="63">
        <v>13</v>
      </c>
      <c r="B18" s="78">
        <f>+QxM!U15/1000</f>
        <v>9.7821285983023913E-4</v>
      </c>
      <c r="D18" s="62"/>
      <c r="E18" s="67">
        <v>1.98E-3</v>
      </c>
      <c r="F18" s="62">
        <f t="shared" si="2"/>
        <v>1.0035774742095081E-6</v>
      </c>
      <c r="G18" s="97">
        <v>4.4000000000000002E-4</v>
      </c>
      <c r="H18" s="62">
        <f t="shared" si="0"/>
        <v>2.8967308248664455E-7</v>
      </c>
      <c r="I18" s="102">
        <v>9.8999999999999999E-4</v>
      </c>
      <c r="J18" s="62">
        <f t="shared" ref="J18" si="28">+(I18-$B18)^2</f>
        <v>1.3893667338159015E-10</v>
      </c>
      <c r="K18" s="97">
        <v>4.0000000000000002E-4</v>
      </c>
      <c r="L18" s="62">
        <f t="shared" si="4"/>
        <v>3.3433011127306382E-7</v>
      </c>
      <c r="M18" s="102">
        <v>6.2172523E-3</v>
      </c>
      <c r="N18" s="62">
        <f t="shared" ref="N18:V18" si="29">+(M18-$B18)^2</f>
        <v>2.744753425565428E-5</v>
      </c>
      <c r="O18" s="102">
        <v>2.1699999999999999E-4</v>
      </c>
      <c r="P18" s="62">
        <f t="shared" si="29"/>
        <v>5.7944501797093136E-7</v>
      </c>
      <c r="Q18" s="97">
        <v>2.013E-3</v>
      </c>
      <c r="R18" s="62">
        <f t="shared" si="29"/>
        <v>1.0707844254607124E-6</v>
      </c>
      <c r="S18" s="98">
        <v>4.6999999999999999E-4</v>
      </c>
      <c r="T18" s="95">
        <f t="shared" si="29"/>
        <v>2.5828031089683035E-7</v>
      </c>
      <c r="U18" s="98">
        <v>1.8000000000000001E-4</v>
      </c>
      <c r="V18" s="95">
        <f t="shared" si="29"/>
        <v>6.3714376959836892E-7</v>
      </c>
      <c r="W18" s="97">
        <v>3.3E-4</v>
      </c>
      <c r="X18" s="95">
        <f t="shared" si="6"/>
        <v>4.2017991164929722E-7</v>
      </c>
      <c r="Y18" s="97">
        <v>4.26E-4</v>
      </c>
      <c r="Z18" s="95">
        <f t="shared" si="7"/>
        <v>3.0493904256189137E-7</v>
      </c>
      <c r="AA18" s="97">
        <v>1.5025100000000001E-3</v>
      </c>
      <c r="AB18" s="95">
        <f t="shared" si="1"/>
        <v>2.7488749119018997E-7</v>
      </c>
      <c r="AC18">
        <v>3.4400000000000001E-4</v>
      </c>
      <c r="AD18" s="95">
        <f t="shared" si="1"/>
        <v>4.0222595157405053E-7</v>
      </c>
      <c r="AE18">
        <v>2.3000000000000001E-4</v>
      </c>
      <c r="AF18" s="95">
        <f t="shared" si="1"/>
        <v>5.5982248361534514E-7</v>
      </c>
    </row>
    <row r="19" spans="1:32">
      <c r="A19" s="63">
        <v>14</v>
      </c>
      <c r="B19" s="78">
        <f>+QxM!U16/1000</f>
        <v>1.0390750664529909E-3</v>
      </c>
      <c r="D19" s="62"/>
      <c r="E19" s="67">
        <v>2.0699999999999998E-3</v>
      </c>
      <c r="F19" s="62">
        <f t="shared" si="2"/>
        <v>1.0628062186089048E-6</v>
      </c>
      <c r="G19" s="97">
        <v>5.0000000000000001E-4</v>
      </c>
      <c r="H19" s="62">
        <f t="shared" si="0"/>
        <v>2.9060192727129652E-7</v>
      </c>
      <c r="I19" s="102">
        <v>1.15E-3</v>
      </c>
      <c r="J19" s="62">
        <f t="shared" ref="J19" si="30">+(I19-$B19)^2</f>
        <v>1.2304340882408385E-8</v>
      </c>
      <c r="K19" s="97">
        <v>5.2000000000000006E-4</v>
      </c>
      <c r="L19" s="62">
        <f t="shared" si="4"/>
        <v>2.6943892461317681E-7</v>
      </c>
      <c r="M19" s="102">
        <v>6.2465979000000003E-3</v>
      </c>
      <c r="N19" s="62">
        <f t="shared" ref="N19:V19" si="31">+(M19-$B19)^2</f>
        <v>2.7118294061913471E-5</v>
      </c>
      <c r="O19" s="102">
        <v>3.3199999999999999E-4</v>
      </c>
      <c r="P19" s="62">
        <f t="shared" si="31"/>
        <v>4.9995514959950135E-7</v>
      </c>
      <c r="Q19" s="97">
        <v>2.0400000000000001E-3</v>
      </c>
      <c r="R19" s="62">
        <f t="shared" si="31"/>
        <v>1.0018507225960849E-6</v>
      </c>
      <c r="S19" s="98">
        <v>5.5000000000000003E-4</v>
      </c>
      <c r="T19" s="95">
        <f t="shared" si="31"/>
        <v>2.3919442062599743E-7</v>
      </c>
      <c r="U19" s="98">
        <v>2.5000000000000001E-4</v>
      </c>
      <c r="V19" s="95">
        <f t="shared" si="31"/>
        <v>6.2263946049779191E-7</v>
      </c>
      <c r="W19" s="97">
        <v>4.2000000000000002E-4</v>
      </c>
      <c r="X19" s="95">
        <f t="shared" si="6"/>
        <v>3.8325393790377503E-7</v>
      </c>
      <c r="Y19" s="97">
        <v>5.1800000000000001E-4</v>
      </c>
      <c r="Z19" s="95">
        <f t="shared" si="7"/>
        <v>2.7151922487898883E-7</v>
      </c>
      <c r="AA19" s="97">
        <v>1.5055699999999999E-3</v>
      </c>
      <c r="AB19" s="95">
        <f t="shared" si="1"/>
        <v>2.1761752302502837E-7</v>
      </c>
      <c r="AC19">
        <v>4.17E-4</v>
      </c>
      <c r="AD19" s="95">
        <f t="shared" si="1"/>
        <v>3.8697738830249293E-7</v>
      </c>
      <c r="AE19">
        <v>2.9E-4</v>
      </c>
      <c r="AF19" s="95">
        <f t="shared" si="1"/>
        <v>5.6111345518155274E-7</v>
      </c>
    </row>
    <row r="20" spans="1:32">
      <c r="A20" s="63">
        <v>15</v>
      </c>
      <c r="B20" s="78">
        <f>+QxM!U17/1000</f>
        <v>1.1037239828473083E-3</v>
      </c>
      <c r="D20" s="62"/>
      <c r="E20" s="67">
        <v>2.15E-3</v>
      </c>
      <c r="F20" s="62">
        <f t="shared" si="2"/>
        <v>1.0946935040688996E-6</v>
      </c>
      <c r="G20" s="97">
        <v>5.5999999999999995E-4</v>
      </c>
      <c r="H20" s="62">
        <f t="shared" si="0"/>
        <v>2.9563576952334012E-7</v>
      </c>
      <c r="I20" s="102">
        <v>1.33E-3</v>
      </c>
      <c r="J20" s="62">
        <f t="shared" ref="J20" si="32">+(I20-$B20)^2</f>
        <v>5.1200835938485215E-8</v>
      </c>
      <c r="K20" s="97">
        <v>6.6E-4</v>
      </c>
      <c r="L20" s="62">
        <f t="shared" si="4"/>
        <v>1.9689097295387839E-7</v>
      </c>
      <c r="M20" s="102">
        <v>6.2858621000000002E-3</v>
      </c>
      <c r="N20" s="62">
        <f t="shared" ref="N20:V20" si="33">+(M20-$B20)^2</f>
        <v>2.6854555465246842E-5</v>
      </c>
      <c r="O20" s="102">
        <v>4.5600000000000003E-4</v>
      </c>
      <c r="P20" s="62">
        <f t="shared" si="33"/>
        <v>4.1954635795558015E-7</v>
      </c>
      <c r="Q20" s="97">
        <v>2.124E-3</v>
      </c>
      <c r="R20" s="62">
        <f t="shared" si="33"/>
        <v>1.0409631511769595E-6</v>
      </c>
      <c r="S20" s="98">
        <v>6.4000000000000005E-4</v>
      </c>
      <c r="T20" s="95">
        <f>+(S20-$B20)^2</f>
        <v>2.1503993226777066E-7</v>
      </c>
      <c r="U20" s="98">
        <v>3.6000000000000002E-4</v>
      </c>
      <c r="V20" s="95">
        <f t="shared" si="33"/>
        <v>5.5312536266226323E-7</v>
      </c>
      <c r="W20" s="97">
        <v>5.2999999999999998E-4</v>
      </c>
      <c r="X20" s="95">
        <f t="shared" si="6"/>
        <v>3.2915920849417856E-7</v>
      </c>
      <c r="Y20" s="97">
        <v>5.9800000000000001E-4</v>
      </c>
      <c r="Z20" s="95">
        <f t="shared" si="7"/>
        <v>2.5575674682694462E-7</v>
      </c>
      <c r="AA20" s="97">
        <v>1.5090699999999999E-3</v>
      </c>
      <c r="AB20" s="95">
        <f t="shared" si="1"/>
        <v>1.6430539362155014E-7</v>
      </c>
      <c r="AC20">
        <v>5.1000000000000004E-4</v>
      </c>
      <c r="AD20" s="95">
        <f t="shared" si="1"/>
        <v>3.5250816780807085E-7</v>
      </c>
      <c r="AE20">
        <v>3.6999999999999999E-4</v>
      </c>
      <c r="AF20" s="95">
        <f t="shared" si="1"/>
        <v>5.3835088300531728E-7</v>
      </c>
    </row>
    <row r="21" spans="1:32">
      <c r="A21" s="63">
        <v>16</v>
      </c>
      <c r="B21" s="78">
        <f>+QxM!U18/1000</f>
        <v>1.1723952095884869E-3</v>
      </c>
      <c r="D21" s="62"/>
      <c r="E21" s="67">
        <v>2.1900000000000001E-3</v>
      </c>
      <c r="F21" s="62">
        <f t="shared" si="2"/>
        <v>1.0355195094684598E-6</v>
      </c>
      <c r="G21" s="97">
        <v>6.3000000000000003E-4</v>
      </c>
      <c r="H21" s="62">
        <f t="shared" si="0"/>
        <v>2.9419256338453855E-7</v>
      </c>
      <c r="I21" s="102">
        <v>1.5100000000000001E-3</v>
      </c>
      <c r="J21" s="62">
        <f t="shared" ref="J21" si="34">+(I21-$B21)^2</f>
        <v>1.1397699450880174E-7</v>
      </c>
      <c r="K21" s="97">
        <v>7.7999999999999999E-4</v>
      </c>
      <c r="L21" s="62">
        <f t="shared" si="4"/>
        <v>1.5397400050799255E-7</v>
      </c>
      <c r="M21" s="102">
        <v>6.3256240999999998E-3</v>
      </c>
      <c r="N21" s="62">
        <f t="shared" ref="N21:V21" si="35">+(M21-$B21)^2</f>
        <v>2.6555767996971874E-5</v>
      </c>
      <c r="O21" s="102">
        <v>5.7899999999999998E-4</v>
      </c>
      <c r="P21" s="62">
        <f t="shared" si="35"/>
        <v>3.521178747625643E-7</v>
      </c>
      <c r="Q21" s="97">
        <v>2.1979999999999999E-3</v>
      </c>
      <c r="R21" s="62">
        <f t="shared" si="35"/>
        <v>1.0518651861150436E-6</v>
      </c>
      <c r="S21" s="98">
        <v>7.3999999999999999E-4</v>
      </c>
      <c r="T21" s="95">
        <f t="shared" si="35"/>
        <v>1.8696561727507151E-7</v>
      </c>
      <c r="U21" s="98">
        <v>4.8999999999999998E-4</v>
      </c>
      <c r="V21" s="95">
        <f t="shared" si="35"/>
        <v>4.6566322206931497E-7</v>
      </c>
      <c r="W21" s="97">
        <v>6.4999999999999997E-4</v>
      </c>
      <c r="X21" s="95">
        <f t="shared" si="6"/>
        <v>2.7289675500099918E-7</v>
      </c>
      <c r="Y21" s="97">
        <v>6.6799999999999997E-4</v>
      </c>
      <c r="Z21" s="95">
        <f t="shared" si="7"/>
        <v>2.5441452745581365E-7</v>
      </c>
      <c r="AA21" s="97">
        <v>1.51307E-3</v>
      </c>
      <c r="AB21" s="95">
        <f t="shared" si="1"/>
        <v>1.1605931282192843E-7</v>
      </c>
      <c r="AC21">
        <v>6.1700000000000004E-4</v>
      </c>
      <c r="AD21" s="95">
        <f t="shared" si="1"/>
        <v>3.0846383883383924E-7</v>
      </c>
      <c r="AE21">
        <v>4.4000000000000002E-4</v>
      </c>
      <c r="AF21" s="95">
        <f t="shared" si="1"/>
        <v>5.3640274302816348E-7</v>
      </c>
    </row>
    <row r="22" spans="1:32">
      <c r="A22" s="63">
        <v>17</v>
      </c>
      <c r="B22" s="78">
        <f>+QxM!U19/1000</f>
        <v>1.2453390057903502E-3</v>
      </c>
      <c r="D22" s="62"/>
      <c r="E22" s="67">
        <v>2.2499999999999998E-3</v>
      </c>
      <c r="F22" s="62">
        <f t="shared" si="2"/>
        <v>1.0093437132863216E-6</v>
      </c>
      <c r="G22" s="97">
        <v>6.9999999999999999E-4</v>
      </c>
      <c r="H22" s="62">
        <f t="shared" si="0"/>
        <v>2.9739463123640765E-7</v>
      </c>
      <c r="I22" s="102">
        <v>1.67E-3</v>
      </c>
      <c r="J22" s="62">
        <f t="shared" ref="J22" si="36">+(I22-$B22)^2</f>
        <v>1.8033696000312825E-7</v>
      </c>
      <c r="K22" s="97">
        <v>8.9000000000000006E-4</v>
      </c>
      <c r="L22" s="62">
        <f t="shared" si="4"/>
        <v>1.2626580903607452E-7</v>
      </c>
      <c r="M22" s="102">
        <v>6.3756274000000002E-3</v>
      </c>
      <c r="N22" s="62">
        <f t="shared" ref="N22:V22" si="37">+(M22-$B22)^2</f>
        <v>2.6319859007762223E-5</v>
      </c>
      <c r="O22" s="102">
        <v>7.0899999999999999E-4</v>
      </c>
      <c r="P22" s="62">
        <f t="shared" si="37"/>
        <v>2.8765952913218135E-7</v>
      </c>
      <c r="Q22" s="97">
        <v>2.3059999999999999E-3</v>
      </c>
      <c r="R22" s="62">
        <f t="shared" si="37"/>
        <v>1.1250017446378025E-6</v>
      </c>
      <c r="S22" s="98">
        <v>8.3000000000000001E-4</v>
      </c>
      <c r="T22" s="95">
        <f t="shared" si="37"/>
        <v>1.7250648973091656E-7</v>
      </c>
      <c r="U22" s="98">
        <v>6.2E-4</v>
      </c>
      <c r="V22" s="95">
        <f t="shared" si="37"/>
        <v>3.9104887216286367E-7</v>
      </c>
      <c r="W22" s="97">
        <v>7.7999999999999999E-4</v>
      </c>
      <c r="X22" s="95">
        <f t="shared" si="6"/>
        <v>2.1654039030995161E-7</v>
      </c>
      <c r="Y22" s="97">
        <v>7.2999999999999996E-4</v>
      </c>
      <c r="Z22" s="95">
        <f t="shared" si="7"/>
        <v>2.6557429088898666E-7</v>
      </c>
      <c r="AA22" s="97">
        <v>1.51764E-3</v>
      </c>
      <c r="AB22" s="95">
        <f t="shared" si="1"/>
        <v>7.4147831447563718E-8</v>
      </c>
      <c r="AC22">
        <v>7.3099999999999999E-4</v>
      </c>
      <c r="AD22" s="95">
        <f t="shared" si="1"/>
        <v>2.6454461287740592E-7</v>
      </c>
      <c r="AE22">
        <v>4.8999999999999998E-4</v>
      </c>
      <c r="AF22" s="95">
        <f t="shared" si="1"/>
        <v>5.7053701366835472E-7</v>
      </c>
    </row>
    <row r="23" spans="1:32">
      <c r="A23" s="63">
        <v>18</v>
      </c>
      <c r="B23" s="78">
        <f>+QxM!U20/1000</f>
        <v>1.3228212011265862E-3</v>
      </c>
      <c r="D23" s="62"/>
      <c r="E23" s="67">
        <v>2.3E-3</v>
      </c>
      <c r="F23" s="62">
        <f t="shared" si="2"/>
        <v>9.5487840496768767E-7</v>
      </c>
      <c r="G23" s="97">
        <v>7.6000000000000004E-4</v>
      </c>
      <c r="H23" s="62">
        <f t="shared" si="0"/>
        <v>3.1676770443757312E-7</v>
      </c>
      <c r="I23" s="102">
        <v>1.7799999999999999E-3</v>
      </c>
      <c r="J23" s="62">
        <f t="shared" ref="J23" si="38">+(I23-$B23)^2</f>
        <v>2.0901245413933729E-7</v>
      </c>
      <c r="K23" s="97">
        <v>9.5E-4</v>
      </c>
      <c r="L23" s="62">
        <f t="shared" ref="L23:L38" si="39">+(K23-$B23)^2</f>
        <v>1.3899564800947041E-7</v>
      </c>
      <c r="M23" s="102">
        <v>6.4165354999999999E-3</v>
      </c>
      <c r="N23" s="62">
        <f t="shared" ref="N23:V23" si="40">+(M23-$B23)^2</f>
        <v>2.5945925358547475E-5</v>
      </c>
      <c r="O23" s="102">
        <v>8.43E-4</v>
      </c>
      <c r="P23" s="62">
        <f t="shared" si="40"/>
        <v>2.3022838505055986E-7</v>
      </c>
      <c r="Q23" s="97">
        <v>2.4620000000000002E-3</v>
      </c>
      <c r="R23" s="62">
        <f t="shared" si="40"/>
        <v>1.2977283358026743E-6</v>
      </c>
      <c r="S23" s="98">
        <v>9.2000000000000003E-4</v>
      </c>
      <c r="T23" s="95">
        <f t="shared" si="40"/>
        <v>1.6226492007706555E-7</v>
      </c>
      <c r="U23" s="98">
        <v>7.2999999999999996E-4</v>
      </c>
      <c r="V23" s="95">
        <f t="shared" si="40"/>
        <v>3.5143697650516835E-7</v>
      </c>
      <c r="W23" s="97">
        <v>8.9999999999999998E-4</v>
      </c>
      <c r="X23" s="95">
        <f t="shared" si="6"/>
        <v>1.7877776812212904E-7</v>
      </c>
      <c r="Y23" s="97">
        <v>7.54E-4</v>
      </c>
      <c r="Z23" s="95">
        <f t="shared" si="7"/>
        <v>3.235575588510922E-7</v>
      </c>
      <c r="AA23" s="97">
        <v>1.52286E-3</v>
      </c>
      <c r="AB23" s="95">
        <f t="shared" si="1"/>
        <v>4.0015521054718119E-8</v>
      </c>
      <c r="AC23">
        <v>8.43E-4</v>
      </c>
      <c r="AD23" s="95">
        <f t="shared" si="1"/>
        <v>2.3022838505055986E-7</v>
      </c>
      <c r="AE23">
        <v>5.1000000000000004E-4</v>
      </c>
      <c r="AF23" s="95">
        <f t="shared" si="1"/>
        <v>6.6067830500086615E-7</v>
      </c>
    </row>
    <row r="24" spans="1:32">
      <c r="A24" s="63">
        <v>19</v>
      </c>
      <c r="B24" s="78">
        <f>+QxM!U21/1000</f>
        <v>1.4051241645960035E-3</v>
      </c>
      <c r="D24" s="62"/>
      <c r="E24" s="67">
        <v>2.3700000000000001E-3</v>
      </c>
      <c r="F24" s="62">
        <f t="shared" si="2"/>
        <v>9.309853777465604E-7</v>
      </c>
      <c r="G24" s="97">
        <v>8.0000000000000004E-4</v>
      </c>
      <c r="H24" s="62">
        <f t="shared" si="0"/>
        <v>3.661752545780111E-7</v>
      </c>
      <c r="I24" s="102">
        <v>1.8600000000000001E-3</v>
      </c>
      <c r="J24" s="62">
        <f t="shared" ref="J24" si="41">+(I24-$B24)^2</f>
        <v>2.0691202563448382E-7</v>
      </c>
      <c r="K24" s="97">
        <v>9.7999999999999997E-4</v>
      </c>
      <c r="L24" s="62">
        <f t="shared" si="39"/>
        <v>1.8073055532344989E-7</v>
      </c>
      <c r="M24" s="102">
        <v>6.4579733999999998E-3</v>
      </c>
      <c r="N24" s="62">
        <f t="shared" ref="N24:V24" si="42">+(M24-$B24)^2</f>
        <v>2.5531285395722751E-5</v>
      </c>
      <c r="O24" s="102">
        <v>9.77E-4</v>
      </c>
      <c r="P24" s="62">
        <f t="shared" si="42"/>
        <v>1.8329030031102589E-7</v>
      </c>
      <c r="Q24" s="97">
        <v>2.6189999999999998E-3</v>
      </c>
      <c r="R24" s="62">
        <f t="shared" si="42"/>
        <v>1.4734945437777498E-6</v>
      </c>
      <c r="S24" s="98">
        <v>9.7999999999999997E-4</v>
      </c>
      <c r="T24" s="95">
        <f t="shared" si="42"/>
        <v>1.8073055532344989E-7</v>
      </c>
      <c r="U24" s="98">
        <v>8.0000000000000004E-4</v>
      </c>
      <c r="V24" s="95">
        <f t="shared" si="42"/>
        <v>3.661752545780111E-7</v>
      </c>
      <c r="W24" s="97">
        <v>1.01E-3</v>
      </c>
      <c r="X24" s="95">
        <f t="shared" si="6"/>
        <v>1.5612310544768961E-7</v>
      </c>
      <c r="Y24" s="97">
        <v>7.5699999999999997E-4</v>
      </c>
      <c r="Z24" s="95">
        <f t="shared" si="7"/>
        <v>4.2006493273326749E-7</v>
      </c>
      <c r="AA24" s="97">
        <v>1.52882E-3</v>
      </c>
      <c r="AB24" s="95">
        <f t="shared" si="1"/>
        <v>1.5300659696292585E-8</v>
      </c>
      <c r="AC24">
        <v>9.4700000000000003E-4</v>
      </c>
      <c r="AD24" s="95">
        <f t="shared" si="1"/>
        <v>2.0987775018678608E-7</v>
      </c>
      <c r="AE24">
        <v>5.1000000000000004E-4</v>
      </c>
      <c r="AF24" s="95">
        <f t="shared" si="1"/>
        <v>8.0124727004369314E-7</v>
      </c>
    </row>
    <row r="25" spans="1:32">
      <c r="A25" s="63">
        <v>20</v>
      </c>
      <c r="B25" s="78">
        <f>+QxM!U22/1000</f>
        <v>1.4925478335621875E-3</v>
      </c>
      <c r="C25" s="123">
        <v>9.1E-4</v>
      </c>
      <c r="D25" s="62">
        <f t="shared" ref="D25:D70" si="43">+(C25-$B25)^2</f>
        <v>3.3936197838799807E-7</v>
      </c>
      <c r="E25" s="67">
        <v>2.4299999999999999E-3</v>
      </c>
      <c r="F25" s="62">
        <f t="shared" si="2"/>
        <v>8.788165643589479E-7</v>
      </c>
      <c r="G25" s="97">
        <v>8.4000000000000003E-4</v>
      </c>
      <c r="H25" s="62">
        <f t="shared" si="0"/>
        <v>4.258186750867043E-7</v>
      </c>
      <c r="I25" s="102">
        <v>1.9E-3</v>
      </c>
      <c r="J25" s="62">
        <f t="shared" ref="J25" si="44">+(I25-$B25)^2</f>
        <v>1.6601726793486689E-7</v>
      </c>
      <c r="K25" s="97">
        <v>1E-3</v>
      </c>
      <c r="L25" s="62">
        <f t="shared" si="39"/>
        <v>2.426033683468043E-7</v>
      </c>
      <c r="M25" s="102">
        <v>6.5197980000000003E-3</v>
      </c>
      <c r="N25" s="62">
        <f t="shared" ref="N25:V25" si="45">+(M25-$B25)^2</f>
        <v>2.5273244235949018E-5</v>
      </c>
      <c r="O25" s="102">
        <v>1.1180000000000001E-3</v>
      </c>
      <c r="P25" s="62">
        <f t="shared" si="45"/>
        <v>1.4028607962612804E-7</v>
      </c>
      <c r="Q25" s="97">
        <v>2.7650000000000001E-3</v>
      </c>
      <c r="R25" s="62">
        <f t="shared" si="45"/>
        <v>1.6191345158722828E-6</v>
      </c>
      <c r="S25" s="98">
        <v>1.0200000000000001E-3</v>
      </c>
      <c r="T25" s="95">
        <f t="shared" si="45"/>
        <v>2.2330145500431678E-7</v>
      </c>
      <c r="U25" s="98">
        <v>8.4000000000000003E-4</v>
      </c>
      <c r="V25" s="95">
        <f t="shared" si="45"/>
        <v>4.258186750867043E-7</v>
      </c>
      <c r="W25" s="97">
        <v>1.1000000000000001E-3</v>
      </c>
      <c r="X25" s="95">
        <f t="shared" si="6"/>
        <v>1.5409380163436679E-7</v>
      </c>
      <c r="Y25" s="97">
        <v>7.5699999999999997E-4</v>
      </c>
      <c r="Z25" s="95">
        <f t="shared" si="7"/>
        <v>5.4103061545802754E-7</v>
      </c>
      <c r="AA25" s="97">
        <v>1.5356300000000001E-3</v>
      </c>
      <c r="AB25" s="95">
        <f t="shared" si="1"/>
        <v>1.8560730649753859E-9</v>
      </c>
      <c r="AC25">
        <v>1.034E-3</v>
      </c>
      <c r="AD25" s="95">
        <f t="shared" si="1"/>
        <v>2.102661156645756E-7</v>
      </c>
      <c r="AE25">
        <v>5.0000000000000001E-4</v>
      </c>
      <c r="AF25" s="95">
        <f t="shared" si="1"/>
        <v>9.8515120190899173E-7</v>
      </c>
    </row>
    <row r="26" spans="1:32">
      <c r="A26" s="63">
        <v>21</v>
      </c>
      <c r="B26" s="78">
        <f>+QxM!U23/1000</f>
        <v>1.5854108068176882E-3</v>
      </c>
      <c r="C26" s="123">
        <v>9.3000000000000005E-4</v>
      </c>
      <c r="D26" s="62">
        <f t="shared" si="43"/>
        <v>4.2956332569341286E-7</v>
      </c>
      <c r="E26" s="67">
        <v>2.5100000000000001E-3</v>
      </c>
      <c r="F26" s="62">
        <f t="shared" si="2"/>
        <v>8.5486517614951852E-7</v>
      </c>
      <c r="G26" s="97">
        <v>8.7000000000000001E-4</v>
      </c>
      <c r="H26" s="62">
        <f t="shared" si="0"/>
        <v>5.1181262251153554E-7</v>
      </c>
      <c r="I26" s="102">
        <v>1.91E-3</v>
      </c>
      <c r="J26" s="62">
        <f t="shared" ref="J26" si="46">+(I26-$B26)^2</f>
        <v>1.0535814433074416E-7</v>
      </c>
      <c r="K26" s="97">
        <v>1.01E-3</v>
      </c>
      <c r="L26" s="62">
        <f t="shared" si="39"/>
        <v>3.3109759660258279E-7</v>
      </c>
      <c r="M26" s="102">
        <v>6.5925500999999996E-3</v>
      </c>
      <c r="N26" s="62">
        <f t="shared" ref="N26:V26" si="47">+(M26-$B26)^2</f>
        <v>2.5071443901330259E-5</v>
      </c>
      <c r="O26" s="102">
        <v>1.25E-3</v>
      </c>
      <c r="P26" s="62">
        <f t="shared" si="47"/>
        <v>1.1250040933009251E-7</v>
      </c>
      <c r="Q26" s="97">
        <v>2.8890000000000001E-3</v>
      </c>
      <c r="R26" s="62">
        <f t="shared" si="47"/>
        <v>1.6993447845817109E-6</v>
      </c>
      <c r="S26" s="98">
        <v>1.0399999999999999E-3</v>
      </c>
      <c r="T26" s="95">
        <f t="shared" si="47"/>
        <v>2.9747294819352165E-7</v>
      </c>
      <c r="U26" s="98">
        <v>8.5999999999999998E-4</v>
      </c>
      <c r="V26" s="95">
        <f t="shared" si="47"/>
        <v>5.2622083864788929E-7</v>
      </c>
      <c r="W26" s="97">
        <v>1.17E-3</v>
      </c>
      <c r="X26" s="95">
        <f t="shared" si="6"/>
        <v>1.725661384209226E-7</v>
      </c>
      <c r="Y26" s="97">
        <v>7.7200000000000001E-4</v>
      </c>
      <c r="Z26" s="95">
        <f t="shared" si="7"/>
        <v>6.6163714064780242E-7</v>
      </c>
      <c r="AA26" s="97">
        <v>1.54342E-3</v>
      </c>
      <c r="AB26" s="95">
        <f t="shared" si="1"/>
        <v>1.7632278572004077E-9</v>
      </c>
      <c r="AC26">
        <v>1.098E-3</v>
      </c>
      <c r="AD26" s="95">
        <f t="shared" si="1"/>
        <v>2.3756929460266972E-7</v>
      </c>
      <c r="AE26">
        <v>5.0000000000000001E-4</v>
      </c>
      <c r="AF26" s="95">
        <f t="shared" si="1"/>
        <v>1.1781166195566248E-6</v>
      </c>
    </row>
    <row r="27" spans="1:32">
      <c r="A27" s="63">
        <v>22</v>
      </c>
      <c r="B27" s="78">
        <f>+QxM!U24/1000</f>
        <v>1.6840515056562074E-3</v>
      </c>
      <c r="C27" s="123">
        <v>9.5E-4</v>
      </c>
      <c r="D27" s="62">
        <f t="shared" si="43"/>
        <v>5.3883161295614512E-7</v>
      </c>
      <c r="E27" s="67">
        <v>2.5899999999999999E-3</v>
      </c>
      <c r="F27" s="62">
        <f t="shared" si="2"/>
        <v>8.2074267440378446E-7</v>
      </c>
      <c r="G27" s="97">
        <v>8.8999999999999995E-4</v>
      </c>
      <c r="H27" s="62">
        <f t="shared" si="0"/>
        <v>6.3051779363489016E-7</v>
      </c>
      <c r="I27" s="102">
        <v>1.89E-3</v>
      </c>
      <c r="J27" s="62">
        <f t="shared" ref="J27" si="48">+(I27-$B27)^2</f>
        <v>4.2414782322475147E-8</v>
      </c>
      <c r="K27" s="97">
        <v>1.0200000000000001E-3</v>
      </c>
      <c r="L27" s="62">
        <f t="shared" si="39"/>
        <v>4.4096440216427598E-7</v>
      </c>
      <c r="M27" s="102">
        <v>6.6463562999999996E-3</v>
      </c>
      <c r="N27" s="62">
        <f t="shared" ref="N27:V27" si="49">+(M27-$B27)^2</f>
        <v>2.4624468871967385E-5</v>
      </c>
      <c r="O27" s="102">
        <v>1.3420000000000001E-3</v>
      </c>
      <c r="P27" s="62">
        <f t="shared" si="49"/>
        <v>1.1699923252167844E-7</v>
      </c>
      <c r="Q27" s="97">
        <v>2.9910000000000002E-3</v>
      </c>
      <c r="R27" s="62">
        <f t="shared" si="49"/>
        <v>1.7081143668675068E-6</v>
      </c>
      <c r="S27" s="98">
        <v>1.0399999999999999E-3</v>
      </c>
      <c r="T27" s="95">
        <f t="shared" si="49"/>
        <v>4.148023419380279E-7</v>
      </c>
      <c r="U27" s="98">
        <v>8.4999999999999995E-4</v>
      </c>
      <c r="V27" s="95">
        <f t="shared" si="49"/>
        <v>6.9564191408738676E-7</v>
      </c>
      <c r="W27" s="97">
        <v>1.2199999999999999E-3</v>
      </c>
      <c r="X27" s="95">
        <f t="shared" si="6"/>
        <v>2.1534379990179316E-7</v>
      </c>
      <c r="Y27" s="97">
        <v>8.1999999999999998E-4</v>
      </c>
      <c r="Z27" s="95">
        <f t="shared" si="7"/>
        <v>7.4658500442675913E-7</v>
      </c>
      <c r="AA27" s="97">
        <v>1.5523100000000001E-3</v>
      </c>
      <c r="AB27" s="95">
        <f t="shared" si="1"/>
        <v>1.7355824312564508E-8</v>
      </c>
      <c r="AC27">
        <v>1.1310000000000001E-3</v>
      </c>
      <c r="AD27" s="95">
        <f t="shared" si="1"/>
        <v>3.0586596790859796E-7</v>
      </c>
      <c r="AE27">
        <v>5.0000000000000001E-4</v>
      </c>
      <c r="AF27" s="95">
        <f t="shared" si="1"/>
        <v>1.4019779680467319E-6</v>
      </c>
    </row>
    <row r="28" spans="1:32">
      <c r="A28" s="63">
        <v>23</v>
      </c>
      <c r="B28" s="78">
        <f>+QxM!U25/1000</f>
        <v>1.7888294071840931E-3</v>
      </c>
      <c r="C28" s="123">
        <v>9.6999999999999994E-4</v>
      </c>
      <c r="D28" s="62">
        <f t="shared" si="43"/>
        <v>6.7048159806945345E-7</v>
      </c>
      <c r="E28" s="67">
        <v>2.6800000000000001E-3</v>
      </c>
      <c r="F28" s="62">
        <f t="shared" si="2"/>
        <v>7.9418502549985505E-7</v>
      </c>
      <c r="G28" s="97">
        <v>9.1E-4</v>
      </c>
      <c r="H28" s="62">
        <f t="shared" si="0"/>
        <v>7.723411269315445E-7</v>
      </c>
      <c r="I28" s="102">
        <v>1.8600000000000001E-3</v>
      </c>
      <c r="J28" s="62">
        <f t="shared" ref="J28" si="50">+(I28-$B28)^2</f>
        <v>5.0652532817676331E-9</v>
      </c>
      <c r="K28" s="97">
        <v>1.0400000000000001E-3</v>
      </c>
      <c r="L28" s="62">
        <f t="shared" si="39"/>
        <v>5.6074548106368016E-7</v>
      </c>
      <c r="M28" s="102">
        <v>6.7211924999999997E-3</v>
      </c>
      <c r="N28" s="62">
        <f t="shared" ref="N28:V28" si="51">+(M28-$B28)^2</f>
        <v>2.4328205679372495E-5</v>
      </c>
      <c r="O28" s="102">
        <v>1.382E-3</v>
      </c>
      <c r="P28" s="62">
        <f t="shared" si="51"/>
        <v>1.6551016654976064E-7</v>
      </c>
      <c r="Q28" s="97">
        <v>3.0699999999999998E-3</v>
      </c>
      <c r="R28" s="62">
        <f t="shared" si="51"/>
        <v>1.6413980878962619E-6</v>
      </c>
      <c r="S28" s="98">
        <v>1.0200000000000001E-3</v>
      </c>
      <c r="T28" s="95">
        <f t="shared" si="51"/>
        <v>5.9109865735104396E-7</v>
      </c>
      <c r="U28" s="98">
        <v>8.4000000000000003E-4</v>
      </c>
      <c r="V28" s="95">
        <f t="shared" si="51"/>
        <v>9.0027724393731746E-7</v>
      </c>
      <c r="W28" s="97">
        <v>1.25E-3</v>
      </c>
      <c r="X28" s="95">
        <f t="shared" si="6"/>
        <v>2.9033713004636119E-7</v>
      </c>
      <c r="Y28" s="97">
        <v>7.6300000000000001E-4</v>
      </c>
      <c r="Z28" s="95">
        <f t="shared" si="7"/>
        <v>1.0523259726436678E-6</v>
      </c>
      <c r="AA28" s="97">
        <v>1.56247E-3</v>
      </c>
      <c r="AB28" s="95">
        <f t="shared" si="1"/>
        <v>5.1238581220734042E-8</v>
      </c>
      <c r="AC28">
        <v>1.126E-3</v>
      </c>
      <c r="AD28" s="95">
        <f t="shared" si="1"/>
        <v>4.3934282302801624E-7</v>
      </c>
      <c r="AE28">
        <v>5.1999999999999995E-4</v>
      </c>
      <c r="AF28" s="95">
        <f t="shared" si="1"/>
        <v>1.6099280645351376E-6</v>
      </c>
    </row>
    <row r="29" spans="1:32">
      <c r="A29" s="63">
        <v>24</v>
      </c>
      <c r="B29" s="78">
        <f>+QxM!U26/1000</f>
        <v>1.9001263543656976E-3</v>
      </c>
      <c r="C29" s="123">
        <v>1E-3</v>
      </c>
      <c r="D29" s="62">
        <f t="shared" si="43"/>
        <v>8.1022745382368146E-7</v>
      </c>
      <c r="E29" s="67">
        <v>2.7699999999999999E-3</v>
      </c>
      <c r="F29" s="62">
        <f t="shared" si="2"/>
        <v>7.5668015936911167E-7</v>
      </c>
      <c r="G29" s="97">
        <v>9.2000000000000003E-4</v>
      </c>
      <c r="H29" s="62">
        <f t="shared" si="0"/>
        <v>9.6064767052219293E-7</v>
      </c>
      <c r="I29" s="102">
        <v>1.82E-3</v>
      </c>
      <c r="J29" s="62">
        <f t="shared" ref="J29" si="52">+(I29-$B29)^2</f>
        <v>6.4202326639373501E-9</v>
      </c>
      <c r="K29" s="97">
        <v>1.06E-3</v>
      </c>
      <c r="L29" s="62">
        <f t="shared" si="39"/>
        <v>7.0581229129979777E-7</v>
      </c>
      <c r="M29" s="102">
        <v>6.7972440999999996E-3</v>
      </c>
      <c r="N29" s="62">
        <f t="shared" ref="N29:V29" si="53">+(M29-$B29)^2</f>
        <v>2.3981762214606389E-5</v>
      </c>
      <c r="O29" s="102">
        <v>1.382E-3</v>
      </c>
      <c r="P29" s="62">
        <f t="shared" si="53"/>
        <v>2.6845491908828847E-7</v>
      </c>
      <c r="Q29" s="97">
        <v>3.1150000000000001E-3</v>
      </c>
      <c r="R29" s="62">
        <f t="shared" si="53"/>
        <v>1.4759179748567809E-6</v>
      </c>
      <c r="S29" s="98">
        <v>9.7999999999999997E-4</v>
      </c>
      <c r="T29" s="95">
        <f t="shared" si="53"/>
        <v>8.4663250799830937E-7</v>
      </c>
      <c r="U29" s="98">
        <v>8.3000000000000001E-4</v>
      </c>
      <c r="V29" s="95">
        <f t="shared" si="53"/>
        <v>1.1451704143080186E-6</v>
      </c>
      <c r="W29" s="97">
        <v>1.2700000000000001E-3</v>
      </c>
      <c r="X29" s="95">
        <f t="shared" si="6"/>
        <v>3.9705922246620462E-7</v>
      </c>
      <c r="Y29" s="97">
        <v>7.4100000000000001E-4</v>
      </c>
      <c r="Z29" s="95">
        <f t="shared" si="7"/>
        <v>1.3435739053851131E-6</v>
      </c>
      <c r="AA29" s="97">
        <v>1.5740800000000001E-3</v>
      </c>
      <c r="AB29" s="95">
        <f t="shared" si="1"/>
        <v>1.0630622519516204E-7</v>
      </c>
      <c r="AC29">
        <v>1.09E-3</v>
      </c>
      <c r="AD29" s="95">
        <f t="shared" si="1"/>
        <v>6.5630471003785581E-7</v>
      </c>
      <c r="AE29">
        <v>5.5000000000000003E-4</v>
      </c>
      <c r="AF29" s="95">
        <f t="shared" si="1"/>
        <v>1.822841172752809E-6</v>
      </c>
    </row>
    <row r="30" spans="1:32">
      <c r="A30" s="63">
        <v>25</v>
      </c>
      <c r="B30" s="78">
        <f>+QxM!U27/1000</f>
        <v>2.0183479475768215E-3</v>
      </c>
      <c r="C30" s="123">
        <v>1.0300000000000001E-3</v>
      </c>
      <c r="D30" s="62">
        <f t="shared" si="43"/>
        <v>9.768316654793153E-7</v>
      </c>
      <c r="E30" s="67">
        <v>2.8800000000000002E-3</v>
      </c>
      <c r="F30" s="62">
        <f t="shared" si="2"/>
        <v>7.4244425944507633E-7</v>
      </c>
      <c r="G30" s="97">
        <v>9.3000000000000005E-4</v>
      </c>
      <c r="H30" s="62">
        <f t="shared" si="0"/>
        <v>1.1845012549946796E-6</v>
      </c>
      <c r="I30" s="102">
        <v>1.7700000000000001E-3</v>
      </c>
      <c r="J30" s="62">
        <f t="shared" ref="J30" si="54">+(I30-$B30)^2</f>
        <v>6.1676703065619614E-8</v>
      </c>
      <c r="K30" s="97">
        <v>1.09E-3</v>
      </c>
      <c r="L30" s="62">
        <f t="shared" si="39"/>
        <v>8.6182991177009676E-7</v>
      </c>
      <c r="M30" s="102">
        <v>6.8950657000000004E-3</v>
      </c>
      <c r="N30" s="62">
        <f t="shared" ref="N30:V30" si="55">+(M30-$B30)^2</f>
        <v>2.3782376036799379E-5</v>
      </c>
      <c r="O30" s="102">
        <v>1.3699999999999999E-3</v>
      </c>
      <c r="P30" s="62">
        <f t="shared" si="55"/>
        <v>4.2035506112707693E-7</v>
      </c>
      <c r="Q30" s="97">
        <v>3.137E-3</v>
      </c>
      <c r="R30" s="62">
        <f t="shared" si="55"/>
        <v>1.2513824143905899E-6</v>
      </c>
      <c r="S30" s="98">
        <v>9.3999999999999997E-4</v>
      </c>
      <c r="T30" s="95">
        <f t="shared" si="55"/>
        <v>1.1628342960431436E-6</v>
      </c>
      <c r="U30" s="98">
        <v>8.1999999999999998E-4</v>
      </c>
      <c r="V30" s="95">
        <f t="shared" si="55"/>
        <v>1.4360378034615806E-6</v>
      </c>
      <c r="W30" s="97">
        <v>1.2700000000000001E-3</v>
      </c>
      <c r="X30" s="95">
        <f t="shared" si="6"/>
        <v>5.6002465064244102E-7</v>
      </c>
      <c r="Y30" s="97">
        <v>7.3399999999999995E-4</v>
      </c>
      <c r="Z30" s="95">
        <f t="shared" si="7"/>
        <v>1.6495496504447941E-6</v>
      </c>
      <c r="AA30" s="97">
        <v>1.58735E-3</v>
      </c>
      <c r="AB30" s="95">
        <f t="shared" si="1"/>
        <v>1.8575923081543259E-7</v>
      </c>
      <c r="AC30">
        <v>1.062E-3</v>
      </c>
      <c r="AD30" s="95">
        <f t="shared" si="1"/>
        <v>9.1460139683439879E-7</v>
      </c>
      <c r="AE30">
        <v>5.8E-4</v>
      </c>
      <c r="AF30" s="95">
        <f t="shared" si="1"/>
        <v>2.0688448182984548E-6</v>
      </c>
    </row>
    <row r="31" spans="1:32">
      <c r="A31" s="63">
        <v>26</v>
      </c>
      <c r="B31" s="78">
        <f>+QxM!U28/1000</f>
        <v>2.1439250227374826E-3</v>
      </c>
      <c r="C31" s="123">
        <v>1.06E-3</v>
      </c>
      <c r="D31" s="62">
        <f t="shared" si="43"/>
        <v>1.1748934549164521E-6</v>
      </c>
      <c r="E31" s="67">
        <v>2.99E-3</v>
      </c>
      <c r="F31" s="62">
        <f t="shared" si="2"/>
        <v>7.1584286714976946E-7</v>
      </c>
      <c r="G31" s="97">
        <v>9.5E-4</v>
      </c>
      <c r="H31" s="62">
        <f t="shared" si="0"/>
        <v>1.4254569599186985E-6</v>
      </c>
      <c r="I31" s="102">
        <v>1.73E-3</v>
      </c>
      <c r="J31" s="62">
        <f t="shared" ref="J31" si="56">+(I31-$B31)^2</f>
        <v>1.7133392444822546E-7</v>
      </c>
      <c r="K31" s="97">
        <v>1.14E-3</v>
      </c>
      <c r="L31" s="62">
        <f t="shared" si="39"/>
        <v>1.0078654512784549E-6</v>
      </c>
      <c r="M31" s="102">
        <v>6.9842654999999997E-3</v>
      </c>
      <c r="N31" s="62">
        <f t="shared" ref="N31:V31" si="57">+(M31-$B31)^2</f>
        <v>2.3428895935825932E-5</v>
      </c>
      <c r="O31" s="102">
        <v>1.364E-3</v>
      </c>
      <c r="P31" s="62">
        <f t="shared" si="57"/>
        <v>6.082830410920627E-7</v>
      </c>
      <c r="Q31" s="97">
        <v>3.1470000000000001E-3</v>
      </c>
      <c r="R31" s="62">
        <f t="shared" si="57"/>
        <v>1.0061594100102001E-6</v>
      </c>
      <c r="S31" s="98">
        <v>8.9999999999999998E-4</v>
      </c>
      <c r="T31" s="95">
        <f t="shared" si="57"/>
        <v>1.5473494621924466E-6</v>
      </c>
      <c r="U31" s="98">
        <v>8.0999999999999996E-4</v>
      </c>
      <c r="V31" s="95">
        <f t="shared" si="57"/>
        <v>1.7793559662851934E-6</v>
      </c>
      <c r="W31" s="97">
        <v>1.2700000000000001E-3</v>
      </c>
      <c r="X31" s="95">
        <f t="shared" si="6"/>
        <v>7.6374494536670923E-7</v>
      </c>
      <c r="Y31" s="97">
        <v>7.2000000000000005E-4</v>
      </c>
      <c r="Z31" s="95">
        <f t="shared" si="7"/>
        <v>2.0275624703779396E-6</v>
      </c>
      <c r="AA31" s="97">
        <v>1.6025E-3</v>
      </c>
      <c r="AB31" s="95">
        <f t="shared" si="1"/>
        <v>2.9314105524628352E-7</v>
      </c>
      <c r="AC31">
        <v>1.0449999999999999E-3</v>
      </c>
      <c r="AD31" s="95">
        <f t="shared" si="1"/>
        <v>1.2076362055985766E-6</v>
      </c>
      <c r="AE31">
        <v>6.0999999999999997E-4</v>
      </c>
      <c r="AF31" s="95">
        <f t="shared" si="1"/>
        <v>2.3529259753801868E-6</v>
      </c>
    </row>
    <row r="32" spans="1:32">
      <c r="A32" s="63">
        <v>27</v>
      </c>
      <c r="B32" s="78">
        <f>+QxM!U29/1000</f>
        <v>2.2773152214107862E-3</v>
      </c>
      <c r="C32" s="123">
        <v>1.09E-3</v>
      </c>
      <c r="D32" s="62">
        <f t="shared" si="43"/>
        <v>1.4097174349937441E-6</v>
      </c>
      <c r="E32" s="67">
        <v>3.1099999999999999E-3</v>
      </c>
      <c r="F32" s="62">
        <f t="shared" si="2"/>
        <v>6.9336394049416787E-7</v>
      </c>
      <c r="G32" s="97">
        <v>9.7000000000000005E-4</v>
      </c>
      <c r="H32" s="62">
        <f t="shared" si="0"/>
        <v>1.7090730881323331E-6</v>
      </c>
      <c r="I32" s="102">
        <v>1.7099999999999999E-3</v>
      </c>
      <c r="J32" s="62">
        <f t="shared" ref="J32" si="58">+(I32-$B32)^2</f>
        <v>3.2184656044436947E-7</v>
      </c>
      <c r="K32" s="97">
        <v>1.17E-3</v>
      </c>
      <c r="L32" s="62">
        <f t="shared" si="39"/>
        <v>1.2261469995680185E-6</v>
      </c>
      <c r="M32" s="102">
        <v>7.085409E-3</v>
      </c>
      <c r="N32" s="62">
        <f t="shared" ref="N32:V32" si="59">+(M32-$B32)^2</f>
        <v>2.3117765783708298E-5</v>
      </c>
      <c r="O32" s="102">
        <v>1.3619999999999999E-3</v>
      </c>
      <c r="P32" s="62">
        <f t="shared" si="59"/>
        <v>8.3780195454627669E-7</v>
      </c>
      <c r="Q32" s="97">
        <v>3.287E-3</v>
      </c>
      <c r="R32" s="62">
        <f t="shared" si="59"/>
        <v>1.0194633521147497E-6</v>
      </c>
      <c r="S32" s="98">
        <v>8.4999999999999995E-4</v>
      </c>
      <c r="T32" s="95">
        <f t="shared" si="59"/>
        <v>2.0372287412709215E-6</v>
      </c>
      <c r="U32" s="98">
        <v>8.0000000000000004E-4</v>
      </c>
      <c r="V32" s="95">
        <f t="shared" si="59"/>
        <v>2.1824602634120004E-6</v>
      </c>
      <c r="W32" s="97">
        <v>1.2600000000000001E-3</v>
      </c>
      <c r="X32" s="95">
        <f t="shared" si="6"/>
        <v>1.0349302597140769E-6</v>
      </c>
      <c r="Y32" s="97">
        <v>6.8000000000000005E-4</v>
      </c>
      <c r="Z32" s="95">
        <f t="shared" si="7"/>
        <v>2.5514159165505887E-6</v>
      </c>
      <c r="AA32" s="97">
        <v>1.61981E-3</v>
      </c>
      <c r="AB32" s="95">
        <f t="shared" si="1"/>
        <v>4.3231311618244704E-7</v>
      </c>
      <c r="AC32">
        <v>1.039E-3</v>
      </c>
      <c r="AD32" s="95">
        <f t="shared" si="1"/>
        <v>1.5334245875776444E-6</v>
      </c>
      <c r="AE32">
        <v>6.4000000000000005E-4</v>
      </c>
      <c r="AF32" s="95">
        <f t="shared" si="1"/>
        <v>2.6808011342634521E-6</v>
      </c>
    </row>
    <row r="33" spans="1:32">
      <c r="A33" s="63">
        <v>28</v>
      </c>
      <c r="B33" s="78">
        <f>+QxM!U30/1000</f>
        <v>2.4190046585898209E-3</v>
      </c>
      <c r="C33" s="123">
        <v>1.1299999999999999E-3</v>
      </c>
      <c r="D33" s="62">
        <f t="shared" si="43"/>
        <v>1.6615330098662609E-6</v>
      </c>
      <c r="E33" s="67">
        <v>3.2499999999999999E-3</v>
      </c>
      <c r="F33" s="62">
        <f t="shared" si="2"/>
        <v>6.9055325744541985E-7</v>
      </c>
      <c r="G33" s="97">
        <v>1E-3</v>
      </c>
      <c r="H33" s="62">
        <f t="shared" si="0"/>
        <v>2.0135742210996141E-6</v>
      </c>
      <c r="I33" s="102">
        <v>1.6999999999999999E-3</v>
      </c>
      <c r="J33" s="62">
        <f t="shared" ref="J33" si="60">+(I33-$B33)^2</f>
        <v>5.1696769907386511E-7</v>
      </c>
      <c r="K33" s="97">
        <v>1.16E-3</v>
      </c>
      <c r="L33" s="62">
        <f t="shared" si="39"/>
        <v>1.5850927303508715E-6</v>
      </c>
      <c r="M33" s="102">
        <v>7.2093213E-3</v>
      </c>
      <c r="N33" s="62">
        <f t="shared" ref="N33:V33" si="61">+(M33-$B33)^2</f>
        <v>2.2947133524971301E-5</v>
      </c>
      <c r="O33" s="102">
        <v>1.3730000000000001E-3</v>
      </c>
      <c r="P33" s="62">
        <f t="shared" si="61"/>
        <v>1.0941257457916077E-6</v>
      </c>
      <c r="Q33" s="97">
        <v>3.4169999999999999E-3</v>
      </c>
      <c r="R33" s="62">
        <f t="shared" si="61"/>
        <v>9.9599470147641963E-7</v>
      </c>
      <c r="S33" s="98">
        <v>8.0999999999999996E-4</v>
      </c>
      <c r="T33" s="95">
        <f t="shared" si="61"/>
        <v>2.5888959913637463E-6</v>
      </c>
      <c r="U33" s="98">
        <v>8.0999999999999996E-4</v>
      </c>
      <c r="V33" s="95">
        <f t="shared" si="61"/>
        <v>2.5888959913637463E-6</v>
      </c>
      <c r="W33" s="97">
        <v>1.2600000000000001E-3</v>
      </c>
      <c r="X33" s="95">
        <f t="shared" si="6"/>
        <v>1.3432917986329073E-6</v>
      </c>
      <c r="Y33" s="97">
        <v>7.6400000000000003E-4</v>
      </c>
      <c r="Z33" s="95">
        <f t="shared" si="7"/>
        <v>2.73904041995401E-6</v>
      </c>
      <c r="AA33" s="97">
        <v>1.63959E-3</v>
      </c>
      <c r="AB33" s="95">
        <f t="shared" si="1"/>
        <v>6.0748721002468708E-7</v>
      </c>
      <c r="AC33">
        <v>1.0449999999999999E-3</v>
      </c>
      <c r="AD33" s="95">
        <f t="shared" si="1"/>
        <v>1.8878888018265306E-6</v>
      </c>
      <c r="AE33">
        <v>6.7000000000000002E-4</v>
      </c>
      <c r="AF33" s="95">
        <f t="shared" si="1"/>
        <v>3.0590172957688959E-6</v>
      </c>
    </row>
    <row r="34" spans="1:32">
      <c r="A34" s="63">
        <v>29</v>
      </c>
      <c r="B34" s="78">
        <f>+QxM!U31/1000</f>
        <v>2.569509694250508E-3</v>
      </c>
      <c r="C34" s="123">
        <v>1.17E-3</v>
      </c>
      <c r="D34" s="62">
        <f t="shared" si="43"/>
        <v>1.9586273843011503E-6</v>
      </c>
      <c r="E34" s="67">
        <v>3.3999999999999998E-3</v>
      </c>
      <c r="F34" s="62">
        <f t="shared" si="2"/>
        <v>6.897141479438844E-7</v>
      </c>
      <c r="G34" s="97">
        <v>1.0399999999999999E-3</v>
      </c>
      <c r="H34" s="62">
        <f t="shared" si="0"/>
        <v>2.3393999048062827E-6</v>
      </c>
      <c r="I34" s="102">
        <v>1.7099999999999999E-3</v>
      </c>
      <c r="J34" s="62">
        <f t="shared" ref="J34" si="62">+(I34-$B34)^2</f>
        <v>7.3875691451060184E-7</v>
      </c>
      <c r="K34" s="97">
        <v>1.15E-3</v>
      </c>
      <c r="L34" s="62">
        <f t="shared" si="39"/>
        <v>2.0150077720711707E-6</v>
      </c>
      <c r="M34" s="102">
        <v>7.3250028E-3</v>
      </c>
      <c r="N34" s="62">
        <f t="shared" ref="N34:V34" si="63">+(M34-$B34)^2</f>
        <v>2.2614714678830951E-5</v>
      </c>
      <c r="O34" s="102">
        <v>1.3929999999999999E-3</v>
      </c>
      <c r="P34" s="62">
        <f t="shared" si="63"/>
        <v>1.384175060665424E-6</v>
      </c>
      <c r="Q34" s="97">
        <v>3.5479999999999999E-3</v>
      </c>
      <c r="R34" s="62">
        <f t="shared" si="63"/>
        <v>9.5744327844573416E-7</v>
      </c>
      <c r="S34" s="98">
        <v>7.6999999999999996E-4</v>
      </c>
      <c r="T34" s="95">
        <f t="shared" si="63"/>
        <v>3.2382351397015574E-6</v>
      </c>
      <c r="U34" s="98">
        <v>8.3000000000000001E-4</v>
      </c>
      <c r="V34" s="95">
        <f t="shared" si="63"/>
        <v>3.0258939763914955E-6</v>
      </c>
      <c r="W34" s="97">
        <v>1.25E-3</v>
      </c>
      <c r="X34" s="95">
        <f t="shared" si="6"/>
        <v>1.7411058332210691E-6</v>
      </c>
      <c r="Y34" s="97">
        <v>8.1499999999999997E-4</v>
      </c>
      <c r="Z34" s="95">
        <f t="shared" si="7"/>
        <v>3.0783042672190111E-6</v>
      </c>
      <c r="AA34" s="97">
        <v>1.66219E-3</v>
      </c>
      <c r="AB34" s="95">
        <f t="shared" si="1"/>
        <v>8.2322902757483527E-7</v>
      </c>
      <c r="AC34">
        <v>1.0629999999999999E-3</v>
      </c>
      <c r="AD34" s="95">
        <f t="shared" si="1"/>
        <v>2.2695714588707595E-6</v>
      </c>
      <c r="AE34">
        <v>7.1000000000000002E-4</v>
      </c>
      <c r="AF34" s="95">
        <f t="shared" si="1"/>
        <v>3.4577763030116173E-6</v>
      </c>
    </row>
    <row r="35" spans="1:32">
      <c r="A35" s="63">
        <v>30</v>
      </c>
      <c r="B35" s="78">
        <f>+QxM!U32/1000</f>
        <v>2.7293788151264865E-3</v>
      </c>
      <c r="C35" s="123">
        <v>1.2199999999999999E-3</v>
      </c>
      <c r="D35" s="62">
        <f t="shared" si="43"/>
        <v>2.2782244075526362E-6</v>
      </c>
      <c r="E35" s="67">
        <v>3.5599999999999998E-3</v>
      </c>
      <c r="F35" s="62">
        <f t="shared" si="2"/>
        <v>6.8993155276067926E-7</v>
      </c>
      <c r="G35" s="97">
        <v>1.08E-3</v>
      </c>
      <c r="H35" s="62">
        <f t="shared" si="0"/>
        <v>2.7204504757880524E-6</v>
      </c>
      <c r="I35" s="102">
        <v>1.73E-3</v>
      </c>
      <c r="J35" s="62">
        <f t="shared" ref="J35" si="64">+(I35-$B35)^2</f>
        <v>9.9875801612362005E-7</v>
      </c>
      <c r="K35" s="97">
        <v>1.14E-3</v>
      </c>
      <c r="L35" s="62">
        <f t="shared" si="39"/>
        <v>2.5261250179728744E-6</v>
      </c>
      <c r="M35" s="102">
        <v>7.4747479999999998E-3</v>
      </c>
      <c r="N35" s="62">
        <f t="shared" ref="N35:V35" si="65">+(M35-$B35)^2</f>
        <v>2.2518528700747113E-5</v>
      </c>
      <c r="O35" s="102">
        <v>1.4189999999999999E-3</v>
      </c>
      <c r="P35" s="62">
        <f t="shared" si="65"/>
        <v>1.7170926391322948E-6</v>
      </c>
      <c r="Q35" s="97">
        <v>3.669E-3</v>
      </c>
      <c r="R35" s="62">
        <f t="shared" si="65"/>
        <v>8.8288797106310537E-7</v>
      </c>
      <c r="S35" s="98">
        <v>7.3999999999999999E-4</v>
      </c>
      <c r="T35" s="95">
        <f t="shared" si="65"/>
        <v>3.9576280700740624E-6</v>
      </c>
      <c r="U35" s="98">
        <v>8.5999999999999998E-4</v>
      </c>
      <c r="V35" s="95">
        <f t="shared" si="65"/>
        <v>3.4945771544437062E-6</v>
      </c>
      <c r="W35" s="97">
        <v>1.2600000000000001E-3</v>
      </c>
      <c r="X35" s="95">
        <f t="shared" si="6"/>
        <v>2.1590741023425169E-6</v>
      </c>
      <c r="Y35" s="97">
        <v>8.6399999999999997E-4</v>
      </c>
      <c r="Z35" s="95">
        <f t="shared" si="7"/>
        <v>3.4796381239226946E-6</v>
      </c>
      <c r="AA35" s="97">
        <v>1.68801E-3</v>
      </c>
      <c r="AB35" s="95">
        <f t="shared" si="1"/>
        <v>1.0844490091179423E-6</v>
      </c>
      <c r="AC35">
        <v>1.093E-3</v>
      </c>
      <c r="AD35" s="95">
        <f t="shared" si="1"/>
        <v>2.6777356265947637E-6</v>
      </c>
      <c r="AE35">
        <v>7.5000000000000002E-4</v>
      </c>
      <c r="AF35" s="95">
        <f t="shared" si="1"/>
        <v>3.917940493771534E-6</v>
      </c>
    </row>
    <row r="36" spans="1:32">
      <c r="A36" s="63">
        <v>31</v>
      </c>
      <c r="B36" s="78">
        <f>+QxM!U33/1000</f>
        <v>2.8991946335638124E-3</v>
      </c>
      <c r="C36" s="123">
        <v>1.2700000000000001E-3</v>
      </c>
      <c r="D36" s="62">
        <f t="shared" si="43"/>
        <v>2.6542751540331249E-6</v>
      </c>
      <c r="E36" s="67">
        <v>3.7299999999999998E-3</v>
      </c>
      <c r="F36" s="62">
        <f t="shared" si="2"/>
        <v>6.9023755689916755E-7</v>
      </c>
      <c r="G36" s="97">
        <v>1.1299999999999999E-3</v>
      </c>
      <c r="H36" s="62">
        <f t="shared" si="0"/>
        <v>3.1300496514309927E-6</v>
      </c>
      <c r="I36" s="102">
        <v>1.7799999999999999E-3</v>
      </c>
      <c r="J36" s="62">
        <f t="shared" ref="J36" si="66">+(I36-$B36)^2</f>
        <v>1.2525966277980366E-6</v>
      </c>
      <c r="K36" s="97">
        <v>1.1299999999999999E-3</v>
      </c>
      <c r="L36" s="62">
        <f t="shared" si="39"/>
        <v>3.1300496514309927E-6</v>
      </c>
      <c r="M36" s="102">
        <v>7.6167422999999998E-3</v>
      </c>
      <c r="N36" s="62">
        <f t="shared" ref="N36:V36" si="67">+(M36-$B36)^2</f>
        <v>2.2255255985097516E-5</v>
      </c>
      <c r="O36" s="102">
        <v>1.4450000000000001E-3</v>
      </c>
      <c r="P36" s="62">
        <f t="shared" si="67"/>
        <v>2.1146820322857905E-6</v>
      </c>
      <c r="Q36" s="97">
        <v>3.7780000000000001E-3</v>
      </c>
      <c r="R36" s="62">
        <f t="shared" si="67"/>
        <v>7.7229887207704213E-7</v>
      </c>
      <c r="S36" s="98">
        <v>7.2000000000000005E-4</v>
      </c>
      <c r="T36" s="95">
        <f t="shared" si="67"/>
        <v>4.7488892509533179E-6</v>
      </c>
      <c r="U36" s="98">
        <v>8.8999999999999995E-4</v>
      </c>
      <c r="V36" s="95">
        <f t="shared" si="67"/>
        <v>4.0368630755416219E-6</v>
      </c>
      <c r="W36" s="97">
        <v>1.2700000000000001E-3</v>
      </c>
      <c r="X36" s="95">
        <f t="shared" si="6"/>
        <v>2.6542751540331249E-6</v>
      </c>
      <c r="Y36" s="97">
        <v>9.3899999999999995E-4</v>
      </c>
      <c r="Z36" s="95">
        <f t="shared" si="7"/>
        <v>3.8423630014523696E-6</v>
      </c>
      <c r="AA36" s="97">
        <v>1.71751E-3</v>
      </c>
      <c r="AB36" s="95">
        <f t="shared" si="1"/>
        <v>1.3963785732008416E-6</v>
      </c>
      <c r="AC36">
        <v>1.137E-3</v>
      </c>
      <c r="AD36" s="95">
        <f t="shared" si="1"/>
        <v>3.1053299265610993E-6</v>
      </c>
      <c r="AE36">
        <v>7.9000000000000001E-4</v>
      </c>
      <c r="AF36" s="95">
        <f t="shared" si="1"/>
        <v>4.4487020022543857E-6</v>
      </c>
    </row>
    <row r="37" spans="1:32">
      <c r="A37" s="63">
        <v>32</v>
      </c>
      <c r="B37" s="78">
        <f>+QxM!U34/1000</f>
        <v>3.0795760107398956E-3</v>
      </c>
      <c r="C37" s="123">
        <v>1.33E-3</v>
      </c>
      <c r="D37" s="62">
        <f t="shared" si="43"/>
        <v>3.0610162173565275E-6</v>
      </c>
      <c r="E37" s="67">
        <v>3.9199999999999999E-3</v>
      </c>
      <c r="F37" s="62">
        <f t="shared" si="2"/>
        <v>7.0631248172386787E-7</v>
      </c>
      <c r="G37" s="97">
        <v>1.1800000000000001E-3</v>
      </c>
      <c r="H37" s="62">
        <f t="shared" si="0"/>
        <v>3.608389020578496E-6</v>
      </c>
      <c r="I37" s="102">
        <v>1.83E-3</v>
      </c>
      <c r="J37" s="62">
        <f t="shared" ref="J37" si="68">+(I37-$B37)^2</f>
        <v>1.5614402066166317E-6</v>
      </c>
      <c r="K37" s="97">
        <v>1.14E-3</v>
      </c>
      <c r="L37" s="62">
        <f t="shared" si="39"/>
        <v>3.761955101437688E-6</v>
      </c>
      <c r="M37" s="102">
        <v>7.7723536999999999E-3</v>
      </c>
      <c r="N37" s="62">
        <f t="shared" ref="N37:V37" si="69">+(M37-$B37)^2</f>
        <v>2.2022162440817403E-5</v>
      </c>
      <c r="O37" s="102">
        <v>1.4779999999999999E-3</v>
      </c>
      <c r="P37" s="62">
        <f t="shared" si="69"/>
        <v>2.5650457181775187E-6</v>
      </c>
      <c r="Q37" s="97">
        <v>3.901E-3</v>
      </c>
      <c r="R37" s="62">
        <f t="shared" si="69"/>
        <v>6.7473737013198405E-7</v>
      </c>
      <c r="S37" s="98">
        <v>7.1000000000000002E-4</v>
      </c>
      <c r="T37" s="95">
        <f t="shared" si="69"/>
        <v>5.6148904706739974E-6</v>
      </c>
      <c r="U37" s="98">
        <v>9.2000000000000003E-4</v>
      </c>
      <c r="V37" s="95">
        <f t="shared" si="69"/>
        <v>4.6637685461632429E-6</v>
      </c>
      <c r="W37" s="97">
        <v>1.2899999999999999E-3</v>
      </c>
      <c r="X37" s="95">
        <f t="shared" si="6"/>
        <v>3.2025822982157194E-6</v>
      </c>
      <c r="Y37" s="97">
        <v>1.07E-3</v>
      </c>
      <c r="Z37" s="95">
        <f t="shared" si="7"/>
        <v>4.038395742941274E-6</v>
      </c>
      <c r="AA37" s="97">
        <v>1.75121E-3</v>
      </c>
      <c r="AB37" s="95">
        <f t="shared" si="1"/>
        <v>1.7645562584890245E-6</v>
      </c>
      <c r="AC37">
        <v>1.194E-3</v>
      </c>
      <c r="AD37" s="95">
        <f t="shared" si="1"/>
        <v>3.555396892277779E-6</v>
      </c>
      <c r="AE37">
        <v>8.4000000000000003E-4</v>
      </c>
      <c r="AF37" s="95">
        <f t="shared" si="1"/>
        <v>5.0157007078816252E-6</v>
      </c>
    </row>
    <row r="38" spans="1:32">
      <c r="A38" s="63">
        <v>33</v>
      </c>
      <c r="B38" s="78">
        <f>+QxM!U35/1000</f>
        <v>3.2711803119843579E-3</v>
      </c>
      <c r="C38" s="123">
        <v>1.39E-3</v>
      </c>
      <c r="D38" s="62">
        <f t="shared" si="43"/>
        <v>3.5388393661975664E-6</v>
      </c>
      <c r="E38" s="67">
        <v>4.1200000000000004E-3</v>
      </c>
      <c r="F38" s="62">
        <f t="shared" si="2"/>
        <v>7.2049486276297268E-7</v>
      </c>
      <c r="G38" s="97">
        <v>1.24E-3</v>
      </c>
      <c r="H38" s="62">
        <f t="shared" si="0"/>
        <v>4.1256934597928739E-6</v>
      </c>
      <c r="I38" s="102">
        <v>1.91E-3</v>
      </c>
      <c r="J38" s="62">
        <f t="shared" ref="J38" si="70">+(I38-$B38)^2</f>
        <v>1.8528118417338339E-6</v>
      </c>
      <c r="K38" s="97">
        <v>1.16E-3</v>
      </c>
      <c r="L38" s="62">
        <f t="shared" si="39"/>
        <v>4.4570823097103703E-6</v>
      </c>
      <c r="M38" s="102">
        <v>7.9637944999999995E-3</v>
      </c>
      <c r="N38" s="62">
        <f t="shared" ref="N38:V38" si="71">+(M38-$B38)^2</f>
        <v>2.20206279175657E-5</v>
      </c>
      <c r="O38" s="102">
        <v>1.519E-3</v>
      </c>
      <c r="P38" s="62">
        <f t="shared" si="71"/>
        <v>3.0701358457056021E-6</v>
      </c>
      <c r="Q38" s="97">
        <v>4.0020000000000003E-3</v>
      </c>
      <c r="R38" s="62">
        <f t="shared" si="71"/>
        <v>5.3409741639128099E-7</v>
      </c>
      <c r="S38" s="98">
        <v>7.1000000000000002E-4</v>
      </c>
      <c r="T38" s="95">
        <f t="shared" si="71"/>
        <v>6.5596445904962919E-6</v>
      </c>
      <c r="U38" s="98">
        <v>9.6000000000000002E-4</v>
      </c>
      <c r="V38" s="95">
        <f t="shared" si="71"/>
        <v>5.3415544345041145E-6</v>
      </c>
      <c r="W38" s="97">
        <v>1.3500000000000001E-3</v>
      </c>
      <c r="X38" s="95">
        <f t="shared" si="6"/>
        <v>3.6909337911563144E-6</v>
      </c>
      <c r="Y38" s="97">
        <v>1.0839999999999999E-3</v>
      </c>
      <c r="Z38" s="95">
        <f t="shared" si="7"/>
        <v>4.7837577171319937E-6</v>
      </c>
      <c r="AA38" s="97">
        <v>1.7897099999999999E-3</v>
      </c>
      <c r="AB38" s="95">
        <f t="shared" si="1"/>
        <v>2.194754285291031E-6</v>
      </c>
      <c r="AC38">
        <v>1.2650000000000001E-3</v>
      </c>
      <c r="AD38" s="95">
        <f t="shared" si="1"/>
        <v>4.0247594441936553E-6</v>
      </c>
      <c r="AE38">
        <v>8.8999999999999995E-4</v>
      </c>
      <c r="AF38" s="95">
        <f t="shared" si="1"/>
        <v>5.6700196781819236E-6</v>
      </c>
    </row>
    <row r="39" spans="1:32">
      <c r="A39" s="63">
        <v>34</v>
      </c>
      <c r="B39" s="78">
        <f>+QxM!U36/1000</f>
        <v>3.4747058024208878E-3</v>
      </c>
      <c r="C39" s="123">
        <v>1.4499999999999999E-3</v>
      </c>
      <c r="D39" s="62">
        <f t="shared" si="43"/>
        <v>4.0994335863568115E-6</v>
      </c>
      <c r="E39" s="67">
        <v>4.3499999999999997E-3</v>
      </c>
      <c r="F39" s="62">
        <f t="shared" si="2"/>
        <v>7.6613993231566141E-7</v>
      </c>
      <c r="G39" s="97">
        <v>1.31E-3</v>
      </c>
      <c r="H39" s="62">
        <f t="shared" si="0"/>
        <v>4.6859512110346596E-6</v>
      </c>
      <c r="I39" s="102">
        <v>2E-3</v>
      </c>
      <c r="J39" s="62">
        <f t="shared" ref="J39" si="72">+(I39-$B39)^2</f>
        <v>2.1747572036938345E-6</v>
      </c>
      <c r="K39" s="97">
        <v>1.1899999999999999E-3</v>
      </c>
      <c r="L39" s="62">
        <f t="shared" ref="L39:L54" si="73">+(K39-$B39)^2</f>
        <v>5.2198806036156742E-6</v>
      </c>
      <c r="M39" s="102">
        <v>8.1593246999999997E-3</v>
      </c>
      <c r="N39" s="62">
        <f t="shared" ref="N39:V39" si="74">+(M39-$B39)^2</f>
        <v>2.1945654215555329E-5</v>
      </c>
      <c r="O39" s="102">
        <v>1.5690000000000001E-3</v>
      </c>
      <c r="P39" s="62">
        <f t="shared" si="74"/>
        <v>3.6317146053806395E-6</v>
      </c>
      <c r="Q39" s="97">
        <v>4.1269999999999996E-3</v>
      </c>
      <c r="R39" s="62">
        <f t="shared" si="74"/>
        <v>4.2548772019537733E-7</v>
      </c>
      <c r="S39" s="98">
        <v>7.1000000000000002E-4</v>
      </c>
      <c r="T39" s="95">
        <f t="shared" si="74"/>
        <v>7.6435981739397238E-6</v>
      </c>
      <c r="U39" s="98">
        <v>1E-3</v>
      </c>
      <c r="V39" s="95">
        <f t="shared" si="74"/>
        <v>6.1241688085356104E-6</v>
      </c>
      <c r="W39" s="97">
        <v>1.42E-3</v>
      </c>
      <c r="X39" s="95">
        <f t="shared" si="6"/>
        <v>4.2218159345020648E-6</v>
      </c>
      <c r="Y39" s="97">
        <v>1.098E-3</v>
      </c>
      <c r="Z39" s="95">
        <f t="shared" si="7"/>
        <v>5.6487304712611156E-6</v>
      </c>
      <c r="AA39" s="97">
        <v>1.8337E-3</v>
      </c>
      <c r="AB39" s="95">
        <f t="shared" si="1"/>
        <v>2.6929000435790219E-6</v>
      </c>
      <c r="AC39">
        <v>1.351E-3</v>
      </c>
      <c r="AD39" s="95">
        <f t="shared" si="1"/>
        <v>4.5101263352361457E-6</v>
      </c>
      <c r="AE39">
        <v>9.3999999999999997E-4</v>
      </c>
      <c r="AF39" s="95">
        <f t="shared" si="1"/>
        <v>6.4247335048261172E-6</v>
      </c>
    </row>
    <row r="40" spans="1:32">
      <c r="A40" s="63">
        <v>35</v>
      </c>
      <c r="B40" s="78">
        <f>+QxM!U37/1000</f>
        <v>3.69089419166054E-3</v>
      </c>
      <c r="C40" s="123">
        <v>1.5300000000000001E-3</v>
      </c>
      <c r="D40" s="62">
        <f t="shared" si="43"/>
        <v>4.6694637075522584E-6</v>
      </c>
      <c r="E40" s="67">
        <v>4.5900000000000003E-3</v>
      </c>
      <c r="F40" s="62">
        <f t="shared" si="2"/>
        <v>8.0839125458975442E-7</v>
      </c>
      <c r="G40" s="97">
        <v>1.41E-3</v>
      </c>
      <c r="H40" s="62">
        <f t="shared" si="0"/>
        <v>5.2024783135507893E-6</v>
      </c>
      <c r="I40" s="102">
        <v>2.1099999999999999E-3</v>
      </c>
      <c r="J40" s="62">
        <f t="shared" ref="J40" si="75">+(I40-$B40)^2</f>
        <v>2.4992264452260323E-6</v>
      </c>
      <c r="K40" s="97">
        <v>1.24E-3</v>
      </c>
      <c r="L40" s="62">
        <f t="shared" si="73"/>
        <v>6.0068823387153728E-6</v>
      </c>
      <c r="M40" s="102">
        <v>8.3701920999999999E-3</v>
      </c>
      <c r="N40" s="62">
        <f t="shared" ref="N40:V40" si="76">+(M40-$B40)^2</f>
        <v>2.1895828914990043E-5</v>
      </c>
      <c r="O40" s="102">
        <v>1.6310000000000001E-3</v>
      </c>
      <c r="P40" s="62">
        <f t="shared" si="76"/>
        <v>4.2431640808368292E-6</v>
      </c>
      <c r="Q40" s="97">
        <v>4.2420000000000001E-3</v>
      </c>
      <c r="R40" s="62">
        <f t="shared" si="76"/>
        <v>3.0371761198548973E-7</v>
      </c>
      <c r="S40" s="98">
        <v>7.2999999999999996E-4</v>
      </c>
      <c r="T40" s="95">
        <f t="shared" si="76"/>
        <v>8.7668944142091241E-6</v>
      </c>
      <c r="U40" s="98">
        <v>1.0499999999999999E-3</v>
      </c>
      <c r="V40" s="95">
        <f t="shared" si="76"/>
        <v>6.9743221315463788E-6</v>
      </c>
      <c r="W40" s="97">
        <v>1.49E-3</v>
      </c>
      <c r="X40" s="95">
        <f t="shared" si="6"/>
        <v>4.8439352428851021E-6</v>
      </c>
      <c r="Y40" s="97">
        <v>1.1119999999999999E-3</v>
      </c>
      <c r="Z40" s="95">
        <f t="shared" si="7"/>
        <v>6.6506952517804692E-6</v>
      </c>
      <c r="AA40" s="97">
        <v>1.8839600000000001E-3</v>
      </c>
      <c r="AB40" s="95">
        <f t="shared" si="1"/>
        <v>3.2650111729919289E-6</v>
      </c>
      <c r="AC40">
        <v>1.4519999999999999E-3</v>
      </c>
      <c r="AD40" s="95">
        <f t="shared" si="1"/>
        <v>5.0126472014513022E-6</v>
      </c>
      <c r="AE40">
        <v>1E-3</v>
      </c>
      <c r="AF40" s="95">
        <f t="shared" si="1"/>
        <v>7.2409115507124311E-6</v>
      </c>
    </row>
    <row r="41" spans="1:32">
      <c r="A41" s="63">
        <v>36</v>
      </c>
      <c r="B41" s="78">
        <f>+QxM!U38/1000</f>
        <v>3.9205333368201555E-3</v>
      </c>
      <c r="C41" s="123">
        <v>1.6100000000000001E-3</v>
      </c>
      <c r="D41" s="62">
        <f t="shared" si="43"/>
        <v>5.3385643005572804E-6</v>
      </c>
      <c r="E41" s="67">
        <v>4.8599999999999997E-3</v>
      </c>
      <c r="F41" s="62">
        <f t="shared" si="2"/>
        <v>8.8259761122627103E-7</v>
      </c>
      <c r="G41" s="97">
        <v>1.5299999999999999E-3</v>
      </c>
      <c r="H41" s="62">
        <f t="shared" si="0"/>
        <v>5.7146496344485062E-6</v>
      </c>
      <c r="I41" s="102">
        <v>2.2399999999999998E-3</v>
      </c>
      <c r="J41" s="62">
        <f t="shared" ref="J41" si="77">+(I41-$B41)^2</f>
        <v>2.8241922961638869E-6</v>
      </c>
      <c r="K41" s="97">
        <v>1.31E-3</v>
      </c>
      <c r="L41" s="62">
        <f t="shared" si="73"/>
        <v>6.814884302649375E-6</v>
      </c>
      <c r="M41" s="102">
        <v>8.5969472999999994E-3</v>
      </c>
      <c r="N41" s="62">
        <f t="shared" ref="N41:V41" si="78">+(M41-$B41)^2</f>
        <v>2.1868847555023416E-5</v>
      </c>
      <c r="O41" s="102">
        <v>1.709E-3</v>
      </c>
      <c r="P41" s="62">
        <f t="shared" si="78"/>
        <v>4.890879699866891E-6</v>
      </c>
      <c r="Q41" s="97">
        <v>4.3829999999999997E-3</v>
      </c>
      <c r="R41" s="62">
        <f t="shared" si="78"/>
        <v>2.1387541455269955E-7</v>
      </c>
      <c r="S41" s="98">
        <v>7.6000000000000004E-4</v>
      </c>
      <c r="T41" s="95">
        <f t="shared" si="78"/>
        <v>9.9889709731515453E-6</v>
      </c>
      <c r="U41" s="98">
        <v>1.1199999999999999E-3</v>
      </c>
      <c r="V41" s="95">
        <f t="shared" si="78"/>
        <v>7.8429869706410355E-6</v>
      </c>
      <c r="W41" s="97">
        <v>1.57E-3</v>
      </c>
      <c r="X41" s="95">
        <f t="shared" si="6"/>
        <v>5.5250069675028936E-6</v>
      </c>
      <c r="Y41" s="97">
        <v>1.126E-3</v>
      </c>
      <c r="Z41" s="95">
        <f t="shared" si="7"/>
        <v>7.8094165705991902E-6</v>
      </c>
      <c r="AA41" s="97">
        <v>1.94137E-3</v>
      </c>
      <c r="AB41" s="95">
        <f t="shared" si="1"/>
        <v>3.9170875138130924E-6</v>
      </c>
      <c r="AC41">
        <v>1.57E-3</v>
      </c>
      <c r="AD41" s="95">
        <f t="shared" si="1"/>
        <v>5.5250069675028936E-6</v>
      </c>
      <c r="AE41">
        <v>1.07E-3</v>
      </c>
      <c r="AF41" s="95">
        <f t="shared" si="1"/>
        <v>8.1255403043230508E-6</v>
      </c>
    </row>
    <row r="42" spans="1:32">
      <c r="A42" s="63">
        <v>37</v>
      </c>
      <c r="B42" s="78">
        <f>+QxM!U39/1000</f>
        <v>4.1644601137164859E-3</v>
      </c>
      <c r="C42" s="123">
        <v>1.6999999999999999E-3</v>
      </c>
      <c r="D42" s="62">
        <f t="shared" si="43"/>
        <v>6.0735636520994743E-6</v>
      </c>
      <c r="E42" s="67">
        <v>5.1500000000000001E-3</v>
      </c>
      <c r="F42" s="62">
        <f t="shared" si="2"/>
        <v>9.7128886745572202E-7</v>
      </c>
      <c r="G42" s="97">
        <v>1.6800000000000001E-3</v>
      </c>
      <c r="H42" s="62">
        <f t="shared" si="0"/>
        <v>6.1725420566481334E-6</v>
      </c>
      <c r="I42" s="102">
        <v>2.3999999999999998E-3</v>
      </c>
      <c r="J42" s="62">
        <f t="shared" ref="J42" si="79">+(I42-$B42)^2</f>
        <v>3.1133194928963949E-6</v>
      </c>
      <c r="K42" s="97">
        <v>1.39E-3</v>
      </c>
      <c r="L42" s="62">
        <f t="shared" si="73"/>
        <v>7.6976289226036976E-6</v>
      </c>
      <c r="M42" s="102">
        <v>8.8626945000000006E-3</v>
      </c>
      <c r="N42" s="62">
        <f t="shared" ref="N42:V42" si="80">+(M42-$B42)^2</f>
        <v>2.2073406348456833E-5</v>
      </c>
      <c r="O42" s="102">
        <v>1.807E-3</v>
      </c>
      <c r="P42" s="62">
        <f t="shared" si="80"/>
        <v>5.5576181877641465E-6</v>
      </c>
      <c r="Q42" s="97">
        <v>4.5380000000000004E-3</v>
      </c>
      <c r="R42" s="62">
        <f t="shared" si="80"/>
        <v>1.3953204664470091E-7</v>
      </c>
      <c r="S42" s="98">
        <v>7.9000000000000001E-4</v>
      </c>
      <c r="T42" s="95">
        <f t="shared" si="80"/>
        <v>1.138698105906348E-5</v>
      </c>
      <c r="U42" s="98">
        <v>1.1900000000000001E-3</v>
      </c>
      <c r="V42" s="95">
        <f t="shared" si="80"/>
        <v>8.8474129680902901E-6</v>
      </c>
      <c r="W42" s="97">
        <v>1.66E-3</v>
      </c>
      <c r="X42" s="95">
        <f t="shared" si="6"/>
        <v>6.2723204611967934E-6</v>
      </c>
      <c r="Y42" s="97">
        <v>1.14E-3</v>
      </c>
      <c r="Z42" s="95">
        <f t="shared" si="7"/>
        <v>9.147358979461939E-6</v>
      </c>
      <c r="AA42" s="97">
        <v>2.0069599999999999E-3</v>
      </c>
      <c r="AB42" s="95">
        <f t="shared" si="1"/>
        <v>4.65480674068665E-6</v>
      </c>
      <c r="AC42">
        <v>1.7049999999999999E-3</v>
      </c>
      <c r="AD42" s="95">
        <f t="shared" si="1"/>
        <v>6.04894405096231E-6</v>
      </c>
      <c r="AE42">
        <v>1.14E-3</v>
      </c>
      <c r="AF42" s="95">
        <f t="shared" si="1"/>
        <v>9.147358979461939E-6</v>
      </c>
    </row>
    <row r="43" spans="1:32">
      <c r="A43" s="63">
        <v>38</v>
      </c>
      <c r="B43" s="78">
        <f>+QxM!U40/1000</f>
        <v>4.4235634666996062E-3</v>
      </c>
      <c r="C43" s="123">
        <v>1.8E-3</v>
      </c>
      <c r="D43" s="62">
        <f t="shared" si="43"/>
        <v>6.8830852638008559E-6</v>
      </c>
      <c r="E43" s="67">
        <v>5.4599999999999996E-3</v>
      </c>
      <c r="F43" s="62">
        <f t="shared" si="2"/>
        <v>1.0742006875597375E-6</v>
      </c>
      <c r="G43" s="97">
        <v>1.8799999999999999E-3</v>
      </c>
      <c r="H43" s="62">
        <f t="shared" si="0"/>
        <v>6.4697151091289198E-6</v>
      </c>
      <c r="I43" s="102">
        <v>2.5799999999999998E-3</v>
      </c>
      <c r="J43" s="62">
        <f t="shared" ref="J43" si="81">+(I43-$B43)^2</f>
        <v>3.3987262557494706E-6</v>
      </c>
      <c r="K43" s="97">
        <v>1.49E-3</v>
      </c>
      <c r="L43" s="62">
        <f t="shared" si="73"/>
        <v>8.6057946131546111E-6</v>
      </c>
      <c r="M43" s="102">
        <v>9.1462021000000004E-3</v>
      </c>
      <c r="N43" s="62">
        <f t="shared" ref="N43:V43" si="82">+(M43-$B43)^2</f>
        <v>2.2303315660741415E-5</v>
      </c>
      <c r="O43" s="102">
        <v>1.9269999999999999E-3</v>
      </c>
      <c r="P43" s="62">
        <f t="shared" si="82"/>
        <v>6.2328291432591559E-6</v>
      </c>
      <c r="Q43" s="97">
        <v>4.7200000000000002E-3</v>
      </c>
      <c r="R43" s="62">
        <f t="shared" si="82"/>
        <v>8.7874618275155624E-8</v>
      </c>
      <c r="S43" s="98">
        <v>8.4000000000000003E-4</v>
      </c>
      <c r="T43" s="95">
        <f t="shared" si="82"/>
        <v>1.2841927119864099E-5</v>
      </c>
      <c r="U43" s="98">
        <v>1.2800000000000001E-3</v>
      </c>
      <c r="V43" s="95">
        <f t="shared" si="82"/>
        <v>9.881991269168446E-6</v>
      </c>
      <c r="W43" s="97">
        <v>1.7600000000000001E-3</v>
      </c>
      <c r="X43" s="95">
        <f t="shared" si="6"/>
        <v>7.0945703411368226E-6</v>
      </c>
      <c r="Y43" s="97">
        <v>1.3270000000000001E-3</v>
      </c>
      <c r="Z43" s="95">
        <f t="shared" si="7"/>
        <v>9.5887053032986821E-6</v>
      </c>
      <c r="AA43" s="97">
        <v>2.0818899999999999E-3</v>
      </c>
      <c r="AB43" s="95">
        <f t="shared" si="1"/>
        <v>5.4834346246449522E-6</v>
      </c>
      <c r="AC43">
        <v>1.859E-3</v>
      </c>
      <c r="AD43" s="95">
        <f t="shared" si="1"/>
        <v>6.5769857747303026E-6</v>
      </c>
      <c r="AE43">
        <v>1.2199999999999999E-3</v>
      </c>
      <c r="AF43" s="95">
        <f t="shared" si="1"/>
        <v>1.02628188851724E-5</v>
      </c>
    </row>
    <row r="44" spans="1:32">
      <c r="A44" s="63">
        <v>39</v>
      </c>
      <c r="B44" s="78">
        <f>+QxM!U41/1000</f>
        <v>4.6987876482400609E-3</v>
      </c>
      <c r="C44" s="123">
        <v>1.91E-3</v>
      </c>
      <c r="D44" s="62">
        <f t="shared" si="43"/>
        <v>7.7773365469763277E-6</v>
      </c>
      <c r="E44" s="67">
        <v>5.8100000000000001E-3</v>
      </c>
      <c r="F44" s="62">
        <f t="shared" si="2"/>
        <v>1.2347928907038548E-6</v>
      </c>
      <c r="G44" s="97">
        <v>2.0999999999999999E-3</v>
      </c>
      <c r="H44" s="62">
        <f t="shared" si="0"/>
        <v>6.7536972406451066E-6</v>
      </c>
      <c r="I44" s="102">
        <v>2.7899999999999999E-3</v>
      </c>
      <c r="J44" s="62">
        <f t="shared" ref="J44" si="83">+(I44-$B44)^2</f>
        <v>3.6434702860738227E-6</v>
      </c>
      <c r="K44" s="97">
        <v>1.5900000000000001E-3</v>
      </c>
      <c r="L44" s="62">
        <f t="shared" si="73"/>
        <v>9.6645606418499675E-6</v>
      </c>
      <c r="M44" s="102">
        <v>9.4482244E-3</v>
      </c>
      <c r="N44" s="62">
        <f t="shared" ref="N44:V44" si="84">+(M44-$B44)^2</f>
        <v>2.2557149458968003E-5</v>
      </c>
      <c r="O44" s="102">
        <v>2.0699999999999998E-3</v>
      </c>
      <c r="P44" s="62">
        <f t="shared" si="84"/>
        <v>6.9105244995395111E-6</v>
      </c>
      <c r="Q44" s="97">
        <v>4.9160000000000002E-3</v>
      </c>
      <c r="R44" s="62">
        <f t="shared" si="84"/>
        <v>4.7181205757083633E-8</v>
      </c>
      <c r="S44" s="98">
        <v>8.9999999999999998E-4</v>
      </c>
      <c r="T44" s="95">
        <f t="shared" si="84"/>
        <v>1.4430787596421253E-5</v>
      </c>
      <c r="U44" s="98">
        <v>1.3699999999999999E-3</v>
      </c>
      <c r="V44" s="95">
        <f t="shared" si="84"/>
        <v>1.1080827207075598E-5</v>
      </c>
      <c r="W44" s="97">
        <v>1.8600000000000001E-3</v>
      </c>
      <c r="X44" s="95">
        <f t="shared" si="6"/>
        <v>8.0587153118003349E-6</v>
      </c>
      <c r="Y44" s="97">
        <v>1.508E-3</v>
      </c>
      <c r="Z44" s="95">
        <f t="shared" si="7"/>
        <v>1.0181125816161339E-5</v>
      </c>
      <c r="AA44" s="97">
        <v>2.1675000000000002E-3</v>
      </c>
      <c r="AB44" s="95">
        <f t="shared" si="1"/>
        <v>6.4074171581326975E-6</v>
      </c>
      <c r="AC44">
        <v>2.0309999999999998E-3</v>
      </c>
      <c r="AD44" s="95">
        <f t="shared" si="1"/>
        <v>7.1170909361022353E-6</v>
      </c>
      <c r="AE44">
        <v>1.2899999999999999E-3</v>
      </c>
      <c r="AF44" s="95">
        <f t="shared" si="1"/>
        <v>1.1619833230794005E-5</v>
      </c>
    </row>
    <row r="45" spans="1:32">
      <c r="A45" s="63">
        <v>40</v>
      </c>
      <c r="B45" s="78">
        <f>+QxM!U42/1000</f>
        <v>4.9911356600758992E-3</v>
      </c>
      <c r="C45" s="123">
        <v>2.0299999999999997E-3</v>
      </c>
      <c r="D45" s="62">
        <f t="shared" si="43"/>
        <v>8.7683243973731331E-6</v>
      </c>
      <c r="E45" s="67">
        <v>6.1799999999999997E-3</v>
      </c>
      <c r="F45" s="62">
        <f t="shared" si="2"/>
        <v>1.4133984187431673E-6</v>
      </c>
      <c r="G45" s="97">
        <v>2.3600000000000001E-3</v>
      </c>
      <c r="H45" s="62">
        <f t="shared" si="0"/>
        <v>6.9228748617230371E-6</v>
      </c>
      <c r="I45" s="102">
        <v>3.0200000000000001E-3</v>
      </c>
      <c r="J45" s="62">
        <f t="shared" ref="J45" si="85">+(I45-$B45)^2</f>
        <v>3.8853757904228504E-6</v>
      </c>
      <c r="K45" s="97">
        <v>1.72E-3</v>
      </c>
      <c r="L45" s="62">
        <f t="shared" si="73"/>
        <v>1.0700328506620187E-5</v>
      </c>
      <c r="M45" s="102">
        <v>9.7811371999999997E-3</v>
      </c>
      <c r="N45" s="62">
        <f t="shared" ref="N45:V45" si="86">+(M45-$B45)^2</f>
        <v>2.2944114752475255E-5</v>
      </c>
      <c r="O45" s="102">
        <v>2.2339999999999999E-3</v>
      </c>
      <c r="P45" s="62">
        <f t="shared" si="86"/>
        <v>7.6017970480621647E-6</v>
      </c>
      <c r="Q45" s="97">
        <v>5.1279999999999997E-3</v>
      </c>
      <c r="R45" s="62">
        <f t="shared" si="86"/>
        <v>1.8731847542859753E-8</v>
      </c>
      <c r="S45" s="98">
        <v>9.7000000000000005E-4</v>
      </c>
      <c r="T45" s="95">
        <f t="shared" si="86"/>
        <v>1.6169531996734033E-5</v>
      </c>
      <c r="U45" s="98">
        <v>1.48E-3</v>
      </c>
      <c r="V45" s="95">
        <f t="shared" si="86"/>
        <v>1.232807362345662E-5</v>
      </c>
      <c r="W45" s="97">
        <v>1.98E-3</v>
      </c>
      <c r="X45" s="95">
        <f t="shared" si="6"/>
        <v>9.0669379633807211E-6</v>
      </c>
      <c r="Y45" s="97">
        <v>1.6930000000000001E-3</v>
      </c>
      <c r="Z45" s="95">
        <f t="shared" si="7"/>
        <v>1.0877698832264286E-5</v>
      </c>
      <c r="AA45" s="97">
        <v>2.2653E-3</v>
      </c>
      <c r="AB45" s="95">
        <f t="shared" si="1"/>
        <v>7.430180045741413E-6</v>
      </c>
      <c r="AC45">
        <v>2.2239999999999998E-3</v>
      </c>
      <c r="AD45" s="95">
        <f t="shared" si="1"/>
        <v>7.6570397612636833E-6</v>
      </c>
      <c r="AE45">
        <v>1.3799999999999999E-3</v>
      </c>
      <c r="AF45" s="95">
        <f t="shared" si="1"/>
        <v>1.3040300755471799E-5</v>
      </c>
    </row>
    <row r="46" spans="1:32">
      <c r="A46" s="63">
        <v>41</v>
      </c>
      <c r="B46" s="78">
        <f>+QxM!U43/1000</f>
        <v>5.3016729084601E-3</v>
      </c>
      <c r="C46" s="123">
        <v>2.16E-3</v>
      </c>
      <c r="D46" s="62">
        <f t="shared" si="43"/>
        <v>9.8701086637521436E-6</v>
      </c>
      <c r="E46" s="67">
        <v>6.5900000000000004E-3</v>
      </c>
      <c r="F46" s="62">
        <f t="shared" si="2"/>
        <v>1.6597866947956589E-6</v>
      </c>
      <c r="G46" s="97">
        <v>2.65E-3</v>
      </c>
      <c r="H46" s="62">
        <f t="shared" si="0"/>
        <v>7.031369213461246E-6</v>
      </c>
      <c r="I46" s="102">
        <v>3.29E-3</v>
      </c>
      <c r="J46" s="62">
        <f t="shared" ref="J46" si="87">+(I46-$B46)^2</f>
        <v>4.0468278906323178E-6</v>
      </c>
      <c r="K46" s="97">
        <v>1.8700000000000001E-3</v>
      </c>
      <c r="L46" s="62">
        <f t="shared" si="73"/>
        <v>1.1776378950659001E-5</v>
      </c>
      <c r="M46" s="102">
        <v>1.01462989E-2</v>
      </c>
      <c r="N46" s="62">
        <f t="shared" ref="N46:V46" si="88">+(M46-$B46)^2</f>
        <v>2.3470400997903957E-5</v>
      </c>
      <c r="O46" s="102">
        <v>2.4199999999999998E-3</v>
      </c>
      <c r="P46" s="62">
        <f t="shared" si="88"/>
        <v>8.3040387513528927E-6</v>
      </c>
      <c r="Q46" s="97">
        <v>5.3810000000000004E-3</v>
      </c>
      <c r="R46" s="62">
        <f t="shared" si="88"/>
        <v>6.2927874521797307E-9</v>
      </c>
      <c r="S46" s="98">
        <v>1.0499999999999999E-3</v>
      </c>
      <c r="T46" s="95">
        <f t="shared" si="88"/>
        <v>1.8076722520533567E-5</v>
      </c>
      <c r="U46" s="98">
        <v>1.6100000000000001E-3</v>
      </c>
      <c r="V46" s="95">
        <f t="shared" si="88"/>
        <v>1.3628448863058251E-5</v>
      </c>
      <c r="W46" s="97">
        <v>2.1099999999999999E-3</v>
      </c>
      <c r="X46" s="95">
        <f t="shared" si="6"/>
        <v>1.0186775954598155E-5</v>
      </c>
      <c r="Y46" s="97">
        <v>1.8929999999999999E-3</v>
      </c>
      <c r="Z46" s="95">
        <f t="shared" si="7"/>
        <v>1.1619050996869838E-5</v>
      </c>
      <c r="AA46" s="97">
        <v>2.3770200000000001E-3</v>
      </c>
      <c r="AB46" s="95">
        <f t="shared" si="1"/>
        <v>8.5535946349641212E-6</v>
      </c>
      <c r="AC46">
        <v>2.4390000000000002E-3</v>
      </c>
      <c r="AD46" s="95">
        <f t="shared" si="1"/>
        <v>8.1948961808314062E-6</v>
      </c>
      <c r="AE46">
        <v>1.48E-3</v>
      </c>
      <c r="AF46" s="95">
        <f t="shared" si="1"/>
        <v>1.460518381925788E-5</v>
      </c>
    </row>
    <row r="47" spans="1:32">
      <c r="A47" s="63">
        <v>42</v>
      </c>
      <c r="B47" s="78">
        <f>+QxM!U44/1000</f>
        <v>5.6315310868293158E-3</v>
      </c>
      <c r="C47" s="123">
        <v>2.31E-3</v>
      </c>
      <c r="D47" s="62">
        <f t="shared" si="43"/>
        <v>1.1032568760773535E-5</v>
      </c>
      <c r="E47" s="67">
        <v>7.0299999999999998E-3</v>
      </c>
      <c r="F47" s="62">
        <f t="shared" si="2"/>
        <v>1.9557153011047942E-6</v>
      </c>
      <c r="G47" s="97">
        <v>2.9499999999999999E-3</v>
      </c>
      <c r="H47" s="62">
        <f t="shared" si="0"/>
        <v>7.190608969632012E-6</v>
      </c>
      <c r="I47" s="102">
        <v>3.5599999999999998E-3</v>
      </c>
      <c r="J47" s="62">
        <f t="shared" ref="J47" si="89">+(I47-$B47)^2</f>
        <v>4.2912410437002477E-6</v>
      </c>
      <c r="K47" s="97">
        <v>2.0499999999999997E-3</v>
      </c>
      <c r="L47" s="62">
        <f t="shared" si="73"/>
        <v>1.2827364925924783E-5</v>
      </c>
      <c r="M47" s="102">
        <v>1.0556986000000001E-2</v>
      </c>
      <c r="N47" s="62">
        <f t="shared" ref="N47:V47" si="90">+(M47-$B47)^2</f>
        <v>2.426010610167724E-5</v>
      </c>
      <c r="O47" s="102">
        <v>2.6280000000000001E-3</v>
      </c>
      <c r="P47" s="62">
        <f t="shared" si="90"/>
        <v>9.02119898955009E-6</v>
      </c>
      <c r="Q47" s="97">
        <v>5.7130000000000002E-3</v>
      </c>
      <c r="R47" s="62">
        <f t="shared" si="90"/>
        <v>6.6371838132125096E-9</v>
      </c>
      <c r="S47" s="98">
        <v>1.15E-3</v>
      </c>
      <c r="T47" s="95">
        <f t="shared" si="90"/>
        <v>2.0084120882217548E-5</v>
      </c>
      <c r="U47" s="98">
        <v>1.7600000000000001E-3</v>
      </c>
      <c r="V47" s="95">
        <f t="shared" si="90"/>
        <v>1.4988752956285781E-5</v>
      </c>
      <c r="W47" s="97">
        <v>2.2499999999999998E-3</v>
      </c>
      <c r="X47" s="95">
        <f t="shared" si="6"/>
        <v>1.1434752491193056E-5</v>
      </c>
      <c r="Y47" s="97">
        <v>2.1199999999999999E-3</v>
      </c>
      <c r="Z47" s="95">
        <f t="shared" si="7"/>
        <v>1.2330850573768676E-5</v>
      </c>
      <c r="AA47" s="97">
        <v>2.5046500000000002E-3</v>
      </c>
      <c r="AB47" s="95">
        <f t="shared" si="1"/>
        <v>9.7773853311708813E-6</v>
      </c>
      <c r="AC47">
        <v>2.6770000000000001E-3</v>
      </c>
      <c r="AD47" s="95">
        <f t="shared" si="1"/>
        <v>8.7292539430408176E-6</v>
      </c>
      <c r="AE47">
        <v>1.6100000000000001E-3</v>
      </c>
      <c r="AF47" s="95">
        <f t="shared" si="1"/>
        <v>1.6172712282334575E-5</v>
      </c>
    </row>
    <row r="48" spans="1:32">
      <c r="A48" s="63">
        <v>43</v>
      </c>
      <c r="B48" s="78">
        <f>+QxM!U45/1000</f>
        <v>5.9819123000435202E-3</v>
      </c>
      <c r="C48" s="123">
        <v>2.4700000000000004E-3</v>
      </c>
      <c r="D48" s="62">
        <f t="shared" si="43"/>
        <v>1.2333528003196966E-5</v>
      </c>
      <c r="E48" s="67">
        <v>7.5100000000000002E-3</v>
      </c>
      <c r="F48" s="62">
        <f t="shared" si="2"/>
        <v>2.3350520187582852E-6</v>
      </c>
      <c r="G48" s="97">
        <v>3.2799999999999999E-3</v>
      </c>
      <c r="H48" s="62">
        <f t="shared" si="0"/>
        <v>7.3003300771264662E-6</v>
      </c>
      <c r="I48" s="102">
        <v>3.8700000000000002E-3</v>
      </c>
      <c r="J48" s="62">
        <f t="shared" ref="J48" si="91">+(I48-$B48)^2</f>
        <v>4.4601735630751107E-6</v>
      </c>
      <c r="K48" s="97">
        <v>2.2699999999999999E-3</v>
      </c>
      <c r="L48" s="62">
        <f t="shared" si="73"/>
        <v>1.3778292923214377E-5</v>
      </c>
      <c r="M48" s="102">
        <v>1.09914991E-2</v>
      </c>
      <c r="N48" s="62">
        <f t="shared" ref="N48:V48" si="92">+(M48-$B48)^2</f>
        <v>2.5095959906298199E-5</v>
      </c>
      <c r="O48" s="102">
        <v>2.8600000000000001E-3</v>
      </c>
      <c r="P48" s="62">
        <f t="shared" si="92"/>
        <v>9.7463364091630212E-6</v>
      </c>
      <c r="Q48" s="97">
        <v>6.1019999999999998E-3</v>
      </c>
      <c r="R48" s="62">
        <f t="shared" si="92"/>
        <v>1.442105568083746E-8</v>
      </c>
      <c r="S48" s="98">
        <v>1.2600000000000001E-3</v>
      </c>
      <c r="T48" s="95">
        <f t="shared" si="92"/>
        <v>2.2296455769302288E-5</v>
      </c>
      <c r="U48" s="98">
        <v>1.92E-3</v>
      </c>
      <c r="V48" s="95">
        <f t="shared" si="92"/>
        <v>1.6499131533244843E-5</v>
      </c>
      <c r="W48" s="97">
        <v>2.3999999999999998E-3</v>
      </c>
      <c r="X48" s="95">
        <f t="shared" si="6"/>
        <v>1.2830095725203062E-5</v>
      </c>
      <c r="Y48" s="97">
        <v>2.2550000000000001E-3</v>
      </c>
      <c r="Z48" s="95">
        <f t="shared" si="7"/>
        <v>1.3889875292215681E-5</v>
      </c>
      <c r="AA48" s="97">
        <v>2.6504499999999999E-3</v>
      </c>
      <c r="AB48" s="95">
        <f t="shared" si="1"/>
        <v>1.1098641056611262E-5</v>
      </c>
      <c r="AC48">
        <v>2.9399999999999999E-3</v>
      </c>
      <c r="AD48" s="95">
        <f t="shared" si="1"/>
        <v>9.2532304411560603E-6</v>
      </c>
      <c r="AE48">
        <v>1.7700000000000001E-3</v>
      </c>
      <c r="AF48" s="95">
        <f t="shared" si="1"/>
        <v>1.7740205223257899E-5</v>
      </c>
    </row>
    <row r="49" spans="1:32">
      <c r="A49" s="63">
        <v>44</v>
      </c>
      <c r="B49" s="78">
        <f>+QxM!U46/1000</f>
        <v>6.3540934452265933E-3</v>
      </c>
      <c r="C49" s="123">
        <v>2.64E-3</v>
      </c>
      <c r="D49" s="62">
        <f t="shared" si="43"/>
        <v>1.3794490119875146E-5</v>
      </c>
      <c r="E49" s="67">
        <v>8.0400000000000003E-3</v>
      </c>
      <c r="F49" s="62">
        <f t="shared" si="2"/>
        <v>2.8422809114279386E-6</v>
      </c>
      <c r="G49" s="97">
        <v>3.64E-3</v>
      </c>
      <c r="H49" s="62">
        <f t="shared" si="0"/>
        <v>7.3663032294219586E-6</v>
      </c>
      <c r="I49" s="102">
        <v>4.1900000000000001E-3</v>
      </c>
      <c r="J49" s="62">
        <f t="shared" ref="J49" si="93">+(I49-$B49)^2</f>
        <v>4.6833004396727061E-6</v>
      </c>
      <c r="K49" s="97">
        <v>2.5200000000000001E-3</v>
      </c>
      <c r="L49" s="62">
        <f t="shared" si="73"/>
        <v>1.4700272546729527E-5</v>
      </c>
      <c r="M49" s="102">
        <v>1.14632203E-2</v>
      </c>
      <c r="N49" s="62">
        <f t="shared" ref="N49:V49" si="94">+(M49-$B49)^2</f>
        <v>2.6103177218166805E-5</v>
      </c>
      <c r="O49" s="102">
        <v>3.117E-3</v>
      </c>
      <c r="P49" s="62">
        <f t="shared" si="94"/>
        <v>1.0478773973128975E-5</v>
      </c>
      <c r="Q49" s="97">
        <v>6.5360000000000001E-3</v>
      </c>
      <c r="R49" s="62">
        <f t="shared" si="94"/>
        <v>3.3089994669530449E-8</v>
      </c>
      <c r="S49" s="98">
        <v>1.39E-3</v>
      </c>
      <c r="T49" s="95">
        <f t="shared" si="94"/>
        <v>2.4642223732941633E-5</v>
      </c>
      <c r="U49" s="98">
        <v>2.1099999999999999E-3</v>
      </c>
      <c r="V49" s="95">
        <f t="shared" si="94"/>
        <v>1.8012329171815334E-5</v>
      </c>
      <c r="W49" s="97">
        <v>2.5600000000000002E-3</v>
      </c>
      <c r="X49" s="95">
        <f t="shared" si="6"/>
        <v>1.4395145071111399E-5</v>
      </c>
      <c r="Y49" s="97">
        <v>2.3830000000000001E-3</v>
      </c>
      <c r="Z49" s="95">
        <f t="shared" si="7"/>
        <v>1.5769583150721618E-5</v>
      </c>
      <c r="AA49" s="97">
        <v>2.8170000000000001E-3</v>
      </c>
      <c r="AB49" s="95">
        <f t="shared" si="1"/>
        <v>1.2511030040264931E-5</v>
      </c>
      <c r="AC49">
        <v>3.2290000000000001E-3</v>
      </c>
      <c r="AD49" s="95">
        <f t="shared" si="1"/>
        <v>9.766209041398218E-6</v>
      </c>
      <c r="AE49">
        <v>1.9599999999999999E-3</v>
      </c>
      <c r="AF49" s="95">
        <f t="shared" si="1"/>
        <v>1.9308057205383312E-5</v>
      </c>
    </row>
    <row r="50" spans="1:32">
      <c r="A50" s="63">
        <v>45</v>
      </c>
      <c r="B50" s="78">
        <f>+QxM!U47/1000</f>
        <v>6.7494308651729696E-3</v>
      </c>
      <c r="C50" s="123">
        <v>2.8399999999999996E-3</v>
      </c>
      <c r="D50" s="62">
        <f t="shared" si="43"/>
        <v>1.5283649689567077E-5</v>
      </c>
      <c r="E50" s="67">
        <v>8.6099999999999996E-3</v>
      </c>
      <c r="F50" s="62">
        <f t="shared" si="2"/>
        <v>3.4617175054710029E-6</v>
      </c>
      <c r="G50" s="97">
        <v>4.0299999999999997E-3</v>
      </c>
      <c r="H50" s="62">
        <f t="shared" si="0"/>
        <v>7.3953042304554069E-6</v>
      </c>
      <c r="I50" s="102">
        <v>4.5500000000000002E-3</v>
      </c>
      <c r="J50" s="62">
        <f t="shared" ref="J50" si="95">+(I50-$B50)^2</f>
        <v>4.8374961306755164E-6</v>
      </c>
      <c r="K50" s="97">
        <v>2.7699999999999999E-3</v>
      </c>
      <c r="L50" s="62">
        <f t="shared" si="73"/>
        <v>1.583587001069129E-5</v>
      </c>
      <c r="M50" s="102">
        <v>1.1998532900000001E-2</v>
      </c>
      <c r="N50" s="62">
        <f t="shared" ref="N50:V50" si="96">+(M50-$B50)^2</f>
        <v>2.7553072172025279E-5</v>
      </c>
      <c r="O50" s="102">
        <v>3.3960000000000001E-3</v>
      </c>
      <c r="P50" s="62">
        <f t="shared" si="96"/>
        <v>1.124549856749473E-5</v>
      </c>
      <c r="Q50" s="97">
        <v>7.0169999999999998E-3</v>
      </c>
      <c r="R50" s="62">
        <f t="shared" si="96"/>
        <v>7.1593241912085487E-8</v>
      </c>
      <c r="S50" s="98">
        <v>1.5299999999999999E-3</v>
      </c>
      <c r="T50" s="95">
        <f t="shared" si="96"/>
        <v>2.7242458556320253E-5</v>
      </c>
      <c r="U50" s="98">
        <v>2.31E-3</v>
      </c>
      <c r="V50" s="95">
        <f t="shared" si="96"/>
        <v>1.9708546406650417E-5</v>
      </c>
      <c r="W50" s="97">
        <v>2.7499999999999998E-3</v>
      </c>
      <c r="X50" s="95">
        <f t="shared" si="6"/>
        <v>1.5995447245298208E-5</v>
      </c>
      <c r="Y50" s="97">
        <v>2.5430000000000001E-3</v>
      </c>
      <c r="Z50" s="95">
        <f t="shared" si="7"/>
        <v>1.7694060623479815E-5</v>
      </c>
      <c r="AA50" s="97">
        <v>3.0072599999999999E-3</v>
      </c>
      <c r="AB50" s="95">
        <f t="shared" si="1"/>
        <v>1.4003842784149412E-5</v>
      </c>
      <c r="AC50">
        <v>3.5469999999999998E-3</v>
      </c>
      <c r="AD50" s="95">
        <f t="shared" si="1"/>
        <v>1.0255563446212495E-5</v>
      </c>
      <c r="AE50">
        <v>2.1800000000000001E-3</v>
      </c>
      <c r="AF50" s="95">
        <f t="shared" si="1"/>
        <v>2.087969843159539E-5</v>
      </c>
    </row>
    <row r="51" spans="1:32">
      <c r="A51" s="63">
        <v>46</v>
      </c>
      <c r="B51" s="78">
        <f>+QxM!U48/1000</f>
        <v>7.1693652912787785E-3</v>
      </c>
      <c r="C51" s="123">
        <v>3.0499999999999998E-3</v>
      </c>
      <c r="D51" s="62">
        <f t="shared" si="43"/>
        <v>1.6969170402992297E-5</v>
      </c>
      <c r="E51" s="67">
        <v>9.2300000000000004E-3</v>
      </c>
      <c r="F51" s="62">
        <f t="shared" si="2"/>
        <v>4.2462154027865953E-6</v>
      </c>
      <c r="G51" s="97">
        <v>4.4600000000000004E-3</v>
      </c>
      <c r="H51" s="62">
        <f t="shared" si="0"/>
        <v>7.3406602815861376E-6</v>
      </c>
      <c r="I51" s="102">
        <v>4.9199999999999999E-3</v>
      </c>
      <c r="J51" s="62">
        <f t="shared" ref="J51" si="97">+(I51-$B51)^2</f>
        <v>5.0596442136096647E-6</v>
      </c>
      <c r="K51" s="97">
        <v>3.0299999999999997E-3</v>
      </c>
      <c r="L51" s="62">
        <f t="shared" si="73"/>
        <v>1.7134345014643447E-5</v>
      </c>
      <c r="M51" s="102">
        <v>1.25638703E-2</v>
      </c>
      <c r="N51" s="62">
        <f t="shared" ref="N51:V51" si="98">+(M51-$B51)^2</f>
        <v>2.9100684289118346E-5</v>
      </c>
      <c r="O51" s="102">
        <v>3.7030000000000001E-3</v>
      </c>
      <c r="P51" s="62">
        <f t="shared" si="98"/>
        <v>1.2015688332582209E-5</v>
      </c>
      <c r="Q51" s="97">
        <v>7.5459999999999998E-3</v>
      </c>
      <c r="R51" s="62">
        <f t="shared" si="98"/>
        <v>1.4185370381351922E-7</v>
      </c>
      <c r="S51" s="98">
        <v>1.6999999999999999E-3</v>
      </c>
      <c r="T51" s="95">
        <f t="shared" si="98"/>
        <v>2.9913956689444997E-5</v>
      </c>
      <c r="U51" s="98">
        <v>2.5400000000000002E-3</v>
      </c>
      <c r="V51" s="95">
        <f t="shared" si="98"/>
        <v>2.1431023000096651E-5</v>
      </c>
      <c r="W51" s="97">
        <v>2.9499999999999999E-3</v>
      </c>
      <c r="X51" s="95">
        <f t="shared" si="6"/>
        <v>1.7803043461248047E-5</v>
      </c>
      <c r="Y51" s="97">
        <v>2.7750000000000001E-3</v>
      </c>
      <c r="Z51" s="95">
        <f t="shared" si="7"/>
        <v>1.9310446313195619E-5</v>
      </c>
      <c r="AA51" s="97">
        <v>3.2245799999999999E-3</v>
      </c>
      <c r="AB51" s="95">
        <f t="shared" si="1"/>
        <v>1.5561330994289393E-5</v>
      </c>
      <c r="AC51">
        <v>3.8960000000000002E-3</v>
      </c>
      <c r="AD51" s="95">
        <f t="shared" si="1"/>
        <v>1.07149203301486E-5</v>
      </c>
      <c r="AE51">
        <v>2.4099999999999998E-3</v>
      </c>
      <c r="AF51" s="95">
        <f t="shared" si="1"/>
        <v>2.2651557975829132E-5</v>
      </c>
    </row>
    <row r="52" spans="1:32">
      <c r="A52" s="63">
        <v>47</v>
      </c>
      <c r="B52" s="78">
        <f>+QxM!U49/1000</f>
        <v>7.6154270940110768E-3</v>
      </c>
      <c r="C52" s="123">
        <v>3.2799999999999999E-3</v>
      </c>
      <c r="D52" s="62">
        <f t="shared" si="43"/>
        <v>1.8795928087485331E-5</v>
      </c>
      <c r="E52" s="67">
        <v>9.9100000000000004E-3</v>
      </c>
      <c r="F52" s="62">
        <f t="shared" si="2"/>
        <v>5.2650648208984534E-6</v>
      </c>
      <c r="G52" s="97">
        <v>4.9399999999999999E-3</v>
      </c>
      <c r="H52" s="62">
        <f t="shared" si="0"/>
        <v>7.1579101353685556E-6</v>
      </c>
      <c r="I52" s="102">
        <v>5.3200000000000001E-3</v>
      </c>
      <c r="J52" s="62">
        <f t="shared" ref="J52" si="99">+(I52-$B52)^2</f>
        <v>5.2689855439201366E-6</v>
      </c>
      <c r="K52" s="97">
        <v>3.2499999999999999E-3</v>
      </c>
      <c r="L52" s="62">
        <f t="shared" si="73"/>
        <v>1.9056953713125992E-5</v>
      </c>
      <c r="M52" s="102">
        <v>1.31986814E-2</v>
      </c>
      <c r="N52" s="62">
        <f t="shared" ref="N52:V52" si="100">+(M52-$B52)^2</f>
        <v>3.1172728645343856E-5</v>
      </c>
      <c r="O52" s="102">
        <v>4.0509999999999999E-3</v>
      </c>
      <c r="P52" s="62">
        <f t="shared" si="100"/>
        <v>1.2705140508520251E-5</v>
      </c>
      <c r="Q52" s="97">
        <v>8.0999999999999996E-3</v>
      </c>
      <c r="R52" s="62">
        <f t="shared" si="100"/>
        <v>2.3481090121854933E-7</v>
      </c>
      <c r="S52" s="98">
        <v>1.89E-3</v>
      </c>
      <c r="T52" s="95">
        <f t="shared" si="100"/>
        <v>3.2780515408836122E-5</v>
      </c>
      <c r="U52" s="98">
        <v>2.7699999999999999E-3</v>
      </c>
      <c r="V52" s="95">
        <f t="shared" si="100"/>
        <v>2.347816372337663E-5</v>
      </c>
      <c r="W52" s="97">
        <v>3.1700000000000001E-3</v>
      </c>
      <c r="X52" s="95">
        <f t="shared" si="6"/>
        <v>1.9761822048167767E-5</v>
      </c>
      <c r="Y52" s="97">
        <v>3.1199999999999999E-3</v>
      </c>
      <c r="Z52" s="95">
        <f t="shared" si="7"/>
        <v>2.020886475756887E-5</v>
      </c>
      <c r="AA52" s="97">
        <v>3.4728200000000002E-3</v>
      </c>
      <c r="AB52" s="95">
        <f t="shared" si="1"/>
        <v>1.7161193535350893E-5</v>
      </c>
      <c r="AC52">
        <v>4.2770000000000004E-3</v>
      </c>
      <c r="AD52" s="95">
        <f t="shared" si="1"/>
        <v>1.1145095462027241E-5</v>
      </c>
      <c r="AE52">
        <v>2.66E-3</v>
      </c>
      <c r="AF52" s="95">
        <f t="shared" si="1"/>
        <v>2.4556257684059065E-5</v>
      </c>
    </row>
    <row r="53" spans="1:32">
      <c r="A53" s="63">
        <v>48</v>
      </c>
      <c r="B53" s="78">
        <f>+QxM!U50/1000</f>
        <v>8.0892418600494592E-3</v>
      </c>
      <c r="C53" s="123">
        <v>3.5400000000000002E-3</v>
      </c>
      <c r="D53" s="62">
        <f t="shared" si="43"/>
        <v>2.0695601501226266E-5</v>
      </c>
      <c r="E53" s="67">
        <v>1.064E-2</v>
      </c>
      <c r="F53" s="62">
        <f t="shared" si="2"/>
        <v>6.5063670885239434E-6</v>
      </c>
      <c r="G53" s="97">
        <v>5.47E-3</v>
      </c>
      <c r="H53" s="62">
        <f t="shared" si="0"/>
        <v>6.8604279214353507E-6</v>
      </c>
      <c r="I53" s="102">
        <v>5.7400000000000003E-3</v>
      </c>
      <c r="J53" s="62">
        <f t="shared" ref="J53" si="101">+(I53-$B53)^2</f>
        <v>5.5189373170086418E-6</v>
      </c>
      <c r="K53" s="97">
        <v>3.4199999999999999E-3</v>
      </c>
      <c r="L53" s="62">
        <f t="shared" si="73"/>
        <v>2.1801819547638138E-5</v>
      </c>
      <c r="M53" s="102">
        <v>1.38818511E-2</v>
      </c>
      <c r="N53" s="62">
        <f t="shared" ref="N53:V53" si="102">+(M53-$B53)^2</f>
        <v>3.3554321806760382E-5</v>
      </c>
      <c r="O53" s="102">
        <v>4.444E-3</v>
      </c>
      <c r="P53" s="62">
        <f t="shared" si="102"/>
        <v>1.328778821825684E-5</v>
      </c>
      <c r="Q53" s="97">
        <v>8.6669999999999994E-3</v>
      </c>
      <c r="R53" s="62">
        <f t="shared" si="102"/>
        <v>3.3380446827910794E-7</v>
      </c>
      <c r="S53" s="98">
        <v>2.1099999999999999E-3</v>
      </c>
      <c r="T53" s="95">
        <f t="shared" si="102"/>
        <v>3.5751333220967716E-5</v>
      </c>
      <c r="U53" s="98">
        <v>3.0400000000000002E-3</v>
      </c>
      <c r="V53" s="95">
        <f t="shared" si="102"/>
        <v>2.549484336127572E-5</v>
      </c>
      <c r="W53" s="97">
        <v>3.4099999999999998E-3</v>
      </c>
      <c r="X53" s="95">
        <f t="shared" si="6"/>
        <v>2.1895304384839124E-5</v>
      </c>
      <c r="Y53" s="97">
        <v>3.1779999999999998E-3</v>
      </c>
      <c r="Z53" s="95">
        <f t="shared" si="7"/>
        <v>2.4120296607902071E-5</v>
      </c>
      <c r="AA53" s="97">
        <v>3.7563700000000002E-3</v>
      </c>
      <c r="AB53" s="95">
        <f t="shared" si="1"/>
        <v>1.8773778555608459E-5</v>
      </c>
      <c r="AC53">
        <v>4.6950000000000004E-3</v>
      </c>
      <c r="AD53" s="95">
        <f t="shared" si="1"/>
        <v>1.1520877804512011E-5</v>
      </c>
      <c r="AE53">
        <v>2.9399999999999999E-3</v>
      </c>
      <c r="AF53" s="95">
        <f t="shared" si="1"/>
        <v>2.6514691733285615E-5</v>
      </c>
    </row>
    <row r="54" spans="1:32">
      <c r="A54" s="63">
        <v>49</v>
      </c>
      <c r="B54" s="78">
        <f>+QxM!U51/1000</f>
        <v>8.5925363164249171E-3</v>
      </c>
      <c r="C54" s="123">
        <v>3.8300000000000001E-3</v>
      </c>
      <c r="D54" s="62">
        <f t="shared" si="43"/>
        <v>2.2681752165266217E-5</v>
      </c>
      <c r="E54" s="67">
        <v>1.145E-2</v>
      </c>
      <c r="F54" s="62">
        <f t="shared" si="2"/>
        <v>8.1650987029504816E-6</v>
      </c>
      <c r="G54" s="97">
        <v>6.0600000000000003E-3</v>
      </c>
      <c r="H54" s="62">
        <f t="shared" si="0"/>
        <v>6.413740194011086E-6</v>
      </c>
      <c r="I54" s="102">
        <v>6.2100000000000002E-3</v>
      </c>
      <c r="J54" s="62">
        <f t="shared" ref="J54" si="103">+(I54-$B54)^2</f>
        <v>5.6764792990836116E-6</v>
      </c>
      <c r="K54" s="97">
        <v>3.64E-3</v>
      </c>
      <c r="L54" s="62">
        <f t="shared" si="73"/>
        <v>2.4527615965507686E-5</v>
      </c>
      <c r="M54" s="102">
        <v>1.46295742E-2</v>
      </c>
      <c r="N54" s="62">
        <f t="shared" ref="N54:V54" si="104">+(M54-$B54)^2</f>
        <v>3.6445826407720719E-5</v>
      </c>
      <c r="O54" s="102">
        <v>4.8780000000000004E-3</v>
      </c>
      <c r="P54" s="62">
        <f t="shared" si="104"/>
        <v>1.3797780046039589E-5</v>
      </c>
      <c r="Q54" s="97">
        <v>9.2069999999999999E-3</v>
      </c>
      <c r="R54" s="62">
        <f t="shared" si="104"/>
        <v>3.775656184326595E-7</v>
      </c>
      <c r="S54" s="98">
        <v>2.3500000000000001E-3</v>
      </c>
      <c r="T54" s="95">
        <f t="shared" si="104"/>
        <v>3.8969259661883974E-5</v>
      </c>
      <c r="U54" s="98">
        <v>3.3300000000000001E-3</v>
      </c>
      <c r="V54" s="95">
        <f t="shared" si="104"/>
        <v>2.7694288481691138E-5</v>
      </c>
      <c r="W54" s="97">
        <v>3.6700000000000001E-3</v>
      </c>
      <c r="X54" s="95">
        <f t="shared" si="6"/>
        <v>2.4231363786522196E-5</v>
      </c>
      <c r="Y54" s="97">
        <v>3.2550000000000001E-3</v>
      </c>
      <c r="Z54" s="95">
        <f t="shared" si="7"/>
        <v>2.8489293929154871E-5</v>
      </c>
      <c r="AA54" s="97">
        <v>4.0802199999999999E-3</v>
      </c>
      <c r="AB54" s="95">
        <f t="shared" si="1"/>
        <v>2.0360998539474534E-5</v>
      </c>
      <c r="AC54">
        <v>5.1510000000000002E-3</v>
      </c>
      <c r="AD54" s="95">
        <f t="shared" si="1"/>
        <v>1.1844172217271585E-5</v>
      </c>
      <c r="AE54">
        <v>3.2299999999999998E-3</v>
      </c>
      <c r="AF54" s="95">
        <f t="shared" si="1"/>
        <v>2.8756795744976118E-5</v>
      </c>
    </row>
    <row r="55" spans="1:32">
      <c r="A55" s="63">
        <v>50</v>
      </c>
      <c r="B55" s="78">
        <f>+QxM!U52/1000</f>
        <v>9.1271446232452803E-3</v>
      </c>
      <c r="C55" s="123">
        <v>4.1399999999999996E-3</v>
      </c>
      <c r="D55" s="62">
        <f t="shared" si="43"/>
        <v>2.4871611493164311E-5</v>
      </c>
      <c r="E55" s="67">
        <v>1.2319999999999999E-2</v>
      </c>
      <c r="F55" s="62">
        <f t="shared" si="2"/>
        <v>1.019432545687152E-5</v>
      </c>
      <c r="G55" s="97">
        <v>6.7099999999999998E-3</v>
      </c>
      <c r="H55" s="62">
        <f t="shared" si="0"/>
        <v>5.8425881296835685E-6</v>
      </c>
      <c r="I55" s="102">
        <v>6.7099999999999998E-3</v>
      </c>
      <c r="J55" s="62">
        <f t="shared" ref="J55" si="105">+(I55-$B55)^2</f>
        <v>5.8425881296835685E-6</v>
      </c>
      <c r="K55" s="97">
        <v>3.9100000000000003E-3</v>
      </c>
      <c r="L55" s="62">
        <f t="shared" ref="L55:L70" si="106">+(K55-$B55)^2</f>
        <v>2.7218598019857134E-5</v>
      </c>
      <c r="M55" s="102">
        <v>1.54463767E-2</v>
      </c>
      <c r="N55" s="62">
        <f t="shared" ref="N55:V55" si="107">+(M55-$B55)^2</f>
        <v>3.9932694039885773E-5</v>
      </c>
      <c r="O55" s="102">
        <v>5.3470000000000002E-3</v>
      </c>
      <c r="P55" s="62">
        <f t="shared" si="107"/>
        <v>1.4289493372650201E-5</v>
      </c>
      <c r="Q55" s="97">
        <v>9.8160000000000001E-3</v>
      </c>
      <c r="R55" s="62">
        <f t="shared" si="107"/>
        <v>4.7452173008388699E-7</v>
      </c>
      <c r="S55" s="98">
        <v>2.63E-3</v>
      </c>
      <c r="T55" s="95">
        <f t="shared" si="107"/>
        <v>4.2212888255365049E-5</v>
      </c>
      <c r="U55" s="98">
        <v>3.65E-3</v>
      </c>
      <c r="V55" s="95">
        <f t="shared" si="107"/>
        <v>2.9999113223944677E-5</v>
      </c>
      <c r="W55" s="97">
        <v>3.96E-3</v>
      </c>
      <c r="X55" s="95">
        <f t="shared" si="6"/>
        <v>2.6699383557532611E-5</v>
      </c>
      <c r="Y55" s="97">
        <v>3.4510000000000001E-3</v>
      </c>
      <c r="Z55" s="95">
        <f t="shared" si="7"/>
        <v>3.2218617783996305E-5</v>
      </c>
      <c r="AA55" s="97">
        <v>4.4501000000000002E-3</v>
      </c>
      <c r="AB55" s="95">
        <f t="shared" si="1"/>
        <v>2.1874746407827582E-5</v>
      </c>
      <c r="AC55">
        <v>5.6499999999999996E-3</v>
      </c>
      <c r="AD55" s="95">
        <f t="shared" si="1"/>
        <v>1.2090534730963565E-5</v>
      </c>
      <c r="AE55">
        <v>3.5599999999999998E-3</v>
      </c>
      <c r="AF55" s="95">
        <f t="shared" si="1"/>
        <v>3.0993099256128835E-5</v>
      </c>
    </row>
    <row r="56" spans="1:32">
      <c r="A56" s="63">
        <v>51</v>
      </c>
      <c r="B56" s="78">
        <f>+QxM!U53/1000</f>
        <v>9.6950150579399267E-3</v>
      </c>
      <c r="C56" s="123">
        <v>4.4900000000000001E-3</v>
      </c>
      <c r="D56" s="62">
        <f t="shared" si="43"/>
        <v>2.7092181753381379E-5</v>
      </c>
      <c r="E56" s="67">
        <v>1.3270000000000001E-2</v>
      </c>
      <c r="F56" s="62">
        <f t="shared" si="2"/>
        <v>1.2780517335956269E-5</v>
      </c>
      <c r="G56" s="97">
        <v>7.4200000000000004E-3</v>
      </c>
      <c r="H56" s="62">
        <f t="shared" si="0"/>
        <v>5.1756935138534059E-6</v>
      </c>
      <c r="I56" s="102">
        <v>7.3000000000000001E-3</v>
      </c>
      <c r="J56" s="62">
        <f t="shared" ref="J56" si="108">+(I56-$B56)^2</f>
        <v>5.7360971277589901E-6</v>
      </c>
      <c r="K56" s="97">
        <v>4.2599999999999999E-3</v>
      </c>
      <c r="L56" s="62">
        <f t="shared" si="106"/>
        <v>2.9539388680033745E-5</v>
      </c>
      <c r="M56" s="102">
        <v>1.6337449300000001E-2</v>
      </c>
      <c r="N56" s="62">
        <f t="shared" ref="N56:V56" si="109">+(M56-$B56)^2</f>
        <v>4.4121932660092196E-5</v>
      </c>
      <c r="O56" s="102">
        <v>5.8380000000000003E-3</v>
      </c>
      <c r="P56" s="62">
        <f t="shared" si="109"/>
        <v>1.4876565157175334E-5</v>
      </c>
      <c r="Q56" s="97">
        <v>1.055E-2</v>
      </c>
      <c r="R56" s="62">
        <f t="shared" si="109"/>
        <v>7.3099925114946754E-7</v>
      </c>
      <c r="S56" s="98">
        <v>2.9399999999999999E-3</v>
      </c>
      <c r="T56" s="95">
        <f t="shared" si="109"/>
        <v>4.5630228432995151E-5</v>
      </c>
      <c r="U56" s="98">
        <v>4.0099999999999997E-3</v>
      </c>
      <c r="V56" s="95">
        <f t="shared" si="109"/>
        <v>3.2319396209003709E-5</v>
      </c>
      <c r="W56" s="97">
        <v>4.2700000000000004E-3</v>
      </c>
      <c r="X56" s="95">
        <f t="shared" si="6"/>
        <v>2.9430788378874944E-5</v>
      </c>
      <c r="Y56" s="97">
        <v>3.8649999999999999E-3</v>
      </c>
      <c r="Z56" s="95">
        <f t="shared" si="7"/>
        <v>3.3989075575806283E-5</v>
      </c>
      <c r="AA56" s="97">
        <v>4.9316799999999999E-3</v>
      </c>
      <c r="AB56" s="95">
        <f t="shared" si="1"/>
        <v>2.2689360874199564E-5</v>
      </c>
      <c r="AC56">
        <v>6.1939999999999999E-3</v>
      </c>
      <c r="AD56" s="95">
        <f t="shared" si="1"/>
        <v>1.2257106435922109E-5</v>
      </c>
      <c r="AE56">
        <v>3.9100000000000003E-3</v>
      </c>
      <c r="AF56" s="95">
        <f t="shared" si="1"/>
        <v>3.3466399220591692E-5</v>
      </c>
    </row>
    <row r="57" spans="1:32">
      <c r="A57" s="63">
        <v>52</v>
      </c>
      <c r="B57" s="78">
        <f>+QxM!U54/1000</f>
        <v>1.0298217115383156E-2</v>
      </c>
      <c r="C57" s="123">
        <v>4.8700000000000002E-3</v>
      </c>
      <c r="D57" s="62">
        <f t="shared" si="43"/>
        <v>2.9465541051738632E-5</v>
      </c>
      <c r="E57" s="67">
        <v>1.43E-2</v>
      </c>
      <c r="F57" s="62">
        <f t="shared" si="2"/>
        <v>1.6014266255612308E-5</v>
      </c>
      <c r="G57" s="97">
        <v>8.1899999999999994E-3</v>
      </c>
      <c r="H57" s="62">
        <f t="shared" si="0"/>
        <v>4.4445794055944794E-6</v>
      </c>
      <c r="I57" s="102">
        <v>7.9600000000000001E-3</v>
      </c>
      <c r="J57" s="62">
        <f t="shared" ref="J57" si="110">+(I57-$B57)^2</f>
        <v>5.4672592786707282E-6</v>
      </c>
      <c r="K57" s="97">
        <v>4.7000000000000002E-3</v>
      </c>
      <c r="L57" s="62">
        <f t="shared" si="106"/>
        <v>3.1340034870968907E-5</v>
      </c>
      <c r="M57" s="102">
        <v>1.7308671500000001E-2</v>
      </c>
      <c r="N57" s="62">
        <f t="shared" ref="N57:V57" si="111">+(M57-$B57)^2</f>
        <v>4.9146470678793541E-5</v>
      </c>
      <c r="O57" s="102">
        <v>6.3369999999999998E-3</v>
      </c>
      <c r="P57" s="62">
        <f t="shared" si="111"/>
        <v>1.5691241035204456E-5</v>
      </c>
      <c r="Q57" s="97">
        <v>1.1455999999999999E-2</v>
      </c>
      <c r="R57" s="62">
        <f t="shared" si="111"/>
        <v>1.3404612079116977E-6</v>
      </c>
      <c r="S57" s="98">
        <v>3.29E-3</v>
      </c>
      <c r="T57" s="95">
        <f t="shared" si="111"/>
        <v>4.9115107136349414E-5</v>
      </c>
      <c r="U57" s="98">
        <v>4.4000000000000003E-3</v>
      </c>
      <c r="V57" s="95">
        <f t="shared" si="111"/>
        <v>3.4788965140198799E-5</v>
      </c>
      <c r="W57" s="97">
        <v>4.62E-3</v>
      </c>
      <c r="X57" s="95">
        <f t="shared" si="6"/>
        <v>3.2242149609430212E-5</v>
      </c>
      <c r="Y57" s="97">
        <v>4.5259999999999996E-3</v>
      </c>
      <c r="Z57" s="95">
        <f t="shared" si="7"/>
        <v>3.3318490427122248E-5</v>
      </c>
      <c r="AA57" s="97">
        <v>5.4605900000000004E-3</v>
      </c>
      <c r="AB57" s="95">
        <f t="shared" si="1"/>
        <v>2.3402636107490355E-5</v>
      </c>
      <c r="AC57">
        <v>6.7879999999999998E-3</v>
      </c>
      <c r="AD57" s="95">
        <f t="shared" si="1"/>
        <v>1.2321624197128848E-5</v>
      </c>
      <c r="AE57">
        <v>4.3E-3</v>
      </c>
      <c r="AF57" s="95">
        <f t="shared" si="1"/>
        <v>3.5978608563275429E-5</v>
      </c>
    </row>
    <row r="58" spans="1:32">
      <c r="A58" s="63">
        <v>53</v>
      </c>
      <c r="B58" s="78">
        <f>+QxM!U55/1000</f>
        <v>1.0938949049771322E-2</v>
      </c>
      <c r="C58" s="123">
        <v>5.2900000000000004E-3</v>
      </c>
      <c r="D58" s="62">
        <f t="shared" si="43"/>
        <v>3.1910625366912319E-5</v>
      </c>
      <c r="E58" s="67">
        <v>1.5429999999999999E-2</v>
      </c>
      <c r="F58" s="62">
        <f t="shared" si="2"/>
        <v>2.0169538637549903E-5</v>
      </c>
      <c r="G58" s="97">
        <v>9.0299999999999998E-3</v>
      </c>
      <c r="H58" s="62">
        <f t="shared" si="0"/>
        <v>3.6440864746228354E-6</v>
      </c>
      <c r="I58" s="102">
        <v>8.7100000000000007E-3</v>
      </c>
      <c r="J58" s="62">
        <f t="shared" ref="J58" si="112">+(I58-$B58)^2</f>
        <v>4.9682138664764775E-6</v>
      </c>
      <c r="K58" s="97">
        <v>5.2100000000000002E-3</v>
      </c>
      <c r="L58" s="62">
        <f t="shared" si="106"/>
        <v>3.2820857214875737E-5</v>
      </c>
      <c r="M58" s="102">
        <v>1.8394237800000001E-2</v>
      </c>
      <c r="N58" s="62">
        <f t="shared" ref="N58:V58" si="113">+(M58-$B58)^2</f>
        <v>5.5581330349286292E-5</v>
      </c>
      <c r="O58" s="102">
        <v>6.8370000000000002E-3</v>
      </c>
      <c r="P58" s="62">
        <f t="shared" si="113"/>
        <v>1.6825986006919852E-5</v>
      </c>
      <c r="Q58" s="97">
        <v>1.2461E-2</v>
      </c>
      <c r="R58" s="62">
        <f t="shared" si="113"/>
        <v>2.31663909509202E-6</v>
      </c>
      <c r="S58" s="98">
        <v>3.6800000000000001E-3</v>
      </c>
      <c r="T58" s="95">
        <f t="shared" si="113"/>
        <v>5.2692341307175979E-5</v>
      </c>
      <c r="U58" s="98">
        <v>4.7999999999999996E-3</v>
      </c>
      <c r="V58" s="95">
        <f t="shared" si="113"/>
        <v>3.7686695435688228E-5</v>
      </c>
      <c r="W58" s="97">
        <v>4.9899999999999996E-3</v>
      </c>
      <c r="X58" s="95">
        <f t="shared" si="6"/>
        <v>3.5389994796775123E-5</v>
      </c>
      <c r="Y58" s="97">
        <v>5.0899999999999999E-3</v>
      </c>
      <c r="Z58" s="95">
        <f t="shared" si="7"/>
        <v>3.4210204986820859E-5</v>
      </c>
      <c r="AA58" s="97">
        <v>6.0414400000000004E-3</v>
      </c>
      <c r="AB58" s="95">
        <f t="shared" si="1"/>
        <v>2.3985594892591996E-5</v>
      </c>
      <c r="AC58">
        <v>7.437E-3</v>
      </c>
      <c r="AD58" s="95">
        <f t="shared" si="1"/>
        <v>1.2263647147194268E-5</v>
      </c>
      <c r="AE58">
        <v>4.7099999999999998E-3</v>
      </c>
      <c r="AF58" s="95">
        <f t="shared" si="1"/>
        <v>3.8799806264647066E-5</v>
      </c>
    </row>
    <row r="59" spans="1:32">
      <c r="A59" s="63">
        <v>54</v>
      </c>
      <c r="B59" s="78">
        <f>+QxM!U56/1000</f>
        <v>1.1619545885738573E-2</v>
      </c>
      <c r="C59" s="123">
        <v>5.7499999999999999E-3</v>
      </c>
      <c r="D59" s="62">
        <f t="shared" si="43"/>
        <v>3.4451568904790613E-5</v>
      </c>
      <c r="E59" s="67">
        <v>1.6650000000000002E-2</v>
      </c>
      <c r="F59" s="62">
        <f t="shared" si="2"/>
        <v>2.5305468595689733E-5</v>
      </c>
      <c r="G59" s="97">
        <v>9.9399999999999992E-3</v>
      </c>
      <c r="H59" s="62">
        <f t="shared" si="0"/>
        <v>2.8208743823013705E-6</v>
      </c>
      <c r="I59" s="102">
        <v>9.5600000000000008E-3</v>
      </c>
      <c r="J59" s="62">
        <f t="shared" ref="J59" si="114">+(I59-$B59)^2</f>
        <v>4.2417292554626802E-6</v>
      </c>
      <c r="K59" s="97">
        <v>5.8300000000000001E-3</v>
      </c>
      <c r="L59" s="62">
        <f t="shared" si="106"/>
        <v>3.3518841563072437E-5</v>
      </c>
      <c r="M59" s="102">
        <v>1.9562155599999999E-2</v>
      </c>
      <c r="N59" s="62">
        <f t="shared" ref="N59:V59" si="115">+(M59-$B59)^2</f>
        <v>6.3085049073079974E-5</v>
      </c>
      <c r="O59" s="102">
        <v>7.3470000000000002E-3</v>
      </c>
      <c r="P59" s="62">
        <f t="shared" si="115"/>
        <v>1.8254648345741604E-5</v>
      </c>
      <c r="Q59" s="97">
        <v>1.3516E-2</v>
      </c>
      <c r="R59" s="62">
        <f t="shared" si="115"/>
        <v>3.5965382074990947E-6</v>
      </c>
      <c r="S59" s="98">
        <v>4.13E-3</v>
      </c>
      <c r="T59" s="95">
        <f t="shared" si="115"/>
        <v>5.6093297574583586E-5</v>
      </c>
      <c r="U59" s="98">
        <v>5.2199999999999998E-3</v>
      </c>
      <c r="V59" s="95">
        <f t="shared" si="115"/>
        <v>4.0954187543673497E-5</v>
      </c>
      <c r="W59" s="97">
        <v>5.4099999999999999E-3</v>
      </c>
      <c r="X59" s="95">
        <f t="shared" si="6"/>
        <v>3.855846010709284E-5</v>
      </c>
      <c r="Y59" s="97">
        <v>5.8329999999999996E-3</v>
      </c>
      <c r="Z59" s="95">
        <f t="shared" si="7"/>
        <v>3.3484113287758013E-5</v>
      </c>
      <c r="AA59" s="97">
        <v>6.6793199999999999E-3</v>
      </c>
      <c r="AB59" s="95">
        <f t="shared" si="1"/>
        <v>2.4405831802121469E-5</v>
      </c>
      <c r="AC59">
        <v>8.1449999999999995E-3</v>
      </c>
      <c r="AD59" s="95">
        <f t="shared" si="1"/>
        <v>1.2072469112102849E-5</v>
      </c>
      <c r="AE59">
        <v>5.1399999999999996E-3</v>
      </c>
      <c r="AF59" s="95">
        <f t="shared" si="1"/>
        <v>4.198451488539167E-5</v>
      </c>
    </row>
    <row r="60" spans="1:32">
      <c r="A60" s="63">
        <v>55</v>
      </c>
      <c r="B60" s="78">
        <f>+QxM!U57/1000</f>
        <v>1.2342487927906253E-2</v>
      </c>
      <c r="C60" s="123">
        <v>6.2500000000000003E-3</v>
      </c>
      <c r="D60" s="62">
        <f t="shared" si="43"/>
        <v>3.7118409151683419E-5</v>
      </c>
      <c r="E60" s="67">
        <v>1.7979999999999999E-2</v>
      </c>
      <c r="F60" s="62">
        <f t="shared" si="2"/>
        <v>3.1781542363002728E-5</v>
      </c>
      <c r="G60" s="97">
        <v>1.093E-2</v>
      </c>
      <c r="H60" s="62">
        <f t="shared" si="0"/>
        <v>1.9951221464808981E-6</v>
      </c>
      <c r="I60" s="102">
        <v>1.047E-2</v>
      </c>
      <c r="J60" s="62">
        <f t="shared" ref="J60" si="116">+(I60-$B60)^2</f>
        <v>3.5062110401546515E-6</v>
      </c>
      <c r="K60" s="97">
        <v>6.5199999999999998E-3</v>
      </c>
      <c r="L60" s="62">
        <f t="shared" si="106"/>
        <v>3.3901365670614055E-5</v>
      </c>
      <c r="M60" s="102">
        <v>2.0834818500000001E-2</v>
      </c>
      <c r="N60" s="62">
        <f t="shared" ref="N60:V60" si="117">+(M60-$B60)^2</f>
        <v>7.2119678545718127E-5</v>
      </c>
      <c r="O60" s="102">
        <v>7.9050000000000006E-3</v>
      </c>
      <c r="P60" s="62">
        <f t="shared" si="117"/>
        <v>1.9691299110313725E-5</v>
      </c>
      <c r="Q60" s="97">
        <v>1.4767000000000001E-2</v>
      </c>
      <c r="R60" s="62">
        <f t="shared" si="117"/>
        <v>5.8782587877283185E-6</v>
      </c>
      <c r="S60" s="98">
        <v>4.6299999999999996E-3</v>
      </c>
      <c r="T60" s="95">
        <f t="shared" si="117"/>
        <v>5.9482470038099694E-5</v>
      </c>
      <c r="U60" s="98">
        <v>5.6699999999999997E-3</v>
      </c>
      <c r="V60" s="95">
        <f t="shared" si="117"/>
        <v>4.4522095148054683E-5</v>
      </c>
      <c r="W60" s="97">
        <v>5.8599999999999998E-3</v>
      </c>
      <c r="X60" s="95">
        <f t="shared" si="6"/>
        <v>4.2022649735450303E-5</v>
      </c>
      <c r="Y60" s="97">
        <v>6.7010000000000004E-3</v>
      </c>
      <c r="Z60" s="95">
        <f t="shared" si="7"/>
        <v>3.182638604071198E-5</v>
      </c>
      <c r="AA60" s="97">
        <v>7.3797699999999999E-3</v>
      </c>
      <c r="AB60" s="95">
        <f t="shared" si="1"/>
        <v>2.4628569231962133E-5</v>
      </c>
      <c r="AC60">
        <v>8.9189999999999998E-3</v>
      </c>
      <c r="AD60" s="95">
        <f t="shared" si="1"/>
        <v>1.1720269592519849E-5</v>
      </c>
      <c r="AE60">
        <v>5.62E-3</v>
      </c>
      <c r="AF60" s="95">
        <f t="shared" si="1"/>
        <v>4.5191843940845303E-5</v>
      </c>
    </row>
    <row r="61" spans="1:32">
      <c r="A61" s="63">
        <v>56</v>
      </c>
      <c r="B61" s="78">
        <f>+QxM!U58/1000</f>
        <v>1.3110409799877364E-2</v>
      </c>
      <c r="C61" s="123">
        <v>6.8099999999999992E-3</v>
      </c>
      <c r="D61" s="62">
        <f t="shared" si="43"/>
        <v>3.9695163646390735E-5</v>
      </c>
      <c r="E61" s="67">
        <v>1.9429999999999999E-2</v>
      </c>
      <c r="F61" s="62">
        <f t="shared" si="2"/>
        <v>3.9937220297486051E-5</v>
      </c>
      <c r="G61" s="97">
        <v>1.2019999999999999E-2</v>
      </c>
      <c r="H61" s="62">
        <f t="shared" si="0"/>
        <v>1.1889935316685941E-6</v>
      </c>
      <c r="I61" s="102">
        <v>1.146E-2</v>
      </c>
      <c r="J61" s="62">
        <f t="shared" ref="J61" si="118">+(I61-$B61)^2</f>
        <v>2.7238525075312413E-6</v>
      </c>
      <c r="K61" s="97">
        <v>7.26E-3</v>
      </c>
      <c r="L61" s="62">
        <f t="shared" si="106"/>
        <v>3.4227294826501099E-5</v>
      </c>
      <c r="M61" s="102">
        <v>2.2222863200000002E-2</v>
      </c>
      <c r="N61" s="62">
        <f t="shared" ref="N61:V61" si="119">+(M61-$B61)^2</f>
        <v>8.3036806969406617E-5</v>
      </c>
      <c r="O61" s="102">
        <v>8.5079999999999999E-3</v>
      </c>
      <c r="P61" s="62">
        <f t="shared" si="119"/>
        <v>2.1182175966007199E-5</v>
      </c>
      <c r="Q61" s="97">
        <v>1.6286999999999999E-2</v>
      </c>
      <c r="R61" s="62">
        <f t="shared" si="119"/>
        <v>1.0090725299515165E-5</v>
      </c>
      <c r="S61" s="98">
        <v>5.1900000000000002E-3</v>
      </c>
      <c r="T61" s="95">
        <f t="shared" si="119"/>
        <v>6.2732891397993378E-5</v>
      </c>
      <c r="U61" s="98">
        <v>6.1500000000000001E-3</v>
      </c>
      <c r="V61" s="95">
        <f t="shared" si="119"/>
        <v>4.8447304582228842E-5</v>
      </c>
      <c r="W61" s="97">
        <v>6.3499999999999997E-3</v>
      </c>
      <c r="X61" s="95">
        <f t="shared" si="6"/>
        <v>4.5703140662277906E-5</v>
      </c>
      <c r="Y61" s="97">
        <v>7.6379999999999998E-3</v>
      </c>
      <c r="Z61" s="95">
        <f t="shared" si="7"/>
        <v>2.9947269017793813E-5</v>
      </c>
      <c r="AA61" s="97">
        <v>8.1488800000000007E-3</v>
      </c>
      <c r="AB61" s="95">
        <f t="shared" si="1"/>
        <v>2.4616777955071107E-5</v>
      </c>
      <c r="AC61">
        <v>9.7630000000000008E-3</v>
      </c>
      <c r="AD61" s="95">
        <f t="shared" si="1"/>
        <v>1.1205152368315009E-5</v>
      </c>
      <c r="AE61">
        <v>6.1399999999999996E-3</v>
      </c>
      <c r="AF61" s="95">
        <f t="shared" si="1"/>
        <v>4.85866127782264E-5</v>
      </c>
    </row>
    <row r="62" spans="1:32">
      <c r="A62" s="63">
        <v>57</v>
      </c>
      <c r="B62" s="78">
        <f>+QxM!U59/1000</f>
        <v>1.392611004561688E-2</v>
      </c>
      <c r="C62" s="123">
        <v>7.43E-3</v>
      </c>
      <c r="D62" s="62">
        <f t="shared" si="43"/>
        <v>4.2199445724764545E-5</v>
      </c>
      <c r="E62" s="67">
        <v>2.1000000000000001E-2</v>
      </c>
      <c r="F62" s="62">
        <f t="shared" si="2"/>
        <v>5.0039919086722432E-5</v>
      </c>
      <c r="G62" s="97">
        <v>1.3220000000000001E-2</v>
      </c>
      <c r="H62" s="62">
        <f t="shared" si="0"/>
        <v>4.9859139652107159E-7</v>
      </c>
      <c r="I62" s="102">
        <v>1.2489999999999999E-2</v>
      </c>
      <c r="J62" s="62">
        <f t="shared" ref="J62" si="120">+(I62-$B62)^2</f>
        <v>2.0624120631217197E-6</v>
      </c>
      <c r="K62" s="97">
        <v>7.9500000000000005E-3</v>
      </c>
      <c r="L62" s="62">
        <f t="shared" si="106"/>
        <v>3.5713891277322984E-5</v>
      </c>
      <c r="M62" s="102">
        <v>2.3753601999999999E-2</v>
      </c>
      <c r="N62" s="62">
        <f t="shared" ref="N62:V62" si="121">+(M62-$B62)^2</f>
        <v>9.6579598113464922E-5</v>
      </c>
      <c r="O62" s="102">
        <v>9.1160000000000008E-3</v>
      </c>
      <c r="P62" s="62">
        <f t="shared" si="121"/>
        <v>2.3137158650944418E-5</v>
      </c>
      <c r="Q62" s="97">
        <v>1.8183999999999999E-2</v>
      </c>
      <c r="R62" s="62">
        <f t="shared" si="121"/>
        <v>1.8129626863636675E-5</v>
      </c>
      <c r="S62" s="98">
        <v>5.8199999999999997E-3</v>
      </c>
      <c r="T62" s="95">
        <f t="shared" si="121"/>
        <v>6.5709020071650915E-5</v>
      </c>
      <c r="U62" s="98">
        <v>6.6600000000000001E-3</v>
      </c>
      <c r="V62" s="95">
        <f t="shared" si="121"/>
        <v>5.2796355195014542E-5</v>
      </c>
      <c r="W62" s="97">
        <v>6.8999999999999999E-3</v>
      </c>
      <c r="X62" s="95">
        <f t="shared" si="6"/>
        <v>4.9366222373118442E-5</v>
      </c>
      <c r="Y62" s="97">
        <v>8.5889999999999994E-3</v>
      </c>
      <c r="Z62" s="95">
        <f t="shared" si="7"/>
        <v>2.8484743639024623E-5</v>
      </c>
      <c r="AA62" s="97">
        <v>8.9933099999999992E-3</v>
      </c>
      <c r="AB62" s="95">
        <f t="shared" si="1"/>
        <v>2.4332516290037903E-5</v>
      </c>
      <c r="AC62">
        <v>1.0687E-2</v>
      </c>
      <c r="AD62" s="95">
        <f t="shared" si="1"/>
        <v>1.0491833887616187E-5</v>
      </c>
      <c r="AE62">
        <v>6.7299999999999999E-3</v>
      </c>
      <c r="AF62" s="95">
        <f t="shared" si="1"/>
        <v>5.1783999788628184E-5</v>
      </c>
    </row>
    <row r="63" spans="1:32">
      <c r="A63" s="63">
        <v>58</v>
      </c>
      <c r="B63" s="78">
        <f>+QxM!U60/1000</f>
        <v>1.4792561328208487E-2</v>
      </c>
      <c r="C63" s="123">
        <v>8.0999999999999996E-3</v>
      </c>
      <c r="D63" s="62">
        <f t="shared" si="43"/>
        <v>4.4790377131831762E-5</v>
      </c>
      <c r="E63" s="67">
        <v>2.2710000000000001E-2</v>
      </c>
      <c r="F63" s="62">
        <f t="shared" si="2"/>
        <v>6.2685835121579773E-5</v>
      </c>
      <c r="G63" s="97">
        <v>1.4540000000000001E-2</v>
      </c>
      <c r="H63" s="62">
        <f t="shared" si="0"/>
        <v>6.3787224506434851E-8</v>
      </c>
      <c r="I63" s="102">
        <v>1.359E-2</v>
      </c>
      <c r="J63" s="62">
        <f t="shared" ref="J63" si="122">+(I63-$B63)^2</f>
        <v>1.4461537481025621E-6</v>
      </c>
      <c r="K63" s="97">
        <v>8.6300000000000005E-3</v>
      </c>
      <c r="L63" s="62">
        <f t="shared" si="106"/>
        <v>3.7977162123930748E-5</v>
      </c>
      <c r="M63" s="102">
        <v>2.5412632099999999E-2</v>
      </c>
      <c r="N63" s="62">
        <f t="shared" ref="N63:V63" si="123">+(M63-$B63)^2</f>
        <v>1.1278590319786035E-4</v>
      </c>
      <c r="O63" s="102">
        <v>9.7230000000000007E-3</v>
      </c>
      <c r="P63" s="62">
        <f t="shared" si="123"/>
        <v>2.5700452060466996E-5</v>
      </c>
      <c r="Q63" s="97">
        <v>2.0507000000000001E-2</v>
      </c>
      <c r="R63" s="62">
        <f t="shared" si="123"/>
        <v>3.2654809333666358E-5</v>
      </c>
      <c r="S63" s="98">
        <v>6.5300000000000002E-3</v>
      </c>
      <c r="T63" s="95">
        <f t="shared" si="123"/>
        <v>6.8269919702406388E-5</v>
      </c>
      <c r="U63" s="98">
        <v>7.1799999999999998E-3</v>
      </c>
      <c r="V63" s="95">
        <f t="shared" si="123"/>
        <v>5.7951089975735373E-5</v>
      </c>
      <c r="W63" s="97">
        <v>7.4900000000000001E-3</v>
      </c>
      <c r="X63" s="95">
        <f t="shared" si="6"/>
        <v>5.3327401952246104E-5</v>
      </c>
      <c r="Y63" s="97">
        <v>1.0506E-2</v>
      </c>
      <c r="Z63" s="95">
        <f t="shared" si="7"/>
        <v>1.8374608020492512E-5</v>
      </c>
      <c r="AA63" s="97">
        <v>9.9203699999999995E-3</v>
      </c>
      <c r="AB63" s="95">
        <f t="shared" si="1"/>
        <v>2.373824833866999E-5</v>
      </c>
      <c r="AC63">
        <v>1.1697000000000001E-2</v>
      </c>
      <c r="AD63" s="95">
        <f t="shared" si="1"/>
        <v>9.5824999366998897E-6</v>
      </c>
      <c r="AE63">
        <v>7.3800000000000003E-3</v>
      </c>
      <c r="AF63" s="95">
        <f t="shared" si="1"/>
        <v>5.4946065444451974E-5</v>
      </c>
    </row>
    <row r="64" spans="1:32">
      <c r="A64" s="63">
        <v>59</v>
      </c>
      <c r="B64" s="78">
        <f>+QxM!U61/1000</f>
        <v>1.5712921263154944E-2</v>
      </c>
      <c r="C64" s="123">
        <v>8.8400000000000006E-3</v>
      </c>
      <c r="D64" s="62">
        <f t="shared" si="43"/>
        <v>4.7237046689527334E-5</v>
      </c>
      <c r="E64" s="67">
        <v>2.4570000000000002E-2</v>
      </c>
      <c r="F64" s="62">
        <f t="shared" si="2"/>
        <v>7.8447843750672848E-5</v>
      </c>
      <c r="G64" s="97">
        <v>1.5980000000000001E-2</v>
      </c>
      <c r="H64" s="62">
        <f t="shared" si="0"/>
        <v>7.1331051674751546E-8</v>
      </c>
      <c r="I64" s="102">
        <v>1.477E-2</v>
      </c>
      <c r="J64" s="62">
        <f t="shared" ref="J64" si="124">+(I64-$B64)^2</f>
        <v>8.8910050850971396E-7</v>
      </c>
      <c r="K64" s="97">
        <v>9.4199999999999996E-3</v>
      </c>
      <c r="L64" s="62">
        <f t="shared" si="106"/>
        <v>3.9600858024267617E-5</v>
      </c>
      <c r="M64" s="102">
        <v>2.7215772400000001E-2</v>
      </c>
      <c r="N64" s="62">
        <f t="shared" ref="N64:V64" si="125">+(M64-$B64)^2</f>
        <v>1.3231558427641762E-4</v>
      </c>
      <c r="O64" s="102">
        <v>1.0354E-2</v>
      </c>
      <c r="P64" s="62">
        <f t="shared" si="125"/>
        <v>2.871803710469417E-5</v>
      </c>
      <c r="Q64" s="97">
        <v>2.3132E-2</v>
      </c>
      <c r="R64" s="62">
        <f t="shared" si="125"/>
        <v>5.5042729303506433E-5</v>
      </c>
      <c r="S64" s="98">
        <v>7.3299999999999997E-3</v>
      </c>
      <c r="T64" s="95">
        <f t="shared" si="125"/>
        <v>7.0273368904255284E-5</v>
      </c>
      <c r="U64" s="98">
        <v>7.7400000000000004E-3</v>
      </c>
      <c r="V64" s="95">
        <f t="shared" si="125"/>
        <v>6.3567473468468218E-5</v>
      </c>
      <c r="W64" s="97">
        <v>8.1399999999999997E-3</v>
      </c>
      <c r="X64" s="95">
        <f t="shared" si="6"/>
        <v>5.7349136457944271E-5</v>
      </c>
      <c r="Y64" s="97">
        <v>1.2378999999999999E-2</v>
      </c>
      <c r="Z64" s="95">
        <f t="shared" si="7"/>
        <v>1.1115030988916658E-5</v>
      </c>
      <c r="AA64" s="97">
        <v>1.0938059999999999E-2</v>
      </c>
      <c r="AB64" s="95">
        <f t="shared" si="1"/>
        <v>2.2799300082377627E-5</v>
      </c>
      <c r="AC64">
        <v>1.2801999999999999E-2</v>
      </c>
      <c r="AD64" s="95">
        <f t="shared" si="1"/>
        <v>8.4734626002875763E-6</v>
      </c>
      <c r="AE64">
        <v>8.0999999999999996E-3</v>
      </c>
      <c r="AF64" s="95">
        <f t="shared" si="1"/>
        <v>5.7956570158996668E-5</v>
      </c>
    </row>
    <row r="65" spans="1:32">
      <c r="A65" s="63">
        <v>60</v>
      </c>
      <c r="B65" s="78">
        <f>+QxM!U62/1000</f>
        <v>1.6690543925702159E-2</v>
      </c>
      <c r="C65" s="123">
        <v>9.6600000000000002E-3</v>
      </c>
      <c r="D65" s="62">
        <f t="shared" si="43"/>
        <v>4.9428547891227526E-5</v>
      </c>
      <c r="E65" s="67">
        <v>2.6589999999999999E-2</v>
      </c>
      <c r="F65" s="62">
        <f t="shared" si="2"/>
        <v>9.7999230566952393E-5</v>
      </c>
      <c r="G65" s="97">
        <v>1.7559999999999999E-2</v>
      </c>
      <c r="H65" s="62">
        <f t="shared" si="0"/>
        <v>7.5595386513341074E-7</v>
      </c>
      <c r="I65" s="102">
        <v>1.6080000000000001E-2</v>
      </c>
      <c r="J65" s="62">
        <f t="shared" ref="J65" si="126">+(I65-$B65)^2</f>
        <v>3.7276388521180331E-7</v>
      </c>
      <c r="K65" s="97">
        <v>1.04E-2</v>
      </c>
      <c r="L65" s="62">
        <f t="shared" si="106"/>
        <v>3.9570942881188344E-5</v>
      </c>
      <c r="M65" s="102">
        <v>2.9213855699999999E-2</v>
      </c>
      <c r="N65" s="62">
        <f t="shared" ref="N65:V65" si="127">+(M65-$B65)^2</f>
        <v>1.5683333779626692E-4</v>
      </c>
      <c r="O65" s="102">
        <v>1.1046E-2</v>
      </c>
      <c r="P65" s="62">
        <f t="shared" si="127"/>
        <v>3.1860876129181143E-5</v>
      </c>
      <c r="Q65" s="97">
        <v>2.6084E-2</v>
      </c>
      <c r="R65" s="62">
        <f t="shared" si="127"/>
        <v>8.8237017019762989E-5</v>
      </c>
      <c r="S65" s="98">
        <v>8.2199999999999999E-3</v>
      </c>
      <c r="T65" s="95">
        <f t="shared" si="127"/>
        <v>7.1750114397249753E-5</v>
      </c>
      <c r="U65" s="98">
        <v>8.3400000000000002E-3</v>
      </c>
      <c r="V65" s="95">
        <f t="shared" si="127"/>
        <v>6.9731583855081226E-5</v>
      </c>
      <c r="W65" s="97">
        <v>8.8599999999999998E-3</v>
      </c>
      <c r="X65" s="95">
        <f t="shared" si="6"/>
        <v>6.1317418172350991E-5</v>
      </c>
      <c r="Y65" s="97">
        <v>1.4205000000000001E-2</v>
      </c>
      <c r="Z65" s="95">
        <f t="shared" si="7"/>
        <v>6.1779286065948987E-6</v>
      </c>
      <c r="AA65" s="97">
        <v>1.2055130000000001E-2</v>
      </c>
      <c r="AB65" s="95">
        <f t="shared" si="1"/>
        <v>2.1487062262593498E-5</v>
      </c>
      <c r="AC65">
        <v>1.4012E-2</v>
      </c>
      <c r="AD65" s="95">
        <f t="shared" si="1"/>
        <v>7.1745975619159347E-6</v>
      </c>
      <c r="AE65">
        <v>8.9099999999999995E-3</v>
      </c>
      <c r="AF65" s="95">
        <f t="shared" si="1"/>
        <v>6.0536863779780779E-5</v>
      </c>
    </row>
    <row r="66" spans="1:32">
      <c r="A66" s="63">
        <v>61</v>
      </c>
      <c r="B66" s="78">
        <f>+QxM!U63/1000</f>
        <v>1.7728992074123023E-2</v>
      </c>
      <c r="C66" s="123">
        <v>1.056E-2</v>
      </c>
      <c r="D66" s="62">
        <f t="shared" si="43"/>
        <v>5.1394447358838717E-5</v>
      </c>
      <c r="E66" s="67">
        <v>2.878E-2</v>
      </c>
      <c r="F66" s="62">
        <f t="shared" si="2"/>
        <v>1.2212477617779577E-4</v>
      </c>
      <c r="G66" s="97">
        <v>1.9259999999999999E-2</v>
      </c>
      <c r="H66" s="62">
        <f t="shared" si="0"/>
        <v>2.3439852690981222E-6</v>
      </c>
      <c r="I66" s="102">
        <v>1.754E-2</v>
      </c>
      <c r="J66" s="62">
        <f t="shared" ref="J66" si="128">+(I66-$B66)^2</f>
        <v>3.5718004081322082E-8</v>
      </c>
      <c r="K66" s="97">
        <v>1.159E-2</v>
      </c>
      <c r="L66" s="62">
        <f t="shared" si="106"/>
        <v>3.7687223686145297E-5</v>
      </c>
      <c r="M66" s="102">
        <v>3.1383377300000001E-2</v>
      </c>
      <c r="N66" s="62">
        <f t="shared" ref="N66:V66" si="129">+(M66-$B66)^2</f>
        <v>1.864422358966475E-4</v>
      </c>
      <c r="O66" s="102">
        <v>1.1835E-2</v>
      </c>
      <c r="P66" s="62">
        <f t="shared" si="129"/>
        <v>3.4739142569825012E-5</v>
      </c>
      <c r="Q66" s="97">
        <v>2.9267000000000001E-2</v>
      </c>
      <c r="R66" s="62">
        <f t="shared" si="129"/>
        <v>1.3312562689759999E-4</v>
      </c>
      <c r="S66" s="98">
        <v>9.2099999999999994E-3</v>
      </c>
      <c r="T66" s="95">
        <f t="shared" si="129"/>
        <v>7.2573225958970892E-5</v>
      </c>
      <c r="U66" s="98">
        <v>9.0200000000000002E-3</v>
      </c>
      <c r="V66" s="95">
        <f t="shared" si="129"/>
        <v>7.5846542947137626E-5</v>
      </c>
      <c r="W66" s="97">
        <v>9.6399999999999993E-3</v>
      </c>
      <c r="X66" s="95">
        <f t="shared" si="6"/>
        <v>6.5431792775225096E-5</v>
      </c>
      <c r="Y66" s="97">
        <v>1.5980000000000001E-2</v>
      </c>
      <c r="Z66" s="95">
        <f t="shared" si="7"/>
        <v>3.058973275345149E-6</v>
      </c>
      <c r="AA66" s="97">
        <v>1.328114E-2</v>
      </c>
      <c r="AB66" s="95">
        <f t="shared" si="1"/>
        <v>1.9783388073280471E-5</v>
      </c>
      <c r="AC66">
        <v>1.5339E-2</v>
      </c>
      <c r="AD66" s="95">
        <f t="shared" si="1"/>
        <v>5.7120621143708669E-6</v>
      </c>
      <c r="AE66">
        <v>9.7699999999999992E-3</v>
      </c>
      <c r="AF66" s="95">
        <f t="shared" si="1"/>
        <v>6.3345554835953112E-5</v>
      </c>
    </row>
    <row r="67" spans="1:32">
      <c r="A67" s="63">
        <v>62</v>
      </c>
      <c r="B67" s="78">
        <f>+QxM!U64/1000</f>
        <v>1.8832050133506605E-2</v>
      </c>
      <c r="C67" s="123">
        <v>1.1550000000000001E-2</v>
      </c>
      <c r="D67" s="62">
        <f t="shared" si="43"/>
        <v>5.3028254146903542E-5</v>
      </c>
      <c r="E67" s="67">
        <v>3.1179999999999999E-2</v>
      </c>
      <c r="F67" s="62">
        <f t="shared" si="2"/>
        <v>1.5247186590543424E-4</v>
      </c>
      <c r="G67" s="97">
        <v>2.1100000000000001E-2</v>
      </c>
      <c r="H67" s="62">
        <f t="shared" si="0"/>
        <v>5.1435965969274131E-6</v>
      </c>
      <c r="I67" s="102">
        <v>1.9189999999999999E-2</v>
      </c>
      <c r="J67" s="62">
        <f t="shared" ref="J67" si="130">+(I67-$B67)^2</f>
        <v>1.2812810692263872E-7</v>
      </c>
      <c r="K67" s="97">
        <v>1.298E-2</v>
      </c>
      <c r="L67" s="62">
        <f t="shared" si="106"/>
        <v>3.4246490765074667E-5</v>
      </c>
      <c r="M67" s="102">
        <v>3.37324294E-2</v>
      </c>
      <c r="N67" s="62">
        <f t="shared" ref="N67:V67" si="131">+(M67-$B67)^2</f>
        <v>2.2202130228534626E-4</v>
      </c>
      <c r="O67" s="102">
        <v>1.2728E-2</v>
      </c>
      <c r="P67" s="62">
        <f t="shared" si="131"/>
        <v>3.7259428032361999E-5</v>
      </c>
      <c r="Q67" s="97">
        <v>3.2675999999999997E-2</v>
      </c>
      <c r="R67" s="62">
        <f t="shared" si="131"/>
        <v>1.9165494790598242E-4</v>
      </c>
      <c r="S67" s="98">
        <v>1.0319999999999999E-2</v>
      </c>
      <c r="T67" s="95">
        <f t="shared" si="131"/>
        <v>7.2454997475329813E-5</v>
      </c>
      <c r="U67" s="98">
        <v>9.8099999999999993E-3</v>
      </c>
      <c r="V67" s="95">
        <f t="shared" si="131"/>
        <v>8.1397388611506561E-5</v>
      </c>
      <c r="W67" s="97">
        <v>1.0489999999999999E-2</v>
      </c>
      <c r="X67" s="95">
        <f t="shared" si="6"/>
        <v>6.9589800429937569E-5</v>
      </c>
      <c r="Y67" s="97">
        <v>1.77E-2</v>
      </c>
      <c r="Z67" s="95">
        <f t="shared" si="7"/>
        <v>1.2815375047723202E-6</v>
      </c>
      <c r="AA67" s="97">
        <v>1.462658E-2</v>
      </c>
      <c r="AB67" s="95">
        <f t="shared" si="1"/>
        <v>1.7685979043816058E-5</v>
      </c>
      <c r="AC67">
        <v>1.6794E-2</v>
      </c>
      <c r="AD67" s="95">
        <f t="shared" si="1"/>
        <v>4.1536483466862891E-6</v>
      </c>
      <c r="AE67">
        <v>1.0630000000000001E-2</v>
      </c>
      <c r="AF67" s="95">
        <f t="shared" si="1"/>
        <v>6.7273626392555695E-5</v>
      </c>
    </row>
    <row r="68" spans="1:32">
      <c r="A68" s="63">
        <v>63</v>
      </c>
      <c r="B68" s="78">
        <f>+QxM!U65/1000</f>
        <v>2.0003737987369409E-2</v>
      </c>
      <c r="C68" s="123">
        <v>1.264E-2</v>
      </c>
      <c r="D68" s="62">
        <f t="shared" si="43"/>
        <v>5.4224637146627275E-5</v>
      </c>
      <c r="E68" s="67">
        <v>3.3759999999999998E-2</v>
      </c>
      <c r="F68" s="62">
        <f t="shared" si="2"/>
        <v>1.892347445601434E-4</v>
      </c>
      <c r="G68" s="97">
        <v>2.3089999999999999E-2</v>
      </c>
      <c r="H68" s="62">
        <f t="shared" si="0"/>
        <v>9.5250132106066227E-6</v>
      </c>
      <c r="I68" s="102">
        <v>2.1059999999999999E-2</v>
      </c>
      <c r="J68" s="62">
        <f t="shared" ref="J68" si="132">+(I68-$B68)^2</f>
        <v>1.1156894393264244E-6</v>
      </c>
      <c r="K68" s="97">
        <v>1.447E-2</v>
      </c>
      <c r="L68" s="62">
        <f t="shared" si="106"/>
        <v>3.0622256112855234E-5</v>
      </c>
      <c r="M68" s="102">
        <v>3.6324111300000003E-2</v>
      </c>
      <c r="N68" s="62">
        <f t="shared" ref="N68:V68" si="133">+(M68-$B68)^2</f>
        <v>2.6635458506362494E-4</v>
      </c>
      <c r="O68" s="102">
        <v>1.3743E-2</v>
      </c>
      <c r="P68" s="62">
        <f t="shared" si="133"/>
        <v>3.9196840146490357E-5</v>
      </c>
      <c r="Q68" s="97">
        <v>3.6323000000000001E-2</v>
      </c>
      <c r="R68" s="62">
        <f t="shared" si="133"/>
        <v>2.6631831263688788E-4</v>
      </c>
      <c r="S68" s="98">
        <v>1.157E-2</v>
      </c>
      <c r="T68" s="95">
        <f t="shared" si="133"/>
        <v>7.1127936439597806E-5</v>
      </c>
      <c r="U68" s="98">
        <v>1.072E-2</v>
      </c>
      <c r="V68" s="95">
        <f t="shared" si="133"/>
        <v>8.6187791018125804E-5</v>
      </c>
      <c r="W68" s="97">
        <v>1.1429999999999999E-2</v>
      </c>
      <c r="X68" s="95">
        <f t="shared" si="6"/>
        <v>7.3508983076061259E-5</v>
      </c>
      <c r="Y68" s="97">
        <v>1.8846000000000002E-2</v>
      </c>
      <c r="Z68" s="95">
        <f t="shared" si="7"/>
        <v>1.3403572473981662E-6</v>
      </c>
      <c r="AA68" s="97">
        <v>1.6102869999999998E-2</v>
      </c>
      <c r="AB68" s="95">
        <f t="shared" si="1"/>
        <v>1.5216771054883478E-5</v>
      </c>
      <c r="AC68">
        <v>1.8391999999999999E-2</v>
      </c>
      <c r="AD68" s="95">
        <f t="shared" si="1"/>
        <v>2.5976993399295979E-6</v>
      </c>
      <c r="AE68">
        <v>1.149E-2</v>
      </c>
      <c r="AF68" s="95">
        <f t="shared" ref="AF68:AF108" si="134">+(AE68-$B68)^2</f>
        <v>7.2483734517576906E-5</v>
      </c>
    </row>
    <row r="69" spans="1:32">
      <c r="A69" s="63">
        <v>64</v>
      </c>
      <c r="B69" s="78">
        <f>+QxM!U66/1000</f>
        <v>2.1248325627349882E-2</v>
      </c>
      <c r="C69" s="123">
        <v>1.384E-2</v>
      </c>
      <c r="D69" s="62">
        <f t="shared" si="43"/>
        <v>5.4883288600849032E-5</v>
      </c>
      <c r="E69" s="67">
        <v>3.6580000000000001E-2</v>
      </c>
      <c r="F69" s="62">
        <f t="shared" si="2"/>
        <v>2.3506023906897641E-4</v>
      </c>
      <c r="G69" s="97">
        <v>2.5250000000000002E-2</v>
      </c>
      <c r="H69" s="62">
        <f t="shared" si="0"/>
        <v>1.6013397784724726E-5</v>
      </c>
      <c r="I69" s="102">
        <v>2.3140000000000001E-2</v>
      </c>
      <c r="J69" s="62">
        <f t="shared" ref="J69" si="135">+(I69-$B69)^2</f>
        <v>3.5784319321412196E-6</v>
      </c>
      <c r="K69" s="97">
        <v>1.6039999999999999E-2</v>
      </c>
      <c r="L69" s="62">
        <f t="shared" si="106"/>
        <v>2.712665584050956E-5</v>
      </c>
      <c r="M69" s="102">
        <v>3.9123968799999999E-2</v>
      </c>
      <c r="N69" s="62">
        <f t="shared" ref="N69:V69" si="136">+(M69-$B69)^2</f>
        <v>3.1953861883591271E-4</v>
      </c>
      <c r="O69" s="102">
        <v>1.4885000000000001E-2</v>
      </c>
      <c r="P69" s="62">
        <f t="shared" si="136"/>
        <v>4.0491913039687763E-5</v>
      </c>
      <c r="Q69" s="97">
        <v>4.0294999999999997E-2</v>
      </c>
      <c r="R69" s="62">
        <f t="shared" si="136"/>
        <v>3.6277580465776666E-4</v>
      </c>
      <c r="S69" s="98">
        <v>1.2959999999999999E-2</v>
      </c>
      <c r="T69" s="95">
        <f t="shared" si="136"/>
        <v>6.8696341704984831E-5</v>
      </c>
      <c r="U69" s="98">
        <v>1.18E-2</v>
      </c>
      <c r="V69" s="95">
        <f t="shared" si="136"/>
        <v>8.9270857160436546E-5</v>
      </c>
      <c r="W69" s="97">
        <v>1.2460000000000001E-2</v>
      </c>
      <c r="X69" s="95">
        <f t="shared" si="6"/>
        <v>7.7234667332334696E-5</v>
      </c>
      <c r="Y69" s="97">
        <v>2.0431999999999999E-2</v>
      </c>
      <c r="Z69" s="95">
        <f t="shared" si="7"/>
        <v>6.6638752986818088E-7</v>
      </c>
      <c r="AA69" s="97">
        <v>1.7722519999999999E-2</v>
      </c>
      <c r="AB69" s="95">
        <f t="shared" si="1"/>
        <v>1.2431305321852108E-5</v>
      </c>
      <c r="AC69">
        <v>2.1047E-2</v>
      </c>
      <c r="AD69" s="95">
        <f t="shared" si="1"/>
        <v>4.0532008227823789E-8</v>
      </c>
      <c r="AE69">
        <v>1.238E-2</v>
      </c>
      <c r="AF69" s="95">
        <f t="shared" si="134"/>
        <v>7.8647199432710683E-5</v>
      </c>
    </row>
    <row r="70" spans="1:32">
      <c r="A70" s="63">
        <v>65</v>
      </c>
      <c r="B70" s="78">
        <f>+QxM!U67/1000</f>
        <v>2.2570348714373814E-2</v>
      </c>
      <c r="C70" s="123">
        <v>1.515E-2</v>
      </c>
      <c r="D70" s="62">
        <f t="shared" si="43"/>
        <v>5.506157504290911E-5</v>
      </c>
      <c r="E70" s="67">
        <v>3.9640000000000002E-2</v>
      </c>
      <c r="F70" s="62">
        <f t="shared" si="2"/>
        <v>2.9137299501287974E-4</v>
      </c>
      <c r="G70" s="97">
        <v>2.7609999999999999E-2</v>
      </c>
      <c r="H70" s="62">
        <f t="shared" ref="H70:H105" si="137">+(G70-$B70)^2</f>
        <v>2.539808508071366E-5</v>
      </c>
      <c r="I70" s="102">
        <v>2.5420000000000002E-2</v>
      </c>
      <c r="J70" s="62">
        <f t="shared" ref="J70" si="138">+(I70-$B70)^2</f>
        <v>8.1205124496709832E-6</v>
      </c>
      <c r="K70" s="97">
        <v>1.7649999999999999E-2</v>
      </c>
      <c r="L70" s="62">
        <f t="shared" si="106"/>
        <v>2.4209831471040055E-5</v>
      </c>
      <c r="M70" s="102">
        <v>4.2205930599999997E-2</v>
      </c>
      <c r="N70" s="62">
        <f t="shared" ref="N70:V70" si="139">+(M70-$B70)^2</f>
        <v>3.8555607598713109E-4</v>
      </c>
      <c r="O70" s="102">
        <v>1.6181999999999998E-2</v>
      </c>
      <c r="P70" s="62">
        <f t="shared" si="139"/>
        <v>4.0810999296441586E-5</v>
      </c>
      <c r="Q70" s="97">
        <v>4.4478999999999998E-2</v>
      </c>
      <c r="R70" s="62">
        <f t="shared" si="139"/>
        <v>4.7998900115516982E-4</v>
      </c>
      <c r="S70" s="98">
        <v>1.451E-2</v>
      </c>
      <c r="T70" s="95">
        <f t="shared" si="139"/>
        <v>6.4969221397307586E-5</v>
      </c>
      <c r="U70" s="98">
        <v>1.306E-2</v>
      </c>
      <c r="V70" s="95">
        <f t="shared" si="139"/>
        <v>9.0446732668991646E-5</v>
      </c>
      <c r="W70" s="97">
        <v>1.358E-2</v>
      </c>
      <c r="X70" s="95">
        <f t="shared" si="6"/>
        <v>8.0826370006042896E-5</v>
      </c>
      <c r="Y70" s="97">
        <v>2.1954999999999999E-2</v>
      </c>
      <c r="Z70" s="95">
        <f t="shared" si="7"/>
        <v>3.7865404028150728E-7</v>
      </c>
      <c r="AA70" s="97">
        <v>1.949917E-2</v>
      </c>
      <c r="AB70" s="95">
        <f t="shared" ref="AB70:AB113" si="140">+(AA70-$B70)^2</f>
        <v>9.4321386956227955E-6</v>
      </c>
      <c r="AC70">
        <v>2.2078E-2</v>
      </c>
      <c r="AD70" s="95">
        <f t="shared" ref="AD70:AD112" si="141">+(AC70-$B70)^2</f>
        <v>2.4240725654554714E-7</v>
      </c>
      <c r="AE70">
        <v>1.336E-2</v>
      </c>
      <c r="AF70" s="95">
        <f t="shared" si="134"/>
        <v>8.4830523440367357E-5</v>
      </c>
    </row>
    <row r="71" spans="1:32">
      <c r="A71" s="63">
        <v>66</v>
      </c>
      <c r="B71" s="78">
        <f>+QxM!U68/1000</f>
        <v>2.3974625108000615E-2</v>
      </c>
      <c r="C71" s="123">
        <v>1.66E-2</v>
      </c>
      <c r="D71" s="62">
        <f t="shared" ref="D71:D103" si="142">+(C71-$B71)^2</f>
        <v>5.438509548355308E-5</v>
      </c>
      <c r="E71" s="67">
        <v>4.2959999999999998E-2</v>
      </c>
      <c r="F71" s="62">
        <f t="shared" ref="F71:F103" si="143">+(E71-$B71)^2</f>
        <v>3.6044445978976059E-4</v>
      </c>
      <c r="G71" s="97">
        <v>3.0210000000000001E-2</v>
      </c>
      <c r="H71" s="62">
        <f t="shared" si="137"/>
        <v>3.8879900043776357E-5</v>
      </c>
      <c r="I71" s="102">
        <v>2.785E-2</v>
      </c>
      <c r="J71" s="62">
        <f t="shared" ref="J71" si="144">+(I71-$B71)^2</f>
        <v>1.5018530553539245E-5</v>
      </c>
      <c r="K71" s="97">
        <v>1.9269999999999999E-2</v>
      </c>
      <c r="L71" s="62">
        <f t="shared" ref="L71:L86" si="145">+(K71-$B71)^2</f>
        <v>2.2133497406829805E-5</v>
      </c>
      <c r="M71" s="102">
        <v>4.5540612100000002E-2</v>
      </c>
      <c r="N71" s="62">
        <f t="shared" ref="N71:V71" si="146">+(M71-$B71)^2</f>
        <v>4.6509179493908678E-4</v>
      </c>
      <c r="O71" s="102">
        <v>1.7611999999999999E-2</v>
      </c>
      <c r="P71" s="62">
        <f t="shared" si="146"/>
        <v>4.0482998264959847E-5</v>
      </c>
      <c r="Q71" s="97">
        <v>4.8982999999999999E-2</v>
      </c>
      <c r="R71" s="62">
        <f t="shared" si="146"/>
        <v>6.2541881473878521E-4</v>
      </c>
      <c r="S71" s="98">
        <v>1.6240000000000001E-2</v>
      </c>
      <c r="T71" s="95">
        <f t="shared" si="146"/>
        <v>5.9824425561313506E-5</v>
      </c>
      <c r="U71" s="98">
        <v>1.452E-2</v>
      </c>
      <c r="V71" s="95">
        <f t="shared" si="146"/>
        <v>8.9389935932835635E-5</v>
      </c>
      <c r="W71" s="97">
        <v>1.481E-2</v>
      </c>
      <c r="X71" s="95">
        <f t="shared" ref="X71:X118" si="147">+(W71-$B71)^2</f>
        <v>8.3990353370195275E-5</v>
      </c>
      <c r="Y71" s="97">
        <v>2.2914E-2</v>
      </c>
      <c r="Z71" s="95">
        <f t="shared" ref="Z71:Z105" si="148">+(Y71-$B71)^2</f>
        <v>1.1249256197213151E-6</v>
      </c>
      <c r="AA71" s="97">
        <v>2.1447709999999998E-2</v>
      </c>
      <c r="AB71" s="95">
        <f t="shared" si="140"/>
        <v>6.3852999630417677E-6</v>
      </c>
      <c r="AC71">
        <v>2.4202999999999999E-2</v>
      </c>
      <c r="AD71" s="95">
        <f t="shared" si="141"/>
        <v>5.2155091295730316E-8</v>
      </c>
      <c r="AE71">
        <v>1.448E-2</v>
      </c>
      <c r="AF71" s="95">
        <f t="shared" si="134"/>
        <v>9.0147905941475689E-5</v>
      </c>
    </row>
    <row r="72" spans="1:32">
      <c r="A72" s="63">
        <v>67</v>
      </c>
      <c r="B72" s="78">
        <f>+QxM!U69/1000</f>
        <v>2.5466272424188384E-2</v>
      </c>
      <c r="C72" s="123">
        <v>1.8190000000000001E-2</v>
      </c>
      <c r="D72" s="62">
        <f t="shared" si="142"/>
        <v>5.2944140391004282E-5</v>
      </c>
      <c r="E72" s="67">
        <v>4.6559999999999997E-2</v>
      </c>
      <c r="F72" s="62">
        <f t="shared" si="143"/>
        <v>4.4494534304255528E-4</v>
      </c>
      <c r="G72" s="97">
        <v>3.3079999999999998E-2</v>
      </c>
      <c r="H72" s="62">
        <f t="shared" si="137"/>
        <v>5.7968847598674202E-5</v>
      </c>
      <c r="I72" s="102">
        <v>3.0439999999999998E-2</v>
      </c>
      <c r="J72" s="62">
        <f t="shared" ref="J72" si="149">+(I72-$B72)^2</f>
        <v>2.4737965998388879E-5</v>
      </c>
      <c r="K72" s="97">
        <v>2.0959999999999999E-2</v>
      </c>
      <c r="L72" s="62">
        <f t="shared" si="145"/>
        <v>2.030649116100066E-5</v>
      </c>
      <c r="M72" s="102">
        <v>4.9175186500000002E-2</v>
      </c>
      <c r="N72" s="62">
        <f t="shared" ref="N72:V72" si="150">+(M72-$B72)^2</f>
        <v>5.6211260665421832E-4</v>
      </c>
      <c r="O72" s="102">
        <v>1.9137999999999999E-2</v>
      </c>
      <c r="P72" s="62">
        <f t="shared" si="150"/>
        <v>4.0047031874743138E-5</v>
      </c>
      <c r="Q72" s="97">
        <v>5.4045000000000003E-2</v>
      </c>
      <c r="R72" s="62">
        <f t="shared" si="150"/>
        <v>8.167436698524555E-4</v>
      </c>
      <c r="S72" s="98">
        <v>1.8169999999999999E-2</v>
      </c>
      <c r="T72" s="95">
        <f t="shared" si="150"/>
        <v>5.3235591287971854E-5</v>
      </c>
      <c r="U72" s="98">
        <v>1.6160000000000001E-2</v>
      </c>
      <c r="V72" s="95">
        <f t="shared" si="150"/>
        <v>8.6606706433209121E-5</v>
      </c>
      <c r="W72" s="97">
        <v>1.6160000000000001E-2</v>
      </c>
      <c r="X72" s="95">
        <f t="shared" si="147"/>
        <v>8.6606706433209121E-5</v>
      </c>
      <c r="Y72" s="97">
        <v>2.4669E-2</v>
      </c>
      <c r="Z72" s="95">
        <f t="shared" si="148"/>
        <v>6.3564331837122247E-7</v>
      </c>
      <c r="AA72" s="97">
        <v>2.3584359999999999E-2</v>
      </c>
      <c r="AB72" s="95">
        <f t="shared" si="140"/>
        <v>3.541594372314605E-6</v>
      </c>
      <c r="AC72">
        <v>2.6544999999999999E-2</v>
      </c>
      <c r="AD72" s="95">
        <f t="shared" si="141"/>
        <v>1.163653182816404E-6</v>
      </c>
      <c r="AE72">
        <v>1.5709999999999998E-2</v>
      </c>
      <c r="AF72" s="95">
        <f t="shared" si="134"/>
        <v>9.518485161497872E-5</v>
      </c>
    </row>
    <row r="73" spans="1:32">
      <c r="A73" s="63">
        <v>68</v>
      </c>
      <c r="B73" s="78">
        <f>+QxM!U70/1000</f>
        <v>2.7050726685463614E-2</v>
      </c>
      <c r="C73" s="123">
        <v>1.9940000000000003E-2</v>
      </c>
      <c r="D73" s="62">
        <f t="shared" si="142"/>
        <v>5.0562433995364306E-5</v>
      </c>
      <c r="E73" s="67">
        <v>5.0459999999999998E-2</v>
      </c>
      <c r="F73" s="62">
        <f t="shared" si="143"/>
        <v>5.4799407711466524E-4</v>
      </c>
      <c r="G73" s="97">
        <v>3.6240000000000001E-2</v>
      </c>
      <c r="H73" s="62">
        <f t="shared" si="137"/>
        <v>8.4442744049250572E-5</v>
      </c>
      <c r="I73" s="102">
        <v>3.3189999999999997E-2</v>
      </c>
      <c r="J73" s="62">
        <f t="shared" ref="J73" si="151">+(I73-$B73)^2</f>
        <v>3.7690676830578556E-5</v>
      </c>
      <c r="K73" s="97">
        <v>2.274E-2</v>
      </c>
      <c r="L73" s="62">
        <f t="shared" si="145"/>
        <v>1.8582364556768114E-5</v>
      </c>
      <c r="M73" s="102">
        <v>5.3167904299999999E-2</v>
      </c>
      <c r="N73" s="62">
        <f t="shared" ref="N73:V73" si="152">+(M73-$B73)^2</f>
        <v>6.8210696654924052E-4</v>
      </c>
      <c r="O73" s="102">
        <v>2.0752E-2</v>
      </c>
      <c r="P73" s="62">
        <f t="shared" si="152"/>
        <v>3.9673957858171446E-5</v>
      </c>
      <c r="Q73" s="97">
        <v>5.9665999999999997E-2</v>
      </c>
      <c r="R73" s="62">
        <f t="shared" si="152"/>
        <v>1.063756053381909E-3</v>
      </c>
      <c r="S73" s="98">
        <v>2.0310000000000002E-2</v>
      </c>
      <c r="T73" s="95">
        <f t="shared" si="152"/>
        <v>4.5437396248121255E-5</v>
      </c>
      <c r="U73" s="98">
        <v>1.7940000000000001E-2</v>
      </c>
      <c r="V73" s="95">
        <f t="shared" si="152"/>
        <v>8.3005340737218777E-5</v>
      </c>
      <c r="W73" s="97">
        <v>1.763E-2</v>
      </c>
      <c r="X73" s="95">
        <f t="shared" si="147"/>
        <v>8.8750091282206243E-5</v>
      </c>
      <c r="Y73" s="97">
        <v>2.6020000000000001E-2</v>
      </c>
      <c r="Z73" s="95">
        <f t="shared" si="148"/>
        <v>1.062397500126804E-6</v>
      </c>
      <c r="AA73" s="97">
        <v>2.5926810000000002E-2</v>
      </c>
      <c r="AB73" s="95">
        <f t="shared" si="140"/>
        <v>1.2631887158635118E-6</v>
      </c>
      <c r="AC73">
        <v>2.9127E-2</v>
      </c>
      <c r="AD73" s="95">
        <f t="shared" si="141"/>
        <v>4.3109108766559124E-6</v>
      </c>
      <c r="AE73">
        <v>1.7080000000000001E-2</v>
      </c>
      <c r="AF73" s="95">
        <f t="shared" si="134"/>
        <v>9.9415390636216187E-5</v>
      </c>
    </row>
    <row r="74" spans="1:32">
      <c r="A74" s="63">
        <v>69</v>
      </c>
      <c r="B74" s="78">
        <f>+QxM!U71/1000</f>
        <v>2.8733762131462528E-2</v>
      </c>
      <c r="C74" s="123">
        <v>2.1870000000000001E-2</v>
      </c>
      <c r="D74" s="62">
        <f t="shared" si="142"/>
        <v>4.7111230597299017E-5</v>
      </c>
      <c r="E74" s="67">
        <v>5.4699999999999999E-2</v>
      </c>
      <c r="F74" s="62">
        <f t="shared" si="143"/>
        <v>6.7424550904546937E-4</v>
      </c>
      <c r="G74" s="97">
        <v>3.9660000000000001E-2</v>
      </c>
      <c r="H74" s="62">
        <f t="shared" si="137"/>
        <v>1.193826739598623E-4</v>
      </c>
      <c r="I74" s="102">
        <v>3.6170000000000001E-2</v>
      </c>
      <c r="J74" s="62">
        <f t="shared" ref="J74" si="153">+(I74-$B74)^2</f>
        <v>5.5297633637470736E-5</v>
      </c>
      <c r="K74" s="97">
        <v>2.469E-2</v>
      </c>
      <c r="L74" s="62">
        <f t="shared" si="145"/>
        <v>1.6352012175850367E-5</v>
      </c>
      <c r="M74" s="102">
        <v>5.7475517400000002E-2</v>
      </c>
      <c r="N74" s="62">
        <f t="shared" ref="N74:V74" si="154">+(M74-$B74)^2</f>
        <v>8.2608849591650165E-4</v>
      </c>
      <c r="O74" s="102">
        <v>2.2497E-2</v>
      </c>
      <c r="P74" s="62">
        <f t="shared" si="154"/>
        <v>3.8897201884445017E-5</v>
      </c>
      <c r="Q74" s="97">
        <v>6.5849000000000005E-2</v>
      </c>
      <c r="R74" s="62">
        <f t="shared" si="154"/>
        <v>1.3775408820381181E-3</v>
      </c>
      <c r="S74" s="98">
        <v>2.2689999999999998E-2</v>
      </c>
      <c r="T74" s="95">
        <f t="shared" si="154"/>
        <v>3.65270607017005E-5</v>
      </c>
      <c r="U74" s="98">
        <v>1.9859999999999999E-2</v>
      </c>
      <c r="V74" s="95">
        <f t="shared" si="154"/>
        <v>7.8743654365778402E-5</v>
      </c>
      <c r="W74" s="97">
        <v>1.925E-2</v>
      </c>
      <c r="X74" s="95">
        <f t="shared" si="147"/>
        <v>8.9941744166162677E-5</v>
      </c>
      <c r="Y74" s="97">
        <v>2.7337E-2</v>
      </c>
      <c r="Z74" s="95">
        <f t="shared" si="148"/>
        <v>1.9509444518877433E-6</v>
      </c>
      <c r="AA74" s="97">
        <v>2.84943E-2</v>
      </c>
      <c r="AB74" s="95">
        <f t="shared" si="140"/>
        <v>5.7342112404576891E-8</v>
      </c>
      <c r="AC74">
        <v>3.1976999999999998E-2</v>
      </c>
      <c r="AD74" s="95">
        <f t="shared" si="141"/>
        <v>1.0518591871915475E-5</v>
      </c>
      <c r="AE74">
        <v>1.8599999999999998E-2</v>
      </c>
      <c r="AF74" s="95">
        <f t="shared" si="134"/>
        <v>1.0269313493706399E-4</v>
      </c>
    </row>
    <row r="75" spans="1:32">
      <c r="A75" s="63">
        <v>70</v>
      </c>
      <c r="B75" s="78">
        <f>+QxM!U72/1000</f>
        <v>3.0521512262039984E-2</v>
      </c>
      <c r="C75" s="123">
        <v>2.3980000000000001E-2</v>
      </c>
      <c r="D75" s="62">
        <f t="shared" si="142"/>
        <v>4.2791382674419453E-5</v>
      </c>
      <c r="E75" s="67">
        <v>5.9299999999999999E-2</v>
      </c>
      <c r="F75" s="62">
        <f t="shared" si="143"/>
        <v>8.2820135648391496E-4</v>
      </c>
      <c r="G75" s="97">
        <v>4.3299999999999998E-2</v>
      </c>
      <c r="H75" s="62">
        <f t="shared" si="137"/>
        <v>1.6328974886919444E-4</v>
      </c>
      <c r="I75" s="102">
        <v>3.9510000000000003E-2</v>
      </c>
      <c r="J75" s="62">
        <f t="shared" ref="J75" si="155">+(I75-$B75)^2</f>
        <v>8.0792911815457619E-5</v>
      </c>
      <c r="K75" s="97">
        <v>2.6940000000000002E-2</v>
      </c>
      <c r="L75" s="62">
        <f t="shared" si="145"/>
        <v>1.2827230083142749E-5</v>
      </c>
      <c r="M75" s="102">
        <v>6.2186254599999997E-2</v>
      </c>
      <c r="N75" s="62">
        <f t="shared" ref="N75:V75" si="156">+(M75-$B75)^2</f>
        <v>1.0026559073293977E-3</v>
      </c>
      <c r="O75" s="102">
        <v>2.4487999999999999E-2</v>
      </c>
      <c r="P75" s="62">
        <f t="shared" si="156"/>
        <v>3.6403270216186853E-5</v>
      </c>
      <c r="Q75" s="97">
        <v>7.2543999999999997E-2</v>
      </c>
      <c r="R75" s="62">
        <f t="shared" si="156"/>
        <v>1.7658894756869994E-3</v>
      </c>
      <c r="S75" s="98">
        <v>2.5340000000000001E-2</v>
      </c>
      <c r="T75" s="95">
        <f t="shared" si="156"/>
        <v>2.6848069321670699E-5</v>
      </c>
      <c r="U75" s="98">
        <v>2.1930000000000002E-2</v>
      </c>
      <c r="V75" s="95">
        <f t="shared" si="156"/>
        <v>7.3814082948783376E-5</v>
      </c>
      <c r="W75" s="97">
        <v>2.102E-2</v>
      </c>
      <c r="X75" s="95">
        <f t="shared" si="147"/>
        <v>9.0278735265696166E-5</v>
      </c>
      <c r="Y75" s="97">
        <v>2.8721E-2</v>
      </c>
      <c r="Z75" s="95">
        <f t="shared" si="148"/>
        <v>3.2418444057563404E-6</v>
      </c>
      <c r="AA75" s="97">
        <v>3.1307740000000001E-2</v>
      </c>
      <c r="AB75" s="95">
        <f t="shared" si="140"/>
        <v>6.1815405593772429E-7</v>
      </c>
      <c r="AC75">
        <v>3.5124000000000002E-2</v>
      </c>
      <c r="AD75" s="95">
        <f t="shared" si="141"/>
        <v>2.1182893378072327E-5</v>
      </c>
      <c r="AE75">
        <v>2.0320000000000001E-2</v>
      </c>
      <c r="AF75" s="95">
        <f t="shared" si="134"/>
        <v>1.0407085243255213E-4</v>
      </c>
    </row>
    <row r="76" spans="1:32">
      <c r="A76" s="63">
        <v>71</v>
      </c>
      <c r="B76" s="78">
        <f>+QxM!U73/1000</f>
        <v>3.2420492189633138E-2</v>
      </c>
      <c r="C76" s="123">
        <v>2.63E-2</v>
      </c>
      <c r="D76" s="62">
        <f t="shared" si="142"/>
        <v>3.7460424643360233E-5</v>
      </c>
      <c r="E76" s="67">
        <v>6.4269999999999994E-2</v>
      </c>
      <c r="F76" s="62">
        <f t="shared" si="143"/>
        <v>1.0143911477626193E-3</v>
      </c>
      <c r="G76" s="97">
        <v>4.709E-2</v>
      </c>
      <c r="H76" s="62">
        <f t="shared" si="137"/>
        <v>2.1519445939841437E-4</v>
      </c>
      <c r="I76" s="102">
        <v>4.3299999999999998E-2</v>
      </c>
      <c r="J76" s="62">
        <f t="shared" ref="J76" si="157">+(I76-$B76)^2</f>
        <v>1.1836369019583352E-4</v>
      </c>
      <c r="K76" s="97">
        <v>2.971E-2</v>
      </c>
      <c r="L76" s="62">
        <f t="shared" si="145"/>
        <v>7.3467679100622395E-6</v>
      </c>
      <c r="M76" s="102">
        <v>6.7306914300000006E-2</v>
      </c>
      <c r="N76" s="62">
        <f t="shared" ref="N76:V76" si="158">+(M76-$B76)^2</f>
        <v>1.2170624476626943E-3</v>
      </c>
      <c r="O76" s="102">
        <v>2.6747E-2</v>
      </c>
      <c r="P76" s="62">
        <f t="shared" si="158"/>
        <v>3.2188513625828214E-5</v>
      </c>
      <c r="Q76" s="97">
        <v>7.9825999999999994E-2</v>
      </c>
      <c r="R76" s="62">
        <f t="shared" si="158"/>
        <v>2.2472821707587532E-3</v>
      </c>
      <c r="S76" s="98">
        <v>2.828E-2</v>
      </c>
      <c r="T76" s="95">
        <f t="shared" si="158"/>
        <v>1.7143675572413019E-5</v>
      </c>
      <c r="U76" s="98">
        <v>2.4150000000000001E-2</v>
      </c>
      <c r="V76" s="95">
        <f t="shared" si="158"/>
        <v>6.8401041058782714E-5</v>
      </c>
      <c r="W76" s="97">
        <v>2.2950000000000002E-2</v>
      </c>
      <c r="X76" s="95">
        <f t="shared" si="147"/>
        <v>8.9690222313902235E-5</v>
      </c>
      <c r="Y76" s="97">
        <v>3.0268E-2</v>
      </c>
      <c r="Z76" s="95">
        <f t="shared" si="148"/>
        <v>4.6332226264316604E-6</v>
      </c>
      <c r="AA76" s="97">
        <v>3.438985E-2</v>
      </c>
      <c r="AB76" s="95">
        <f t="shared" si="140"/>
        <v>3.878370185252961E-6</v>
      </c>
      <c r="AC76">
        <v>3.8603999999999999E-2</v>
      </c>
      <c r="AD76" s="95">
        <f t="shared" si="141"/>
        <v>3.823576884086798E-5</v>
      </c>
      <c r="AE76">
        <v>2.2239999999999999E-2</v>
      </c>
      <c r="AF76" s="95">
        <f t="shared" si="134"/>
        <v>1.0364242122318133E-4</v>
      </c>
    </row>
    <row r="77" spans="1:32">
      <c r="A77" s="63">
        <v>72</v>
      </c>
      <c r="B77" s="78">
        <f>+QxM!U74/1000</f>
        <v>3.4437622382339057E-2</v>
      </c>
      <c r="C77" s="123">
        <v>2.8850000000000001E-2</v>
      </c>
      <c r="D77" s="62">
        <f t="shared" si="142"/>
        <v>3.1221523887616399E-5</v>
      </c>
      <c r="E77" s="67">
        <v>6.966E-2</v>
      </c>
      <c r="F77" s="62">
        <f t="shared" si="143"/>
        <v>1.2406158850411025E-3</v>
      </c>
      <c r="G77" s="97">
        <v>5.0999999999999997E-2</v>
      </c>
      <c r="H77" s="62">
        <f t="shared" si="137"/>
        <v>2.7431235234999605E-4</v>
      </c>
      <c r="I77" s="102">
        <v>4.7649999999999998E-2</v>
      </c>
      <c r="J77" s="62">
        <f t="shared" ref="J77" si="159">+(I77-$B77)^2</f>
        <v>1.7456692231166779E-4</v>
      </c>
      <c r="K77" s="97">
        <v>3.2939999999999997E-2</v>
      </c>
      <c r="L77" s="62">
        <f t="shared" si="145"/>
        <v>2.2428728000829226E-6</v>
      </c>
      <c r="M77" s="102">
        <v>7.2895581000000001E-2</v>
      </c>
      <c r="N77" s="62">
        <f t="shared" ref="N77:V77" si="160">+(M77-$B77)^2</f>
        <v>1.4790145810377217E-3</v>
      </c>
      <c r="O77" s="102">
        <v>2.9211999999999998E-2</v>
      </c>
      <c r="P77" s="62">
        <f t="shared" si="160"/>
        <v>2.7307129282802943E-5</v>
      </c>
      <c r="Q77" s="97">
        <v>8.7638999999999995E-2</v>
      </c>
      <c r="R77" s="62">
        <f t="shared" si="160"/>
        <v>2.8303865804169544E-3</v>
      </c>
      <c r="S77" s="98">
        <v>3.1530000000000002E-2</v>
      </c>
      <c r="T77" s="95">
        <f t="shared" si="160"/>
        <v>8.454267918279041E-6</v>
      </c>
      <c r="U77" s="98">
        <v>2.657E-2</v>
      </c>
      <c r="V77" s="95">
        <f t="shared" si="160"/>
        <v>6.1899481951082502E-5</v>
      </c>
      <c r="W77" s="97">
        <v>2.5080000000000002E-2</v>
      </c>
      <c r="X77" s="95">
        <f t="shared" si="147"/>
        <v>8.7565096650452865E-5</v>
      </c>
      <c r="Y77" s="97">
        <v>3.2077000000000001E-2</v>
      </c>
      <c r="Z77" s="95">
        <f t="shared" si="148"/>
        <v>5.5725380320001198E-6</v>
      </c>
      <c r="AA77" s="97">
        <v>3.7765260000000002E-2</v>
      </c>
      <c r="AB77" s="95">
        <f t="shared" si="140"/>
        <v>1.1073172114472206E-5</v>
      </c>
      <c r="AC77">
        <v>4.2451999999999997E-2</v>
      </c>
      <c r="AD77" s="95">
        <f t="shared" si="141"/>
        <v>6.4230248598464636E-5</v>
      </c>
      <c r="AE77">
        <v>2.4309999999999998E-2</v>
      </c>
      <c r="AF77" s="95">
        <f t="shared" si="134"/>
        <v>1.0256873511925507E-4</v>
      </c>
    </row>
    <row r="78" spans="1:32">
      <c r="A78" s="63">
        <v>73</v>
      </c>
      <c r="B78" s="78">
        <f>+QxM!U75/1000</f>
        <v>3.6580253884233173E-2</v>
      </c>
      <c r="C78" s="123">
        <v>3.1649999999999998E-2</v>
      </c>
      <c r="D78" s="62">
        <f t="shared" si="142"/>
        <v>2.4307403362996314E-5</v>
      </c>
      <c r="E78" s="67">
        <v>7.5499999999999998E-2</v>
      </c>
      <c r="F78" s="62">
        <f t="shared" si="143"/>
        <v>1.5147466377157469E-3</v>
      </c>
      <c r="G78" s="97">
        <v>5.5010000000000003E-2</v>
      </c>
      <c r="H78" s="62">
        <f t="shared" si="137"/>
        <v>3.3965554189162257E-4</v>
      </c>
      <c r="I78" s="102">
        <v>5.2639999999999999E-2</v>
      </c>
      <c r="J78" s="62">
        <f t="shared" ref="J78" si="161">+(I78-$B78)^2</f>
        <v>2.5791544530288766E-4</v>
      </c>
      <c r="K78" s="97">
        <v>3.6319999999999998E-2</v>
      </c>
      <c r="L78" s="62">
        <f t="shared" si="145"/>
        <v>6.7732084258454727E-8</v>
      </c>
      <c r="M78" s="102">
        <v>7.8960939999999993E-2</v>
      </c>
      <c r="N78" s="62">
        <f t="shared" ref="N78:V78" si="162">+(M78-$B78)^2</f>
        <v>1.7961225556431505E-3</v>
      </c>
      <c r="O78" s="102">
        <v>3.1884999999999997E-2</v>
      </c>
      <c r="P78" s="62">
        <f t="shared" si="162"/>
        <v>2.2045409037406729E-5</v>
      </c>
      <c r="Q78" s="97">
        <v>9.6026E-2</v>
      </c>
      <c r="R78" s="62">
        <f t="shared" si="162"/>
        <v>3.533796731260207E-3</v>
      </c>
      <c r="S78" s="98">
        <v>3.5139999999999998E-2</v>
      </c>
      <c r="T78" s="95">
        <f t="shared" si="162"/>
        <v>2.0743312510487486E-6</v>
      </c>
      <c r="U78" s="98">
        <v>2.9229999999999999E-2</v>
      </c>
      <c r="V78" s="95">
        <f t="shared" si="162"/>
        <v>5.4026232162684857E-5</v>
      </c>
      <c r="W78" s="97">
        <v>2.7400000000000001E-2</v>
      </c>
      <c r="X78" s="95">
        <f t="shared" si="147"/>
        <v>8.4277061378978241E-5</v>
      </c>
      <c r="Y78" s="97">
        <v>3.7102000000000003E-2</v>
      </c>
      <c r="Z78" s="95">
        <f t="shared" si="148"/>
        <v>2.7221900931777456E-7</v>
      </c>
      <c r="AA78" s="97">
        <v>4.146068E-2</v>
      </c>
      <c r="AB78" s="95">
        <f t="shared" si="140"/>
        <v>2.3818559071458878E-5</v>
      </c>
      <c r="AC78">
        <v>4.6711999999999997E-2</v>
      </c>
      <c r="AD78" s="95">
        <f t="shared" si="141"/>
        <v>1.0265227935435611E-4</v>
      </c>
      <c r="AE78">
        <v>2.6519999999999998E-2</v>
      </c>
      <c r="AF78" s="95">
        <f t="shared" si="134"/>
        <v>1.0120870821522867E-4</v>
      </c>
    </row>
    <row r="79" spans="1:32">
      <c r="A79" s="63">
        <v>74</v>
      </c>
      <c r="B79" s="78">
        <f>+QxM!U76/1000</f>
        <v>3.8856195104839557E-2</v>
      </c>
      <c r="C79" s="123">
        <v>3.4720000000000001E-2</v>
      </c>
      <c r="D79" s="62">
        <f t="shared" si="142"/>
        <v>1.7108109945298704E-5</v>
      </c>
      <c r="E79" s="67">
        <v>8.1809999999999994E-2</v>
      </c>
      <c r="F79" s="62">
        <f t="shared" si="143"/>
        <v>1.8450293549715088E-3</v>
      </c>
      <c r="G79" s="97">
        <v>5.9229999999999998E-2</v>
      </c>
      <c r="H79" s="62">
        <f t="shared" si="137"/>
        <v>4.1509192590606354E-4</v>
      </c>
      <c r="I79" s="102">
        <v>5.8189999999999999E-2</v>
      </c>
      <c r="J79" s="62">
        <f t="shared" ref="J79" si="163">+(I79-$B79)^2</f>
        <v>3.7379601172412988E-4</v>
      </c>
      <c r="K79" s="97">
        <v>3.9960000000000002E-2</v>
      </c>
      <c r="L79" s="62">
        <f t="shared" si="145"/>
        <v>1.2183852465801624E-6</v>
      </c>
      <c r="M79" s="102">
        <v>8.5532583300000006E-2</v>
      </c>
      <c r="N79" s="62">
        <f t="shared" ref="N79:V79" si="164">+(M79-$B79)^2</f>
        <v>2.1786852149453138E-3</v>
      </c>
      <c r="O79" s="102">
        <v>3.4832000000000002E-2</v>
      </c>
      <c r="P79" s="62">
        <f t="shared" si="164"/>
        <v>1.6194146241814636E-5</v>
      </c>
      <c r="Q79" s="97">
        <v>0.10494100000000001</v>
      </c>
      <c r="R79" s="62">
        <f t="shared" si="164"/>
        <v>4.3672014380314213E-3</v>
      </c>
      <c r="S79" s="98">
        <v>3.9129999999999998E-2</v>
      </c>
      <c r="T79" s="95">
        <f t="shared" si="164"/>
        <v>7.4969120613820266E-8</v>
      </c>
      <c r="U79" s="98">
        <v>3.2230000000000002E-2</v>
      </c>
      <c r="V79" s="95">
        <f t="shared" si="164"/>
        <v>4.3906461567399681E-5</v>
      </c>
      <c r="W79" s="97">
        <v>2.9940000000000001E-2</v>
      </c>
      <c r="X79" s="95">
        <f t="shared" si="147"/>
        <v>7.9498535147564856E-5</v>
      </c>
      <c r="Y79" s="97">
        <v>4.1704999999999999E-2</v>
      </c>
      <c r="Z79" s="95">
        <f t="shared" si="148"/>
        <v>8.1156893306900982E-6</v>
      </c>
      <c r="AA79" s="97">
        <v>4.5504969999999999E-2</v>
      </c>
      <c r="AB79" s="95">
        <f t="shared" si="140"/>
        <v>4.4206207606515749E-5</v>
      </c>
      <c r="AC79">
        <v>5.1429000000000002E-2</v>
      </c>
      <c r="AD79" s="95">
        <f t="shared" si="141"/>
        <v>1.5807542293177048E-4</v>
      </c>
      <c r="AE79">
        <v>2.894E-2</v>
      </c>
      <c r="AF79" s="95">
        <f t="shared" si="134"/>
        <v>9.8330925357243985E-5</v>
      </c>
    </row>
    <row r="80" spans="1:32">
      <c r="A80" s="63">
        <v>75</v>
      </c>
      <c r="B80" s="78">
        <f>+QxM!U77/1000</f>
        <v>4.127374027538161E-2</v>
      </c>
      <c r="C80" s="123">
        <v>3.8100000000000002E-2</v>
      </c>
      <c r="D80" s="62">
        <f t="shared" si="142"/>
        <v>1.0072627335579324E-5</v>
      </c>
      <c r="E80" s="67">
        <v>8.8639999999999997E-2</v>
      </c>
      <c r="F80" s="62">
        <f t="shared" si="143"/>
        <v>2.2435625603000058E-3</v>
      </c>
      <c r="G80" s="97">
        <v>6.3799999999999996E-2</v>
      </c>
      <c r="H80" s="62">
        <f t="shared" si="137"/>
        <v>5.0743237718096446E-4</v>
      </c>
      <c r="I80" s="102">
        <v>6.4189999999999997E-2</v>
      </c>
      <c r="J80" s="62">
        <f t="shared" ref="J80" si="165">+(I80-$B80)^2</f>
        <v>5.2515495976616683E-4</v>
      </c>
      <c r="K80" s="97">
        <v>4.3950000000000003E-2</v>
      </c>
      <c r="L80" s="62">
        <f t="shared" si="145"/>
        <v>7.1623661136145186E-6</v>
      </c>
      <c r="M80" s="102">
        <v>9.2668009699999998E-2</v>
      </c>
      <c r="N80" s="62">
        <f t="shared" ref="N80:V80" si="166">+(M80-$B80)^2</f>
        <v>2.6413709296902645E-3</v>
      </c>
      <c r="O80" s="102">
        <v>3.8217000000000001E-2</v>
      </c>
      <c r="P80" s="62">
        <f t="shared" si="166"/>
        <v>9.3436611111400333E-6</v>
      </c>
      <c r="Q80" s="97">
        <v>0.114413</v>
      </c>
      <c r="R80" s="62">
        <f t="shared" si="166"/>
        <v>5.3493513130651862E-3</v>
      </c>
      <c r="S80" s="98">
        <v>4.3529999999999999E-2</v>
      </c>
      <c r="T80" s="95">
        <f t="shared" si="166"/>
        <v>5.0907079449350518E-6</v>
      </c>
      <c r="U80" s="98">
        <v>3.5680000000000003E-2</v>
      </c>
      <c r="V80" s="95">
        <f t="shared" si="166"/>
        <v>3.1289930268426288E-5</v>
      </c>
      <c r="W80" s="97">
        <v>3.2730000000000002E-2</v>
      </c>
      <c r="X80" s="95">
        <f t="shared" si="147"/>
        <v>7.2995497893177792E-5</v>
      </c>
      <c r="Y80" s="97">
        <v>4.5663000000000002E-2</v>
      </c>
      <c r="Z80" s="95">
        <f t="shared" si="148"/>
        <v>1.9265600930157126E-5</v>
      </c>
      <c r="AA80" s="97">
        <v>4.9929300000000003E-2</v>
      </c>
      <c r="AB80" s="95">
        <f t="shared" si="140"/>
        <v>7.4918714146436042E-5</v>
      </c>
      <c r="AC80">
        <v>5.6654000000000003E-2</v>
      </c>
      <c r="AD80" s="95">
        <f t="shared" si="141"/>
        <v>2.3655238919671864E-4</v>
      </c>
      <c r="AE80">
        <v>3.1699999999999999E-2</v>
      </c>
      <c r="AF80" s="95">
        <f t="shared" si="134"/>
        <v>9.1656502860463954E-5</v>
      </c>
    </row>
    <row r="81" spans="1:32">
      <c r="A81" s="63">
        <v>76</v>
      </c>
      <c r="B81" s="78">
        <f>+QxM!U78/1000</f>
        <v>4.3841699675516661E-2</v>
      </c>
      <c r="C81" s="123">
        <v>4.1799999999999997E-2</v>
      </c>
      <c r="D81" s="62">
        <f t="shared" si="142"/>
        <v>4.1685375650048524E-6</v>
      </c>
      <c r="E81" s="67">
        <v>9.6019999999999994E-2</v>
      </c>
      <c r="F81" s="62">
        <f t="shared" si="143"/>
        <v>2.7225750247519775E-3</v>
      </c>
      <c r="G81" s="97">
        <v>6.8849999999999995E-2</v>
      </c>
      <c r="H81" s="62">
        <f t="shared" si="137"/>
        <v>6.2541508511955316E-4</v>
      </c>
      <c r="I81" s="102">
        <v>7.0529999999999995E-2</v>
      </c>
      <c r="J81" s="62">
        <f t="shared" ref="J81" si="167">+(I81-$B81)^2</f>
        <v>7.1226537420981722E-4</v>
      </c>
      <c r="K81" s="97">
        <v>4.8439999999999997E-2</v>
      </c>
      <c r="L81" s="62">
        <f t="shared" si="145"/>
        <v>2.1144365874143549E-5</v>
      </c>
      <c r="M81" s="102">
        <v>0.1004249111</v>
      </c>
      <c r="N81" s="62">
        <f t="shared" ref="N81:V81" si="168">+(M81-$B81)^2</f>
        <v>3.201659815107782E-3</v>
      </c>
      <c r="O81" s="102">
        <v>4.2058999999999999E-2</v>
      </c>
      <c r="P81" s="62">
        <f t="shared" si="168"/>
        <v>3.1780181330872126E-6</v>
      </c>
      <c r="Q81" s="97">
        <v>0.12442</v>
      </c>
      <c r="R81" s="62">
        <f t="shared" si="168"/>
        <v>6.4928624831826331E-3</v>
      </c>
      <c r="S81" s="98">
        <v>4.8390000000000002E-2</v>
      </c>
      <c r="T81" s="95">
        <f t="shared" si="168"/>
        <v>2.0687035841695267E-5</v>
      </c>
      <c r="U81" s="98">
        <v>3.9609999999999999E-2</v>
      </c>
      <c r="V81" s="95">
        <f t="shared" si="168"/>
        <v>1.7907282143767822E-5</v>
      </c>
      <c r="W81" s="97">
        <v>3.5779999999999999E-2</v>
      </c>
      <c r="X81" s="95">
        <f t="shared" si="147"/>
        <v>6.4991001658225452E-5</v>
      </c>
      <c r="Y81" s="97">
        <v>5.0112999999999998E-2</v>
      </c>
      <c r="Z81" s="95">
        <f t="shared" si="148"/>
        <v>3.9329207759864802E-5</v>
      </c>
      <c r="AA81" s="97">
        <v>5.4767259999999998E-2</v>
      </c>
      <c r="AB81" s="95">
        <f t="shared" si="140"/>
        <v>1.1936786840392444E-4</v>
      </c>
      <c r="AC81">
        <v>6.2444E-2</v>
      </c>
      <c r="AD81" s="95">
        <f t="shared" si="141"/>
        <v>3.4604557736227291E-4</v>
      </c>
      <c r="AE81">
        <v>3.483E-2</v>
      </c>
      <c r="AF81" s="95">
        <f t="shared" si="134"/>
        <v>8.1210731041707099E-5</v>
      </c>
    </row>
    <row r="82" spans="1:32">
      <c r="A82" s="63">
        <v>77</v>
      </c>
      <c r="B82" s="78">
        <f>+QxM!U79/1000</f>
        <v>4.6569431740710494E-2</v>
      </c>
      <c r="C82" s="123">
        <v>4.5859999999999998E-2</v>
      </c>
      <c r="D82" s="62">
        <f t="shared" si="142"/>
        <v>5.0329339472752494E-7</v>
      </c>
      <c r="E82" s="67">
        <v>0.10399</v>
      </c>
      <c r="F82" s="62">
        <f t="shared" si="143"/>
        <v>3.2971216592197253E-3</v>
      </c>
      <c r="G82" s="97">
        <v>7.4520000000000003E-2</v>
      </c>
      <c r="H82" s="62">
        <f t="shared" si="137"/>
        <v>7.812342660172022E-4</v>
      </c>
      <c r="I82" s="102">
        <v>7.7119999999999994E-2</v>
      </c>
      <c r="J82" s="62">
        <f t="shared" ref="J82" si="169">+(I82-$B82)^2</f>
        <v>9.3333722096550708E-4</v>
      </c>
      <c r="K82" s="97">
        <v>5.3670000000000002E-2</v>
      </c>
      <c r="L82" s="62">
        <f t="shared" si="145"/>
        <v>5.0418069604829635E-5</v>
      </c>
      <c r="M82" s="102">
        <v>0.1088549336</v>
      </c>
      <c r="N82" s="62">
        <f t="shared" ref="N82:V82" si="170">+(M82-$B82)^2</f>
        <v>3.8794837418635558E-3</v>
      </c>
      <c r="O82" s="102">
        <v>4.6260999999999997E-2</v>
      </c>
      <c r="P82" s="62">
        <f t="shared" si="170"/>
        <v>9.5130138677707729E-8</v>
      </c>
      <c r="Q82" s="97">
        <v>0.134994</v>
      </c>
      <c r="R82" s="62">
        <f t="shared" si="170"/>
        <v>7.8189042718417503E-3</v>
      </c>
      <c r="S82" s="98">
        <v>5.3740000000000003E-2</v>
      </c>
      <c r="T82" s="95">
        <f t="shared" si="170"/>
        <v>5.1417049161130176E-5</v>
      </c>
      <c r="U82" s="98">
        <v>4.3999999999999997E-2</v>
      </c>
      <c r="V82" s="95">
        <f t="shared" si="170"/>
        <v>6.6019794701705746E-6</v>
      </c>
      <c r="W82" s="97">
        <v>3.9120000000000002E-2</v>
      </c>
      <c r="X82" s="95">
        <f t="shared" si="147"/>
        <v>5.5494033259504953E-5</v>
      </c>
      <c r="Y82" s="97">
        <v>5.5116999999999999E-2</v>
      </c>
      <c r="Z82" s="95">
        <f t="shared" si="148"/>
        <v>7.3060923147213411E-5</v>
      </c>
      <c r="AA82" s="97">
        <v>6.0054969999999999E-2</v>
      </c>
      <c r="AB82" s="95">
        <f t="shared" si="140"/>
        <v>1.8185974214276102E-4</v>
      </c>
      <c r="AC82">
        <v>6.8861000000000006E-2</v>
      </c>
      <c r="AD82" s="95">
        <f t="shared" si="141"/>
        <v>4.9691401545856357E-4</v>
      </c>
      <c r="AE82">
        <v>3.8260000000000002E-2</v>
      </c>
      <c r="AF82" s="95">
        <f t="shared" si="134"/>
        <v>6.9046655853526994E-5</v>
      </c>
    </row>
    <row r="83" spans="1:32">
      <c r="A83" s="63">
        <v>78</v>
      </c>
      <c r="B83" s="78">
        <f>+QxM!U80/1000</f>
        <v>4.9466877167260198E-2</v>
      </c>
      <c r="C83" s="123">
        <v>5.0299999999999997E-2</v>
      </c>
      <c r="D83" s="62">
        <f t="shared" si="142"/>
        <v>6.9409365443238767E-7</v>
      </c>
      <c r="E83" s="67">
        <v>0.11259</v>
      </c>
      <c r="F83" s="62">
        <f t="shared" si="143"/>
        <v>3.9845286361571567E-3</v>
      </c>
      <c r="G83" s="97">
        <v>8.0920000000000006E-2</v>
      </c>
      <c r="H83" s="62">
        <f t="shared" si="137"/>
        <v>9.892989359314183E-4</v>
      </c>
      <c r="I83" s="102">
        <v>8.3900000000000002E-2</v>
      </c>
      <c r="J83" s="62">
        <f t="shared" ref="J83" si="171">+(I83-$B83)^2</f>
        <v>1.1856399480145473E-3</v>
      </c>
      <c r="K83" s="97">
        <v>5.9720000000000002E-2</v>
      </c>
      <c r="L83" s="62">
        <f t="shared" si="145"/>
        <v>1.051265278232503E-4</v>
      </c>
      <c r="M83" s="102">
        <v>0.1179413327</v>
      </c>
      <c r="N83" s="62">
        <f t="shared" ref="N83:V83" si="172">+(M83-$B83)^2</f>
        <v>4.6887510605051605E-3</v>
      </c>
      <c r="O83" s="102">
        <v>5.0826000000000003E-2</v>
      </c>
      <c r="P83" s="62">
        <f t="shared" si="172"/>
        <v>1.847214874474672E-6</v>
      </c>
      <c r="Q83" s="97">
        <v>0.146171</v>
      </c>
      <c r="R83" s="62">
        <f t="shared" si="172"/>
        <v>9.3516873728496271E-3</v>
      </c>
      <c r="S83" s="98">
        <v>5.9619999999999999E-2</v>
      </c>
      <c r="T83" s="95">
        <f t="shared" si="172"/>
        <v>1.0308590325670228E-4</v>
      </c>
      <c r="U83" s="98">
        <v>4.8770000000000001E-2</v>
      </c>
      <c r="V83" s="95">
        <f t="shared" si="172"/>
        <v>4.8563778624859699E-7</v>
      </c>
      <c r="W83" s="97">
        <v>4.2779999999999999E-2</v>
      </c>
      <c r="X83" s="95">
        <f t="shared" si="147"/>
        <v>4.4714326250025794E-5</v>
      </c>
      <c r="Y83" s="97">
        <v>6.0736999999999999E-2</v>
      </c>
      <c r="Z83" s="95">
        <f t="shared" si="148"/>
        <v>1.27015668665043E-4</v>
      </c>
      <c r="AA83" s="97">
        <v>6.5831180000000003E-2</v>
      </c>
      <c r="AB83" s="95">
        <f t="shared" si="140"/>
        <v>2.6779040720161602E-4</v>
      </c>
      <c r="AC83">
        <v>7.5971999999999998E-2</v>
      </c>
      <c r="AD83" s="95">
        <f t="shared" si="141"/>
        <v>7.0252153637862468E-4</v>
      </c>
      <c r="AE83">
        <v>4.197E-2</v>
      </c>
      <c r="AF83" s="95">
        <f t="shared" si="134"/>
        <v>5.6203167260987284E-5</v>
      </c>
    </row>
    <row r="84" spans="1:32">
      <c r="A84" s="63">
        <v>79</v>
      </c>
      <c r="B84" s="78">
        <f>+QxM!U81/1000</f>
        <v>5.2544595139255142E-2</v>
      </c>
      <c r="C84" s="123">
        <v>5.518E-2</v>
      </c>
      <c r="D84" s="62">
        <f t="shared" si="142"/>
        <v>6.9453587800376256E-6</v>
      </c>
      <c r="E84" s="67">
        <v>0.12186</v>
      </c>
      <c r="F84" s="62">
        <f t="shared" si="143"/>
        <v>4.8046253510089726E-3</v>
      </c>
      <c r="G84" s="97">
        <v>8.7989999999999999E-2</v>
      </c>
      <c r="H84" s="62">
        <f t="shared" si="137"/>
        <v>1.2563767257421151E-3</v>
      </c>
      <c r="I84" s="102">
        <v>9.1050000000000006E-2</v>
      </c>
      <c r="J84" s="62">
        <f t="shared" ref="J84" si="173">+(I84-$B84)^2</f>
        <v>1.4826662034898741E-3</v>
      </c>
      <c r="K84" s="97">
        <v>6.6479999999999997E-2</v>
      </c>
      <c r="L84" s="62">
        <f t="shared" si="145"/>
        <v>1.9419550863287134E-4</v>
      </c>
      <c r="M84" s="102">
        <v>0.12781489679999999</v>
      </c>
      <c r="N84" s="62">
        <f t="shared" ref="N84:V84" si="174">+(M84-$B84)^2</f>
        <v>5.6656183120995301E-3</v>
      </c>
      <c r="O84" s="102">
        <v>5.5864999999999998E-2</v>
      </c>
      <c r="P84" s="62">
        <f t="shared" si="174"/>
        <v>1.1025088439258069E-5</v>
      </c>
      <c r="Q84" s="97">
        <v>0.157781</v>
      </c>
      <c r="R84" s="62">
        <f t="shared" si="174"/>
        <v>1.1074700908014606E-2</v>
      </c>
      <c r="S84" s="98">
        <v>6.608E-2</v>
      </c>
      <c r="T84" s="95">
        <f t="shared" si="174"/>
        <v>1.8320718474427552E-4</v>
      </c>
      <c r="U84" s="98">
        <v>5.425E-2</v>
      </c>
      <c r="V84" s="95">
        <f t="shared" si="174"/>
        <v>2.9084057390521884E-6</v>
      </c>
      <c r="W84" s="97">
        <v>4.6789999999999998E-2</v>
      </c>
      <c r="X84" s="95">
        <f t="shared" si="147"/>
        <v>3.3115365216738922E-5</v>
      </c>
      <c r="Y84" s="97">
        <v>6.7046999999999995E-2</v>
      </c>
      <c r="Z84" s="95">
        <f t="shared" si="148"/>
        <v>2.1031974674495595E-4</v>
      </c>
      <c r="AA84" s="97">
        <v>7.2137350000000003E-2</v>
      </c>
      <c r="AB84" s="95">
        <f t="shared" si="140"/>
        <v>3.8387604303324137E-4</v>
      </c>
      <c r="AC84">
        <v>8.3849999999999994E-2</v>
      </c>
      <c r="AD84" s="95">
        <f t="shared" si="141"/>
        <v>9.8002837349514733E-4</v>
      </c>
      <c r="AE84">
        <v>4.607E-2</v>
      </c>
      <c r="AF84" s="95">
        <f t="shared" si="134"/>
        <v>4.1920382217266306E-5</v>
      </c>
    </row>
    <row r="85" spans="1:32">
      <c r="A85" s="63">
        <v>80</v>
      </c>
      <c r="B85" s="78">
        <f>+QxM!U82/1000</f>
        <v>5.5813801809497798E-2</v>
      </c>
      <c r="C85" s="123">
        <v>6.0520000000000004E-2</v>
      </c>
      <c r="D85" s="62">
        <f t="shared" si="142"/>
        <v>2.2148301408286237E-5</v>
      </c>
      <c r="E85" s="67">
        <v>0.13184999999999999</v>
      </c>
      <c r="F85" s="62">
        <f t="shared" si="143"/>
        <v>5.7815034352653293E-3</v>
      </c>
      <c r="G85" s="97">
        <v>9.5640000000000003E-2</v>
      </c>
      <c r="H85" s="62">
        <f t="shared" si="137"/>
        <v>1.5861260623091611E-3</v>
      </c>
      <c r="I85" s="102">
        <v>9.8839999999999997E-2</v>
      </c>
      <c r="J85" s="62">
        <f t="shared" ref="J85" si="175">+(I85-$B85)^2</f>
        <v>1.8512537307283747E-3</v>
      </c>
      <c r="K85" s="97">
        <v>7.4020000000000002E-2</v>
      </c>
      <c r="L85" s="62">
        <f t="shared" si="145"/>
        <v>3.3146565255184576E-4</v>
      </c>
      <c r="M85" s="102">
        <v>0.13849721849999999</v>
      </c>
      <c r="N85" s="62">
        <f t="shared" ref="N85:V85" si="176">+(M85-$B85)^2</f>
        <v>6.8365473956152169E-3</v>
      </c>
      <c r="O85" s="102">
        <v>6.1620000000000001E-2</v>
      </c>
      <c r="P85" s="62">
        <f t="shared" si="176"/>
        <v>3.3711937427391052E-5</v>
      </c>
      <c r="Q85" s="97">
        <v>0.170045</v>
      </c>
      <c r="R85" s="62">
        <f t="shared" si="176"/>
        <v>1.3048766640037793E-2</v>
      </c>
      <c r="S85" s="98">
        <v>7.3160000000000003E-2</v>
      </c>
      <c r="T85" s="95">
        <f t="shared" si="176"/>
        <v>3.0089059166418195E-4</v>
      </c>
      <c r="U85" s="98">
        <v>6.0389999999999999E-2</v>
      </c>
      <c r="V85" s="95">
        <f t="shared" si="176"/>
        <v>2.0941589878755618E-5</v>
      </c>
      <c r="W85" s="97">
        <v>5.1180000000000003E-2</v>
      </c>
      <c r="X85" s="95">
        <f t="shared" si="147"/>
        <v>2.1472119209705038E-5</v>
      </c>
      <c r="Y85" s="97">
        <v>7.4124999999999996E-2</v>
      </c>
      <c r="Z85" s="95">
        <f t="shared" si="148"/>
        <v>3.3529997917185097E-4</v>
      </c>
      <c r="AA85" s="97">
        <v>7.901772E-2</v>
      </c>
      <c r="AB85" s="95">
        <f t="shared" si="140"/>
        <v>5.3842181939151891E-4</v>
      </c>
      <c r="AC85">
        <v>9.2575000000000005E-2</v>
      </c>
      <c r="AD85" s="95">
        <f t="shared" si="141"/>
        <v>1.3513856924013826E-3</v>
      </c>
      <c r="AE85">
        <v>5.0720000000000001E-2</v>
      </c>
      <c r="AF85" s="95">
        <f t="shared" si="134"/>
        <v>2.5946816874443032E-5</v>
      </c>
    </row>
    <row r="86" spans="1:32">
      <c r="A86" s="63">
        <v>81</v>
      </c>
      <c r="B86" s="78">
        <f>+QxM!U83/1000</f>
        <v>5.9286411174621516E-2</v>
      </c>
      <c r="C86" s="123">
        <v>6.6360000000000002E-2</v>
      </c>
      <c r="D86" s="62">
        <f t="shared" si="142"/>
        <v>5.0035658870519393E-5</v>
      </c>
      <c r="E86" s="67">
        <v>0.1426</v>
      </c>
      <c r="F86" s="62">
        <f t="shared" si="143"/>
        <v>6.9411540829642298E-3</v>
      </c>
      <c r="G86" s="97">
        <v>0.10378</v>
      </c>
      <c r="H86" s="62">
        <f t="shared" si="137"/>
        <v>1.979679446561845E-3</v>
      </c>
      <c r="I86" s="102">
        <v>0.10748000000000001</v>
      </c>
      <c r="J86" s="62">
        <f t="shared" ref="J86" si="177">+(I86-$B86)^2</f>
        <v>2.3226220038696467E-3</v>
      </c>
      <c r="K86" s="97">
        <v>8.2200000000000009E-2</v>
      </c>
      <c r="L86" s="62">
        <f t="shared" si="145"/>
        <v>5.250325528585102E-4</v>
      </c>
      <c r="M86" s="102">
        <v>0.15000005459999999</v>
      </c>
      <c r="N86" s="62">
        <f t="shared" ref="N86:V86" si="178">+(M86-$B86)^2</f>
        <v>8.2289651035067097E-3</v>
      </c>
      <c r="O86" s="102">
        <v>6.8153000000000005E-2</v>
      </c>
      <c r="P86" s="62">
        <f t="shared" si="178"/>
        <v>7.8616397398326696E-5</v>
      </c>
      <c r="Q86" s="97">
        <v>0.18288399999999999</v>
      </c>
      <c r="R86" s="62">
        <f t="shared" si="178"/>
        <v>1.527636396344732E-2</v>
      </c>
      <c r="S86" s="98">
        <v>8.09E-2</v>
      </c>
      <c r="T86" s="95">
        <f t="shared" si="178"/>
        <v>4.6714722191252569E-4</v>
      </c>
      <c r="U86" s="98">
        <v>6.7280000000000006E-2</v>
      </c>
      <c r="V86" s="95">
        <f t="shared" si="178"/>
        <v>6.3897462309215881E-5</v>
      </c>
      <c r="W86" s="97">
        <v>5.5980000000000002E-2</v>
      </c>
      <c r="X86" s="95">
        <f t="shared" si="147"/>
        <v>1.0932354855662019E-5</v>
      </c>
      <c r="Y86" s="97">
        <v>8.2056000000000004E-2</v>
      </c>
      <c r="Z86" s="95">
        <f t="shared" si="148"/>
        <v>5.1845417527680089E-4</v>
      </c>
      <c r="AA86" s="97">
        <v>8.6519269999999995E-2</v>
      </c>
      <c r="AB86" s="95">
        <f t="shared" si="140"/>
        <v>7.4162859980299453E-4</v>
      </c>
      <c r="AC86">
        <v>0.10141600000000001</v>
      </c>
      <c r="AD86" s="95">
        <f t="shared" si="141"/>
        <v>1.7749022545954561E-3</v>
      </c>
      <c r="AE86">
        <v>5.5989999999999998E-2</v>
      </c>
      <c r="AF86" s="95">
        <f t="shared" si="134"/>
        <v>1.0866326632169614E-5</v>
      </c>
    </row>
    <row r="87" spans="1:32">
      <c r="A87" s="63">
        <v>82</v>
      </c>
      <c r="B87" s="78">
        <f>+QxM!U84/1000</f>
        <v>6.2975078493365824E-2</v>
      </c>
      <c r="C87" s="123">
        <v>7.2749999999999995E-2</v>
      </c>
      <c r="D87" s="62">
        <f t="shared" si="142"/>
        <v>9.5549090460859252E-5</v>
      </c>
      <c r="E87" s="67">
        <v>0.15415999999999999</v>
      </c>
      <c r="F87" s="62">
        <f t="shared" si="143"/>
        <v>8.3146899101710341E-3</v>
      </c>
      <c r="G87" s="97">
        <v>0.11232</v>
      </c>
      <c r="H87" s="62">
        <f t="shared" si="137"/>
        <v>2.4349212784958883E-3</v>
      </c>
      <c r="I87" s="102">
        <v>0.11724999999999999</v>
      </c>
      <c r="J87" s="62">
        <f t="shared" ref="J87" si="179">+(I87-$B87)^2</f>
        <v>2.9457671045513001E-3</v>
      </c>
      <c r="K87" s="97">
        <v>9.0819999999999998E-2</v>
      </c>
      <c r="L87" s="62">
        <f t="shared" ref="L87:L102" si="180">+(K87-$B87)^2</f>
        <v>7.753396537106183E-4</v>
      </c>
      <c r="M87" s="102">
        <v>0.1624021235</v>
      </c>
      <c r="N87" s="62">
        <f t="shared" ref="N87:V87" si="181">+(M87-$B87)^2</f>
        <v>9.8857372787512568E-3</v>
      </c>
      <c r="O87" s="102">
        <v>7.5348999999999999E-2</v>
      </c>
      <c r="P87" s="62">
        <f t="shared" si="181"/>
        <v>1.5311393345234376E-4</v>
      </c>
      <c r="Q87" s="97">
        <v>0.19618099999999999</v>
      </c>
      <c r="R87" s="62">
        <f t="shared" si="181"/>
        <v>1.7743817524431587E-2</v>
      </c>
      <c r="S87" s="98">
        <v>8.9359999999999995E-2</v>
      </c>
      <c r="T87" s="95">
        <f t="shared" si="181"/>
        <v>6.9616408291124643E-4</v>
      </c>
      <c r="U87" s="98">
        <v>7.4999999999999997E-2</v>
      </c>
      <c r="V87" s="95">
        <f t="shared" si="181"/>
        <v>1.4459873724071307E-4</v>
      </c>
      <c r="W87" s="97">
        <v>6.1249999999999999E-2</v>
      </c>
      <c r="X87" s="95">
        <f t="shared" si="147"/>
        <v>2.975895808273306E-6</v>
      </c>
      <c r="Y87" s="97">
        <v>9.0934000000000001E-2</v>
      </c>
      <c r="Z87" s="95">
        <f t="shared" si="148"/>
        <v>7.8170129181413112E-4</v>
      </c>
      <c r="AA87" s="97">
        <v>9.4691800000000007E-2</v>
      </c>
      <c r="AB87" s="95">
        <f t="shared" si="140"/>
        <v>1.0059504231293914E-3</v>
      </c>
      <c r="AC87">
        <v>0.110072</v>
      </c>
      <c r="AD87" s="95">
        <f t="shared" si="141"/>
        <v>2.2181200154020612E-3</v>
      </c>
      <c r="AE87">
        <v>6.1850000000000002E-2</v>
      </c>
      <c r="AF87" s="95">
        <f t="shared" si="134"/>
        <v>1.2658016162343079E-6</v>
      </c>
    </row>
    <row r="88" spans="1:32">
      <c r="A88" s="63">
        <v>83</v>
      </c>
      <c r="B88" s="78">
        <f>+QxM!U85/1000</f>
        <v>6.6893246406239545E-2</v>
      </c>
      <c r="C88" s="123">
        <v>7.9739999999999991E-2</v>
      </c>
      <c r="D88" s="62">
        <f t="shared" si="142"/>
        <v>1.6503907789879694E-4</v>
      </c>
      <c r="E88" s="67">
        <v>0.16657</v>
      </c>
      <c r="F88" s="62">
        <f t="shared" si="143"/>
        <v>9.9354552069912377E-3</v>
      </c>
      <c r="G88" s="97">
        <v>0.1212</v>
      </c>
      <c r="H88" s="62">
        <f t="shared" si="137"/>
        <v>2.9492234858934144E-3</v>
      </c>
      <c r="I88" s="102">
        <v>0.12826000000000001</v>
      </c>
      <c r="J88" s="62">
        <f t="shared" ref="J88" si="182">+(I88-$B88)^2</f>
        <v>3.7658784466373134E-3</v>
      </c>
      <c r="K88" s="97">
        <v>0.10022</v>
      </c>
      <c r="L88" s="62">
        <f t="shared" si="180"/>
        <v>1.1106725050992255E-3</v>
      </c>
      <c r="M88" s="102">
        <v>0.17572957289999999</v>
      </c>
      <c r="N88" s="62">
        <f t="shared" ref="N88:V88" si="183">+(M88-$B88)^2</f>
        <v>1.1845345964656423E-2</v>
      </c>
      <c r="O88" s="102">
        <v>8.3229999999999998E-2</v>
      </c>
      <c r="P88" s="62">
        <f t="shared" si="183"/>
        <v>2.6688951798324508E-4</v>
      </c>
      <c r="Q88" s="97">
        <v>0.20997499999999999</v>
      </c>
      <c r="R88" s="62">
        <f t="shared" si="183"/>
        <v>2.0472388211465586E-2</v>
      </c>
      <c r="S88" s="98">
        <v>9.8570000000000005E-2</v>
      </c>
      <c r="T88" s="95">
        <f t="shared" si="183"/>
        <v>1.0034167182398162E-3</v>
      </c>
      <c r="U88" s="98">
        <v>8.3640000000000006E-2</v>
      </c>
      <c r="V88" s="95">
        <f t="shared" si="183"/>
        <v>2.8045375593012888E-4</v>
      </c>
      <c r="W88" s="97">
        <v>6.701E-2</v>
      </c>
      <c r="X88" s="95">
        <f t="shared" si="147"/>
        <v>1.3631401655981285E-8</v>
      </c>
      <c r="Y88" s="97">
        <v>0.10086100000000001</v>
      </c>
      <c r="Z88" s="95">
        <f t="shared" si="148"/>
        <v>1.1538082842064267E-3</v>
      </c>
      <c r="AA88" s="97">
        <v>0.10358777</v>
      </c>
      <c r="AB88" s="95">
        <f t="shared" si="140"/>
        <v>1.3464880617730423E-3</v>
      </c>
      <c r="AC88">
        <v>0.11927500000000001</v>
      </c>
      <c r="AD88" s="95">
        <f t="shared" si="141"/>
        <v>2.743848109557437E-3</v>
      </c>
      <c r="AE88">
        <v>6.8330000000000002E-2</v>
      </c>
      <c r="AF88" s="95">
        <f t="shared" si="134"/>
        <v>2.0642608891835865E-6</v>
      </c>
    </row>
    <row r="89" spans="1:32">
      <c r="A89" s="63">
        <v>84</v>
      </c>
      <c r="B89" s="78">
        <f>+QxM!U86/1000</f>
        <v>7.1055193924645405E-2</v>
      </c>
      <c r="C89" s="123">
        <v>8.7370000000000003E-2</v>
      </c>
      <c r="D89" s="62">
        <f t="shared" si="142"/>
        <v>2.6617289727642732E-4</v>
      </c>
      <c r="E89" s="67">
        <v>0.17988000000000001</v>
      </c>
      <c r="F89" s="62">
        <f t="shared" si="143"/>
        <v>1.1842838417338537E-2</v>
      </c>
      <c r="G89" s="97">
        <v>0.13045000000000001</v>
      </c>
      <c r="H89" s="62">
        <f t="shared" si="137"/>
        <v>3.5277429887289806E-3</v>
      </c>
      <c r="I89" s="102">
        <v>0.14025000000000001</v>
      </c>
      <c r="J89" s="62">
        <f t="shared" ref="J89" si="184">+(I89-$B89)^2</f>
        <v>4.7879211878059311E-3</v>
      </c>
      <c r="K89" s="97">
        <v>0.11069</v>
      </c>
      <c r="L89" s="62">
        <f t="shared" si="180"/>
        <v>1.5709178526309652E-3</v>
      </c>
      <c r="M89" s="102">
        <v>0.1901425957</v>
      </c>
      <c r="N89" s="62">
        <f t="shared" ref="N89:V89" si="185">+(M89-$B89)^2</f>
        <v>1.4181809261604729E-2</v>
      </c>
      <c r="O89" s="102">
        <v>9.1933000000000001E-2</v>
      </c>
      <c r="P89" s="62">
        <f t="shared" si="185"/>
        <v>4.3588278652011326E-4</v>
      </c>
      <c r="Q89" s="97">
        <v>0.22450500000000001</v>
      </c>
      <c r="R89" s="62">
        <f t="shared" si="185"/>
        <v>2.3546842984563936E-2</v>
      </c>
      <c r="S89" s="98">
        <v>0.10857</v>
      </c>
      <c r="T89" s="95">
        <f t="shared" si="185"/>
        <v>1.407360674871462E-3</v>
      </c>
      <c r="U89" s="98">
        <v>9.3289999999999998E-2</v>
      </c>
      <c r="V89" s="95">
        <f t="shared" si="185"/>
        <v>4.9438660120862551E-4</v>
      </c>
      <c r="W89" s="97">
        <v>7.3319999999999996E-2</v>
      </c>
      <c r="X89" s="95">
        <f t="shared" si="147"/>
        <v>5.1293465589630687E-6</v>
      </c>
      <c r="Y89" s="97">
        <v>0.111946</v>
      </c>
      <c r="Z89" s="95">
        <f t="shared" si="148"/>
        <v>1.6720580214922567E-3</v>
      </c>
      <c r="AA89" s="97">
        <v>0.11326218</v>
      </c>
      <c r="AB89" s="95">
        <f t="shared" si="140"/>
        <v>1.7814296735651771E-3</v>
      </c>
      <c r="AC89">
        <v>0.12975600000000001</v>
      </c>
      <c r="AD89" s="95">
        <f t="shared" si="141"/>
        <v>3.445784633896388E-3</v>
      </c>
      <c r="AE89">
        <v>7.5509999999999994E-2</v>
      </c>
      <c r="AF89" s="95">
        <f t="shared" si="134"/>
        <v>1.9845297169016158E-5</v>
      </c>
    </row>
    <row r="90" spans="1:32">
      <c r="A90" s="63">
        <v>85</v>
      </c>
      <c r="B90" s="78">
        <f>+QxM!U87/1000</f>
        <v>7.5476088467998609E-2</v>
      </c>
      <c r="C90" s="123">
        <v>9.570999999999999E-2</v>
      </c>
      <c r="D90" s="62">
        <f t="shared" si="142"/>
        <v>4.0941117588485848E-4</v>
      </c>
      <c r="E90" s="67">
        <v>0.19413</v>
      </c>
      <c r="F90" s="62">
        <f t="shared" si="143"/>
        <v>1.4078750721844013E-2</v>
      </c>
      <c r="G90" s="97">
        <v>0.14011999999999999</v>
      </c>
      <c r="H90" s="62">
        <f t="shared" si="137"/>
        <v>4.1788352981572217E-3</v>
      </c>
      <c r="I90" s="102">
        <v>0.15295</v>
      </c>
      <c r="J90" s="62">
        <f t="shared" ref="J90" si="186">+(I90-$B90)^2</f>
        <v>6.0022069680683784E-3</v>
      </c>
      <c r="K90" s="97">
        <v>0.12236</v>
      </c>
      <c r="L90" s="62">
        <f t="shared" si="180"/>
        <v>2.1981011605405327E-3</v>
      </c>
      <c r="M90" s="102">
        <v>0.2056927767</v>
      </c>
      <c r="N90" s="62">
        <f t="shared" ref="N90:V90" si="187">+(M90-$B90)^2</f>
        <v>1.6956385894110249E-2</v>
      </c>
      <c r="O90" s="102">
        <v>0.10162499999999999</v>
      </c>
      <c r="P90" s="62">
        <f t="shared" si="187"/>
        <v>6.8376557430843503E-4</v>
      </c>
      <c r="Q90" s="97">
        <v>0.239403</v>
      </c>
      <c r="R90" s="62">
        <f t="shared" si="187"/>
        <v>2.6872032324420612E-2</v>
      </c>
      <c r="S90" s="98">
        <v>0.11942999999999999</v>
      </c>
      <c r="T90" s="95">
        <f t="shared" si="187"/>
        <v>1.9319463389630045E-3</v>
      </c>
      <c r="U90" s="98">
        <v>0.10407</v>
      </c>
      <c r="V90" s="95">
        <f t="shared" si="187"/>
        <v>8.1761177669992192E-4</v>
      </c>
      <c r="W90" s="97">
        <v>8.0240000000000006E-2</v>
      </c>
      <c r="X90" s="95">
        <f t="shared" si="147"/>
        <v>2.2694853084735895E-5</v>
      </c>
      <c r="Y90" s="97">
        <v>0.124304</v>
      </c>
      <c r="Z90" s="95">
        <f t="shared" si="148"/>
        <v>2.3841649445769542E-3</v>
      </c>
      <c r="AA90" s="97">
        <v>0.12377241</v>
      </c>
      <c r="AB90" s="95">
        <f t="shared" si="140"/>
        <v>2.3325346735224612E-3</v>
      </c>
      <c r="AC90">
        <v>0.14224600000000001</v>
      </c>
      <c r="AD90" s="95">
        <f t="shared" si="141"/>
        <v>4.458221085991294E-3</v>
      </c>
      <c r="AE90">
        <v>8.3479999999999999E-2</v>
      </c>
      <c r="AF90" s="95">
        <f t="shared" si="134"/>
        <v>6.4062599812104835E-5</v>
      </c>
    </row>
    <row r="91" spans="1:32">
      <c r="A91" s="63">
        <v>86</v>
      </c>
      <c r="B91" s="78">
        <f>+QxM!U88/1000</f>
        <v>8.017204113847734E-2</v>
      </c>
      <c r="C91" s="123">
        <v>0.10479000000000001</v>
      </c>
      <c r="D91" s="62">
        <f t="shared" si="142"/>
        <v>6.0604389850762248E-4</v>
      </c>
      <c r="E91" s="67">
        <v>0.20937</v>
      </c>
      <c r="F91" s="62">
        <f t="shared" si="143"/>
        <v>1.6692112573983703E-2</v>
      </c>
      <c r="G91" s="97">
        <v>0.15026999999999999</v>
      </c>
      <c r="H91" s="62">
        <f t="shared" si="137"/>
        <v>4.9137238365517212E-3</v>
      </c>
      <c r="I91" s="102">
        <v>0.16608999999999999</v>
      </c>
      <c r="J91" s="62">
        <f t="shared" ref="J91" si="188">+(I91-$B91)^2</f>
        <v>7.3818956549302978E-3</v>
      </c>
      <c r="K91" s="97">
        <v>0.13516999999999998</v>
      </c>
      <c r="L91" s="62">
        <f t="shared" si="180"/>
        <v>3.0247754789337372E-3</v>
      </c>
      <c r="M91" s="102">
        <v>0.22213436910000001</v>
      </c>
      <c r="N91" s="62">
        <f t="shared" ref="N91:V91" si="189">+(M91-$B91)^2</f>
        <v>2.015330256025492E-2</v>
      </c>
      <c r="O91" s="102">
        <v>0.11244800000000001</v>
      </c>
      <c r="P91" s="62">
        <f t="shared" si="189"/>
        <v>1.0417375204307036E-3</v>
      </c>
      <c r="Q91" s="97">
        <v>0.25490800000000002</v>
      </c>
      <c r="R91" s="62">
        <f t="shared" si="189"/>
        <v>3.0532655319255749E-2</v>
      </c>
      <c r="S91" s="98">
        <v>0.13116</v>
      </c>
      <c r="T91" s="95">
        <f t="shared" si="189"/>
        <v>2.5997719488643268E-3</v>
      </c>
      <c r="U91" s="98">
        <v>0.11609</v>
      </c>
      <c r="V91" s="95">
        <f t="shared" si="189"/>
        <v>1.2900997687780341E-3</v>
      </c>
      <c r="W91" s="97">
        <v>8.7809999999999999E-2</v>
      </c>
      <c r="X91" s="95">
        <f t="shared" si="147"/>
        <v>5.8338415570312513E-5</v>
      </c>
      <c r="Y91" s="97">
        <v>0.13805899999999999</v>
      </c>
      <c r="Z91" s="95">
        <f t="shared" si="148"/>
        <v>3.3509000062356153E-3</v>
      </c>
      <c r="AA91" s="97">
        <v>0.13517781000000001</v>
      </c>
      <c r="AB91" s="95">
        <f t="shared" si="140"/>
        <v>3.0256346080472568E-3</v>
      </c>
      <c r="AC91">
        <v>0.15512799999999999</v>
      </c>
      <c r="AD91" s="95">
        <f t="shared" si="141"/>
        <v>5.618395768850276E-3</v>
      </c>
      <c r="AE91">
        <v>9.2310000000000003E-2</v>
      </c>
      <c r="AF91" s="95">
        <f t="shared" si="134"/>
        <v>1.4733004532401655E-4</v>
      </c>
    </row>
    <row r="92" spans="1:32">
      <c r="A92" s="63">
        <v>87</v>
      </c>
      <c r="B92" s="78">
        <f>+QxM!U89/1000</f>
        <v>8.5160165434844198E-2</v>
      </c>
      <c r="C92" s="123">
        <v>0.11469</v>
      </c>
      <c r="D92" s="62">
        <f t="shared" si="142"/>
        <v>8.720111294454703E-4</v>
      </c>
      <c r="E92" s="67">
        <v>0.22563</v>
      </c>
      <c r="F92" s="62">
        <f t="shared" si="143"/>
        <v>1.9731774422762239E-2</v>
      </c>
      <c r="G92" s="97">
        <v>0.16098000000000001</v>
      </c>
      <c r="H92" s="62">
        <f t="shared" si="137"/>
        <v>5.7486473134875961E-3</v>
      </c>
      <c r="I92" s="102">
        <v>0.17954999999999999</v>
      </c>
      <c r="J92" s="62">
        <f t="shared" ref="J92" si="190">+(I92-$B92)^2</f>
        <v>8.9094408692374782E-3</v>
      </c>
      <c r="K92" s="97">
        <v>0.14899000000000001</v>
      </c>
      <c r="L92" s="62">
        <f t="shared" si="180"/>
        <v>4.0742477806151598E-3</v>
      </c>
      <c r="M92" s="102">
        <v>0.2400098095</v>
      </c>
      <c r="N92" s="62">
        <f t="shared" ref="N92:V92" si="191">+(M92-$B92)^2</f>
        <v>2.3978412267105443E-2</v>
      </c>
      <c r="O92" s="102">
        <v>0.124502</v>
      </c>
      <c r="P92" s="62">
        <f t="shared" si="191"/>
        <v>1.5477799469520879E-3</v>
      </c>
      <c r="Q92" s="97">
        <v>0.27156799999999998</v>
      </c>
      <c r="R92" s="62">
        <f t="shared" si="191"/>
        <v>3.4747880787270487E-2</v>
      </c>
      <c r="S92" s="98">
        <v>0.14382</v>
      </c>
      <c r="T92" s="95">
        <f t="shared" si="191"/>
        <v>3.4409761912114478E-3</v>
      </c>
      <c r="U92" s="98">
        <v>0.12945999999999999</v>
      </c>
      <c r="V92" s="95">
        <f t="shared" si="191"/>
        <v>1.9624753425001719E-3</v>
      </c>
      <c r="W92" s="97">
        <v>9.6089999999999995E-2</v>
      </c>
      <c r="X92" s="95">
        <f t="shared" si="147"/>
        <v>1.194612836216744E-4</v>
      </c>
      <c r="Y92" s="97">
        <v>0.153339</v>
      </c>
      <c r="Z92" s="95">
        <f t="shared" si="148"/>
        <v>4.6483534826628837E-3</v>
      </c>
      <c r="AA92" s="97">
        <v>0.14753933</v>
      </c>
      <c r="AB92" s="95">
        <f t="shared" si="140"/>
        <v>3.8911601718467888E-3</v>
      </c>
      <c r="AC92">
        <v>0.166489</v>
      </c>
      <c r="AD92" s="95">
        <f t="shared" si="141"/>
        <v>6.6143793317264806E-3</v>
      </c>
      <c r="AE92">
        <v>0.10206999999999999</v>
      </c>
      <c r="AF92" s="95">
        <f t="shared" si="134"/>
        <v>2.8594250502093769E-4</v>
      </c>
    </row>
    <row r="93" spans="1:32">
      <c r="A93" s="63">
        <v>88</v>
      </c>
      <c r="B93" s="78">
        <f>+QxM!U90/1000</f>
        <v>9.0458639619310222E-2</v>
      </c>
      <c r="C93" s="123">
        <v>0.12547</v>
      </c>
      <c r="D93" s="62">
        <f t="shared" si="142"/>
        <v>1.2257953557065337E-3</v>
      </c>
      <c r="E93" s="67">
        <v>0.24299999999999999</v>
      </c>
      <c r="F93" s="62">
        <f t="shared" si="143"/>
        <v>2.3268866626791472E-2</v>
      </c>
      <c r="G93" s="97">
        <v>0.17238999999999999</v>
      </c>
      <c r="H93" s="62">
        <f t="shared" si="137"/>
        <v>6.7127478138304603E-3</v>
      </c>
      <c r="I93" s="102">
        <v>0.19327</v>
      </c>
      <c r="J93" s="62">
        <f t="shared" ref="J93" si="192">+(I93-$B93)^2</f>
        <v>1.0570175823328067E-2</v>
      </c>
      <c r="K93" s="97">
        <v>0.16300000000000001</v>
      </c>
      <c r="L93" s="62">
        <f t="shared" si="180"/>
        <v>5.2622489658811092E-3</v>
      </c>
      <c r="M93" s="102">
        <v>0.25887517980000002</v>
      </c>
      <c r="N93" s="62">
        <f t="shared" ref="N93:V93" si="193">+(M93-$B93)^2</f>
        <v>2.8364131006433903E-2</v>
      </c>
      <c r="O93" s="102">
        <v>0.13783699999999999</v>
      </c>
      <c r="P93" s="62">
        <f t="shared" si="193"/>
        <v>2.2447090323625138E-3</v>
      </c>
      <c r="Q93" s="97">
        <v>0.28938199999999997</v>
      </c>
      <c r="R93" s="62">
        <f t="shared" si="193"/>
        <v>3.957050330514577E-2</v>
      </c>
      <c r="S93" s="98">
        <v>0.15742999999999999</v>
      </c>
      <c r="T93" s="95">
        <f t="shared" si="193"/>
        <v>4.4851631112402231E-3</v>
      </c>
      <c r="U93" s="98">
        <v>0.14432</v>
      </c>
      <c r="V93" s="95">
        <f t="shared" si="193"/>
        <v>2.901046142058539E-3</v>
      </c>
      <c r="W93" s="97">
        <v>0.10517</v>
      </c>
      <c r="X93" s="95">
        <f t="shared" si="147"/>
        <v>2.1642412425052889E-4</v>
      </c>
      <c r="Y93" s="97">
        <v>0.170267</v>
      </c>
      <c r="Z93" s="95">
        <f t="shared" si="148"/>
        <v>6.369374386654054E-3</v>
      </c>
      <c r="AA93" s="97">
        <v>0.16091894000000001</v>
      </c>
      <c r="AB93" s="95">
        <f t="shared" si="140"/>
        <v>4.9646539297370333E-3</v>
      </c>
      <c r="AC93">
        <v>0.176622</v>
      </c>
      <c r="AD93" s="95">
        <f t="shared" si="141"/>
        <v>7.424124672092621E-3</v>
      </c>
      <c r="AE93">
        <v>0.11278000000000001</v>
      </c>
      <c r="AF93" s="95">
        <f t="shared" si="134"/>
        <v>4.9824312924462758E-4</v>
      </c>
    </row>
    <row r="94" spans="1:32">
      <c r="A94" s="63">
        <v>89</v>
      </c>
      <c r="B94" s="78">
        <f>+QxM!U91/1000</f>
        <v>9.6086772964724315E-2</v>
      </c>
      <c r="C94" s="123">
        <v>0.13718</v>
      </c>
      <c r="D94" s="62">
        <f t="shared" si="142"/>
        <v>1.6886533081727122E-3</v>
      </c>
      <c r="E94" s="67">
        <v>0.26144000000000001</v>
      </c>
      <c r="F94" s="62">
        <f t="shared" si="143"/>
        <v>2.7341689690979429E-2</v>
      </c>
      <c r="G94" s="97">
        <v>0.18475</v>
      </c>
      <c r="H94" s="62">
        <f t="shared" si="137"/>
        <v>7.8611678283088404E-3</v>
      </c>
      <c r="I94" s="102">
        <v>0.20729</v>
      </c>
      <c r="J94" s="62">
        <f t="shared" ref="J94" si="194">+(I94-$B94)^2</f>
        <v>1.236615770305907E-2</v>
      </c>
      <c r="K94" s="97">
        <v>0.17902999999999999</v>
      </c>
      <c r="L94" s="62">
        <f t="shared" si="180"/>
        <v>6.8795789110252864E-3</v>
      </c>
      <c r="M94" s="102">
        <v>0.27880713509999999</v>
      </c>
      <c r="N94" s="62">
        <f t="shared" ref="N94:V94" si="195">+(M94-$B94)^2</f>
        <v>3.3386730738846286E-2</v>
      </c>
      <c r="O94" s="102">
        <v>0.15245800000000001</v>
      </c>
      <c r="P94" s="62">
        <f t="shared" si="195"/>
        <v>3.1777152374625976E-3</v>
      </c>
      <c r="Q94" s="97">
        <v>0.30870300000000001</v>
      </c>
      <c r="R94" s="62">
        <f t="shared" si="195"/>
        <v>4.5205659998715897E-2</v>
      </c>
      <c r="S94" s="98">
        <v>0.17202000000000001</v>
      </c>
      <c r="T94" s="95">
        <f t="shared" si="195"/>
        <v>5.7658549679907231E-3</v>
      </c>
      <c r="U94" s="98">
        <v>0.16078999999999999</v>
      </c>
      <c r="V94" s="95">
        <f t="shared" si="195"/>
        <v>4.1865075887784287E-3</v>
      </c>
      <c r="W94" s="97">
        <v>0.11511</v>
      </c>
      <c r="X94" s="95">
        <f t="shared" si="147"/>
        <v>3.618831668356439E-4</v>
      </c>
      <c r="Y94" s="97">
        <v>0.189003</v>
      </c>
      <c r="Z94" s="95">
        <f t="shared" si="148"/>
        <v>8.6334252464708976E-3</v>
      </c>
      <c r="AA94" s="97">
        <v>0.17537887999999999</v>
      </c>
      <c r="AB94" s="95">
        <f t="shared" si="140"/>
        <v>6.2872382380936139E-3</v>
      </c>
      <c r="AC94">
        <v>0.18581800000000001</v>
      </c>
      <c r="AD94" s="95">
        <f t="shared" si="141"/>
        <v>8.0516931052561913E-3</v>
      </c>
      <c r="AE94">
        <v>0.12447999999999999</v>
      </c>
      <c r="AF94" s="95">
        <f t="shared" si="134"/>
        <v>8.0617534147670966E-4</v>
      </c>
    </row>
    <row r="95" spans="1:32">
      <c r="A95" s="63">
        <v>90</v>
      </c>
      <c r="B95" s="78">
        <f>+QxM!U92/1000</f>
        <v>0.10206507612351473</v>
      </c>
      <c r="C95" s="123">
        <v>0.14989</v>
      </c>
      <c r="D95" s="62">
        <f t="shared" si="142"/>
        <v>2.2872233437916103E-3</v>
      </c>
      <c r="E95" s="67">
        <v>0.28099000000000002</v>
      </c>
      <c r="F95" s="62">
        <f t="shared" si="143"/>
        <v>3.2014128384206052E-2</v>
      </c>
      <c r="G95" s="97">
        <v>0.19838</v>
      </c>
      <c r="H95" s="62">
        <f t="shared" si="137"/>
        <v>9.2765645613331529E-3</v>
      </c>
      <c r="I95" s="102">
        <v>0.22176999999999999</v>
      </c>
      <c r="J95" s="62">
        <f t="shared" ref="J95" si="196">+(I95-$B95)^2</f>
        <v>1.4329268800275132E-2</v>
      </c>
      <c r="K95" s="97">
        <v>0.19428000000000001</v>
      </c>
      <c r="L95" s="62">
        <f t="shared" si="180"/>
        <v>8.5035921855459752E-3</v>
      </c>
      <c r="M95" s="102">
        <v>0.30075186970000001</v>
      </c>
      <c r="N95" s="62">
        <f t="shared" ref="N95:V95" si="197">+(M95-$B95)^2</f>
        <v>3.9476441941704868E-2</v>
      </c>
      <c r="O95" s="102">
        <v>0.168352</v>
      </c>
      <c r="P95" s="62">
        <f t="shared" si="197"/>
        <v>4.393956277006953E-3</v>
      </c>
      <c r="Q95" s="97">
        <v>0.33016600000000002</v>
      </c>
      <c r="R95" s="62">
        <f t="shared" si="197"/>
        <v>5.2030031473306135E-2</v>
      </c>
      <c r="S95" s="98">
        <v>0.18759999999999999</v>
      </c>
      <c r="T95" s="95">
        <f t="shared" si="197"/>
        <v>7.3162232025561283E-3</v>
      </c>
      <c r="U95" s="98">
        <v>0.17899999999999999</v>
      </c>
      <c r="V95" s="95">
        <f t="shared" si="197"/>
        <v>5.9189825118805819E-3</v>
      </c>
      <c r="W95" s="97">
        <v>0.126</v>
      </c>
      <c r="X95" s="95">
        <f t="shared" si="147"/>
        <v>5.728805809731447E-4</v>
      </c>
      <c r="Y95" s="97">
        <v>0.209651</v>
      </c>
      <c r="Z95" s="95">
        <f t="shared" si="148"/>
        <v>1.1574731016356884E-2</v>
      </c>
      <c r="AA95" s="97">
        <v>0.19098076999999999</v>
      </c>
      <c r="AB95" s="95">
        <f t="shared" si="140"/>
        <v>7.9060006175368392E-3</v>
      </c>
      <c r="AC95">
        <v>0.19436999999999999</v>
      </c>
      <c r="AD95" s="95">
        <f t="shared" si="141"/>
        <v>8.5201989718437388E-3</v>
      </c>
      <c r="AE95">
        <v>0.13718</v>
      </c>
      <c r="AF95" s="95">
        <f t="shared" si="134"/>
        <v>1.233057878851355E-3</v>
      </c>
    </row>
    <row r="96" spans="1:32">
      <c r="A96" s="63">
        <v>91</v>
      </c>
      <c r="B96" s="78">
        <f>+QxM!U93/1000</f>
        <v>0.10841533587482717</v>
      </c>
      <c r="C96" s="123">
        <v>0.16368000000000002</v>
      </c>
      <c r="D96" s="62">
        <f t="shared" si="142"/>
        <v>3.0541831008681669E-3</v>
      </c>
      <c r="E96" s="67">
        <v>0.30173</v>
      </c>
      <c r="F96" s="62">
        <f t="shared" si="143"/>
        <v>3.7370559365828386E-2</v>
      </c>
      <c r="G96" s="97">
        <v>0.21371000000000001</v>
      </c>
      <c r="H96" s="62">
        <f t="shared" si="137"/>
        <v>1.1086966293232961E-2</v>
      </c>
      <c r="I96" s="102">
        <v>0.23698</v>
      </c>
      <c r="J96" s="62">
        <f t="shared" ref="J96" si="198">+(I96-$B96)^2</f>
        <v>1.6528872861618495E-2</v>
      </c>
      <c r="K96" s="97">
        <v>0.20927000000000001</v>
      </c>
      <c r="L96" s="62">
        <f t="shared" si="180"/>
        <v>1.0171663275801426E-2</v>
      </c>
      <c r="M96" s="102">
        <v>0.32258007059999999</v>
      </c>
      <c r="N96" s="62">
        <f t="shared" ref="N96:V96" si="199">+(M96-$B96)^2</f>
        <v>4.5866533599903649E-2</v>
      </c>
      <c r="O96" s="102">
        <v>0.18548600000000001</v>
      </c>
      <c r="P96" s="62">
        <f t="shared" si="199"/>
        <v>5.9398872686952037E-3</v>
      </c>
      <c r="Q96" s="97">
        <v>0.35106399999999999</v>
      </c>
      <c r="R96" s="62">
        <f t="shared" si="199"/>
        <v>5.8878374201730935E-2</v>
      </c>
      <c r="S96" s="98">
        <v>0.20419999999999999</v>
      </c>
      <c r="T96" s="95">
        <f t="shared" si="199"/>
        <v>9.1747018815721698E-3</v>
      </c>
      <c r="U96" s="98">
        <v>0.1991</v>
      </c>
      <c r="V96" s="95">
        <f t="shared" si="199"/>
        <v>8.2237083074954073E-3</v>
      </c>
      <c r="W96" s="97">
        <v>0.13791999999999999</v>
      </c>
      <c r="X96" s="95">
        <f t="shared" si="147"/>
        <v>8.7052520513925978E-4</v>
      </c>
      <c r="Y96" s="97">
        <v>0.232347</v>
      </c>
      <c r="Z96" s="95">
        <f t="shared" si="148"/>
        <v>1.5359057372834649E-2</v>
      </c>
      <c r="AA96" s="97">
        <v>0.20778447</v>
      </c>
      <c r="AB96" s="95">
        <f t="shared" si="140"/>
        <v>9.8742248167865872E-3</v>
      </c>
      <c r="AC96">
        <v>0.202569</v>
      </c>
      <c r="AD96" s="95">
        <f t="shared" si="141"/>
        <v>8.8649124681958562E-3</v>
      </c>
      <c r="AE96">
        <v>0.15087</v>
      </c>
      <c r="AF96" s="95">
        <f t="shared" si="134"/>
        <v>1.8023985059812371E-3</v>
      </c>
    </row>
    <row r="97" spans="1:32">
      <c r="A97" s="63">
        <v>92</v>
      </c>
      <c r="B97" s="78">
        <f>+QxM!U94/1000</f>
        <v>0.11516069452226287</v>
      </c>
      <c r="C97" s="123">
        <v>0.17859</v>
      </c>
      <c r="D97" s="62">
        <f t="shared" si="142"/>
        <v>4.023276793388094E-3</v>
      </c>
      <c r="E97" s="67">
        <v>0.32363999999999998</v>
      </c>
      <c r="F97" s="62">
        <f t="shared" si="143"/>
        <v>4.3463620812479634E-2</v>
      </c>
      <c r="G97" s="97">
        <v>0.23124</v>
      </c>
      <c r="H97" s="62">
        <f t="shared" si="137"/>
        <v>1.3474405160193815E-2</v>
      </c>
      <c r="I97" s="102">
        <v>0.25345000000000001</v>
      </c>
      <c r="J97" s="62">
        <f t="shared" ref="J97" si="200">+(I97-$B97)^2</f>
        <v>1.9123932009514902E-2</v>
      </c>
      <c r="K97" s="97">
        <v>0.22494</v>
      </c>
      <c r="L97" s="62">
        <f t="shared" si="180"/>
        <v>1.2051495911174326E-2</v>
      </c>
      <c r="M97" s="102">
        <v>0.34788329400000001</v>
      </c>
      <c r="N97" s="62">
        <f t="shared" ref="N97:V97" si="201">+(M97-$B97)^2</f>
        <v>5.4159808307675264E-2</v>
      </c>
      <c r="O97" s="102">
        <v>0.203817</v>
      </c>
      <c r="P97" s="62">
        <f t="shared" si="201"/>
        <v>7.8599405009618425E-3</v>
      </c>
      <c r="Q97" s="97">
        <v>0.37431700000000001</v>
      </c>
      <c r="R97" s="62">
        <f t="shared" si="201"/>
        <v>6.7161990668870214E-2</v>
      </c>
      <c r="S97" s="98">
        <v>0.2218</v>
      </c>
      <c r="T97" s="95">
        <f t="shared" si="201"/>
        <v>1.1371941472774136E-2</v>
      </c>
      <c r="U97" s="98">
        <v>0.22119</v>
      </c>
      <c r="V97" s="95">
        <f t="shared" si="201"/>
        <v>1.1242213620091297E-2</v>
      </c>
      <c r="W97" s="97">
        <v>0.15098</v>
      </c>
      <c r="X97" s="95">
        <f t="shared" si="147"/>
        <v>1.2830226449074497E-3</v>
      </c>
      <c r="Y97" s="97">
        <v>0.25720399999999999</v>
      </c>
      <c r="Z97" s="95">
        <f t="shared" si="148"/>
        <v>2.0176300631041748E-2</v>
      </c>
      <c r="AA97" s="97">
        <v>0.22584677</v>
      </c>
      <c r="AB97" s="95">
        <f t="shared" si="140"/>
        <v>1.2251407304663323E-2</v>
      </c>
      <c r="AC97">
        <v>0.21070800000000001</v>
      </c>
      <c r="AD97" s="95">
        <f t="shared" si="141"/>
        <v>9.1292875840560186E-3</v>
      </c>
      <c r="AE97">
        <v>0.16556000000000001</v>
      </c>
      <c r="AF97" s="95">
        <f t="shared" si="134"/>
        <v>2.5400899926382656E-3</v>
      </c>
    </row>
    <row r="98" spans="1:32">
      <c r="A98" s="63">
        <v>93</v>
      </c>
      <c r="B98" s="78">
        <f>+QxM!U95/1000</f>
        <v>0.12232573423156487</v>
      </c>
      <c r="C98" s="123">
        <v>0.19857</v>
      </c>
      <c r="D98" s="62">
        <f t="shared" si="142"/>
        <v>5.8131880625677682E-3</v>
      </c>
      <c r="E98" s="67">
        <v>0.34666000000000002</v>
      </c>
      <c r="F98" s="62">
        <f t="shared" si="143"/>
        <v>5.03258627978629E-2</v>
      </c>
      <c r="G98" s="97">
        <v>0.25147000000000003</v>
      </c>
      <c r="H98" s="62">
        <f t="shared" si="137"/>
        <v>1.6678241380868212E-2</v>
      </c>
      <c r="I98" s="102">
        <v>0.27211000000000002</v>
      </c>
      <c r="J98" s="62">
        <f t="shared" ref="J98" si="202">+(I98-$B98)^2</f>
        <v>2.2435326271789215E-2</v>
      </c>
      <c r="K98" s="97">
        <v>0.24146000000000001</v>
      </c>
      <c r="L98" s="62">
        <f t="shared" si="180"/>
        <v>1.4192973280184136E-2</v>
      </c>
      <c r="M98" s="102">
        <v>0.37119833209999997</v>
      </c>
      <c r="N98" s="62">
        <f t="shared" ref="N98:V98" si="203">+(M98-$B98)^2</f>
        <v>6.1937569969783807E-2</v>
      </c>
      <c r="O98" s="102">
        <v>0.223298</v>
      </c>
      <c r="P98" s="62">
        <f t="shared" si="203"/>
        <v>1.0195398454411496E-2</v>
      </c>
      <c r="Q98" s="97">
        <v>0.40174700000000002</v>
      </c>
      <c r="R98" s="62">
        <f t="shared" si="203"/>
        <v>7.8076243763634479E-2</v>
      </c>
      <c r="S98" s="98">
        <v>0.2404</v>
      </c>
      <c r="T98" s="95">
        <f t="shared" si="203"/>
        <v>1.3941532236755053E-2</v>
      </c>
      <c r="U98" s="98">
        <v>0.24540000000000001</v>
      </c>
      <c r="V98" s="95">
        <f t="shared" si="203"/>
        <v>1.5147274894439405E-2</v>
      </c>
      <c r="W98" s="97">
        <v>0.16528000000000001</v>
      </c>
      <c r="X98" s="95">
        <f t="shared" si="147"/>
        <v>1.8450689477053589E-3</v>
      </c>
      <c r="Y98" s="97">
        <v>0.28432000000000002</v>
      </c>
      <c r="Z98" s="95">
        <f t="shared" si="148"/>
        <v>2.6242142141854399E-2</v>
      </c>
      <c r="AA98" s="97">
        <v>0.24521972</v>
      </c>
      <c r="AB98" s="95">
        <f t="shared" si="140"/>
        <v>1.5102931738052336E-2</v>
      </c>
      <c r="AC98">
        <v>0.21907699999999999</v>
      </c>
      <c r="AD98" s="95">
        <f t="shared" si="141"/>
        <v>9.3608074277943664E-3</v>
      </c>
      <c r="AE98">
        <v>0.18121999999999999</v>
      </c>
      <c r="AF98" s="95">
        <f t="shared" si="134"/>
        <v>3.4685345404030692E-3</v>
      </c>
    </row>
    <row r="99" spans="1:32">
      <c r="A99" s="63">
        <v>94</v>
      </c>
      <c r="B99" s="78">
        <f>+QxM!U96/1000</f>
        <v>0.12993656661560588</v>
      </c>
      <c r="C99" s="123">
        <v>0.22365000000000002</v>
      </c>
      <c r="D99" s="62">
        <f t="shared" si="142"/>
        <v>8.7822075966912782E-3</v>
      </c>
      <c r="E99" s="67">
        <v>0.371</v>
      </c>
      <c r="F99" s="62">
        <f t="shared" si="143"/>
        <v>5.8111578915072223E-2</v>
      </c>
      <c r="G99" s="97">
        <v>0.27489999999999998</v>
      </c>
      <c r="H99" s="62">
        <f t="shared" si="137"/>
        <v>2.1014397018591667E-2</v>
      </c>
      <c r="I99" s="102">
        <v>0.2959</v>
      </c>
      <c r="J99" s="62">
        <f t="shared" ref="J99" si="204">+(I99-$B99)^2</f>
        <v>2.7543861220736224E-2</v>
      </c>
      <c r="K99" s="97">
        <v>0.25886000000000003</v>
      </c>
      <c r="L99" s="62">
        <f t="shared" si="180"/>
        <v>1.6621251675620317E-2</v>
      </c>
      <c r="M99" s="102">
        <v>0.39999803550000002</v>
      </c>
      <c r="N99" s="62">
        <f t="shared" ref="N99:V99" si="205">+(M99-$B99)^2</f>
        <v>7.2933196975996581E-2</v>
      </c>
      <c r="O99" s="102">
        <v>0.243867</v>
      </c>
      <c r="P99" s="62">
        <f t="shared" si="205"/>
        <v>1.2980143651155867E-2</v>
      </c>
      <c r="Q99" s="97">
        <v>0.43065700000000001</v>
      </c>
      <c r="R99" s="62">
        <f t="shared" si="205"/>
        <v>9.0432779054897827E-2</v>
      </c>
      <c r="S99" s="98">
        <v>0.25996999999999998</v>
      </c>
      <c r="T99" s="95">
        <f t="shared" si="205"/>
        <v>1.6908693797733659E-2</v>
      </c>
      <c r="U99" s="98">
        <v>0.27184000000000003</v>
      </c>
      <c r="V99" s="95">
        <f t="shared" si="205"/>
        <v>2.013658440627919E-2</v>
      </c>
      <c r="W99" s="97">
        <v>0.18093000000000001</v>
      </c>
      <c r="X99" s="95">
        <f t="shared" si="147"/>
        <v>2.600330248328642E-3</v>
      </c>
      <c r="Y99" s="97">
        <v>0.31376399999999999</v>
      </c>
      <c r="Z99" s="95">
        <f t="shared" si="148"/>
        <v>3.3792525264693854E-2</v>
      </c>
      <c r="AA99" s="97">
        <v>0.26594878999999999</v>
      </c>
      <c r="AB99" s="95">
        <f t="shared" si="140"/>
        <v>1.8499324909966326E-2</v>
      </c>
      <c r="AC99">
        <v>0.22797100000000001</v>
      </c>
      <c r="AD99" s="95">
        <f t="shared" si="141"/>
        <v>9.6107501289992101E-3</v>
      </c>
      <c r="AE99">
        <v>0.19785</v>
      </c>
      <c r="AF99" s="95">
        <f t="shared" si="134"/>
        <v>4.6122344340565379E-3</v>
      </c>
    </row>
    <row r="100" spans="1:32">
      <c r="A100" s="63">
        <v>95</v>
      </c>
      <c r="B100" s="78">
        <f>+QxM!U97/1000</f>
        <v>0.13802092789315268</v>
      </c>
      <c r="C100" s="123">
        <v>0.25605</v>
      </c>
      <c r="D100" s="62">
        <f t="shared" si="142"/>
        <v>1.3930861862403365E-2</v>
      </c>
      <c r="E100" s="67">
        <v>0.39621000000000001</v>
      </c>
      <c r="F100" s="62">
        <f t="shared" si="143"/>
        <v>6.6661596955394808E-2</v>
      </c>
      <c r="G100" s="97">
        <v>0.30303000000000002</v>
      </c>
      <c r="H100" s="62">
        <f t="shared" si="137"/>
        <v>2.7227993877562747E-2</v>
      </c>
      <c r="I100" s="102">
        <v>0.32995999999999998</v>
      </c>
      <c r="J100" s="62">
        <f t="shared" ref="J100" si="206">+(I100-$B100)^2</f>
        <v>3.6840607401237527E-2</v>
      </c>
      <c r="K100" s="97">
        <v>0.27612000000000003</v>
      </c>
      <c r="L100" s="62">
        <f t="shared" si="180"/>
        <v>1.9071353716772224E-2</v>
      </c>
      <c r="M100" s="102">
        <v>0.42473208229999998</v>
      </c>
      <c r="N100" s="62">
        <f t="shared" ref="N100:V100" si="207">+(M100-$B100)^2</f>
        <v>8.2203286061307029E-2</v>
      </c>
      <c r="O100" s="102">
        <v>0.26427699999999998</v>
      </c>
      <c r="P100" s="62">
        <f t="shared" si="207"/>
        <v>1.5940595743849425E-2</v>
      </c>
      <c r="Q100" s="97">
        <v>0.48717899999999997</v>
      </c>
      <c r="R100" s="62">
        <f t="shared" si="207"/>
        <v>0.12191135931737038</v>
      </c>
      <c r="S100" s="98">
        <v>0.28048000000000001</v>
      </c>
      <c r="T100" s="95">
        <f t="shared" si="207"/>
        <v>2.0294587225543927E-2</v>
      </c>
      <c r="U100" s="98">
        <v>0.30058000000000001</v>
      </c>
      <c r="V100" s="95">
        <f t="shared" si="207"/>
        <v>2.6425451924239191E-2</v>
      </c>
      <c r="W100" s="97">
        <v>0.19808000000000001</v>
      </c>
      <c r="X100" s="95">
        <f t="shared" si="147"/>
        <v>3.6070921423354868E-3</v>
      </c>
      <c r="Y100" s="97">
        <v>0.34557399999999999</v>
      </c>
      <c r="Z100" s="95">
        <f t="shared" si="148"/>
        <v>4.3078277740990163E-2</v>
      </c>
      <c r="AA100" s="97">
        <v>0.28807072</v>
      </c>
      <c r="AB100" s="95">
        <f t="shared" si="140"/>
        <v>2.2514940111308102E-2</v>
      </c>
      <c r="AC100">
        <v>0.237679</v>
      </c>
      <c r="AD100" s="95">
        <f t="shared" si="141"/>
        <v>9.93173133605358E-3</v>
      </c>
      <c r="AE100">
        <v>0.21475</v>
      </c>
      <c r="AF100" s="95">
        <f t="shared" si="134"/>
        <v>5.8873505063777752E-3</v>
      </c>
    </row>
    <row r="101" spans="1:32">
      <c r="A101" s="63">
        <v>96</v>
      </c>
      <c r="B101" s="78">
        <f>+QxM!U98/1000</f>
        <v>0.14660827996819567</v>
      </c>
      <c r="C101" s="123">
        <v>0.29955000000000004</v>
      </c>
      <c r="D101" s="62">
        <f t="shared" si="142"/>
        <v>2.3391169726286829E-2</v>
      </c>
      <c r="E101" s="67">
        <v>0.44718999999999998</v>
      </c>
      <c r="F101" s="62">
        <f t="shared" si="143"/>
        <v>9.0349370417277974E-2</v>
      </c>
      <c r="G101" s="97">
        <v>0.34336</v>
      </c>
      <c r="H101" s="62">
        <f t="shared" si="137"/>
        <v>3.8711239335473512E-2</v>
      </c>
      <c r="I101" s="102">
        <v>0.38455</v>
      </c>
      <c r="J101" s="62">
        <f t="shared" ref="J101" si="208">+(I101-$B101)^2</f>
        <v>5.6616262131693552E-2</v>
      </c>
      <c r="K101" s="97">
        <v>0.29294999999999999</v>
      </c>
      <c r="L101" s="62">
        <f t="shared" si="180"/>
        <v>2.1415899021866996E-2</v>
      </c>
      <c r="M101" s="102">
        <v>0.45795605230000003</v>
      </c>
      <c r="N101" s="62">
        <f t="shared" ref="N101:V101" si="209">+(M101-$B101)^2</f>
        <v>9.6937435335977068E-2</v>
      </c>
      <c r="O101" s="102">
        <v>0.28416799999999998</v>
      </c>
      <c r="P101" s="62">
        <f t="shared" si="209"/>
        <v>1.8922676575228382E-2</v>
      </c>
      <c r="Q101" s="97">
        <v>0.55000000000000004</v>
      </c>
      <c r="R101" s="62">
        <f t="shared" si="209"/>
        <v>0.16272487979021763</v>
      </c>
      <c r="S101" s="98">
        <v>0.30187999999999998</v>
      </c>
      <c r="T101" s="95">
        <f t="shared" si="209"/>
        <v>2.4109307041635022E-2</v>
      </c>
      <c r="U101" s="98">
        <v>0.33166000000000001</v>
      </c>
      <c r="V101" s="95">
        <f t="shared" si="209"/>
        <v>3.4244139086729297E-2</v>
      </c>
      <c r="W101" s="97">
        <v>0.21686</v>
      </c>
      <c r="X101" s="95">
        <f t="shared" si="147"/>
        <v>4.9353041674270173E-3</v>
      </c>
      <c r="Y101" s="97">
        <v>0.379741</v>
      </c>
      <c r="Z101" s="95">
        <f t="shared" si="148"/>
        <v>5.4350865149427656E-2</v>
      </c>
      <c r="AA101" s="97">
        <v>0.31161105</v>
      </c>
      <c r="AB101" s="95">
        <f t="shared" si="140"/>
        <v>2.7225914118168507E-2</v>
      </c>
      <c r="AC101">
        <v>0.251994</v>
      </c>
      <c r="AD101" s="95">
        <f t="shared" si="141"/>
        <v>1.1106149986621844E-2</v>
      </c>
      <c r="AE101">
        <v>0.23172000000000001</v>
      </c>
      <c r="AF101" s="95">
        <f t="shared" si="134"/>
        <v>7.2440048867722442E-3</v>
      </c>
    </row>
    <row r="102" spans="1:32">
      <c r="A102" s="63">
        <v>97</v>
      </c>
      <c r="B102" s="78">
        <f>+QxM!U99/1000</f>
        <v>0.15572991779820652</v>
      </c>
      <c r="C102" s="123">
        <v>0.36118</v>
      </c>
      <c r="D102" s="62">
        <f t="shared" si="142"/>
        <v>4.2209736276723697E-2</v>
      </c>
      <c r="E102" s="67">
        <v>0.54825999999999997</v>
      </c>
      <c r="F102" s="62">
        <f t="shared" si="143"/>
        <v>0.1540798654333467</v>
      </c>
      <c r="G102" s="97">
        <v>0.40978999999999999</v>
      </c>
      <c r="H102" s="62">
        <f t="shared" si="137"/>
        <v>6.4546525368382041E-2</v>
      </c>
      <c r="I102" s="102">
        <v>0.48020000000000002</v>
      </c>
      <c r="J102" s="62">
        <f t="shared" ref="J102" si="210">+(I102-$B102)^2</f>
        <v>0.10528083424403864</v>
      </c>
      <c r="K102" s="97">
        <v>0.31086000000000003</v>
      </c>
      <c r="L102" s="62">
        <f t="shared" si="180"/>
        <v>2.4065342403935208E-2</v>
      </c>
      <c r="M102" s="102">
        <v>0.48275101860000003</v>
      </c>
      <c r="N102" s="62">
        <f t="shared" ref="N102:V102" si="211">+(M102-$B102)^2</f>
        <v>0.10694280036961677</v>
      </c>
      <c r="O102" s="102">
        <v>0.30316399999999999</v>
      </c>
      <c r="P102" s="62">
        <f t="shared" si="211"/>
        <v>2.1736808594685193E-2</v>
      </c>
      <c r="Q102" s="97">
        <v>0.66666700000000001</v>
      </c>
      <c r="R102" s="62">
        <f t="shared" si="211"/>
        <v>0.26105670196888225</v>
      </c>
      <c r="S102" s="98">
        <v>0.32411000000000001</v>
      </c>
      <c r="T102" s="95">
        <f t="shared" si="211"/>
        <v>2.835185208228273E-2</v>
      </c>
      <c r="U102" s="98">
        <v>0.36509999999999998</v>
      </c>
      <c r="V102" s="95">
        <f t="shared" si="211"/>
        <v>4.383583132118575E-2</v>
      </c>
      <c r="W102" s="97">
        <v>0.23741999999999999</v>
      </c>
      <c r="X102" s="95">
        <f t="shared" si="147"/>
        <v>6.6732695301357737E-3</v>
      </c>
      <c r="Y102" s="97">
        <v>0.41619899999999999</v>
      </c>
      <c r="Z102" s="95">
        <f t="shared" si="148"/>
        <v>6.7844142783044625E-2</v>
      </c>
      <c r="AA102" s="97">
        <v>0.33658137999999999</v>
      </c>
      <c r="AB102" s="95">
        <f t="shared" si="140"/>
        <v>3.2707251380526728E-2</v>
      </c>
      <c r="AC102">
        <v>0.27451300000000001</v>
      </c>
      <c r="AD102" s="95">
        <f t="shared" si="141"/>
        <v>1.4109420617358029E-2</v>
      </c>
      <c r="AE102">
        <v>0.24857000000000001</v>
      </c>
      <c r="AF102" s="95">
        <f t="shared" si="134"/>
        <v>8.6192808632357728E-3</v>
      </c>
    </row>
    <row r="103" spans="1:32">
      <c r="A103" s="63">
        <v>98</v>
      </c>
      <c r="B103" s="78">
        <f>+QxM!U100/1000</f>
        <v>0.16541908344260767</v>
      </c>
      <c r="C103" s="123">
        <v>0.45562000000000002</v>
      </c>
      <c r="D103" s="62">
        <f t="shared" si="142"/>
        <v>8.4216571970750581E-2</v>
      </c>
      <c r="E103" s="67">
        <v>0.72467000000000004</v>
      </c>
      <c r="F103" s="62">
        <f t="shared" si="143"/>
        <v>0.31276158767028339</v>
      </c>
      <c r="G103" s="97">
        <v>0.52261999999999997</v>
      </c>
      <c r="H103" s="62">
        <f t="shared" si="137"/>
        <v>0.12759249478944112</v>
      </c>
      <c r="I103" s="102">
        <v>0.65798000000000001</v>
      </c>
      <c r="J103" s="62">
        <f t="shared" ref="J103" si="212">+(I103-$B103)^2</f>
        <v>0.24261625651985838</v>
      </c>
      <c r="K103" s="97">
        <v>0.32994999999999997</v>
      </c>
      <c r="L103" s="62">
        <f t="shared" ref="L103" si="213">+(K103-$B103)^2</f>
        <v>2.7070422503215587E-2</v>
      </c>
      <c r="M103" s="102">
        <v>0.50002960299999999</v>
      </c>
      <c r="N103" s="62">
        <f t="shared" ref="N103:V103" si="214">+(M103-$B103)^2</f>
        <v>0.11196419979846801</v>
      </c>
      <c r="O103" s="102">
        <v>0.32087599999999999</v>
      </c>
      <c r="P103" s="62">
        <f t="shared" si="214"/>
        <v>2.4166852905532041E-2</v>
      </c>
      <c r="Q103" s="97">
        <v>0.83333299999999999</v>
      </c>
      <c r="R103" s="62">
        <f t="shared" si="214"/>
        <v>0.4461089999310352</v>
      </c>
      <c r="S103" s="98">
        <v>0.34708</v>
      </c>
      <c r="T103" s="95">
        <f t="shared" si="214"/>
        <v>3.3000688604471862E-2</v>
      </c>
      <c r="U103" s="98">
        <v>0.40084999999999998</v>
      </c>
      <c r="V103" s="95">
        <f t="shared" si="214"/>
        <v>5.5427716471053823E-2</v>
      </c>
      <c r="W103" s="97">
        <v>0.25994</v>
      </c>
      <c r="X103" s="95">
        <f t="shared" si="147"/>
        <v>8.9342036668495252E-3</v>
      </c>
      <c r="Y103" s="97">
        <v>0.454816</v>
      </c>
      <c r="Z103" s="95">
        <f t="shared" si="148"/>
        <v>8.375057531292629E-2</v>
      </c>
      <c r="AA103" s="97">
        <v>0.36297642000000002</v>
      </c>
      <c r="AB103" s="95">
        <f t="shared" si="140"/>
        <v>3.9028901227650792E-2</v>
      </c>
      <c r="AC103">
        <v>0.30523600000000001</v>
      </c>
      <c r="AD103" s="95">
        <f t="shared" si="141"/>
        <v>1.9548770155616811E-2</v>
      </c>
      <c r="AE103">
        <v>0.26506000000000002</v>
      </c>
      <c r="AF103" s="95">
        <f t="shared" si="134"/>
        <v>9.9283122523972245E-3</v>
      </c>
    </row>
    <row r="104" spans="1:32" ht="15.75" thickBot="1">
      <c r="A104" s="64">
        <v>99</v>
      </c>
      <c r="B104" s="78">
        <f>+QxM!U101/1000</f>
        <v>0.17571108720708209</v>
      </c>
      <c r="C104" s="123">
        <v>0.62051000000000001</v>
      </c>
      <c r="D104" s="62"/>
      <c r="E104" s="67">
        <v>1</v>
      </c>
      <c r="F104" s="62"/>
      <c r="G104" s="97">
        <v>0.70855000000000001</v>
      </c>
      <c r="H104" s="62">
        <f t="shared" si="137"/>
        <v>0.28391730698633882</v>
      </c>
      <c r="I104" s="102">
        <v>1</v>
      </c>
      <c r="J104" s="62"/>
      <c r="K104" s="97">
        <v>0.35032000000000002</v>
      </c>
      <c r="L104" s="62"/>
      <c r="M104" s="102">
        <v>0.53334538880000004</v>
      </c>
      <c r="N104" s="62"/>
      <c r="O104" s="102">
        <v>0.33691900000000002</v>
      </c>
      <c r="P104" s="62"/>
      <c r="Q104" s="97">
        <v>1</v>
      </c>
      <c r="R104" s="62"/>
      <c r="S104" s="98">
        <v>0.37071999999999999</v>
      </c>
      <c r="T104" s="95"/>
      <c r="U104" s="98">
        <v>0.43880000000000002</v>
      </c>
      <c r="V104" s="95"/>
      <c r="W104" s="97">
        <v>0.28460000000000002</v>
      </c>
      <c r="X104" s="95">
        <f t="shared" si="147"/>
        <v>1.1856795329223686E-2</v>
      </c>
      <c r="Y104" s="97">
        <v>0.49537900000000001</v>
      </c>
      <c r="Z104" s="95">
        <f t="shared" si="148"/>
        <v>0.10218757446938059</v>
      </c>
      <c r="AA104" s="97">
        <v>0.39077081000000002</v>
      </c>
      <c r="AB104" s="95">
        <f t="shared" si="140"/>
        <v>4.6250684367766706E-2</v>
      </c>
      <c r="AC104">
        <v>0.34416200000000002</v>
      </c>
      <c r="AD104" s="95">
        <f t="shared" si="141"/>
        <v>2.8375710020767244E-2</v>
      </c>
      <c r="AE104">
        <v>0.28097</v>
      </c>
      <c r="AF104" s="95">
        <f t="shared" si="134"/>
        <v>1.1079438722347098E-2</v>
      </c>
    </row>
    <row r="105" spans="1:32">
      <c r="A105" s="63">
        <v>100</v>
      </c>
      <c r="C105" s="123">
        <v>1</v>
      </c>
      <c r="D105" s="65"/>
      <c r="E105" s="67"/>
      <c r="F105" s="65"/>
      <c r="G105" s="97">
        <v>1</v>
      </c>
      <c r="H105" s="62">
        <f t="shared" si="137"/>
        <v>1</v>
      </c>
      <c r="I105" s="102"/>
      <c r="J105" s="103"/>
      <c r="K105" s="97">
        <v>0.36975999999999998</v>
      </c>
      <c r="L105" s="103"/>
      <c r="M105" s="102"/>
      <c r="N105" s="103"/>
      <c r="O105" s="102">
        <v>0.353765</v>
      </c>
      <c r="P105" s="103"/>
      <c r="R105" s="103"/>
      <c r="S105" s="98">
        <v>0.39491999999999999</v>
      </c>
      <c r="T105" s="104"/>
      <c r="U105" s="98">
        <v>0.47876999999999997</v>
      </c>
      <c r="V105" s="104"/>
      <c r="W105" s="97">
        <v>0.31161</v>
      </c>
      <c r="X105" s="95">
        <f t="shared" si="147"/>
        <v>9.71007921E-2</v>
      </c>
      <c r="Y105" s="97">
        <v>1</v>
      </c>
      <c r="Z105" s="95">
        <f t="shared" si="148"/>
        <v>1</v>
      </c>
      <c r="AA105" s="97">
        <v>0.41991582999999999</v>
      </c>
      <c r="AB105" s="95">
        <f t="shared" si="140"/>
        <v>0.1763293042845889</v>
      </c>
      <c r="AC105">
        <v>0.39129199999999997</v>
      </c>
      <c r="AD105" s="95">
        <f t="shared" si="141"/>
        <v>0.15310942926399998</v>
      </c>
      <c r="AE105">
        <v>0.29781999999999997</v>
      </c>
      <c r="AF105" s="95">
        <f t="shared" si="134"/>
        <v>8.8696752399999981E-2</v>
      </c>
    </row>
    <row r="106" spans="1:32">
      <c r="A106" s="63">
        <v>101</v>
      </c>
      <c r="E106" s="67"/>
      <c r="I106" s="102"/>
      <c r="K106" s="97">
        <v>0.38695999999999997</v>
      </c>
      <c r="M106" s="102"/>
      <c r="O106" s="102">
        <v>0.37145400000000001</v>
      </c>
      <c r="U106" s="98">
        <v>0.52048000000000005</v>
      </c>
      <c r="W106" s="97">
        <v>0.34117999999999998</v>
      </c>
      <c r="X106" s="95">
        <f t="shared" si="147"/>
        <v>0.11640379239999998</v>
      </c>
      <c r="AA106" s="97">
        <v>0.45033615999999999</v>
      </c>
      <c r="AB106" s="95">
        <f t="shared" si="140"/>
        <v>0.20280265700354558</v>
      </c>
      <c r="AC106">
        <v>0.44662600000000002</v>
      </c>
      <c r="AD106" s="95">
        <f t="shared" si="141"/>
        <v>0.19947478387600001</v>
      </c>
      <c r="AE106">
        <v>0.31569000000000003</v>
      </c>
      <c r="AF106" s="95">
        <f t="shared" si="134"/>
        <v>9.9660176100000011E-2</v>
      </c>
    </row>
    <row r="107" spans="1:32" ht="15.75" thickBot="1">
      <c r="A107" s="64">
        <v>102</v>
      </c>
      <c r="E107" s="67"/>
      <c r="I107" s="102"/>
      <c r="K107" s="97">
        <v>0.40525</v>
      </c>
      <c r="M107" s="102"/>
      <c r="O107" s="102">
        <v>0.39002599999999998</v>
      </c>
      <c r="U107" s="98">
        <v>0.56359000000000004</v>
      </c>
      <c r="W107" s="97">
        <v>0.37357000000000001</v>
      </c>
      <c r="X107" s="95">
        <f t="shared" si="147"/>
        <v>0.13955454490000002</v>
      </c>
      <c r="AA107" s="97">
        <v>0.48192668999999999</v>
      </c>
      <c r="AB107" s="95">
        <f t="shared" si="140"/>
        <v>0.23225333453435609</v>
      </c>
      <c r="AC107">
        <v>0.51016399999999995</v>
      </c>
      <c r="AD107" s="95">
        <f t="shared" si="141"/>
        <v>0.26026730689599997</v>
      </c>
      <c r="AE107">
        <v>0.33462999999999998</v>
      </c>
      <c r="AF107" s="95">
        <f t="shared" si="134"/>
        <v>0.11197723689999999</v>
      </c>
    </row>
    <row r="108" spans="1:32">
      <c r="A108" s="63">
        <v>103</v>
      </c>
      <c r="E108" s="67"/>
      <c r="I108" s="102"/>
      <c r="K108" s="97">
        <v>0.42469999999999997</v>
      </c>
      <c r="M108" s="102"/>
      <c r="O108" s="102">
        <v>0.409528</v>
      </c>
      <c r="U108" s="98">
        <v>0.60760999999999998</v>
      </c>
      <c r="W108" s="97">
        <v>0.40904000000000001</v>
      </c>
      <c r="X108" s="95">
        <f t="shared" si="147"/>
        <v>0.16731372160000002</v>
      </c>
      <c r="AA108" s="97">
        <v>0.51454984000000004</v>
      </c>
      <c r="AB108" s="95">
        <f t="shared" si="140"/>
        <v>0.26476153784402562</v>
      </c>
      <c r="AC108">
        <v>0.58190600000000003</v>
      </c>
      <c r="AD108" s="95">
        <f t="shared" si="141"/>
        <v>0.33861459283600004</v>
      </c>
      <c r="AE108">
        <v>0.35471000000000003</v>
      </c>
      <c r="AF108" s="95">
        <f t="shared" si="134"/>
        <v>0.12581918410000001</v>
      </c>
    </row>
    <row r="109" spans="1:32">
      <c r="A109" s="63">
        <v>104</v>
      </c>
      <c r="E109" s="67"/>
      <c r="I109" s="102"/>
      <c r="K109" s="97">
        <v>0.44535000000000002</v>
      </c>
      <c r="M109" s="102"/>
      <c r="O109" s="102">
        <v>0.430004</v>
      </c>
      <c r="U109" s="98">
        <v>0.65200000000000002</v>
      </c>
      <c r="W109" s="97">
        <v>0.44788</v>
      </c>
      <c r="X109" s="95">
        <f t="shared" si="147"/>
        <v>0.20059649439999999</v>
      </c>
      <c r="AA109" s="97">
        <v>0.5480334</v>
      </c>
      <c r="AB109" s="95">
        <f t="shared" si="140"/>
        <v>0.30034060751556002</v>
      </c>
      <c r="AC109">
        <v>0.66185099999999997</v>
      </c>
      <c r="AD109" s="95">
        <f t="shared" si="141"/>
        <v>0.43804674620099998</v>
      </c>
      <c r="AE109">
        <v>0.37598999999999999</v>
      </c>
    </row>
    <row r="110" spans="1:32" ht="15.75" thickBot="1">
      <c r="A110" s="64">
        <v>105</v>
      </c>
      <c r="E110" s="67"/>
      <c r="I110" s="102"/>
      <c r="K110" s="97">
        <v>0.46729000000000004</v>
      </c>
      <c r="M110" s="102"/>
      <c r="O110" s="102">
        <v>0.45150400000000002</v>
      </c>
      <c r="U110" s="98">
        <v>0.69611999999999996</v>
      </c>
      <c r="W110" s="97">
        <v>0.49042000000000002</v>
      </c>
      <c r="X110" s="95">
        <f t="shared" si="147"/>
        <v>0.24051177640000002</v>
      </c>
      <c r="AA110" s="97">
        <v>0.58216924000000003</v>
      </c>
      <c r="AB110" s="95">
        <f t="shared" si="140"/>
        <v>0.33892102400217766</v>
      </c>
      <c r="AC110">
        <v>0.75</v>
      </c>
      <c r="AD110" s="95">
        <f t="shared" si="141"/>
        <v>0.5625</v>
      </c>
      <c r="AE110">
        <v>0.39855000000000002</v>
      </c>
    </row>
    <row r="111" spans="1:32">
      <c r="A111" s="63">
        <v>106</v>
      </c>
      <c r="E111" s="67"/>
      <c r="I111" s="102"/>
      <c r="K111" s="97">
        <v>0.49057000000000001</v>
      </c>
      <c r="M111" s="102"/>
      <c r="O111" s="102">
        <v>0.47407899999999997</v>
      </c>
      <c r="U111" s="98">
        <v>0.73924999999999996</v>
      </c>
      <c r="W111" s="97">
        <v>0.53700000000000003</v>
      </c>
      <c r="X111" s="95">
        <f t="shared" si="147"/>
        <v>0.28836900000000004</v>
      </c>
      <c r="AA111" s="97">
        <v>0.61671339999999997</v>
      </c>
      <c r="AB111" s="95">
        <f t="shared" si="140"/>
        <v>0.38033541773955998</v>
      </c>
      <c r="AC111">
        <v>0.84635300000000002</v>
      </c>
      <c r="AD111" s="95">
        <f t="shared" si="141"/>
        <v>0.71631340060900006</v>
      </c>
      <c r="AE111">
        <v>0.42247000000000001</v>
      </c>
    </row>
    <row r="112" spans="1:32">
      <c r="A112" s="63">
        <v>107</v>
      </c>
      <c r="E112" s="67"/>
      <c r="I112" s="102"/>
      <c r="K112" s="97">
        <v>0.51527999999999996</v>
      </c>
      <c r="M112" s="102"/>
      <c r="O112" s="102">
        <v>0.49778299999999998</v>
      </c>
      <c r="U112" s="98" t="s">
        <v>102</v>
      </c>
      <c r="W112" s="97">
        <v>0.58801000000000003</v>
      </c>
      <c r="X112" s="95">
        <f t="shared" si="147"/>
        <v>0.34575576010000003</v>
      </c>
      <c r="AA112" s="97">
        <v>0.65138755000000004</v>
      </c>
      <c r="AB112" s="95">
        <f t="shared" si="140"/>
        <v>0.42430574029500256</v>
      </c>
      <c r="AC112">
        <v>0.950909</v>
      </c>
      <c r="AD112" s="95">
        <f t="shared" si="141"/>
        <v>0.90422792628100002</v>
      </c>
      <c r="AE112">
        <v>0.44782</v>
      </c>
    </row>
    <row r="113" spans="1:31" ht="15.75" thickBot="1">
      <c r="A113" s="64">
        <v>108</v>
      </c>
      <c r="E113" s="67"/>
      <c r="I113" s="102"/>
      <c r="K113" s="97">
        <v>0.54149000000000003</v>
      </c>
      <c r="M113" s="102"/>
      <c r="O113" s="102">
        <v>0.52267300000000005</v>
      </c>
      <c r="W113" s="97">
        <v>0.64387000000000005</v>
      </c>
      <c r="X113" s="95">
        <f t="shared" si="147"/>
        <v>0.4145685769000001</v>
      </c>
      <c r="AA113" s="97">
        <v>1</v>
      </c>
      <c r="AB113" s="95">
        <f t="shared" si="140"/>
        <v>1</v>
      </c>
      <c r="AE113">
        <v>0.47467999999999999</v>
      </c>
    </row>
    <row r="114" spans="1:31">
      <c r="A114" s="63">
        <v>109</v>
      </c>
      <c r="E114" s="67"/>
      <c r="I114" s="102"/>
      <c r="K114" s="97">
        <v>0.56926999999999994</v>
      </c>
      <c r="M114" s="102"/>
      <c r="O114" s="102">
        <v>0.54880600000000002</v>
      </c>
      <c r="W114" s="97">
        <v>0.70504999999999995</v>
      </c>
      <c r="X114" s="95">
        <f t="shared" si="147"/>
        <v>0.49709550249999995</v>
      </c>
      <c r="AE114">
        <v>0.50317000000000001</v>
      </c>
    </row>
    <row r="115" spans="1:31">
      <c r="A115" s="63">
        <v>110</v>
      </c>
      <c r="E115" s="67"/>
      <c r="I115" s="102"/>
      <c r="K115" s="97">
        <v>0.59870000000000001</v>
      </c>
      <c r="M115" s="102"/>
      <c r="O115" s="102">
        <v>0.57624600000000004</v>
      </c>
      <c r="W115" s="97">
        <v>0.77203999999999995</v>
      </c>
      <c r="X115" s="95">
        <f t="shared" si="147"/>
        <v>0.59604576159999989</v>
      </c>
      <c r="AE115">
        <v>0.53335999999999995</v>
      </c>
    </row>
    <row r="116" spans="1:31" ht="15.75" thickBot="1">
      <c r="A116" s="64">
        <v>111</v>
      </c>
      <c r="E116" s="67"/>
      <c r="I116" s="102"/>
      <c r="K116" s="97">
        <v>0.62988</v>
      </c>
      <c r="M116" s="102"/>
      <c r="O116" s="102">
        <v>0.60505900000000001</v>
      </c>
      <c r="W116" s="97">
        <v>0.84540000000000004</v>
      </c>
      <c r="X116" s="95">
        <f t="shared" si="147"/>
        <v>0.71470116000000006</v>
      </c>
      <c r="AE116">
        <v>0.56535999999999997</v>
      </c>
    </row>
    <row r="117" spans="1:31">
      <c r="A117" s="63">
        <v>112</v>
      </c>
      <c r="E117" s="67"/>
      <c r="I117" s="102"/>
      <c r="K117" s="97">
        <v>0.66286999999999996</v>
      </c>
      <c r="M117" s="102"/>
      <c r="O117" s="102">
        <v>0.63531199999999999</v>
      </c>
      <c r="W117" s="97">
        <v>0.92574999999999996</v>
      </c>
      <c r="X117" s="95">
        <f t="shared" si="147"/>
        <v>0.85701306249999998</v>
      </c>
      <c r="AE117">
        <v>0.59928000000000003</v>
      </c>
    </row>
    <row r="118" spans="1:31">
      <c r="A118" s="63">
        <v>113</v>
      </c>
      <c r="E118" s="67"/>
      <c r="I118" s="102"/>
      <c r="K118" s="97">
        <v>0.69777999999999996</v>
      </c>
      <c r="M118" s="102"/>
      <c r="O118" s="102">
        <v>0.66707700000000003</v>
      </c>
      <c r="W118" s="97">
        <v>1</v>
      </c>
      <c r="X118" s="95">
        <f t="shared" si="147"/>
        <v>1</v>
      </c>
      <c r="AE118">
        <v>0.63522999999999996</v>
      </c>
    </row>
    <row r="119" spans="1:31" ht="15.75" thickBot="1">
      <c r="A119" s="64">
        <v>114</v>
      </c>
      <c r="E119" s="67"/>
      <c r="I119" s="102"/>
      <c r="K119" s="97">
        <v>0.73468</v>
      </c>
      <c r="M119" s="102"/>
      <c r="O119" s="102">
        <v>0.70043100000000003</v>
      </c>
      <c r="AE119">
        <v>0.67335</v>
      </c>
    </row>
    <row r="120" spans="1:31">
      <c r="A120" s="63">
        <v>115</v>
      </c>
      <c r="E120" s="67"/>
      <c r="I120" s="102"/>
      <c r="K120" s="97">
        <v>0.77366000000000001</v>
      </c>
      <c r="M120" s="102"/>
      <c r="O120" s="102">
        <v>0.73545300000000002</v>
      </c>
      <c r="AE120">
        <v>0.71375</v>
      </c>
    </row>
    <row r="121" spans="1:31">
      <c r="A121" s="63">
        <v>116</v>
      </c>
      <c r="E121" s="67"/>
      <c r="I121" s="102"/>
      <c r="K121" s="97">
        <v>0.81477999999999995</v>
      </c>
      <c r="M121" s="102"/>
      <c r="O121" s="102">
        <v>0.77222500000000005</v>
      </c>
      <c r="AE121">
        <v>0.75344999999999995</v>
      </c>
    </row>
    <row r="122" spans="1:31" ht="15.75" thickBot="1">
      <c r="A122" s="64">
        <v>117</v>
      </c>
      <c r="E122" s="67"/>
      <c r="I122" s="102"/>
      <c r="K122" s="97">
        <v>0.85814999999999997</v>
      </c>
      <c r="M122" s="102"/>
      <c r="O122" s="102">
        <v>0.81083700000000003</v>
      </c>
      <c r="AE122">
        <v>0.79112000000000005</v>
      </c>
    </row>
    <row r="123" spans="1:31">
      <c r="E123" s="67"/>
      <c r="I123" s="102"/>
      <c r="K123" s="97">
        <v>0.90380999999999989</v>
      </c>
      <c r="M123" s="102"/>
      <c r="O123" s="102">
        <v>0.85137799999999997</v>
      </c>
      <c r="AE123">
        <v>0.83067000000000002</v>
      </c>
    </row>
    <row r="124" spans="1:31">
      <c r="E124" s="67"/>
      <c r="I124" s="102"/>
      <c r="K124" s="97">
        <v>0.9516699999999999</v>
      </c>
      <c r="M124" s="102"/>
      <c r="O124" s="102">
        <v>0.89394700000000005</v>
      </c>
      <c r="AE124">
        <v>0.87221000000000004</v>
      </c>
    </row>
    <row r="125" spans="1:31">
      <c r="E125" s="67"/>
      <c r="I125" s="102"/>
      <c r="M125" s="102"/>
      <c r="O125" s="102"/>
    </row>
  </sheetData>
  <pageMargins left="0.7" right="0.7" top="0.75" bottom="0.75" header="0.3" footer="0.3"/>
  <pageSetup orientation="portrait" horizontalDpi="300" verticalDpi="300" r:id="rId1"/>
  <legacyDrawing r:id="rId2"/>
</worksheet>
</file>

<file path=xl/worksheets/sheet15.xml><?xml version="1.0" encoding="utf-8"?>
<worksheet xmlns="http://schemas.openxmlformats.org/spreadsheetml/2006/main" xmlns:r="http://schemas.openxmlformats.org/officeDocument/2006/relationships">
  <sheetPr>
    <tabColor rgb="FF00B0F0"/>
  </sheetPr>
  <dimension ref="A1:AF125"/>
  <sheetViews>
    <sheetView workbookViewId="0">
      <pane xSplit="2" ySplit="4" topLeftCell="C8" activePane="bottomRight" state="frozen"/>
      <selection pane="topRight" activeCell="C1" sqref="C1"/>
      <selection pane="bottomLeft" activeCell="A5" sqref="A5"/>
      <selection pane="bottomRight" activeCell="B10" sqref="B10"/>
    </sheetView>
  </sheetViews>
  <sheetFormatPr baseColWidth="10" defaultRowHeight="15"/>
  <cols>
    <col min="1" max="1" width="4" customWidth="1"/>
    <col min="2" max="2" width="11.85546875" style="75" customWidth="1"/>
    <col min="3" max="3" width="19" customWidth="1"/>
    <col min="4" max="4" width="13" bestFit="1" customWidth="1"/>
    <col min="5" max="5" width="8.5703125" bestFit="1" customWidth="1"/>
    <col min="6" max="6" width="10.85546875" bestFit="1" customWidth="1"/>
    <col min="7" max="7" width="8" style="97" bestFit="1" customWidth="1"/>
    <col min="8" max="8" width="10.85546875" style="97" customWidth="1"/>
    <col min="9" max="9" width="8.5703125" style="97" bestFit="1" customWidth="1"/>
    <col min="10" max="10" width="10.85546875" style="97" bestFit="1" customWidth="1"/>
    <col min="11" max="11" width="8" style="97" bestFit="1" customWidth="1"/>
    <col min="12" max="12" width="10.85546875" style="97" bestFit="1" customWidth="1"/>
    <col min="13" max="13" width="8.5703125" style="97" bestFit="1" customWidth="1"/>
    <col min="14" max="14" width="10.85546875" style="97" bestFit="1" customWidth="1"/>
    <col min="15" max="15" width="8.5703125" style="97" bestFit="1" customWidth="1"/>
    <col min="16" max="16" width="10.85546875" style="97" bestFit="1" customWidth="1"/>
    <col min="17" max="17" width="9" style="97" bestFit="1" customWidth="1"/>
    <col min="18" max="18" width="10.85546875" style="97" bestFit="1" customWidth="1"/>
    <col min="19" max="19" width="8" style="98" bestFit="1" customWidth="1"/>
    <col min="20" max="20" width="32.7109375" style="98" customWidth="1"/>
    <col min="21" max="21" width="8" style="98" bestFit="1" customWidth="1"/>
    <col min="22" max="22" width="20" style="98" customWidth="1"/>
    <col min="23" max="23" width="8" style="99" bestFit="1" customWidth="1"/>
    <col min="24" max="24" width="24" style="97" customWidth="1"/>
    <col min="25" max="25" width="9" style="97" bestFit="1" customWidth="1"/>
    <col min="26" max="26" width="10.85546875" style="97" bestFit="1" customWidth="1"/>
    <col min="27" max="27" width="11" style="97" bestFit="1" customWidth="1"/>
    <col min="28" max="28" width="21.5703125" customWidth="1"/>
    <col min="29" max="29" width="9" bestFit="1" customWidth="1"/>
    <col min="30" max="30" width="10.85546875" bestFit="1" customWidth="1"/>
    <col min="31" max="31" width="8" bestFit="1" customWidth="1"/>
    <col min="32" max="32" width="26.7109375" customWidth="1"/>
  </cols>
  <sheetData>
    <row r="1" spans="1:32">
      <c r="B1" s="75" t="s">
        <v>149</v>
      </c>
    </row>
    <row r="2" spans="1:32" ht="90.75" thickBot="1">
      <c r="D2" s="68" t="s">
        <v>126</v>
      </c>
      <c r="F2" s="71" t="s">
        <v>99</v>
      </c>
      <c r="H2" s="109" t="s">
        <v>133</v>
      </c>
      <c r="J2" s="71" t="s">
        <v>130</v>
      </c>
      <c r="L2" s="100" t="s">
        <v>127</v>
      </c>
      <c r="N2" s="71" t="s">
        <v>100</v>
      </c>
      <c r="P2" s="71" t="s">
        <v>104</v>
      </c>
      <c r="R2" s="100" t="s">
        <v>103</v>
      </c>
      <c r="T2" s="100" t="s">
        <v>105</v>
      </c>
      <c r="V2" s="100" t="s">
        <v>145</v>
      </c>
      <c r="X2" s="101" t="s">
        <v>128</v>
      </c>
      <c r="Z2" s="101" t="s">
        <v>129</v>
      </c>
      <c r="AB2" s="101" t="s">
        <v>131</v>
      </c>
      <c r="AD2" s="101" t="s">
        <v>132</v>
      </c>
      <c r="AF2" s="101" t="s">
        <v>134</v>
      </c>
    </row>
    <row r="3" spans="1:32" s="68" customFormat="1" ht="15.75" thickBot="1">
      <c r="B3" s="76" t="s">
        <v>101</v>
      </c>
      <c r="D3" s="68">
        <f>+SUM(D25:D84)</f>
        <v>2.2346473877496846E-3</v>
      </c>
      <c r="F3" s="68">
        <f>+SUM(F25:F84)</f>
        <v>2.1857829574790853E-2</v>
      </c>
      <c r="G3" s="60"/>
      <c r="H3" s="68">
        <f>+SUM(H25:H84)</f>
        <v>3.7969380830193441E-3</v>
      </c>
      <c r="I3" s="71"/>
      <c r="J3" s="68">
        <f>+SUM(J25:J84)</f>
        <v>3.8953984545269096E-3</v>
      </c>
      <c r="K3" s="100"/>
      <c r="L3" s="68">
        <f>+SUM(L25:L84)</f>
        <v>1.4181981452045249E-3</v>
      </c>
      <c r="M3" s="71"/>
      <c r="N3" s="68">
        <f>+SUM(N25:N84)</f>
        <v>2.7721257178415885E-2</v>
      </c>
      <c r="O3" s="71"/>
      <c r="P3" s="68">
        <f>+SUM(P25:P84)</f>
        <v>1.8908455881392844E-3</v>
      </c>
      <c r="Q3" s="100"/>
      <c r="R3" s="68">
        <f>+SUM(R25:R84)</f>
        <v>5.1794935397892636E-2</v>
      </c>
      <c r="S3" s="100"/>
      <c r="T3" s="68">
        <f>+SUM(T25:T84)</f>
        <v>2.1677472587002347E-3</v>
      </c>
      <c r="U3" s="100"/>
      <c r="V3" s="68">
        <f>+SUM(V25:V84)</f>
        <v>3.1504264707066247E-3</v>
      </c>
      <c r="W3" s="101"/>
      <c r="X3" s="68">
        <f>+SUM(X25:X84)</f>
        <v>3.7431579109044443E-3</v>
      </c>
      <c r="Y3" s="101"/>
      <c r="Z3" s="68">
        <f>+SUM(Z25:Z84)</f>
        <v>1.0698426255311448E-3</v>
      </c>
      <c r="AA3" s="101"/>
      <c r="AB3" s="68">
        <f>+SUM(AB25:AB84)</f>
        <v>1.0704692843849421E-3</v>
      </c>
      <c r="AC3" s="101"/>
      <c r="AD3" s="68">
        <f>+SUM(AD25:AD84)</f>
        <v>2.1098077125054236E-3</v>
      </c>
      <c r="AF3" s="68">
        <f>+SUM(AF25:AF84)</f>
        <v>4.1558675683246327E-3</v>
      </c>
    </row>
    <row r="4" spans="1:32">
      <c r="A4" s="59" t="s">
        <v>97</v>
      </c>
      <c r="B4" s="77"/>
      <c r="C4" s="82" t="s">
        <v>124</v>
      </c>
      <c r="D4" s="60"/>
      <c r="E4" s="66" t="s">
        <v>98</v>
      </c>
      <c r="G4" s="93"/>
      <c r="H4" s="93"/>
      <c r="I4" s="66" t="s">
        <v>98</v>
      </c>
      <c r="J4" s="60"/>
      <c r="K4" s="93"/>
      <c r="L4" s="60"/>
      <c r="M4" s="66" t="s">
        <v>98</v>
      </c>
      <c r="N4" s="60"/>
      <c r="O4" s="66" t="s">
        <v>98</v>
      </c>
      <c r="P4" s="60"/>
      <c r="Q4" s="66" t="s">
        <v>98</v>
      </c>
      <c r="R4" s="60"/>
      <c r="S4" s="94" t="s">
        <v>98</v>
      </c>
      <c r="T4" s="60"/>
      <c r="V4" s="60"/>
    </row>
    <row r="5" spans="1:32">
      <c r="A5" s="61">
        <v>0</v>
      </c>
      <c r="B5" s="78">
        <f>+QxM!G2/1000</f>
        <v>2.1952421122057916E-2</v>
      </c>
      <c r="D5" s="62"/>
      <c r="E5" s="67">
        <v>2.2579999999999999E-2</v>
      </c>
      <c r="F5" s="62"/>
      <c r="G5" s="97">
        <v>6.3299999999999997E-3</v>
      </c>
      <c r="H5" s="96"/>
      <c r="I5" s="102">
        <v>4.1799999999999997E-3</v>
      </c>
      <c r="J5" s="62"/>
      <c r="K5" s="97">
        <v>7.1999999999999994E-4</v>
      </c>
      <c r="L5" s="62"/>
      <c r="M5" s="102">
        <v>0</v>
      </c>
      <c r="N5" s="62"/>
      <c r="O5" s="102">
        <v>6.9899999999999997E-3</v>
      </c>
      <c r="P5" s="62"/>
      <c r="Q5" s="97">
        <v>4.0980000000000003E-2</v>
      </c>
      <c r="R5" s="62"/>
      <c r="S5" s="98">
        <v>4.8000000000000001E-4</v>
      </c>
      <c r="T5" s="95"/>
      <c r="U5" s="98">
        <v>1.08E-3</v>
      </c>
      <c r="V5" s="95"/>
      <c r="W5" s="97">
        <v>2.7399999999999998E-3</v>
      </c>
      <c r="Y5" s="97">
        <v>1.1327E-2</v>
      </c>
      <c r="AA5" s="97">
        <v>1.48481E-3</v>
      </c>
      <c r="AC5">
        <v>1.2964E-2</v>
      </c>
      <c r="AE5">
        <v>8.1499999999999993E-3</v>
      </c>
    </row>
    <row r="6" spans="1:32">
      <c r="A6" s="61">
        <v>1</v>
      </c>
      <c r="B6" s="78">
        <f>+QxM!G3/1000</f>
        <v>2.4866412589535751E-3</v>
      </c>
      <c r="D6" s="62"/>
      <c r="E6" s="67">
        <v>5.77E-3</v>
      </c>
      <c r="F6" s="62">
        <f>+(E6-$B6)^2</f>
        <v>1.0780444622405964E-5</v>
      </c>
      <c r="G6" s="97">
        <v>1E-3</v>
      </c>
      <c r="H6" s="62">
        <f t="shared" ref="H6:H69" si="0">+(G6-$B6)^2</f>
        <v>2.2101022328230707E-6</v>
      </c>
      <c r="I6" s="102">
        <v>1.07E-3</v>
      </c>
      <c r="J6" s="62">
        <f>+(I6-$B6)^2</f>
        <v>2.0068724565695702E-6</v>
      </c>
      <c r="K6" s="97">
        <v>4.6000000000000001E-4</v>
      </c>
      <c r="L6" s="62">
        <f>+(K6-$B6)^2</f>
        <v>4.1072747924929322E-6</v>
      </c>
      <c r="M6" s="102">
        <v>0</v>
      </c>
      <c r="N6" s="62">
        <f>+(M6-$B6)^2</f>
        <v>6.1833847507302211E-6</v>
      </c>
      <c r="O6" s="102">
        <v>4.4700000000000002E-4</v>
      </c>
      <c r="P6" s="62">
        <f>+(O6-$B6)^2</f>
        <v>4.1601364652257248E-6</v>
      </c>
      <c r="Q6" s="97">
        <v>2.8872999999999999E-2</v>
      </c>
      <c r="R6" s="62">
        <f>+(Q6-$B6)^2</f>
        <v>6.9623992761119703E-4</v>
      </c>
      <c r="S6" s="98">
        <v>4.0000000000000002E-4</v>
      </c>
      <c r="T6" s="95">
        <f>+(S6-$B6)^2</f>
        <v>4.3540717435673605E-6</v>
      </c>
      <c r="U6" s="98">
        <v>7.5000000000000002E-4</v>
      </c>
      <c r="V6" s="95">
        <f>+(U6-$B6)^2</f>
        <v>3.0159228622998581E-6</v>
      </c>
      <c r="W6" s="97">
        <v>9.5E-4</v>
      </c>
      <c r="X6" s="95">
        <f>+(W6-$B6)^2</f>
        <v>2.3612663587184287E-6</v>
      </c>
      <c r="Y6" s="97">
        <v>5.9999999999999995E-4</v>
      </c>
      <c r="Z6" s="95">
        <f>+(Y6-$B6)^2</f>
        <v>3.5594152399859316E-6</v>
      </c>
      <c r="AA6" s="97">
        <v>1.4853500000000001E-3</v>
      </c>
      <c r="AB6" s="95">
        <f t="shared" ref="AB6:AF69" si="1">+(AA6-$B6)^2</f>
        <v>1.0025841852568353E-6</v>
      </c>
      <c r="AC6">
        <v>1.011E-3</v>
      </c>
      <c r="AD6" s="95">
        <f t="shared" si="1"/>
        <v>2.1775171251260924E-6</v>
      </c>
      <c r="AE6">
        <v>6.4999999999999997E-4</v>
      </c>
      <c r="AF6" s="95">
        <f t="shared" si="1"/>
        <v>3.3732511140905735E-6</v>
      </c>
    </row>
    <row r="7" spans="1:32">
      <c r="A7" s="61">
        <v>2</v>
      </c>
      <c r="B7" s="78">
        <f>+QxM!G4/1000</f>
        <v>1.0632966757924758E-3</v>
      </c>
      <c r="D7" s="62"/>
      <c r="E7" s="67">
        <v>4.1399999999999996E-3</v>
      </c>
      <c r="F7" s="62">
        <f t="shared" ref="F7:F70" si="2">+(E7-$B7)^2</f>
        <v>9.4661033451896266E-6</v>
      </c>
      <c r="G7" s="97">
        <v>7.5000000000000002E-4</v>
      </c>
      <c r="H7" s="62">
        <f t="shared" si="0"/>
        <v>9.8154807062615702E-8</v>
      </c>
      <c r="I7" s="102">
        <v>9.8999999999999999E-4</v>
      </c>
      <c r="J7" s="62">
        <f t="shared" ref="J7:J70" si="3">+(I7-$B7)^2</f>
        <v>5.3724026822273134E-9</v>
      </c>
      <c r="K7" s="97">
        <v>3.3E-4</v>
      </c>
      <c r="L7" s="62">
        <f t="shared" ref="L7:L70" si="4">+(K7-$B7)^2</f>
        <v>5.3772401472829537E-7</v>
      </c>
      <c r="M7" s="102">
        <v>0</v>
      </c>
      <c r="N7" s="62">
        <f t="shared" ref="N7:V22" si="5">+(M7-$B7)^2</f>
        <v>1.1305998207513295E-6</v>
      </c>
      <c r="O7" s="102">
        <v>3.01E-4</v>
      </c>
      <c r="P7" s="62">
        <f t="shared" si="5"/>
        <v>5.8109622192425894E-7</v>
      </c>
      <c r="Q7" s="97">
        <v>1.9359000000000001E-2</v>
      </c>
      <c r="R7" s="62">
        <f t="shared" si="5"/>
        <v>3.3473276012741828E-4</v>
      </c>
      <c r="S7" s="98">
        <v>3.8000000000000002E-4</v>
      </c>
      <c r="T7" s="95">
        <f t="shared" si="5"/>
        <v>4.668943471490478E-7</v>
      </c>
      <c r="U7" s="98">
        <v>4.8999999999999998E-4</v>
      </c>
      <c r="V7" s="95">
        <f t="shared" si="5"/>
        <v>3.2866907847470319E-7</v>
      </c>
      <c r="W7" s="97">
        <v>4.8000000000000001E-4</v>
      </c>
      <c r="X7" s="95">
        <f t="shared" ref="X7:X70" si="6">+(W7-$B7)^2</f>
        <v>3.4023501199055272E-7</v>
      </c>
      <c r="Y7" s="97">
        <v>5.4000000000000001E-4</v>
      </c>
      <c r="Z7" s="95">
        <f t="shared" ref="Z7:Z70" si="7">+(Y7-$B7)^2</f>
        <v>2.7383941089545554E-7</v>
      </c>
      <c r="AA7" s="97">
        <v>1.4859700000000001E-3</v>
      </c>
      <c r="AB7" s="95">
        <f t="shared" si="1"/>
        <v>1.786527389966389E-7</v>
      </c>
      <c r="AC7">
        <v>7.0399999999999998E-4</v>
      </c>
      <c r="AD7" s="95">
        <f t="shared" si="1"/>
        <v>1.2909410123552349E-7</v>
      </c>
      <c r="AE7">
        <v>3.8000000000000002E-4</v>
      </c>
      <c r="AF7" s="95">
        <f t="shared" si="1"/>
        <v>4.668943471490478E-7</v>
      </c>
    </row>
    <row r="8" spans="1:32">
      <c r="A8" s="63">
        <v>3</v>
      </c>
      <c r="B8" s="78">
        <f>+QxM!G5/1000</f>
        <v>6.8029436577970537E-4</v>
      </c>
      <c r="D8" s="62"/>
      <c r="E8" s="67">
        <v>3.3800000000000002E-3</v>
      </c>
      <c r="F8" s="62">
        <f t="shared" si="2"/>
        <v>7.2884105114408045E-6</v>
      </c>
      <c r="G8" s="97">
        <v>6.8000000000000005E-4</v>
      </c>
      <c r="H8" s="62">
        <f t="shared" si="0"/>
        <v>8.6651212261520881E-14</v>
      </c>
      <c r="I8" s="102">
        <v>9.7999999999999997E-4</v>
      </c>
      <c r="J8" s="62">
        <f t="shared" si="3"/>
        <v>8.9823467183389022E-8</v>
      </c>
      <c r="K8" s="97">
        <v>2.3999999999999998E-4</v>
      </c>
      <c r="L8" s="62">
        <f t="shared" si="4"/>
        <v>1.9385912853735299E-7</v>
      </c>
      <c r="M8" s="102">
        <v>0</v>
      </c>
      <c r="N8" s="62">
        <f t="shared" si="5"/>
        <v>4.6280042411161156E-7</v>
      </c>
      <c r="O8" s="102">
        <v>2.33E-4</v>
      </c>
      <c r="P8" s="62">
        <f t="shared" si="5"/>
        <v>2.0007224965826885E-7</v>
      </c>
      <c r="Q8" s="97">
        <v>1.1989E-2</v>
      </c>
      <c r="R8" s="62">
        <f t="shared" si="5"/>
        <v>1.2788682312144583E-4</v>
      </c>
      <c r="S8" s="98">
        <v>3.6999999999999999E-4</v>
      </c>
      <c r="T8" s="95">
        <f t="shared" si="5"/>
        <v>9.6282593434629594E-8</v>
      </c>
      <c r="U8" s="98">
        <v>3.1E-4</v>
      </c>
      <c r="V8" s="95">
        <f t="shared" si="5"/>
        <v>1.3711791732819423E-7</v>
      </c>
      <c r="W8" s="97">
        <v>2.9999999999999997E-4</v>
      </c>
      <c r="X8" s="95">
        <f t="shared" si="6"/>
        <v>1.4462380464378836E-7</v>
      </c>
      <c r="Y8" s="97">
        <v>4.8999999999999998E-4</v>
      </c>
      <c r="Z8" s="95">
        <f t="shared" si="7"/>
        <v>3.6211945647500307E-8</v>
      </c>
      <c r="AA8" s="97">
        <v>1.48668E-3</v>
      </c>
      <c r="AB8" s="95">
        <f t="shared" si="1"/>
        <v>6.5025779107686679E-7</v>
      </c>
      <c r="AC8">
        <v>5.5000000000000003E-4</v>
      </c>
      <c r="AD8" s="95">
        <f t="shared" si="1"/>
        <v>1.6976621753935647E-8</v>
      </c>
      <c r="AE8">
        <v>2.9999999999999997E-4</v>
      </c>
      <c r="AF8" s="95">
        <f t="shared" si="1"/>
        <v>1.4462380464378836E-7</v>
      </c>
    </row>
    <row r="9" spans="1:32">
      <c r="A9" s="63">
        <v>4</v>
      </c>
      <c r="B9" s="78">
        <f>+QxM!G6/1000</f>
        <v>5.424818617848924E-4</v>
      </c>
      <c r="D9" s="62"/>
      <c r="E9" s="67">
        <v>2.99E-3</v>
      </c>
      <c r="F9" s="62">
        <f t="shared" si="2"/>
        <v>5.9903450368919481E-6</v>
      </c>
      <c r="G9" s="97">
        <v>6.0999999999999997E-4</v>
      </c>
      <c r="H9" s="62">
        <f t="shared" si="0"/>
        <v>4.5586989880343697E-9</v>
      </c>
      <c r="I9" s="102">
        <v>9.5E-4</v>
      </c>
      <c r="J9" s="62">
        <f t="shared" si="3"/>
        <v>1.6607103297430755E-7</v>
      </c>
      <c r="K9" s="97">
        <v>2.0999999999999998E-4</v>
      </c>
      <c r="L9" s="62">
        <f t="shared" si="4"/>
        <v>1.1054418841594829E-7</v>
      </c>
      <c r="M9" s="102">
        <v>0</v>
      </c>
      <c r="N9" s="62">
        <f t="shared" si="5"/>
        <v>2.9428657036560311E-7</v>
      </c>
      <c r="O9" s="102">
        <v>1.7699999999999999E-4</v>
      </c>
      <c r="P9" s="62">
        <f t="shared" si="5"/>
        <v>1.3357699129375121E-7</v>
      </c>
      <c r="Q9" s="97">
        <v>6.417E-3</v>
      </c>
      <c r="R9" s="62">
        <f t="shared" si="5"/>
        <v>3.4509963356218288E-5</v>
      </c>
      <c r="S9" s="98">
        <v>3.6000000000000002E-4</v>
      </c>
      <c r="T9" s="95">
        <f t="shared" si="5"/>
        <v>3.3299629880480569E-8</v>
      </c>
      <c r="U9" s="98">
        <v>2.1000000000000001E-4</v>
      </c>
      <c r="V9" s="95">
        <f t="shared" si="5"/>
        <v>1.1054418841594829E-7</v>
      </c>
      <c r="W9" s="97">
        <v>2.2000000000000001E-4</v>
      </c>
      <c r="X9" s="95">
        <f t="shared" si="6"/>
        <v>1.0399455118025042E-7</v>
      </c>
      <c r="Y9" s="97">
        <v>4.6000000000000001E-4</v>
      </c>
      <c r="Z9" s="95">
        <f t="shared" si="7"/>
        <v>6.8032575235020913E-9</v>
      </c>
      <c r="AA9" s="97">
        <v>1.4874899999999999E-3</v>
      </c>
      <c r="AB9" s="95">
        <f t="shared" si="1"/>
        <v>8.9304038129278383E-7</v>
      </c>
      <c r="AC9">
        <v>4.44E-4</v>
      </c>
      <c r="AD9" s="95">
        <f t="shared" si="1"/>
        <v>9.6986771006186494E-9</v>
      </c>
      <c r="AE9">
        <v>2.5000000000000001E-4</v>
      </c>
      <c r="AF9" s="95">
        <f t="shared" si="1"/>
        <v>8.5545639473156897E-8</v>
      </c>
    </row>
    <row r="10" spans="1:32">
      <c r="A10" s="63">
        <v>5</v>
      </c>
      <c r="B10" s="78">
        <f>+QxM!G7/1000</f>
        <v>4.3124500066307308E-4</v>
      </c>
      <c r="D10" s="62"/>
      <c r="E10" s="67">
        <v>2.7599999999999999E-3</v>
      </c>
      <c r="F10" s="62">
        <f t="shared" si="2"/>
        <v>5.4230998469367298E-6</v>
      </c>
      <c r="G10" s="97">
        <v>5.5000000000000003E-4</v>
      </c>
      <c r="H10" s="62">
        <f t="shared" si="0"/>
        <v>1.4102749867513521E-8</v>
      </c>
      <c r="I10" s="102">
        <v>8.9999999999999998E-4</v>
      </c>
      <c r="J10" s="62">
        <f t="shared" si="3"/>
        <v>2.1973124940336233E-7</v>
      </c>
      <c r="K10" s="97">
        <v>2.2000000000000001E-4</v>
      </c>
      <c r="L10" s="62">
        <f t="shared" si="4"/>
        <v>4.4624450305141741E-8</v>
      </c>
      <c r="M10" s="102">
        <v>0</v>
      </c>
      <c r="N10" s="62">
        <f t="shared" si="5"/>
        <v>1.859722505968939E-7</v>
      </c>
      <c r="O10" s="102">
        <v>1.6100000000000001E-4</v>
      </c>
      <c r="P10" s="62">
        <f t="shared" si="5"/>
        <v>7.3032360383384368E-8</v>
      </c>
      <c r="Q10" s="97">
        <v>5.2420000000000001E-3</v>
      </c>
      <c r="R10" s="62">
        <f t="shared" si="5"/>
        <v>2.3143363663645237E-5</v>
      </c>
      <c r="S10" s="98">
        <v>3.5E-4</v>
      </c>
      <c r="T10" s="95">
        <f t="shared" si="5"/>
        <v>6.6007501327427456E-9</v>
      </c>
      <c r="U10" s="98">
        <v>1.7000000000000001E-4</v>
      </c>
      <c r="V10" s="95">
        <f t="shared" si="5"/>
        <v>6.8248950371449049E-8</v>
      </c>
      <c r="W10" s="97">
        <v>1.8000000000000001E-4</v>
      </c>
      <c r="X10" s="95">
        <f t="shared" si="6"/>
        <v>6.3124050358187601E-8</v>
      </c>
      <c r="Y10" s="97">
        <v>4.2999999999999999E-4</v>
      </c>
      <c r="Z10" s="95">
        <f t="shared" si="7"/>
        <v>1.5500266510524358E-12</v>
      </c>
      <c r="AA10" s="97">
        <v>1.4884099999999999E-3</v>
      </c>
      <c r="AB10" s="95">
        <f t="shared" si="1"/>
        <v>1.1175978358230443E-6</v>
      </c>
      <c r="AC10">
        <v>3.77E-4</v>
      </c>
      <c r="AD10" s="95">
        <f t="shared" si="1"/>
        <v>2.9425200969367987E-9</v>
      </c>
      <c r="AE10">
        <v>2.2000000000000001E-4</v>
      </c>
      <c r="AF10" s="95">
        <f t="shared" si="1"/>
        <v>4.4624450305141741E-8</v>
      </c>
    </row>
    <row r="11" spans="1:32">
      <c r="A11" s="63">
        <v>6</v>
      </c>
      <c r="B11" s="78">
        <f>+QxM!G8/1000</f>
        <v>4.3124500066307303E-4</v>
      </c>
      <c r="D11" s="62"/>
      <c r="E11" s="67">
        <v>2.6099999999999999E-3</v>
      </c>
      <c r="F11" s="62">
        <f t="shared" si="2"/>
        <v>4.7469733471356519E-6</v>
      </c>
      <c r="G11" s="97">
        <v>4.8999999999999998E-4</v>
      </c>
      <c r="H11" s="62">
        <f t="shared" si="0"/>
        <v>3.4521499470822874E-9</v>
      </c>
      <c r="I11" s="102">
        <v>8.5999999999999998E-4</v>
      </c>
      <c r="J11" s="62">
        <f t="shared" si="3"/>
        <v>1.8383084945640823E-7</v>
      </c>
      <c r="K11" s="97">
        <v>2.2000000000000001E-4</v>
      </c>
      <c r="L11" s="62">
        <f t="shared" si="4"/>
        <v>4.4624450305141721E-8</v>
      </c>
      <c r="M11" s="102">
        <v>0</v>
      </c>
      <c r="N11" s="62">
        <f t="shared" si="5"/>
        <v>1.8597225059689385E-7</v>
      </c>
      <c r="O11" s="102">
        <v>1.4999999999999999E-4</v>
      </c>
      <c r="P11" s="62">
        <f t="shared" si="5"/>
        <v>7.9098750397971964E-8</v>
      </c>
      <c r="Q11" s="97">
        <v>4.2940000000000001E-3</v>
      </c>
      <c r="R11" s="62">
        <f t="shared" si="5"/>
        <v>1.4920876184902423E-5</v>
      </c>
      <c r="S11" s="98">
        <v>3.5E-4</v>
      </c>
      <c r="T11" s="95">
        <f t="shared" si="5"/>
        <v>6.6007501327427373E-9</v>
      </c>
      <c r="U11" s="98">
        <v>1.6000000000000001E-4</v>
      </c>
      <c r="V11" s="95">
        <f t="shared" si="5"/>
        <v>7.3573850384710499E-8</v>
      </c>
      <c r="W11" s="97">
        <v>1.6000000000000001E-4</v>
      </c>
      <c r="X11" s="95">
        <f t="shared" si="6"/>
        <v>7.3573850384710499E-8</v>
      </c>
      <c r="Y11" s="97">
        <v>4.0999999999999999E-4</v>
      </c>
      <c r="Z11" s="95">
        <f t="shared" si="7"/>
        <v>4.5135005317397371E-10</v>
      </c>
      <c r="AA11" s="97">
        <v>1.4894699999999999E-3</v>
      </c>
      <c r="AB11" s="95">
        <f t="shared" si="1"/>
        <v>1.1198401492216392E-6</v>
      </c>
      <c r="AC11">
        <v>3.4000000000000002E-4</v>
      </c>
      <c r="AD11" s="95">
        <f t="shared" si="1"/>
        <v>8.3256501460041929E-9</v>
      </c>
      <c r="AE11">
        <v>2.0000000000000001E-4</v>
      </c>
      <c r="AF11" s="95">
        <f t="shared" si="1"/>
        <v>5.3474250331664638E-8</v>
      </c>
    </row>
    <row r="12" spans="1:32">
      <c r="A12" s="63">
        <v>7</v>
      </c>
      <c r="B12" s="78">
        <f>+QxM!G9/1000</f>
        <v>4.3124500066307308E-4</v>
      </c>
      <c r="D12" s="62"/>
      <c r="E12" s="67">
        <v>2.47E-3</v>
      </c>
      <c r="F12" s="62">
        <f t="shared" si="2"/>
        <v>4.1565219473213127E-6</v>
      </c>
      <c r="G12" s="97">
        <v>4.4000000000000002E-4</v>
      </c>
      <c r="H12" s="62">
        <f t="shared" si="0"/>
        <v>7.6650013389591085E-11</v>
      </c>
      <c r="I12" s="102">
        <v>8.0000000000000004E-4</v>
      </c>
      <c r="J12" s="62">
        <f t="shared" si="3"/>
        <v>1.3598024953597699E-7</v>
      </c>
      <c r="K12" s="97">
        <v>2.2000000000000001E-4</v>
      </c>
      <c r="L12" s="62">
        <f t="shared" si="4"/>
        <v>4.4624450305141741E-8</v>
      </c>
      <c r="M12" s="102">
        <v>0</v>
      </c>
      <c r="N12" s="62">
        <f t="shared" si="5"/>
        <v>1.859722505968939E-7</v>
      </c>
      <c r="O12" s="102">
        <v>1.3899999999999999E-4</v>
      </c>
      <c r="P12" s="62">
        <f t="shared" si="5"/>
        <v>8.5407140412559609E-8</v>
      </c>
      <c r="Q12" s="97">
        <v>3.5360000000000001E-3</v>
      </c>
      <c r="R12" s="62">
        <f t="shared" si="5"/>
        <v>9.6395036059076407E-6</v>
      </c>
      <c r="S12" s="98">
        <v>3.5E-4</v>
      </c>
      <c r="T12" s="95">
        <f t="shared" si="5"/>
        <v>6.6007501327427456E-9</v>
      </c>
      <c r="U12" s="98">
        <v>1.6000000000000001E-4</v>
      </c>
      <c r="V12" s="95">
        <f t="shared" si="5"/>
        <v>7.3573850384710499E-8</v>
      </c>
      <c r="W12" s="97">
        <v>1.4999999999999999E-4</v>
      </c>
      <c r="X12" s="95">
        <f t="shared" si="6"/>
        <v>7.9098750397971964E-8</v>
      </c>
      <c r="Y12" s="97">
        <v>4.0000000000000002E-4</v>
      </c>
      <c r="Z12" s="95">
        <f t="shared" si="7"/>
        <v>9.7625006643543608E-10</v>
      </c>
      <c r="AA12" s="97">
        <v>1.4906699999999999E-3</v>
      </c>
      <c r="AB12" s="95">
        <f t="shared" si="1"/>
        <v>1.1223813292200473E-6</v>
      </c>
      <c r="AC12">
        <v>3.2400000000000001E-4</v>
      </c>
      <c r="AD12" s="95">
        <f t="shared" si="1"/>
        <v>1.1501490167222542E-8</v>
      </c>
      <c r="AE12">
        <v>1.8000000000000001E-4</v>
      </c>
      <c r="AF12" s="95">
        <f t="shared" si="1"/>
        <v>6.3124050358187601E-8</v>
      </c>
    </row>
    <row r="13" spans="1:32">
      <c r="A13" s="63">
        <v>8</v>
      </c>
      <c r="B13" s="78">
        <f>+QxM!G10/1000</f>
        <v>4.3124500066307308E-4</v>
      </c>
      <c r="D13" s="62"/>
      <c r="E13" s="67">
        <v>2.31E-3</v>
      </c>
      <c r="F13" s="62">
        <f t="shared" si="2"/>
        <v>3.5297203475334962E-6</v>
      </c>
      <c r="G13" s="97">
        <v>4.0000000000000002E-4</v>
      </c>
      <c r="H13" s="62">
        <f t="shared" si="0"/>
        <v>9.7625006643543608E-10</v>
      </c>
      <c r="I13" s="102">
        <v>7.6000000000000004E-4</v>
      </c>
      <c r="J13" s="62">
        <f t="shared" si="3"/>
        <v>1.0807984958902284E-7</v>
      </c>
      <c r="K13" s="97">
        <v>2.2000000000000001E-4</v>
      </c>
      <c r="L13" s="62">
        <f t="shared" si="4"/>
        <v>4.4624450305141741E-8</v>
      </c>
      <c r="M13" s="102">
        <v>0</v>
      </c>
      <c r="N13" s="62">
        <f t="shared" si="5"/>
        <v>1.859722505968939E-7</v>
      </c>
      <c r="O13" s="102">
        <v>1.2300000000000001E-4</v>
      </c>
      <c r="P13" s="62">
        <f t="shared" si="5"/>
        <v>9.5014980433777921E-8</v>
      </c>
      <c r="Q13" s="97">
        <v>2.983E-3</v>
      </c>
      <c r="R13" s="62">
        <f t="shared" si="5"/>
        <v>6.5114535766409994E-6</v>
      </c>
      <c r="S13" s="98">
        <v>3.4000000000000002E-4</v>
      </c>
      <c r="T13" s="95">
        <f t="shared" si="5"/>
        <v>8.3256501460042029E-9</v>
      </c>
      <c r="U13" s="98">
        <v>1.6000000000000001E-4</v>
      </c>
      <c r="V13" s="95">
        <f t="shared" si="5"/>
        <v>7.3573850384710499E-8</v>
      </c>
      <c r="W13" s="97">
        <v>1.4999999999999999E-4</v>
      </c>
      <c r="X13" s="95">
        <f t="shared" si="6"/>
        <v>7.9098750397971964E-8</v>
      </c>
      <c r="Y13" s="97">
        <v>3.8999999999999999E-4</v>
      </c>
      <c r="Z13" s="95">
        <f t="shared" si="7"/>
        <v>1.7011500796968993E-9</v>
      </c>
      <c r="AA13" s="97">
        <v>1.49205E-3</v>
      </c>
      <c r="AB13" s="95">
        <f t="shared" si="1"/>
        <v>1.1253072466182175E-6</v>
      </c>
      <c r="AC13">
        <v>3.2000000000000003E-4</v>
      </c>
      <c r="AD13" s="95">
        <f t="shared" si="1"/>
        <v>1.2375450172527124E-8</v>
      </c>
      <c r="AE13">
        <v>1.7000000000000001E-4</v>
      </c>
      <c r="AF13" s="95">
        <f t="shared" si="1"/>
        <v>6.8248950371449049E-8</v>
      </c>
    </row>
    <row r="14" spans="1:32">
      <c r="A14" s="63">
        <v>9</v>
      </c>
      <c r="B14" s="78">
        <f>+QxM!G11/1000</f>
        <v>4.3124500066307308E-4</v>
      </c>
      <c r="D14" s="62"/>
      <c r="E14" s="67">
        <v>2.1199999999999999E-3</v>
      </c>
      <c r="F14" s="62">
        <f t="shared" si="2"/>
        <v>2.8518934477854636E-6</v>
      </c>
      <c r="G14" s="97">
        <v>3.6999999999999999E-4</v>
      </c>
      <c r="H14" s="62">
        <f t="shared" si="0"/>
        <v>3.7509501062198231E-9</v>
      </c>
      <c r="I14" s="102">
        <v>7.3999999999999999E-4</v>
      </c>
      <c r="J14" s="62">
        <f t="shared" si="3"/>
        <v>9.5329649615545743E-8</v>
      </c>
      <c r="K14" s="97">
        <v>2.3000000000000001E-4</v>
      </c>
      <c r="L14" s="62">
        <f t="shared" si="4"/>
        <v>4.0499550291880282E-8</v>
      </c>
      <c r="M14" s="102">
        <v>0</v>
      </c>
      <c r="N14" s="62">
        <f t="shared" si="5"/>
        <v>1.859722505968939E-7</v>
      </c>
      <c r="O14" s="102">
        <v>1.05E-4</v>
      </c>
      <c r="P14" s="62">
        <f t="shared" si="5"/>
        <v>1.0643580045764856E-7</v>
      </c>
      <c r="Q14" s="97">
        <v>2.539E-3</v>
      </c>
      <c r="R14" s="62">
        <f t="shared" si="5"/>
        <v>4.4426311372298087E-6</v>
      </c>
      <c r="S14" s="98">
        <v>3.4000000000000002E-4</v>
      </c>
      <c r="T14" s="95">
        <f t="shared" si="5"/>
        <v>8.3256501460042029E-9</v>
      </c>
      <c r="U14" s="98">
        <v>1.4999999999999999E-4</v>
      </c>
      <c r="V14" s="95">
        <f t="shared" si="5"/>
        <v>7.9098750397971964E-8</v>
      </c>
      <c r="W14" s="97">
        <v>1.6000000000000001E-4</v>
      </c>
      <c r="X14" s="95">
        <f t="shared" si="6"/>
        <v>7.3573850384710499E-8</v>
      </c>
      <c r="Y14" s="97">
        <v>3.8000000000000002E-4</v>
      </c>
      <c r="Z14" s="95">
        <f t="shared" si="7"/>
        <v>2.6260500929583583E-9</v>
      </c>
      <c r="AA14" s="97">
        <v>1.49362E-3</v>
      </c>
      <c r="AB14" s="95">
        <f t="shared" si="1"/>
        <v>1.1286406392161353E-6</v>
      </c>
      <c r="AC14">
        <v>3.19E-4</v>
      </c>
      <c r="AD14" s="95">
        <f t="shared" si="1"/>
        <v>1.2598940173853276E-8</v>
      </c>
      <c r="AE14">
        <v>1.6000000000000001E-4</v>
      </c>
      <c r="AF14" s="95">
        <f t="shared" si="1"/>
        <v>7.3573850384710499E-8</v>
      </c>
    </row>
    <row r="15" spans="1:32">
      <c r="A15" s="63">
        <v>10</v>
      </c>
      <c r="B15" s="78">
        <f>+QxM!G12/1000</f>
        <v>4.7436299471993531E-4</v>
      </c>
      <c r="D15" s="62"/>
      <c r="E15" s="67">
        <v>1.97E-3</v>
      </c>
      <c r="F15" s="62">
        <f t="shared" si="2"/>
        <v>2.2369300515631206E-6</v>
      </c>
      <c r="G15" s="97">
        <v>3.6000000000000002E-4</v>
      </c>
      <c r="H15" s="62">
        <f t="shared" si="0"/>
        <v>1.3078894561311946E-8</v>
      </c>
      <c r="I15" s="102">
        <v>7.2999999999999996E-4</v>
      </c>
      <c r="J15" s="62">
        <f t="shared" si="3"/>
        <v>6.5350278468559809E-8</v>
      </c>
      <c r="K15" s="97">
        <v>2.3999999999999998E-4</v>
      </c>
      <c r="L15" s="62">
        <f t="shared" si="4"/>
        <v>5.4926013294096436E-8</v>
      </c>
      <c r="M15" s="102">
        <v>6.1309683999999998E-3</v>
      </c>
      <c r="N15" s="62">
        <f t="shared" si="5"/>
        <v>3.1997184711043639E-5</v>
      </c>
      <c r="O15" s="102">
        <v>9.1000000000000003E-5</v>
      </c>
      <c r="P15" s="62">
        <f t="shared" si="5"/>
        <v>1.4696718572063716E-7</v>
      </c>
      <c r="Q15" s="97">
        <v>2.2390000000000001E-3</v>
      </c>
      <c r="R15" s="62">
        <f t="shared" si="5"/>
        <v>3.1139437604037957E-6</v>
      </c>
      <c r="S15" s="98">
        <v>3.5E-4</v>
      </c>
      <c r="T15" s="95">
        <f t="shared" si="5"/>
        <v>1.5466154455710658E-8</v>
      </c>
      <c r="U15" s="98">
        <v>1.3999999999999999E-4</v>
      </c>
      <c r="V15" s="95">
        <f t="shared" si="5"/>
        <v>1.1179861223808349E-7</v>
      </c>
      <c r="W15" s="97">
        <v>1.8000000000000001E-4</v>
      </c>
      <c r="X15" s="95">
        <f t="shared" si="6"/>
        <v>8.6649572660488639E-8</v>
      </c>
      <c r="Y15" s="97">
        <v>3.6999999999999999E-4</v>
      </c>
      <c r="Z15" s="95">
        <f t="shared" si="7"/>
        <v>1.0891634666913247E-8</v>
      </c>
      <c r="AA15" s="97">
        <v>1.4954199999999999E-3</v>
      </c>
      <c r="AB15" s="95">
        <f t="shared" si="1"/>
        <v>1.042557408031494E-6</v>
      </c>
      <c r="AC15">
        <v>3.1100000000000002E-4</v>
      </c>
      <c r="AD15" s="95">
        <f t="shared" si="1"/>
        <v>2.6687468043865603E-8</v>
      </c>
      <c r="AE15">
        <v>1.4999999999999999E-4</v>
      </c>
      <c r="AF15" s="95">
        <f t="shared" si="1"/>
        <v>1.052113523436848E-7</v>
      </c>
    </row>
    <row r="16" spans="1:32">
      <c r="A16" s="63">
        <v>11</v>
      </c>
      <c r="B16" s="78">
        <f>+QxM!G13/1000</f>
        <v>4.7436299471993526E-4</v>
      </c>
      <c r="D16" s="62"/>
      <c r="E16" s="67">
        <v>1.91E-3</v>
      </c>
      <c r="F16" s="62">
        <f t="shared" si="2"/>
        <v>2.0610536109295129E-6</v>
      </c>
      <c r="G16" s="97">
        <v>3.6999999999999999E-4</v>
      </c>
      <c r="H16" s="62">
        <f t="shared" si="0"/>
        <v>1.0891634666913236E-8</v>
      </c>
      <c r="I16" s="102">
        <v>7.6999999999999996E-4</v>
      </c>
      <c r="J16" s="62">
        <f t="shared" si="3"/>
        <v>8.7401238890965005E-8</v>
      </c>
      <c r="K16" s="97">
        <v>2.8000000000000003E-4</v>
      </c>
      <c r="L16" s="62">
        <f t="shared" si="4"/>
        <v>3.7776973716501566E-8</v>
      </c>
      <c r="M16" s="102">
        <v>6.1687883000000002E-3</v>
      </c>
      <c r="N16" s="62">
        <f t="shared" si="5"/>
        <v>3.2426479557413959E-5</v>
      </c>
      <c r="O16" s="102">
        <v>9.6000000000000002E-5</v>
      </c>
      <c r="P16" s="62">
        <f t="shared" si="5"/>
        <v>1.4315855577343774E-7</v>
      </c>
      <c r="Q16" s="97">
        <v>2.0960000000000002E-3</v>
      </c>
      <c r="R16" s="62">
        <f t="shared" si="5"/>
        <v>2.6297065768936974E-6</v>
      </c>
      <c r="S16" s="98">
        <v>3.6999999999999999E-4</v>
      </c>
      <c r="T16" s="95">
        <f t="shared" si="5"/>
        <v>1.0891634666913236E-8</v>
      </c>
      <c r="U16" s="98">
        <v>1.2999999999999999E-4</v>
      </c>
      <c r="V16" s="95">
        <f t="shared" si="5"/>
        <v>1.1858587213248219E-7</v>
      </c>
      <c r="W16" s="97">
        <v>2.1000000000000001E-4</v>
      </c>
      <c r="X16" s="95">
        <f t="shared" si="6"/>
        <v>6.9887792977292516E-8</v>
      </c>
      <c r="Y16" s="97">
        <v>3.6999999999999999E-4</v>
      </c>
      <c r="Z16" s="95">
        <f t="shared" si="7"/>
        <v>1.0891634666913236E-8</v>
      </c>
      <c r="AA16" s="97">
        <v>1.49748E-3</v>
      </c>
      <c r="AB16" s="95">
        <f t="shared" si="1"/>
        <v>1.0467684064932483E-6</v>
      </c>
      <c r="AC16">
        <v>2.92E-4</v>
      </c>
      <c r="AD16" s="95">
        <f t="shared" si="1"/>
        <v>3.3256261843223136E-8</v>
      </c>
      <c r="AE16">
        <v>1.6000000000000001E-4</v>
      </c>
      <c r="AF16" s="95">
        <f t="shared" si="1"/>
        <v>9.882409244928601E-8</v>
      </c>
    </row>
    <row r="17" spans="1:32">
      <c r="A17" s="63">
        <v>12</v>
      </c>
      <c r="B17" s="78">
        <f>+QxM!G14/1000</f>
        <v>4.7436299471993526E-4</v>
      </c>
      <c r="D17" s="62"/>
      <c r="E17" s="67">
        <v>1.92E-3</v>
      </c>
      <c r="F17" s="62">
        <f t="shared" si="2"/>
        <v>2.0898663510351143E-6</v>
      </c>
      <c r="G17" s="97">
        <v>3.8999999999999999E-4</v>
      </c>
      <c r="H17" s="62">
        <f t="shared" si="0"/>
        <v>7.1171148781158247E-9</v>
      </c>
      <c r="I17" s="102">
        <v>8.4999999999999995E-4</v>
      </c>
      <c r="J17" s="62">
        <f t="shared" si="3"/>
        <v>1.4110315973577537E-7</v>
      </c>
      <c r="K17" s="97">
        <v>3.4000000000000002E-4</v>
      </c>
      <c r="L17" s="62">
        <f t="shared" si="4"/>
        <v>1.8053414350109342E-8</v>
      </c>
      <c r="M17" s="102">
        <v>6.1882127E-3</v>
      </c>
      <c r="N17" s="62">
        <f t="shared" si="5"/>
        <v>3.2648078454529077E-5</v>
      </c>
      <c r="O17" s="102">
        <v>1.35E-4</v>
      </c>
      <c r="P17" s="62">
        <f t="shared" si="5"/>
        <v>1.1516724218528283E-7</v>
      </c>
      <c r="Q17" s="97">
        <v>2.0309999999999998E-3</v>
      </c>
      <c r="R17" s="62">
        <f t="shared" si="5"/>
        <v>2.4231187662072878E-6</v>
      </c>
      <c r="S17" s="98">
        <v>4.0999999999999999E-4</v>
      </c>
      <c r="T17" s="95">
        <f t="shared" si="5"/>
        <v>4.1425950893184143E-9</v>
      </c>
      <c r="U17" s="98">
        <v>1.3999999999999999E-4</v>
      </c>
      <c r="V17" s="95">
        <f t="shared" si="5"/>
        <v>1.1179861223808345E-7</v>
      </c>
      <c r="W17" s="97">
        <v>2.5999999999999998E-4</v>
      </c>
      <c r="X17" s="95">
        <f t="shared" si="6"/>
        <v>4.5951493505299001E-8</v>
      </c>
      <c r="Y17" s="97">
        <v>3.5E-4</v>
      </c>
      <c r="Z17" s="95">
        <f t="shared" si="7"/>
        <v>1.5466154455710645E-8</v>
      </c>
      <c r="AA17" s="97">
        <v>1.49982E-3</v>
      </c>
      <c r="AB17" s="95">
        <f t="shared" si="1"/>
        <v>1.0515620696779588E-6</v>
      </c>
      <c r="AC17">
        <v>2.9999999999999997E-4</v>
      </c>
      <c r="AD17" s="95">
        <f t="shared" si="1"/>
        <v>3.0402453927704179E-8</v>
      </c>
      <c r="AE17">
        <v>1.8000000000000001E-4</v>
      </c>
      <c r="AF17" s="95">
        <f t="shared" si="1"/>
        <v>8.6649572660488639E-8</v>
      </c>
    </row>
    <row r="18" spans="1:32">
      <c r="A18" s="63">
        <v>13</v>
      </c>
      <c r="B18" s="78">
        <f>+QxM!G15/1000</f>
        <v>4.7436299471993526E-4</v>
      </c>
      <c r="D18" s="62"/>
      <c r="E18" s="67">
        <v>1.98E-3</v>
      </c>
      <c r="F18" s="62">
        <f t="shared" si="2"/>
        <v>2.2669427916687217E-6</v>
      </c>
      <c r="G18" s="97">
        <v>4.4000000000000002E-4</v>
      </c>
      <c r="H18" s="62">
        <f t="shared" si="0"/>
        <v>1.1808154061222971E-9</v>
      </c>
      <c r="I18" s="102">
        <v>9.8999999999999999E-4</v>
      </c>
      <c r="J18" s="62">
        <f t="shared" si="3"/>
        <v>2.6588152121419357E-7</v>
      </c>
      <c r="K18" s="97">
        <v>4.0000000000000002E-4</v>
      </c>
      <c r="L18" s="62">
        <f t="shared" si="4"/>
        <v>5.5298549837171157E-9</v>
      </c>
      <c r="M18" s="102">
        <v>6.2172523E-3</v>
      </c>
      <c r="N18" s="62">
        <f t="shared" si="5"/>
        <v>3.2980777572700143E-5</v>
      </c>
      <c r="O18" s="102">
        <v>2.1699999999999999E-4</v>
      </c>
      <c r="P18" s="62">
        <f t="shared" si="5"/>
        <v>6.6235711051213407E-8</v>
      </c>
      <c r="Q18" s="97">
        <v>2.013E-3</v>
      </c>
      <c r="R18" s="62">
        <f t="shared" si="5"/>
        <v>2.3674038340172063E-6</v>
      </c>
      <c r="S18" s="98">
        <v>4.6999999999999999E-4</v>
      </c>
      <c r="T18" s="95">
        <f t="shared" si="5"/>
        <v>1.9035722926183041E-11</v>
      </c>
      <c r="U18" s="98">
        <v>1.8000000000000001E-4</v>
      </c>
      <c r="V18" s="95">
        <f t="shared" si="5"/>
        <v>8.6649572660488639E-8</v>
      </c>
      <c r="W18" s="97">
        <v>3.3E-4</v>
      </c>
      <c r="X18" s="95">
        <f t="shared" si="6"/>
        <v>2.0840674244508054E-8</v>
      </c>
      <c r="Y18" s="97">
        <v>4.26E-4</v>
      </c>
      <c r="Z18" s="95">
        <f t="shared" si="7"/>
        <v>2.3389792582804852E-9</v>
      </c>
      <c r="AA18" s="97">
        <v>1.5025100000000001E-3</v>
      </c>
      <c r="AB18" s="95">
        <f t="shared" si="1"/>
        <v>1.0570862644663657E-6</v>
      </c>
      <c r="AC18">
        <v>3.4400000000000001E-4</v>
      </c>
      <c r="AD18" s="95">
        <f t="shared" si="1"/>
        <v>1.6994510392349864E-8</v>
      </c>
      <c r="AE18">
        <v>2.3000000000000001E-4</v>
      </c>
      <c r="AF18" s="95">
        <f t="shared" si="1"/>
        <v>5.9713273188495097E-8</v>
      </c>
    </row>
    <row r="19" spans="1:32">
      <c r="A19" s="63">
        <v>14</v>
      </c>
      <c r="B19" s="78">
        <f>+QxM!G16/1000</f>
        <v>4.7436299471993531E-4</v>
      </c>
      <c r="D19" s="62"/>
      <c r="E19" s="67">
        <v>2.0699999999999998E-3</v>
      </c>
      <c r="F19" s="62">
        <f t="shared" si="2"/>
        <v>2.5460574526191327E-6</v>
      </c>
      <c r="G19" s="97">
        <v>5.0000000000000001E-4</v>
      </c>
      <c r="H19" s="62">
        <f t="shared" si="0"/>
        <v>6.5725603973006533E-10</v>
      </c>
      <c r="I19" s="102">
        <v>1.15E-3</v>
      </c>
      <c r="J19" s="62">
        <f t="shared" si="3"/>
        <v>4.5648536290381416E-7</v>
      </c>
      <c r="K19" s="97">
        <v>5.2000000000000006E-4</v>
      </c>
      <c r="L19" s="62">
        <f t="shared" si="4"/>
        <v>2.082736250932658E-9</v>
      </c>
      <c r="M19" s="102">
        <v>6.2465979000000003E-3</v>
      </c>
      <c r="N19" s="62">
        <f t="shared" si="5"/>
        <v>3.3318695801733561E-5</v>
      </c>
      <c r="O19" s="102">
        <v>3.3199999999999999E-4</v>
      </c>
      <c r="P19" s="62">
        <f t="shared" si="5"/>
        <v>2.0267222265628331E-8</v>
      </c>
      <c r="Q19" s="97">
        <v>2.0400000000000001E-3</v>
      </c>
      <c r="R19" s="62">
        <f t="shared" si="5"/>
        <v>2.45121923230233E-6</v>
      </c>
      <c r="S19" s="98">
        <v>5.5000000000000003E-4</v>
      </c>
      <c r="T19" s="95">
        <f t="shared" si="5"/>
        <v>5.7209565677365388E-9</v>
      </c>
      <c r="U19" s="98">
        <v>2.5000000000000001E-4</v>
      </c>
      <c r="V19" s="95">
        <f t="shared" si="5"/>
        <v>5.0338753399697718E-8</v>
      </c>
      <c r="W19" s="97">
        <v>4.2000000000000002E-4</v>
      </c>
      <c r="X19" s="95">
        <f t="shared" si="6"/>
        <v>2.9553351949197127E-9</v>
      </c>
      <c r="Y19" s="97">
        <v>5.1800000000000001E-4</v>
      </c>
      <c r="Z19" s="95">
        <f t="shared" si="7"/>
        <v>1.904188229812395E-9</v>
      </c>
      <c r="AA19" s="97">
        <v>1.5055699999999999E-3</v>
      </c>
      <c r="AB19" s="95">
        <f t="shared" si="1"/>
        <v>1.0633878877386795E-6</v>
      </c>
      <c r="AC19">
        <v>4.17E-4</v>
      </c>
      <c r="AD19" s="95">
        <f t="shared" si="1"/>
        <v>3.2905131632393262E-9</v>
      </c>
      <c r="AE19">
        <v>2.9E-4</v>
      </c>
      <c r="AF19" s="95">
        <f t="shared" si="1"/>
        <v>3.3989713822102895E-8</v>
      </c>
    </row>
    <row r="20" spans="1:32">
      <c r="A20" s="63">
        <v>15</v>
      </c>
      <c r="B20" s="78">
        <f>+QxM!G17/1000</f>
        <v>2.3046596928722957E-3</v>
      </c>
      <c r="D20" s="62"/>
      <c r="E20" s="67">
        <v>2.15E-3</v>
      </c>
      <c r="F20" s="62">
        <f t="shared" si="2"/>
        <v>2.391962059935283E-8</v>
      </c>
      <c r="G20" s="97">
        <v>5.5999999999999995E-4</v>
      </c>
      <c r="H20" s="62">
        <f t="shared" si="0"/>
        <v>3.0438374439332532E-6</v>
      </c>
      <c r="I20" s="102">
        <v>1.33E-3</v>
      </c>
      <c r="J20" s="62">
        <f t="shared" si="3"/>
        <v>9.4996151690991769E-7</v>
      </c>
      <c r="K20" s="97">
        <v>6.6E-4</v>
      </c>
      <c r="L20" s="62">
        <f t="shared" si="4"/>
        <v>2.7049055053587939E-6</v>
      </c>
      <c r="M20" s="102">
        <v>6.2858621000000002E-3</v>
      </c>
      <c r="N20" s="62">
        <f t="shared" si="5"/>
        <v>1.5849972606519428E-5</v>
      </c>
      <c r="O20" s="102">
        <v>4.5600000000000003E-4</v>
      </c>
      <c r="P20" s="62">
        <f t="shared" si="5"/>
        <v>3.4175426600506907E-6</v>
      </c>
      <c r="Q20" s="97">
        <v>2.124E-3</v>
      </c>
      <c r="R20" s="62">
        <f t="shared" si="5"/>
        <v>3.2637924628712203E-8</v>
      </c>
      <c r="S20" s="98">
        <v>6.4000000000000005E-4</v>
      </c>
      <c r="T20" s="95">
        <f t="shared" si="5"/>
        <v>2.7710918930736861E-6</v>
      </c>
      <c r="U20" s="98">
        <v>3.6000000000000002E-4</v>
      </c>
      <c r="V20" s="95">
        <f t="shared" si="5"/>
        <v>3.7817013210821713E-6</v>
      </c>
      <c r="W20" s="97">
        <v>5.2999999999999998E-4</v>
      </c>
      <c r="X20" s="95">
        <f t="shared" si="6"/>
        <v>3.1494170255055907E-6</v>
      </c>
      <c r="Y20" s="97">
        <v>5.9800000000000001E-4</v>
      </c>
      <c r="Z20" s="95">
        <f t="shared" si="7"/>
        <v>2.9126873072749586E-6</v>
      </c>
      <c r="AA20" s="97">
        <v>1.5090699999999999E-3</v>
      </c>
      <c r="AB20" s="95">
        <f t="shared" si="1"/>
        <v>6.329629594046339E-7</v>
      </c>
      <c r="AC20">
        <v>5.1000000000000004E-4</v>
      </c>
      <c r="AD20" s="95">
        <f t="shared" si="1"/>
        <v>3.2208034132204824E-6</v>
      </c>
      <c r="AE20">
        <v>3.6999999999999999E-4</v>
      </c>
      <c r="AF20" s="95">
        <f t="shared" si="1"/>
        <v>3.7429081272247252E-6</v>
      </c>
    </row>
    <row r="21" spans="1:32">
      <c r="A21" s="63">
        <v>16</v>
      </c>
      <c r="B21" s="78">
        <f>+QxM!G18/1000</f>
        <v>2.3046596928722957E-3</v>
      </c>
      <c r="D21" s="62"/>
      <c r="E21" s="67">
        <v>2.1900000000000001E-3</v>
      </c>
      <c r="F21" s="62">
        <f t="shared" si="2"/>
        <v>1.3146845169569152E-8</v>
      </c>
      <c r="G21" s="97">
        <v>6.3000000000000003E-4</v>
      </c>
      <c r="H21" s="62">
        <f t="shared" si="0"/>
        <v>2.8044850869311322E-6</v>
      </c>
      <c r="I21" s="102">
        <v>1.5100000000000001E-3</v>
      </c>
      <c r="J21" s="62">
        <f t="shared" si="3"/>
        <v>6.3148402747589126E-7</v>
      </c>
      <c r="K21" s="97">
        <v>7.7999999999999999E-4</v>
      </c>
      <c r="L21" s="62">
        <f t="shared" si="4"/>
        <v>2.3245871790694435E-6</v>
      </c>
      <c r="M21" s="102">
        <v>6.3256240999999998E-3</v>
      </c>
      <c r="N21" s="62">
        <f t="shared" si="5"/>
        <v>1.616815476338785E-5</v>
      </c>
      <c r="O21" s="102">
        <v>5.7899999999999998E-4</v>
      </c>
      <c r="P21" s="62">
        <f t="shared" si="5"/>
        <v>2.9779013756041055E-6</v>
      </c>
      <c r="Q21" s="97">
        <v>2.1979999999999999E-3</v>
      </c>
      <c r="R21" s="62">
        <f t="shared" si="5"/>
        <v>1.1376290083612474E-8</v>
      </c>
      <c r="S21" s="98">
        <v>7.3999999999999999E-4</v>
      </c>
      <c r="T21" s="95">
        <f t="shared" si="5"/>
        <v>2.4481599544992267E-6</v>
      </c>
      <c r="U21" s="98">
        <v>4.8999999999999998E-4</v>
      </c>
      <c r="V21" s="95">
        <f t="shared" si="5"/>
        <v>3.2929898009353746E-6</v>
      </c>
      <c r="W21" s="97">
        <v>6.4999999999999997E-4</v>
      </c>
      <c r="X21" s="95">
        <f t="shared" si="6"/>
        <v>2.73789869921624E-6</v>
      </c>
      <c r="Y21" s="97">
        <v>6.6799999999999997E-4</v>
      </c>
      <c r="Z21" s="95">
        <f t="shared" si="7"/>
        <v>2.6786549502728375E-6</v>
      </c>
      <c r="AA21" s="97">
        <v>1.51307E-3</v>
      </c>
      <c r="AB21" s="95">
        <f t="shared" si="1"/>
        <v>6.2661424186165533E-7</v>
      </c>
      <c r="AC21">
        <v>6.1700000000000004E-4</v>
      </c>
      <c r="AD21" s="95">
        <f t="shared" si="1"/>
        <v>2.8481952389458118E-6</v>
      </c>
      <c r="AE21">
        <v>4.4000000000000002E-4</v>
      </c>
      <c r="AF21" s="95">
        <f t="shared" si="1"/>
        <v>3.4769557702226038E-6</v>
      </c>
    </row>
    <row r="22" spans="1:32">
      <c r="A22" s="63">
        <v>17</v>
      </c>
      <c r="B22" s="78">
        <f>+QxM!G19/1000</f>
        <v>2.3046596928722957E-3</v>
      </c>
      <c r="D22" s="62"/>
      <c r="E22" s="67">
        <v>2.2499999999999998E-3</v>
      </c>
      <c r="F22" s="62">
        <f t="shared" si="2"/>
        <v>2.9876820248937114E-9</v>
      </c>
      <c r="G22" s="97">
        <v>6.9999999999999999E-4</v>
      </c>
      <c r="H22" s="62">
        <f t="shared" si="0"/>
        <v>2.5749327299290102E-6</v>
      </c>
      <c r="I22" s="102">
        <v>1.67E-3</v>
      </c>
      <c r="J22" s="62">
        <f t="shared" si="3"/>
        <v>4.0279292575675664E-7</v>
      </c>
      <c r="K22" s="97">
        <v>8.9000000000000006E-4</v>
      </c>
      <c r="L22" s="62">
        <f t="shared" si="4"/>
        <v>2.0012620466375375E-6</v>
      </c>
      <c r="M22" s="102">
        <v>6.3756274000000002E-3</v>
      </c>
      <c r="N22" s="62">
        <f t="shared" si="5"/>
        <v>1.6572778072476599E-5</v>
      </c>
      <c r="O22" s="102">
        <v>7.0899999999999999E-4</v>
      </c>
      <c r="P22" s="62">
        <f t="shared" si="5"/>
        <v>2.5461298554573089E-6</v>
      </c>
      <c r="Q22" s="97">
        <v>2.3059999999999999E-3</v>
      </c>
      <c r="R22" s="62">
        <f t="shared" si="5"/>
        <v>1.7964231965746648E-12</v>
      </c>
      <c r="S22" s="98">
        <v>8.3000000000000001E-4</v>
      </c>
      <c r="T22" s="95">
        <f t="shared" si="5"/>
        <v>2.1746212097822134E-6</v>
      </c>
      <c r="U22" s="98">
        <v>6.2E-4</v>
      </c>
      <c r="V22" s="95">
        <f t="shared" si="5"/>
        <v>2.8380782807885779E-6</v>
      </c>
      <c r="W22" s="97">
        <v>7.7999999999999999E-4</v>
      </c>
      <c r="X22" s="95">
        <f t="shared" si="6"/>
        <v>2.3245871790694435E-6</v>
      </c>
      <c r="Y22" s="97">
        <v>7.2999999999999996E-4</v>
      </c>
      <c r="Z22" s="95">
        <f t="shared" si="7"/>
        <v>2.4795531483566727E-6</v>
      </c>
      <c r="AA22" s="97">
        <v>1.51764E-3</v>
      </c>
      <c r="AB22" s="95">
        <f t="shared" si="1"/>
        <v>6.1939999696880265E-7</v>
      </c>
      <c r="AC22">
        <v>7.3099999999999999E-4</v>
      </c>
      <c r="AD22" s="95">
        <f t="shared" si="1"/>
        <v>2.4764048289709283E-6</v>
      </c>
      <c r="AE22">
        <v>4.8999999999999998E-4</v>
      </c>
      <c r="AF22" s="95">
        <f t="shared" si="1"/>
        <v>3.2929898009353746E-6</v>
      </c>
    </row>
    <row r="23" spans="1:32">
      <c r="A23" s="63">
        <v>18</v>
      </c>
      <c r="B23" s="78">
        <f>+QxM!G20/1000</f>
        <v>2.3046596928722957E-3</v>
      </c>
      <c r="D23" s="62"/>
      <c r="E23" s="67">
        <v>2.3E-3</v>
      </c>
      <c r="F23" s="62">
        <f t="shared" si="2"/>
        <v>2.1712737664123683E-11</v>
      </c>
      <c r="G23" s="97">
        <v>7.6000000000000004E-4</v>
      </c>
      <c r="H23" s="62">
        <f t="shared" si="0"/>
        <v>2.3859735667843349E-6</v>
      </c>
      <c r="I23" s="102">
        <v>1.7799999999999999E-3</v>
      </c>
      <c r="J23" s="62">
        <f t="shared" si="3"/>
        <v>2.7526779332485174E-7</v>
      </c>
      <c r="K23" s="97">
        <v>9.5E-4</v>
      </c>
      <c r="L23" s="62">
        <f t="shared" si="4"/>
        <v>1.8351028834928628E-6</v>
      </c>
      <c r="M23" s="102">
        <v>6.4165354999999999E-3</v>
      </c>
      <c r="N23" s="62">
        <f t="shared" ref="N23:V38" si="8">+(M23-$B23)^2</f>
        <v>1.6907522653242109E-5</v>
      </c>
      <c r="O23" s="102">
        <v>8.43E-4</v>
      </c>
      <c r="P23" s="62">
        <f t="shared" si="8"/>
        <v>2.1364490577675338E-6</v>
      </c>
      <c r="Q23" s="97">
        <v>2.4620000000000002E-3</v>
      </c>
      <c r="R23" s="62">
        <f t="shared" si="8"/>
        <v>2.4755972247040383E-8</v>
      </c>
      <c r="S23" s="98">
        <v>9.2000000000000003E-4</v>
      </c>
      <c r="T23" s="95">
        <f t="shared" si="8"/>
        <v>1.9172824650652E-6</v>
      </c>
      <c r="U23" s="98">
        <v>7.2999999999999996E-4</v>
      </c>
      <c r="V23" s="95">
        <f t="shared" si="8"/>
        <v>2.4795531483566727E-6</v>
      </c>
      <c r="W23" s="97">
        <v>8.9999999999999998E-4</v>
      </c>
      <c r="X23" s="95">
        <f t="shared" si="6"/>
        <v>1.9730688527800922E-6</v>
      </c>
      <c r="Y23" s="97">
        <v>7.54E-4</v>
      </c>
      <c r="Z23" s="95">
        <f t="shared" si="7"/>
        <v>2.4045454830988029E-6</v>
      </c>
      <c r="AA23" s="97">
        <v>1.52286E-3</v>
      </c>
      <c r="AB23" s="95">
        <f t="shared" si="1"/>
        <v>6.1121075977521581E-7</v>
      </c>
      <c r="AC23">
        <v>8.43E-4</v>
      </c>
      <c r="AD23" s="95">
        <f t="shared" si="1"/>
        <v>2.1364490577675338E-6</v>
      </c>
      <c r="AE23">
        <v>5.1000000000000004E-4</v>
      </c>
      <c r="AF23" s="95">
        <f t="shared" si="1"/>
        <v>3.2208034132204824E-6</v>
      </c>
    </row>
    <row r="24" spans="1:32">
      <c r="A24" s="63">
        <v>19</v>
      </c>
      <c r="B24" s="78">
        <f>+QxM!G21/1000</f>
        <v>2.3046596928722957E-3</v>
      </c>
      <c r="D24" s="62"/>
      <c r="E24" s="67">
        <v>2.3700000000000001E-3</v>
      </c>
      <c r="F24" s="62">
        <f t="shared" si="2"/>
        <v>4.269355735542745E-9</v>
      </c>
      <c r="G24" s="97">
        <v>8.0000000000000004E-4</v>
      </c>
      <c r="H24" s="62">
        <f t="shared" si="0"/>
        <v>2.2640007913545513E-6</v>
      </c>
      <c r="I24" s="102">
        <v>1.8600000000000001E-3</v>
      </c>
      <c r="J24" s="62">
        <f t="shared" si="3"/>
        <v>1.9772224246528423E-7</v>
      </c>
      <c r="K24" s="97">
        <v>9.7999999999999997E-4</v>
      </c>
      <c r="L24" s="62">
        <f t="shared" si="4"/>
        <v>1.7547233019205247E-6</v>
      </c>
      <c r="M24" s="102">
        <v>6.4579733999999998E-3</v>
      </c>
      <c r="N24" s="62">
        <f t="shared" si="8"/>
        <v>1.7250014749814874E-5</v>
      </c>
      <c r="O24" s="102">
        <v>9.77E-4</v>
      </c>
      <c r="P24" s="62">
        <f t="shared" si="8"/>
        <v>1.7626802600777585E-6</v>
      </c>
      <c r="Q24" s="97">
        <v>2.6189999999999998E-3</v>
      </c>
      <c r="R24" s="62">
        <f t="shared" si="8"/>
        <v>9.8809828685139349E-8</v>
      </c>
      <c r="S24" s="98">
        <v>9.7999999999999997E-4</v>
      </c>
      <c r="T24" s="95">
        <f t="shared" si="8"/>
        <v>1.7547233019205247E-6</v>
      </c>
      <c r="U24" s="98">
        <v>8.0000000000000004E-4</v>
      </c>
      <c r="V24" s="95">
        <f t="shared" si="8"/>
        <v>2.2640007913545513E-6</v>
      </c>
      <c r="W24" s="97">
        <v>1.01E-3</v>
      </c>
      <c r="X24" s="95">
        <f t="shared" si="6"/>
        <v>1.676143720348187E-6</v>
      </c>
      <c r="Y24" s="97">
        <v>7.5699999999999997E-4</v>
      </c>
      <c r="Z24" s="95">
        <f t="shared" si="7"/>
        <v>2.3952505249415689E-6</v>
      </c>
      <c r="AA24" s="97">
        <v>1.52882E-3</v>
      </c>
      <c r="AB24" s="95">
        <f t="shared" si="1"/>
        <v>6.0192722903617815E-7</v>
      </c>
      <c r="AC24">
        <v>9.4700000000000003E-4</v>
      </c>
      <c r="AD24" s="95">
        <f t="shared" si="1"/>
        <v>1.8432398416500965E-6</v>
      </c>
      <c r="AE24">
        <v>5.1000000000000004E-4</v>
      </c>
      <c r="AF24" s="95">
        <f t="shared" si="1"/>
        <v>3.2208034132204824E-6</v>
      </c>
    </row>
    <row r="25" spans="1:32">
      <c r="A25" s="63">
        <v>20</v>
      </c>
      <c r="B25" s="78">
        <f>+QxM!G22/1000</f>
        <v>3.8101239184308586E-3</v>
      </c>
      <c r="C25" s="83">
        <v>9.1E-4</v>
      </c>
      <c r="D25" s="62">
        <f t="shared" ref="D25:D88" si="9">+(C25-$B25)^2</f>
        <v>8.4107187422547564E-6</v>
      </c>
      <c r="E25" s="67">
        <v>2.4299999999999999E-3</v>
      </c>
      <c r="F25" s="62">
        <f t="shared" si="2"/>
        <v>1.9047420302249475E-6</v>
      </c>
      <c r="G25" s="97">
        <v>8.4000000000000003E-4</v>
      </c>
      <c r="H25" s="62">
        <f t="shared" si="0"/>
        <v>8.8216360908350769E-6</v>
      </c>
      <c r="I25" s="102">
        <v>1.9E-3</v>
      </c>
      <c r="J25" s="62">
        <f t="shared" si="3"/>
        <v>3.6485733837616573E-6</v>
      </c>
      <c r="K25" s="97">
        <v>1E-3</v>
      </c>
      <c r="L25" s="62">
        <f t="shared" si="4"/>
        <v>7.8967964369372035E-6</v>
      </c>
      <c r="M25" s="102">
        <v>6.5197980000000003E-3</v>
      </c>
      <c r="N25" s="62">
        <f t="shared" si="8"/>
        <v>7.3423336283275709E-6</v>
      </c>
      <c r="O25" s="102">
        <v>1.1180000000000001E-3</v>
      </c>
      <c r="P25" s="62">
        <f t="shared" si="8"/>
        <v>7.2475311921875197E-6</v>
      </c>
      <c r="Q25" s="97">
        <v>2.7650000000000001E-3</v>
      </c>
      <c r="R25" s="62">
        <f t="shared" si="8"/>
        <v>1.0922840048762718E-6</v>
      </c>
      <c r="S25" s="98">
        <v>1.0200000000000001E-3</v>
      </c>
      <c r="T25" s="95">
        <f t="shared" si="8"/>
        <v>7.7847914801999684E-6</v>
      </c>
      <c r="U25" s="98">
        <v>8.4000000000000003E-4</v>
      </c>
      <c r="V25" s="95">
        <f t="shared" si="8"/>
        <v>8.8216360908350769E-6</v>
      </c>
      <c r="W25" s="97">
        <v>1.1000000000000001E-3</v>
      </c>
      <c r="X25" s="95">
        <f t="shared" si="6"/>
        <v>7.34477165325103E-6</v>
      </c>
      <c r="Y25" s="97">
        <v>7.5699999999999997E-4</v>
      </c>
      <c r="Z25" s="95">
        <f t="shared" si="7"/>
        <v>9.3215656612946003E-6</v>
      </c>
      <c r="AA25" s="97">
        <v>1.5356300000000001E-3</v>
      </c>
      <c r="AB25" s="95">
        <f t="shared" si="1"/>
        <v>5.1733225849789607E-6</v>
      </c>
      <c r="AC25">
        <v>1.034E-3</v>
      </c>
      <c r="AD25" s="95">
        <f t="shared" si="1"/>
        <v>7.7068640104839035E-6</v>
      </c>
      <c r="AE25">
        <v>5.0000000000000001E-4</v>
      </c>
      <c r="AF25" s="95">
        <f t="shared" si="1"/>
        <v>1.0956920355368062E-5</v>
      </c>
    </row>
    <row r="26" spans="1:32">
      <c r="A26" s="63">
        <v>21</v>
      </c>
      <c r="B26" s="78">
        <f>+QxM!G23/1000</f>
        <v>3.8101239184308582E-3</v>
      </c>
      <c r="C26" s="83">
        <v>9.3000000000000005E-4</v>
      </c>
      <c r="D26" s="62">
        <f t="shared" si="9"/>
        <v>8.2951137855175218E-6</v>
      </c>
      <c r="E26" s="67">
        <v>2.5100000000000001E-3</v>
      </c>
      <c r="F26" s="62">
        <f t="shared" si="2"/>
        <v>1.6903222032760086E-6</v>
      </c>
      <c r="G26" s="97">
        <v>8.7000000000000001E-4</v>
      </c>
      <c r="H26" s="62">
        <f t="shared" si="0"/>
        <v>8.6443286557292224E-6</v>
      </c>
      <c r="I26" s="102">
        <v>1.91E-3</v>
      </c>
      <c r="J26" s="62">
        <f t="shared" si="3"/>
        <v>3.6104709053930383E-6</v>
      </c>
      <c r="K26" s="97">
        <v>1.01E-3</v>
      </c>
      <c r="L26" s="62">
        <f t="shared" si="4"/>
        <v>7.8406939585685824E-6</v>
      </c>
      <c r="M26" s="102">
        <v>6.5925500999999996E-3</v>
      </c>
      <c r="N26" s="62">
        <f t="shared" si="8"/>
        <v>7.7418954558814323E-6</v>
      </c>
      <c r="O26" s="102">
        <v>1.25E-3</v>
      </c>
      <c r="P26" s="62">
        <f t="shared" si="8"/>
        <v>6.5542344777217723E-6</v>
      </c>
      <c r="Q26" s="97">
        <v>2.8890000000000001E-3</v>
      </c>
      <c r="R26" s="62">
        <f t="shared" si="8"/>
        <v>8.4846927310541816E-7</v>
      </c>
      <c r="S26" s="98">
        <v>1.0399999999999999E-3</v>
      </c>
      <c r="T26" s="95">
        <f t="shared" si="8"/>
        <v>7.6735865234627333E-6</v>
      </c>
      <c r="U26" s="98">
        <v>8.5999999999999998E-4</v>
      </c>
      <c r="V26" s="95">
        <f t="shared" si="8"/>
        <v>8.7032311340978395E-6</v>
      </c>
      <c r="W26" s="97">
        <v>1.17E-3</v>
      </c>
      <c r="X26" s="95">
        <f t="shared" si="6"/>
        <v>6.9702543046707089E-6</v>
      </c>
      <c r="Y26" s="97">
        <v>7.7200000000000001E-4</v>
      </c>
      <c r="Z26" s="95">
        <f t="shared" si="7"/>
        <v>9.2301969437416711E-6</v>
      </c>
      <c r="AA26" s="97">
        <v>1.54342E-3</v>
      </c>
      <c r="AB26" s="95">
        <f t="shared" si="1"/>
        <v>5.1379466538298078E-6</v>
      </c>
      <c r="AC26">
        <v>1.098E-3</v>
      </c>
      <c r="AD26" s="95">
        <f t="shared" si="1"/>
        <v>7.3556161489247525E-6</v>
      </c>
      <c r="AE26">
        <v>5.0000000000000001E-4</v>
      </c>
      <c r="AF26" s="95">
        <f t="shared" si="1"/>
        <v>1.0956920355368058E-5</v>
      </c>
    </row>
    <row r="27" spans="1:32">
      <c r="A27" s="63">
        <v>22</v>
      </c>
      <c r="B27" s="78">
        <f>+QxM!G24/1000</f>
        <v>3.8101239184308586E-3</v>
      </c>
      <c r="C27" s="83">
        <v>9.5E-4</v>
      </c>
      <c r="D27" s="62">
        <f t="shared" si="9"/>
        <v>8.180308828780289E-6</v>
      </c>
      <c r="E27" s="67">
        <v>2.5899999999999999E-3</v>
      </c>
      <c r="F27" s="62">
        <f t="shared" si="2"/>
        <v>1.4887023763270729E-6</v>
      </c>
      <c r="G27" s="97">
        <v>8.8999999999999995E-4</v>
      </c>
      <c r="H27" s="62">
        <f t="shared" si="0"/>
        <v>8.527123698991991E-6</v>
      </c>
      <c r="I27" s="102">
        <v>1.89E-3</v>
      </c>
      <c r="J27" s="62">
        <f t="shared" si="3"/>
        <v>3.6868758621302746E-6</v>
      </c>
      <c r="K27" s="97">
        <v>1.0200000000000001E-3</v>
      </c>
      <c r="L27" s="62">
        <f t="shared" si="4"/>
        <v>7.7847914801999684E-6</v>
      </c>
      <c r="M27" s="102">
        <v>6.6463562999999996E-3</v>
      </c>
      <c r="N27" s="62">
        <f t="shared" si="8"/>
        <v>8.0442141222613624E-6</v>
      </c>
      <c r="O27" s="102">
        <v>1.3420000000000001E-3</v>
      </c>
      <c r="P27" s="62">
        <f t="shared" si="8"/>
        <v>6.0916356767304944E-6</v>
      </c>
      <c r="Q27" s="97">
        <v>2.9910000000000002E-3</v>
      </c>
      <c r="R27" s="62">
        <f t="shared" si="8"/>
        <v>6.7096399374552362E-7</v>
      </c>
      <c r="S27" s="98">
        <v>1.0399999999999999E-3</v>
      </c>
      <c r="T27" s="95">
        <f t="shared" si="8"/>
        <v>7.6735865234627333E-6</v>
      </c>
      <c r="U27" s="98">
        <v>8.4999999999999995E-4</v>
      </c>
      <c r="V27" s="95">
        <f t="shared" si="8"/>
        <v>8.7623336124664605E-6</v>
      </c>
      <c r="W27" s="97">
        <v>1.2199999999999999E-3</v>
      </c>
      <c r="X27" s="95">
        <f t="shared" si="6"/>
        <v>6.7087419128276268E-6</v>
      </c>
      <c r="Y27" s="97">
        <v>8.1999999999999998E-4</v>
      </c>
      <c r="Z27" s="95">
        <f t="shared" si="7"/>
        <v>8.9408410475723126E-6</v>
      </c>
      <c r="AA27" s="97">
        <v>1.5523100000000001E-3</v>
      </c>
      <c r="AB27" s="95">
        <f t="shared" si="1"/>
        <v>5.0977236902601065E-6</v>
      </c>
      <c r="AC27">
        <v>1.1310000000000001E-3</v>
      </c>
      <c r="AD27" s="95">
        <f t="shared" si="1"/>
        <v>7.1777049703083174E-6</v>
      </c>
      <c r="AE27">
        <v>5.0000000000000001E-4</v>
      </c>
      <c r="AF27" s="95">
        <f t="shared" si="1"/>
        <v>1.0956920355368062E-5</v>
      </c>
    </row>
    <row r="28" spans="1:32">
      <c r="A28" s="63">
        <v>23</v>
      </c>
      <c r="B28" s="78">
        <f>+QxM!G25/1000</f>
        <v>3.8101239184308582E-3</v>
      </c>
      <c r="C28" s="83">
        <v>9.6999999999999994E-4</v>
      </c>
      <c r="D28" s="62">
        <f t="shared" si="9"/>
        <v>8.0663038720430528E-6</v>
      </c>
      <c r="E28" s="67">
        <v>2.6800000000000001E-3</v>
      </c>
      <c r="F28" s="62">
        <f t="shared" si="2"/>
        <v>1.2771800710095167E-6</v>
      </c>
      <c r="G28" s="97">
        <v>9.1E-4</v>
      </c>
      <c r="H28" s="62">
        <f t="shared" si="0"/>
        <v>8.4107187422547564E-6</v>
      </c>
      <c r="I28" s="102">
        <v>1.8600000000000001E-3</v>
      </c>
      <c r="J28" s="62">
        <f t="shared" si="3"/>
        <v>3.8029832972361241E-6</v>
      </c>
      <c r="K28" s="97">
        <v>1.0400000000000001E-3</v>
      </c>
      <c r="L28" s="62">
        <f t="shared" si="4"/>
        <v>7.6735865234627316E-6</v>
      </c>
      <c r="M28" s="102">
        <v>6.7211924999999997E-3</v>
      </c>
      <c r="N28" s="62">
        <f t="shared" si="8"/>
        <v>8.4743202865989739E-6</v>
      </c>
      <c r="O28" s="102">
        <v>1.382E-3</v>
      </c>
      <c r="P28" s="62">
        <f t="shared" si="8"/>
        <v>5.8957857632560247E-6</v>
      </c>
      <c r="Q28" s="97">
        <v>3.0699999999999998E-3</v>
      </c>
      <c r="R28" s="62">
        <f t="shared" si="8"/>
        <v>5.4778341463344792E-7</v>
      </c>
      <c r="S28" s="98">
        <v>1.0200000000000001E-3</v>
      </c>
      <c r="T28" s="95">
        <f t="shared" si="8"/>
        <v>7.784791480199965E-6</v>
      </c>
      <c r="U28" s="98">
        <v>8.4000000000000003E-4</v>
      </c>
      <c r="V28" s="95">
        <f t="shared" si="8"/>
        <v>8.8216360908350752E-6</v>
      </c>
      <c r="W28" s="97">
        <v>1.25E-3</v>
      </c>
      <c r="X28" s="95">
        <f t="shared" si="6"/>
        <v>6.5542344777217723E-6</v>
      </c>
      <c r="Y28" s="97">
        <v>7.6300000000000001E-4</v>
      </c>
      <c r="Z28" s="95">
        <f t="shared" si="7"/>
        <v>9.2849641742734255E-6</v>
      </c>
      <c r="AA28" s="97">
        <v>1.56247E-3</v>
      </c>
      <c r="AB28" s="95">
        <f t="shared" si="1"/>
        <v>5.0519481370375899E-6</v>
      </c>
      <c r="AC28">
        <v>1.126E-3</v>
      </c>
      <c r="AD28" s="95">
        <f t="shared" si="1"/>
        <v>7.2045212094926254E-6</v>
      </c>
      <c r="AE28">
        <v>5.1999999999999995E-4</v>
      </c>
      <c r="AF28" s="95">
        <f t="shared" si="1"/>
        <v>1.0824915398630823E-5</v>
      </c>
    </row>
    <row r="29" spans="1:32">
      <c r="A29" s="63">
        <v>24</v>
      </c>
      <c r="B29" s="78">
        <f>+QxM!G26/1000</f>
        <v>3.8101239184308582E-3</v>
      </c>
      <c r="C29" s="83">
        <v>1E-3</v>
      </c>
      <c r="D29" s="62">
        <f t="shared" si="9"/>
        <v>7.8967964369372002E-6</v>
      </c>
      <c r="E29" s="67">
        <v>2.7699999999999999E-3</v>
      </c>
      <c r="F29" s="62">
        <f t="shared" si="2"/>
        <v>1.0818577656919628E-6</v>
      </c>
      <c r="G29" s="97">
        <v>9.2000000000000003E-4</v>
      </c>
      <c r="H29" s="62">
        <f t="shared" si="0"/>
        <v>8.3528162638861363E-6</v>
      </c>
      <c r="I29" s="102">
        <v>1.82E-3</v>
      </c>
      <c r="J29" s="62">
        <f t="shared" si="3"/>
        <v>3.9605932107105933E-6</v>
      </c>
      <c r="K29" s="97">
        <v>1.06E-3</v>
      </c>
      <c r="L29" s="62">
        <f t="shared" si="4"/>
        <v>7.5631815667254991E-6</v>
      </c>
      <c r="M29" s="102">
        <v>6.7972440999999996E-3</v>
      </c>
      <c r="N29" s="62">
        <f t="shared" si="8"/>
        <v>8.9228869791376598E-6</v>
      </c>
      <c r="O29" s="102">
        <v>1.382E-3</v>
      </c>
      <c r="P29" s="62">
        <f t="shared" si="8"/>
        <v>5.8957857632560247E-6</v>
      </c>
      <c r="Q29" s="97">
        <v>3.1150000000000001E-3</v>
      </c>
      <c r="R29" s="62">
        <f t="shared" si="8"/>
        <v>4.8319726197467012E-7</v>
      </c>
      <c r="S29" s="98">
        <v>9.7999999999999997E-4</v>
      </c>
      <c r="T29" s="95">
        <f t="shared" si="8"/>
        <v>8.0096013936744354E-6</v>
      </c>
      <c r="U29" s="98">
        <v>8.3000000000000001E-4</v>
      </c>
      <c r="V29" s="95">
        <f t="shared" si="8"/>
        <v>8.881138569203692E-6</v>
      </c>
      <c r="W29" s="97">
        <v>1.2700000000000001E-3</v>
      </c>
      <c r="X29" s="95">
        <f t="shared" si="6"/>
        <v>6.4522295209845379E-6</v>
      </c>
      <c r="Y29" s="97">
        <v>7.4100000000000001E-4</v>
      </c>
      <c r="Z29" s="95">
        <f t="shared" si="7"/>
        <v>9.4195216266843862E-6</v>
      </c>
      <c r="AA29" s="97">
        <v>1.5740800000000001E-3</v>
      </c>
      <c r="AB29" s="95">
        <f t="shared" si="1"/>
        <v>4.999892405151627E-6</v>
      </c>
      <c r="AC29">
        <v>1.09E-3</v>
      </c>
      <c r="AD29" s="95">
        <f t="shared" si="1"/>
        <v>7.3990741316196447E-6</v>
      </c>
      <c r="AE29">
        <v>5.5000000000000003E-4</v>
      </c>
      <c r="AF29" s="95">
        <f t="shared" si="1"/>
        <v>1.0628407963524972E-5</v>
      </c>
    </row>
    <row r="30" spans="1:32">
      <c r="A30" s="63">
        <v>25</v>
      </c>
      <c r="B30" s="78">
        <f>+QxM!G27/1000</f>
        <v>3.6428069228624446E-3</v>
      </c>
      <c r="C30" s="83">
        <v>1.0300000000000001E-3</v>
      </c>
      <c r="D30" s="62">
        <f t="shared" si="9"/>
        <v>6.826760016157916E-6</v>
      </c>
      <c r="E30" s="67">
        <v>2.8800000000000002E-3</v>
      </c>
      <c r="F30" s="62">
        <f t="shared" si="2"/>
        <v>5.8187440156687128E-7</v>
      </c>
      <c r="G30" s="97">
        <v>9.3000000000000005E-4</v>
      </c>
      <c r="H30" s="62">
        <f t="shared" si="0"/>
        <v>7.3593214007304038E-6</v>
      </c>
      <c r="I30" s="102">
        <v>1.7700000000000001E-3</v>
      </c>
      <c r="J30" s="62">
        <f t="shared" si="3"/>
        <v>3.5074057703214982E-6</v>
      </c>
      <c r="K30" s="97">
        <v>1.09E-3</v>
      </c>
      <c r="L30" s="62">
        <f t="shared" si="4"/>
        <v>6.5168231854144242E-6</v>
      </c>
      <c r="M30" s="102">
        <v>6.8950657000000004E-3</v>
      </c>
      <c r="N30" s="62">
        <f t="shared" si="8"/>
        <v>1.0577187153468269E-5</v>
      </c>
      <c r="O30" s="102">
        <v>1.3699999999999999E-3</v>
      </c>
      <c r="P30" s="62">
        <f t="shared" si="8"/>
        <v>5.1656513086114556E-6</v>
      </c>
      <c r="Q30" s="97">
        <v>3.137E-3</v>
      </c>
      <c r="R30" s="62">
        <f t="shared" si="8"/>
        <v>2.5584064321557496E-7</v>
      </c>
      <c r="S30" s="98">
        <v>9.3999999999999997E-4</v>
      </c>
      <c r="T30" s="95">
        <f t="shared" si="8"/>
        <v>7.3051652622731575E-6</v>
      </c>
      <c r="U30" s="98">
        <v>8.1999999999999998E-4</v>
      </c>
      <c r="V30" s="95">
        <f t="shared" si="8"/>
        <v>7.9682389237601427E-6</v>
      </c>
      <c r="W30" s="97">
        <v>1.2700000000000001E-3</v>
      </c>
      <c r="X30" s="95">
        <f t="shared" si="6"/>
        <v>5.6302126931839418E-6</v>
      </c>
      <c r="Y30" s="97">
        <v>7.3399999999999995E-4</v>
      </c>
      <c r="Z30" s="95">
        <f t="shared" si="7"/>
        <v>8.4611577144924846E-6</v>
      </c>
      <c r="AA30" s="97">
        <v>1.58735E-3</v>
      </c>
      <c r="AB30" s="95">
        <f t="shared" si="1"/>
        <v>4.2249031617431502E-6</v>
      </c>
      <c r="AC30">
        <v>1.062E-3</v>
      </c>
      <c r="AD30" s="95">
        <f t="shared" si="1"/>
        <v>6.6605643730947199E-6</v>
      </c>
      <c r="AE30">
        <v>5.8E-4</v>
      </c>
      <c r="AF30" s="95">
        <f t="shared" si="1"/>
        <v>9.3807862467341179E-6</v>
      </c>
    </row>
    <row r="31" spans="1:32">
      <c r="A31" s="63">
        <v>26</v>
      </c>
      <c r="B31" s="78">
        <f>+QxM!G28/1000</f>
        <v>3.6428069228624446E-3</v>
      </c>
      <c r="C31" s="83">
        <v>1.06E-3</v>
      </c>
      <c r="D31" s="62">
        <f t="shared" si="9"/>
        <v>6.6708916007861694E-6</v>
      </c>
      <c r="E31" s="67">
        <v>2.99E-3</v>
      </c>
      <c r="F31" s="62">
        <f t="shared" si="2"/>
        <v>4.2615687853713366E-7</v>
      </c>
      <c r="G31" s="97">
        <v>9.5E-4</v>
      </c>
      <c r="H31" s="62">
        <f t="shared" si="0"/>
        <v>7.2512091238159082E-6</v>
      </c>
      <c r="I31" s="102">
        <v>1.73E-3</v>
      </c>
      <c r="J31" s="62">
        <f t="shared" si="3"/>
        <v>3.6588303241504944E-6</v>
      </c>
      <c r="K31" s="97">
        <v>1.14E-3</v>
      </c>
      <c r="L31" s="62">
        <f t="shared" si="4"/>
        <v>6.2640424931281793E-6</v>
      </c>
      <c r="M31" s="102">
        <v>6.9842654999999997E-3</v>
      </c>
      <c r="N31" s="62">
        <f t="shared" si="8"/>
        <v>1.1165345422726134E-5</v>
      </c>
      <c r="O31" s="102">
        <v>1.364E-3</v>
      </c>
      <c r="P31" s="62">
        <f t="shared" si="8"/>
        <v>5.192960991685805E-6</v>
      </c>
      <c r="Q31" s="97">
        <v>3.1470000000000001E-3</v>
      </c>
      <c r="R31" s="62">
        <f t="shared" si="8"/>
        <v>2.4582450475832604E-7</v>
      </c>
      <c r="S31" s="98">
        <v>8.9999999999999998E-4</v>
      </c>
      <c r="T31" s="95">
        <f t="shared" si="8"/>
        <v>7.5229898161021531E-6</v>
      </c>
      <c r="U31" s="98">
        <v>8.0999999999999996E-4</v>
      </c>
      <c r="V31" s="95">
        <f t="shared" si="8"/>
        <v>8.0247950622173917E-6</v>
      </c>
      <c r="W31" s="97">
        <v>1.2700000000000001E-3</v>
      </c>
      <c r="X31" s="95">
        <f t="shared" si="6"/>
        <v>5.6302126931839418E-6</v>
      </c>
      <c r="Y31" s="97">
        <v>7.2000000000000005E-4</v>
      </c>
      <c r="Z31" s="95">
        <f t="shared" si="7"/>
        <v>8.5428003083326311E-6</v>
      </c>
      <c r="AA31" s="97">
        <v>1.6025E-3</v>
      </c>
      <c r="AB31" s="95">
        <f t="shared" si="1"/>
        <v>4.1628523394804189E-6</v>
      </c>
      <c r="AC31">
        <v>1.0449999999999999E-3</v>
      </c>
      <c r="AD31" s="95">
        <f t="shared" si="1"/>
        <v>6.7486008084720434E-6</v>
      </c>
      <c r="AE31">
        <v>6.0999999999999997E-4</v>
      </c>
      <c r="AF31" s="95">
        <f t="shared" si="1"/>
        <v>9.1979178313623705E-6</v>
      </c>
    </row>
    <row r="32" spans="1:32">
      <c r="A32" s="63">
        <v>27</v>
      </c>
      <c r="B32" s="78">
        <f>+QxM!G29/1000</f>
        <v>3.6428069228624451E-3</v>
      </c>
      <c r="C32" s="83">
        <v>1.09E-3</v>
      </c>
      <c r="D32" s="62">
        <f t="shared" si="9"/>
        <v>6.5168231854144242E-6</v>
      </c>
      <c r="E32" s="67">
        <v>3.1099999999999999E-3</v>
      </c>
      <c r="F32" s="62">
        <f t="shared" si="2"/>
        <v>2.8388321705014757E-7</v>
      </c>
      <c r="G32" s="97">
        <v>9.7000000000000005E-4</v>
      </c>
      <c r="H32" s="62">
        <f t="shared" si="0"/>
        <v>7.1438968469014126E-6</v>
      </c>
      <c r="I32" s="102">
        <v>1.7099999999999999E-3</v>
      </c>
      <c r="J32" s="62">
        <f t="shared" si="3"/>
        <v>3.735742601064994E-6</v>
      </c>
      <c r="K32" s="97">
        <v>1.17E-3</v>
      </c>
      <c r="L32" s="62">
        <f t="shared" si="4"/>
        <v>6.1147740777564345E-6</v>
      </c>
      <c r="M32" s="102">
        <v>7.085409E-3</v>
      </c>
      <c r="N32" s="62">
        <f t="shared" si="8"/>
        <v>1.1851509061511808E-5</v>
      </c>
      <c r="O32" s="102">
        <v>1.3619999999999999E-3</v>
      </c>
      <c r="P32" s="62">
        <f t="shared" si="8"/>
        <v>5.2020802193772558E-6</v>
      </c>
      <c r="Q32" s="97">
        <v>3.287E-3</v>
      </c>
      <c r="R32" s="62">
        <f t="shared" si="8"/>
        <v>1.2659856635684193E-7</v>
      </c>
      <c r="S32" s="98">
        <v>8.4999999999999995E-4</v>
      </c>
      <c r="T32" s="95">
        <f t="shared" si="8"/>
        <v>7.7997705083883981E-6</v>
      </c>
      <c r="U32" s="98">
        <v>8.0000000000000004E-4</v>
      </c>
      <c r="V32" s="95">
        <f t="shared" si="8"/>
        <v>8.0815512006746446E-6</v>
      </c>
      <c r="W32" s="97">
        <v>1.2600000000000001E-3</v>
      </c>
      <c r="X32" s="95">
        <f t="shared" si="6"/>
        <v>5.6777688316411931E-6</v>
      </c>
      <c r="Y32" s="97">
        <v>6.8000000000000005E-4</v>
      </c>
      <c r="Z32" s="95">
        <f t="shared" si="7"/>
        <v>8.7782248621616307E-6</v>
      </c>
      <c r="AA32" s="97">
        <v>1.61981E-3</v>
      </c>
      <c r="AB32" s="95">
        <f t="shared" si="1"/>
        <v>4.0925165499109221E-6</v>
      </c>
      <c r="AC32">
        <v>1.039E-3</v>
      </c>
      <c r="AD32" s="95">
        <f t="shared" si="1"/>
        <v>6.7798104915463946E-6</v>
      </c>
      <c r="AE32">
        <v>6.4000000000000005E-4</v>
      </c>
      <c r="AF32" s="95">
        <f t="shared" si="1"/>
        <v>9.0168494159906271E-6</v>
      </c>
    </row>
    <row r="33" spans="1:32">
      <c r="A33" s="63">
        <v>28</v>
      </c>
      <c r="B33" s="78">
        <f>+QxM!G30/1000</f>
        <v>3.6428069228624446E-3</v>
      </c>
      <c r="C33" s="83">
        <v>1.1299999999999999E-3</v>
      </c>
      <c r="D33" s="62">
        <f t="shared" si="9"/>
        <v>6.3141986315854279E-6</v>
      </c>
      <c r="E33" s="67">
        <v>3.2499999999999999E-3</v>
      </c>
      <c r="F33" s="62">
        <f t="shared" si="2"/>
        <v>1.5429727864866265E-7</v>
      </c>
      <c r="G33" s="97">
        <v>1E-3</v>
      </c>
      <c r="H33" s="62">
        <f t="shared" si="0"/>
        <v>6.9844284315296631E-6</v>
      </c>
      <c r="I33" s="102">
        <v>1.6999999999999999E-3</v>
      </c>
      <c r="J33" s="62">
        <f t="shared" si="3"/>
        <v>3.7744987395222413E-6</v>
      </c>
      <c r="K33" s="97">
        <v>1.16E-3</v>
      </c>
      <c r="L33" s="62">
        <f t="shared" si="4"/>
        <v>6.1643302162136809E-6</v>
      </c>
      <c r="M33" s="102">
        <v>7.2093213E-3</v>
      </c>
      <c r="N33" s="62">
        <f t="shared" si="8"/>
        <v>1.2720024802328885E-5</v>
      </c>
      <c r="O33" s="102">
        <v>1.3730000000000001E-3</v>
      </c>
      <c r="P33" s="62">
        <f t="shared" si="8"/>
        <v>5.1520234670742794E-6</v>
      </c>
      <c r="Q33" s="97">
        <v>3.4169999999999999E-3</v>
      </c>
      <c r="R33" s="62">
        <f t="shared" si="8"/>
        <v>5.098876641260606E-8</v>
      </c>
      <c r="S33" s="98">
        <v>8.0999999999999996E-4</v>
      </c>
      <c r="T33" s="95">
        <f t="shared" si="8"/>
        <v>8.0247950622173917E-6</v>
      </c>
      <c r="U33" s="98">
        <v>8.0999999999999996E-4</v>
      </c>
      <c r="V33" s="95">
        <f t="shared" si="8"/>
        <v>8.0247950622173917E-6</v>
      </c>
      <c r="W33" s="97">
        <v>1.2600000000000001E-3</v>
      </c>
      <c r="X33" s="95">
        <f t="shared" si="6"/>
        <v>5.6777688316411931E-6</v>
      </c>
      <c r="Y33" s="97">
        <v>7.6400000000000003E-4</v>
      </c>
      <c r="Z33" s="95">
        <f t="shared" si="7"/>
        <v>8.2875292991207381E-6</v>
      </c>
      <c r="AA33" s="97">
        <v>1.63959E-3</v>
      </c>
      <c r="AB33" s="95">
        <f t="shared" si="1"/>
        <v>4.0128780400424822E-6</v>
      </c>
      <c r="AC33">
        <v>1.0449999999999999E-3</v>
      </c>
      <c r="AD33" s="95">
        <f t="shared" si="1"/>
        <v>6.7486008084720434E-6</v>
      </c>
      <c r="AE33">
        <v>6.7000000000000002E-4</v>
      </c>
      <c r="AF33" s="95">
        <f t="shared" si="1"/>
        <v>8.8375810006188774E-6</v>
      </c>
    </row>
    <row r="34" spans="1:32">
      <c r="A34" s="63">
        <v>29</v>
      </c>
      <c r="B34" s="78">
        <f>+QxM!G31/1000</f>
        <v>3.6428069228624446E-3</v>
      </c>
      <c r="C34" s="83">
        <v>1.17E-3</v>
      </c>
      <c r="D34" s="62">
        <f t="shared" si="9"/>
        <v>6.1147740777564319E-6</v>
      </c>
      <c r="E34" s="67">
        <v>3.3999999999999998E-3</v>
      </c>
      <c r="F34" s="62">
        <f t="shared" si="2"/>
        <v>5.8955201789929224E-8</v>
      </c>
      <c r="G34" s="97">
        <v>1.0399999999999999E-3</v>
      </c>
      <c r="H34" s="62">
        <f t="shared" si="0"/>
        <v>6.7746038777006672E-6</v>
      </c>
      <c r="I34" s="102">
        <v>1.7099999999999999E-3</v>
      </c>
      <c r="J34" s="62">
        <f t="shared" si="3"/>
        <v>3.7357426010649923E-6</v>
      </c>
      <c r="K34" s="97">
        <v>1.15E-3</v>
      </c>
      <c r="L34" s="62">
        <f t="shared" si="4"/>
        <v>6.2140863546709303E-6</v>
      </c>
      <c r="M34" s="102">
        <v>7.3250028E-3</v>
      </c>
      <c r="N34" s="62">
        <f t="shared" si="8"/>
        <v>1.355856647760881E-5</v>
      </c>
      <c r="O34" s="102">
        <v>1.3929999999999999E-3</v>
      </c>
      <c r="P34" s="62">
        <f t="shared" si="8"/>
        <v>5.0616311901597816E-6</v>
      </c>
      <c r="Q34" s="97">
        <v>3.5479999999999999E-3</v>
      </c>
      <c r="R34" s="62">
        <f t="shared" si="8"/>
        <v>8.9883526226455357E-9</v>
      </c>
      <c r="S34" s="98">
        <v>7.6999999999999996E-4</v>
      </c>
      <c r="T34" s="95">
        <f t="shared" si="8"/>
        <v>8.253019616046389E-6</v>
      </c>
      <c r="U34" s="98">
        <v>8.3000000000000001E-4</v>
      </c>
      <c r="V34" s="95">
        <f t="shared" si="8"/>
        <v>7.911882785302894E-6</v>
      </c>
      <c r="W34" s="97">
        <v>1.25E-3</v>
      </c>
      <c r="X34" s="95">
        <f t="shared" si="6"/>
        <v>5.7255249700984399E-6</v>
      </c>
      <c r="Y34" s="97">
        <v>8.1499999999999997E-4</v>
      </c>
      <c r="Z34" s="95">
        <f t="shared" si="7"/>
        <v>7.9964919929887697E-6</v>
      </c>
      <c r="AA34" s="97">
        <v>1.66219E-3</v>
      </c>
      <c r="AB34" s="95">
        <f t="shared" si="1"/>
        <v>3.9228433951290988E-6</v>
      </c>
      <c r="AC34">
        <v>1.0629999999999999E-3</v>
      </c>
      <c r="AD34" s="95">
        <f t="shared" si="1"/>
        <v>6.6554037592489968E-6</v>
      </c>
      <c r="AE34">
        <v>7.1000000000000002E-4</v>
      </c>
      <c r="AF34" s="95">
        <f t="shared" si="1"/>
        <v>8.6013564467898812E-6</v>
      </c>
    </row>
    <row r="35" spans="1:32">
      <c r="A35" s="63">
        <v>30</v>
      </c>
      <c r="B35" s="78">
        <f>+QxM!G32/1000</f>
        <v>3.4013348998380294E-3</v>
      </c>
      <c r="C35" s="83">
        <v>1.2199999999999999E-3</v>
      </c>
      <c r="D35" s="62">
        <f t="shared" si="9"/>
        <v>4.7582219452513866E-6</v>
      </c>
      <c r="E35" s="67">
        <v>3.5599999999999998E-3</v>
      </c>
      <c r="F35" s="62">
        <f t="shared" si="2"/>
        <v>2.5174614009408102E-8</v>
      </c>
      <c r="G35" s="97">
        <v>1.08E-3</v>
      </c>
      <c r="H35" s="62">
        <f t="shared" si="0"/>
        <v>5.3885957172060331E-6</v>
      </c>
      <c r="I35" s="102">
        <v>1.73E-3</v>
      </c>
      <c r="J35" s="62">
        <f t="shared" si="3"/>
        <v>2.7933603474165959E-6</v>
      </c>
      <c r="K35" s="97">
        <v>1.14E-3</v>
      </c>
      <c r="L35" s="62">
        <f t="shared" si="4"/>
        <v>5.1136355292254709E-6</v>
      </c>
      <c r="M35" s="102">
        <v>7.4747479999999998E-3</v>
      </c>
      <c r="N35" s="62">
        <f t="shared" si="8"/>
        <v>1.6592694284571156E-5</v>
      </c>
      <c r="O35" s="102">
        <v>1.4189999999999999E-3</v>
      </c>
      <c r="P35" s="62">
        <f t="shared" si="8"/>
        <v>3.9296516551158499E-6</v>
      </c>
      <c r="Q35" s="97">
        <v>3.669E-3</v>
      </c>
      <c r="R35" s="62">
        <f t="shared" si="8"/>
        <v>7.1644605844717729E-8</v>
      </c>
      <c r="S35" s="98">
        <v>7.3999999999999999E-4</v>
      </c>
      <c r="T35" s="95">
        <f t="shared" si="8"/>
        <v>7.0827034490958927E-6</v>
      </c>
      <c r="U35" s="98">
        <v>8.5999999999999998E-4</v>
      </c>
      <c r="V35" s="95">
        <f t="shared" si="8"/>
        <v>6.4583830731347661E-6</v>
      </c>
      <c r="W35" s="97">
        <v>1.2600000000000001E-3</v>
      </c>
      <c r="X35" s="95">
        <f t="shared" si="6"/>
        <v>4.5853151532643439E-6</v>
      </c>
      <c r="Y35" s="97">
        <v>8.6399999999999997E-4</v>
      </c>
      <c r="Z35" s="95">
        <f t="shared" si="7"/>
        <v>6.4380683939360614E-6</v>
      </c>
      <c r="AA35" s="97">
        <v>1.68801E-3</v>
      </c>
      <c r="AB35" s="95">
        <f t="shared" si="1"/>
        <v>2.9354822124049935E-6</v>
      </c>
      <c r="AC35">
        <v>1.093E-3</v>
      </c>
      <c r="AD35" s="95">
        <f t="shared" si="1"/>
        <v>5.3284100098102445E-6</v>
      </c>
      <c r="AE35">
        <v>7.5000000000000002E-4</v>
      </c>
      <c r="AF35" s="95">
        <f t="shared" si="1"/>
        <v>7.0295767510991347E-6</v>
      </c>
    </row>
    <row r="36" spans="1:32">
      <c r="A36" s="63">
        <v>31</v>
      </c>
      <c r="B36" s="78">
        <f>+QxM!G33/1000</f>
        <v>3.4013348998380298E-3</v>
      </c>
      <c r="C36" s="83">
        <v>1.2700000000000001E-3</v>
      </c>
      <c r="D36" s="62">
        <f t="shared" si="9"/>
        <v>4.542588455267585E-6</v>
      </c>
      <c r="E36" s="67">
        <v>3.7299999999999998E-3</v>
      </c>
      <c r="F36" s="62">
        <f t="shared" si="2"/>
        <v>1.0802074806447776E-7</v>
      </c>
      <c r="G36" s="97">
        <v>1.1299999999999999E-3</v>
      </c>
      <c r="H36" s="62">
        <f t="shared" si="0"/>
        <v>5.158962227222233E-6</v>
      </c>
      <c r="I36" s="102">
        <v>1.7799999999999999E-3</v>
      </c>
      <c r="J36" s="62">
        <f t="shared" si="3"/>
        <v>2.6287268574327947E-6</v>
      </c>
      <c r="K36" s="97">
        <v>1.1299999999999999E-3</v>
      </c>
      <c r="L36" s="62">
        <f t="shared" si="4"/>
        <v>5.158962227222233E-6</v>
      </c>
      <c r="M36" s="102">
        <v>7.6167422999999998E-3</v>
      </c>
      <c r="N36" s="62">
        <f t="shared" si="8"/>
        <v>1.7769659549340302E-5</v>
      </c>
      <c r="O36" s="102">
        <v>1.4450000000000001E-3</v>
      </c>
      <c r="P36" s="62">
        <f t="shared" si="8"/>
        <v>3.8272462403242734E-6</v>
      </c>
      <c r="Q36" s="97">
        <v>3.7780000000000001E-3</v>
      </c>
      <c r="R36" s="62">
        <f t="shared" si="8"/>
        <v>1.418765976800271E-7</v>
      </c>
      <c r="S36" s="98">
        <v>7.2000000000000005E-4</v>
      </c>
      <c r="T36" s="95">
        <f t="shared" si="8"/>
        <v>7.1895568450894168E-6</v>
      </c>
      <c r="U36" s="98">
        <v>8.8999999999999995E-4</v>
      </c>
      <c r="V36" s="95">
        <f t="shared" si="8"/>
        <v>6.3068029791444888E-6</v>
      </c>
      <c r="W36" s="97">
        <v>1.2700000000000001E-3</v>
      </c>
      <c r="X36" s="95">
        <f t="shared" si="6"/>
        <v>4.542588455267585E-6</v>
      </c>
      <c r="Y36" s="97">
        <v>9.3899999999999995E-4</v>
      </c>
      <c r="Z36" s="95">
        <f t="shared" si="7"/>
        <v>6.0630931589603596E-6</v>
      </c>
      <c r="AA36" s="97">
        <v>1.71751E-3</v>
      </c>
      <c r="AB36" s="95">
        <f t="shared" si="1"/>
        <v>2.835266293314551E-6</v>
      </c>
      <c r="AC36">
        <v>1.137E-3</v>
      </c>
      <c r="AD36" s="95">
        <f t="shared" si="1"/>
        <v>5.1272125386245006E-6</v>
      </c>
      <c r="AE36">
        <v>7.9000000000000001E-4</v>
      </c>
      <c r="AF36" s="95">
        <f t="shared" si="1"/>
        <v>6.8190699591120934E-6</v>
      </c>
    </row>
    <row r="37" spans="1:32">
      <c r="A37" s="63">
        <v>32</v>
      </c>
      <c r="B37" s="78">
        <f>+QxM!G34/1000</f>
        <v>3.4013348998380303E-3</v>
      </c>
      <c r="C37" s="83">
        <v>1.33E-3</v>
      </c>
      <c r="D37" s="62">
        <f t="shared" si="9"/>
        <v>4.2904282672870228E-6</v>
      </c>
      <c r="E37" s="67">
        <v>3.9199999999999999E-3</v>
      </c>
      <c r="F37" s="62">
        <f t="shared" si="2"/>
        <v>2.69013486126026E-7</v>
      </c>
      <c r="G37" s="97">
        <v>1.1800000000000001E-3</v>
      </c>
      <c r="H37" s="62">
        <f t="shared" si="0"/>
        <v>4.934328737238432E-6</v>
      </c>
      <c r="I37" s="102">
        <v>1.83E-3</v>
      </c>
      <c r="J37" s="62">
        <f t="shared" si="3"/>
        <v>2.4690933674489927E-6</v>
      </c>
      <c r="K37" s="97">
        <v>1.14E-3</v>
      </c>
      <c r="L37" s="62">
        <f t="shared" si="4"/>
        <v>5.1136355292254743E-6</v>
      </c>
      <c r="M37" s="102">
        <v>7.7723536999999999E-3</v>
      </c>
      <c r="N37" s="62">
        <f t="shared" si="8"/>
        <v>1.9105805351369385E-5</v>
      </c>
      <c r="O37" s="102">
        <v>1.4779999999999999E-3</v>
      </c>
      <c r="P37" s="62">
        <f t="shared" si="8"/>
        <v>3.699217136934966E-6</v>
      </c>
      <c r="Q37" s="97">
        <v>3.901E-3</v>
      </c>
      <c r="R37" s="62">
        <f t="shared" si="8"/>
        <v>2.4966521231987123E-7</v>
      </c>
      <c r="S37" s="98">
        <v>7.1000000000000002E-4</v>
      </c>
      <c r="T37" s="95">
        <f t="shared" si="8"/>
        <v>7.2432835430861795E-6</v>
      </c>
      <c r="U37" s="98">
        <v>9.2000000000000003E-4</v>
      </c>
      <c r="V37" s="95">
        <f t="shared" si="8"/>
        <v>6.1570228851542087E-6</v>
      </c>
      <c r="W37" s="97">
        <v>1.2899999999999999E-3</v>
      </c>
      <c r="X37" s="95">
        <f t="shared" si="6"/>
        <v>4.4577350592740659E-6</v>
      </c>
      <c r="Y37" s="97">
        <v>1.07E-3</v>
      </c>
      <c r="Z37" s="95">
        <f t="shared" si="7"/>
        <v>5.4351224152027995E-6</v>
      </c>
      <c r="AA37" s="97">
        <v>1.75121E-3</v>
      </c>
      <c r="AB37" s="95">
        <f t="shared" si="1"/>
        <v>2.7229121850654696E-6</v>
      </c>
      <c r="AC37">
        <v>1.194E-3</v>
      </c>
      <c r="AD37" s="95">
        <f t="shared" si="1"/>
        <v>4.8723273600429684E-6</v>
      </c>
      <c r="AE37">
        <v>8.4000000000000003E-4</v>
      </c>
      <c r="AF37" s="95">
        <f t="shared" si="1"/>
        <v>6.5604364691282924E-6</v>
      </c>
    </row>
    <row r="38" spans="1:32">
      <c r="A38" s="63">
        <v>33</v>
      </c>
      <c r="B38" s="78">
        <f>+QxM!G35/1000</f>
        <v>3.4013348998380298E-3</v>
      </c>
      <c r="C38" s="83">
        <v>1.39E-3</v>
      </c>
      <c r="D38" s="62">
        <f t="shared" si="9"/>
        <v>4.0454680793064569E-6</v>
      </c>
      <c r="E38" s="67">
        <v>4.1200000000000004E-3</v>
      </c>
      <c r="F38" s="62">
        <f t="shared" si="2"/>
        <v>5.1647952619081525E-7</v>
      </c>
      <c r="G38" s="97">
        <v>1.24E-3</v>
      </c>
      <c r="H38" s="62">
        <f t="shared" si="0"/>
        <v>4.6713685492578656E-6</v>
      </c>
      <c r="I38" s="102">
        <v>1.91E-3</v>
      </c>
      <c r="J38" s="62">
        <f t="shared" si="3"/>
        <v>2.2240797834749064E-6</v>
      </c>
      <c r="K38" s="97">
        <v>1.16E-3</v>
      </c>
      <c r="L38" s="62">
        <f t="shared" si="4"/>
        <v>5.0235821332319514E-6</v>
      </c>
      <c r="M38" s="102">
        <v>7.9637944999999995E-3</v>
      </c>
      <c r="N38" s="62">
        <f t="shared" si="8"/>
        <v>2.0816037603110125E-5</v>
      </c>
      <c r="O38" s="102">
        <v>1.519E-3</v>
      </c>
      <c r="P38" s="62">
        <f t="shared" si="8"/>
        <v>3.5431846751482458E-6</v>
      </c>
      <c r="Q38" s="97">
        <v>4.0020000000000003E-3</v>
      </c>
      <c r="R38" s="62">
        <f t="shared" si="8"/>
        <v>3.6079856255259008E-7</v>
      </c>
      <c r="S38" s="98">
        <v>7.1000000000000002E-4</v>
      </c>
      <c r="T38" s="95">
        <f t="shared" si="8"/>
        <v>7.243283543086177E-6</v>
      </c>
      <c r="U38" s="98">
        <v>9.6000000000000002E-4</v>
      </c>
      <c r="V38" s="95">
        <f t="shared" si="8"/>
        <v>5.9601160931671634E-6</v>
      </c>
      <c r="W38" s="97">
        <v>1.3500000000000001E-3</v>
      </c>
      <c r="X38" s="95">
        <f t="shared" si="6"/>
        <v>4.2079748712934997E-6</v>
      </c>
      <c r="Y38" s="97">
        <v>1.0839999999999999E-3</v>
      </c>
      <c r="Z38" s="95">
        <f t="shared" si="7"/>
        <v>5.3700410380073322E-6</v>
      </c>
      <c r="AA38" s="97">
        <v>1.7897099999999999E-3</v>
      </c>
      <c r="AB38" s="95">
        <f t="shared" si="1"/>
        <v>2.5973348177779401E-6</v>
      </c>
      <c r="AC38">
        <v>1.2650000000000001E-3</v>
      </c>
      <c r="AD38" s="95">
        <f t="shared" si="1"/>
        <v>4.5639268042659648E-6</v>
      </c>
      <c r="AE38">
        <v>8.8999999999999995E-4</v>
      </c>
      <c r="AF38" s="95">
        <f t="shared" si="1"/>
        <v>6.3068029791444888E-6</v>
      </c>
    </row>
    <row r="39" spans="1:32">
      <c r="A39" s="63">
        <v>34</v>
      </c>
      <c r="B39" s="78">
        <f>+QxM!G36/1000</f>
        <v>3.4013348998380298E-3</v>
      </c>
      <c r="C39" s="83">
        <v>1.4499999999999999E-3</v>
      </c>
      <c r="D39" s="62">
        <f t="shared" si="9"/>
        <v>3.8077078913258941E-6</v>
      </c>
      <c r="E39" s="67">
        <v>4.3499999999999997E-3</v>
      </c>
      <c r="F39" s="62">
        <f t="shared" si="2"/>
        <v>8.9996547226532033E-7</v>
      </c>
      <c r="G39" s="97">
        <v>1.31E-3</v>
      </c>
      <c r="H39" s="62">
        <f t="shared" si="0"/>
        <v>4.3736816632805426E-6</v>
      </c>
      <c r="I39" s="102">
        <v>2E-3</v>
      </c>
      <c r="J39" s="62">
        <f t="shared" si="3"/>
        <v>1.9637395015040608E-6</v>
      </c>
      <c r="K39" s="97">
        <v>1.1899999999999999E-3</v>
      </c>
      <c r="L39" s="62">
        <f t="shared" si="4"/>
        <v>4.8900020392416713E-6</v>
      </c>
      <c r="M39" s="102">
        <v>8.1593246999999997E-3</v>
      </c>
      <c r="N39" s="62">
        <f t="shared" ref="N39:V54" si="10">+(M39-$B39)^2</f>
        <v>2.2638466938445347E-5</v>
      </c>
      <c r="O39" s="102">
        <v>1.5690000000000001E-3</v>
      </c>
      <c r="P39" s="62">
        <f t="shared" si="10"/>
        <v>3.3574511851644424E-6</v>
      </c>
      <c r="Q39" s="97">
        <v>4.1269999999999996E-3</v>
      </c>
      <c r="R39" s="62">
        <f t="shared" si="10"/>
        <v>5.2658983759308161E-7</v>
      </c>
      <c r="S39" s="98">
        <v>7.1000000000000002E-4</v>
      </c>
      <c r="T39" s="95">
        <f t="shared" si="10"/>
        <v>7.243283543086177E-6</v>
      </c>
      <c r="U39" s="98">
        <v>1E-3</v>
      </c>
      <c r="V39" s="95">
        <f t="shared" si="10"/>
        <v>5.7664093011801209E-6</v>
      </c>
      <c r="W39" s="97">
        <v>1.42E-3</v>
      </c>
      <c r="X39" s="95">
        <f t="shared" si="6"/>
        <v>3.9256879853161765E-6</v>
      </c>
      <c r="Y39" s="97">
        <v>1.098E-3</v>
      </c>
      <c r="Z39" s="95">
        <f t="shared" si="7"/>
        <v>5.3053516608118671E-6</v>
      </c>
      <c r="AA39" s="97">
        <v>1.8337E-3</v>
      </c>
      <c r="AB39" s="95">
        <f t="shared" si="1"/>
        <v>2.45747917919019E-6</v>
      </c>
      <c r="AC39">
        <v>1.351E-3</v>
      </c>
      <c r="AD39" s="95">
        <f t="shared" si="1"/>
        <v>4.2038732014938229E-6</v>
      </c>
      <c r="AE39">
        <v>9.3999999999999997E-4</v>
      </c>
      <c r="AF39" s="95">
        <f t="shared" si="1"/>
        <v>6.0581694891606852E-6</v>
      </c>
    </row>
    <row r="40" spans="1:32">
      <c r="A40" s="63">
        <v>35</v>
      </c>
      <c r="B40" s="78">
        <f>+QxM!G37/1000</f>
        <v>3.4782491306613911E-3</v>
      </c>
      <c r="C40" s="83">
        <v>1.5300000000000001E-3</v>
      </c>
      <c r="D40" s="62">
        <f t="shared" si="9"/>
        <v>3.7956746751228656E-6</v>
      </c>
      <c r="E40" s="67">
        <v>4.5900000000000003E-3</v>
      </c>
      <c r="F40" s="62">
        <f t="shared" si="2"/>
        <v>1.2359899954751534E-6</v>
      </c>
      <c r="G40" s="97">
        <v>1.41E-3</v>
      </c>
      <c r="H40" s="62">
        <f t="shared" si="0"/>
        <v>4.2776544664815987E-6</v>
      </c>
      <c r="I40" s="102">
        <v>2.1099999999999999E-3</v>
      </c>
      <c r="J40" s="62">
        <f t="shared" si="3"/>
        <v>1.8721056835556528E-6</v>
      </c>
      <c r="K40" s="97">
        <v>1.24E-3</v>
      </c>
      <c r="L40" s="62">
        <f t="shared" si="4"/>
        <v>5.0097591709064724E-6</v>
      </c>
      <c r="M40" s="102">
        <v>8.3701920999999999E-3</v>
      </c>
      <c r="N40" s="62">
        <f t="shared" si="10"/>
        <v>2.3931106015261448E-5</v>
      </c>
      <c r="O40" s="102">
        <v>1.6310000000000001E-3</v>
      </c>
      <c r="P40" s="62">
        <f t="shared" si="10"/>
        <v>3.4123293507292648E-6</v>
      </c>
      <c r="Q40" s="97">
        <v>4.2420000000000001E-3</v>
      </c>
      <c r="R40" s="62">
        <f t="shared" si="10"/>
        <v>5.8331539041548101E-7</v>
      </c>
      <c r="S40" s="98">
        <v>7.2999999999999996E-4</v>
      </c>
      <c r="T40" s="95">
        <f t="shared" si="10"/>
        <v>7.5528732841810908E-6</v>
      </c>
      <c r="U40" s="98">
        <v>1.0499999999999999E-3</v>
      </c>
      <c r="V40" s="95">
        <f t="shared" si="10"/>
        <v>5.8963938405578005E-6</v>
      </c>
      <c r="W40" s="97">
        <v>1.49E-3</v>
      </c>
      <c r="X40" s="95">
        <f t="shared" si="6"/>
        <v>3.9531346055757778E-6</v>
      </c>
      <c r="Y40" s="97">
        <v>1.1119999999999999E-3</v>
      </c>
      <c r="Z40" s="95">
        <f t="shared" si="7"/>
        <v>5.5991349483557907E-6</v>
      </c>
      <c r="AA40" s="97">
        <v>1.8839600000000001E-3</v>
      </c>
      <c r="AB40" s="95">
        <f t="shared" si="1"/>
        <v>2.5417578321450539E-6</v>
      </c>
      <c r="AC40">
        <v>1.4519999999999999E-3</v>
      </c>
      <c r="AD40" s="95">
        <f t="shared" si="1"/>
        <v>4.1056855395060443E-6</v>
      </c>
      <c r="AE40">
        <v>1E-3</v>
      </c>
      <c r="AF40" s="95">
        <f t="shared" si="1"/>
        <v>6.1417187536239403E-6</v>
      </c>
    </row>
    <row r="41" spans="1:32">
      <c r="A41" s="63">
        <v>36</v>
      </c>
      <c r="B41" s="78">
        <f>+QxM!G38/1000</f>
        <v>3.4782491306613915E-3</v>
      </c>
      <c r="C41" s="83">
        <v>1.6100000000000001E-3</v>
      </c>
      <c r="D41" s="62">
        <f t="shared" si="9"/>
        <v>3.4903548142170448E-6</v>
      </c>
      <c r="E41" s="67">
        <v>4.8599999999999997E-3</v>
      </c>
      <c r="F41" s="62">
        <f t="shared" si="2"/>
        <v>1.9092354649179997E-6</v>
      </c>
      <c r="G41" s="97">
        <v>1.5299999999999999E-3</v>
      </c>
      <c r="H41" s="62">
        <f t="shared" si="0"/>
        <v>3.7956746751228681E-6</v>
      </c>
      <c r="I41" s="102">
        <v>2.2399999999999998E-3</v>
      </c>
      <c r="J41" s="62">
        <f t="shared" si="3"/>
        <v>1.5332609095836923E-6</v>
      </c>
      <c r="K41" s="97">
        <v>1.31E-3</v>
      </c>
      <c r="L41" s="62">
        <f t="shared" si="4"/>
        <v>4.7013042926138805E-6</v>
      </c>
      <c r="M41" s="102">
        <v>8.5969472999999994E-3</v>
      </c>
      <c r="N41" s="62">
        <f t="shared" si="10"/>
        <v>2.6201070948790417E-5</v>
      </c>
      <c r="O41" s="102">
        <v>1.709E-3</v>
      </c>
      <c r="P41" s="62">
        <f t="shared" si="10"/>
        <v>3.1302424863460895E-6</v>
      </c>
      <c r="Q41" s="97">
        <v>4.3829999999999997E-3</v>
      </c>
      <c r="R41" s="62">
        <f t="shared" si="10"/>
        <v>8.1857413556896735E-7</v>
      </c>
      <c r="S41" s="98">
        <v>7.6000000000000004E-4</v>
      </c>
      <c r="T41" s="95">
        <f t="shared" si="10"/>
        <v>7.3888783363414092E-6</v>
      </c>
      <c r="U41" s="98">
        <v>1.1199999999999999E-3</v>
      </c>
      <c r="V41" s="95">
        <f t="shared" si="10"/>
        <v>5.5613389622652095E-6</v>
      </c>
      <c r="W41" s="97">
        <v>1.57E-3</v>
      </c>
      <c r="X41" s="95">
        <f t="shared" si="6"/>
        <v>3.6414147446699566E-6</v>
      </c>
      <c r="Y41" s="97">
        <v>1.126E-3</v>
      </c>
      <c r="Z41" s="95">
        <f t="shared" si="7"/>
        <v>5.5330759726972708E-6</v>
      </c>
      <c r="AA41" s="97">
        <v>1.94137E-3</v>
      </c>
      <c r="AB41" s="95">
        <f t="shared" si="1"/>
        <v>2.3619974622625145E-6</v>
      </c>
      <c r="AC41">
        <v>1.57E-3</v>
      </c>
      <c r="AD41" s="95">
        <f t="shared" si="1"/>
        <v>3.6414147446699566E-6</v>
      </c>
      <c r="AE41">
        <v>1.07E-3</v>
      </c>
      <c r="AF41" s="95">
        <f t="shared" si="1"/>
        <v>5.7996638753313492E-6</v>
      </c>
    </row>
    <row r="42" spans="1:32">
      <c r="A42" s="63">
        <v>37</v>
      </c>
      <c r="B42" s="78">
        <f>+QxM!G39/1000</f>
        <v>3.4782491306613911E-3</v>
      </c>
      <c r="C42" s="83">
        <v>1.6999999999999999E-3</v>
      </c>
      <c r="D42" s="62">
        <f t="shared" si="9"/>
        <v>3.1621699706979934E-6</v>
      </c>
      <c r="E42" s="67">
        <v>5.1500000000000001E-3</v>
      </c>
      <c r="F42" s="62">
        <f t="shared" si="2"/>
        <v>2.7947509691343947E-6</v>
      </c>
      <c r="G42" s="97">
        <v>1.6800000000000001E-3</v>
      </c>
      <c r="H42" s="62">
        <f t="shared" si="0"/>
        <v>3.2336999359244487E-6</v>
      </c>
      <c r="I42" s="102">
        <v>2.3999999999999998E-3</v>
      </c>
      <c r="J42" s="62">
        <f t="shared" si="3"/>
        <v>1.1626211877720462E-6</v>
      </c>
      <c r="K42" s="97">
        <v>1.39E-3</v>
      </c>
      <c r="L42" s="62">
        <f t="shared" si="4"/>
        <v>4.3607844317080549E-6</v>
      </c>
      <c r="M42" s="102">
        <v>8.8626945000000006E-3</v>
      </c>
      <c r="N42" s="62">
        <f t="shared" si="10"/>
        <v>2.8992251935391998E-5</v>
      </c>
      <c r="O42" s="102">
        <v>1.807E-3</v>
      </c>
      <c r="P42" s="62">
        <f t="shared" si="10"/>
        <v>2.7930736567364555E-6</v>
      </c>
      <c r="Q42" s="97">
        <v>4.5380000000000004E-3</v>
      </c>
      <c r="R42" s="62">
        <f t="shared" si="10"/>
        <v>1.123071905063938E-6</v>
      </c>
      <c r="S42" s="98">
        <v>7.9000000000000001E-4</v>
      </c>
      <c r="T42" s="95">
        <f t="shared" si="10"/>
        <v>7.2266833885017256E-6</v>
      </c>
      <c r="U42" s="98">
        <v>1.1900000000000001E-3</v>
      </c>
      <c r="V42" s="95">
        <f t="shared" si="10"/>
        <v>5.236084083972612E-6</v>
      </c>
      <c r="W42" s="97">
        <v>1.66E-3</v>
      </c>
      <c r="X42" s="95">
        <f t="shared" si="6"/>
        <v>3.3060299011509046E-6</v>
      </c>
      <c r="Y42" s="97">
        <v>1.14E-3</v>
      </c>
      <c r="Z42" s="95">
        <f t="shared" si="7"/>
        <v>5.4674089970387516E-6</v>
      </c>
      <c r="AA42" s="97">
        <v>2.0069599999999999E-3</v>
      </c>
      <c r="AB42" s="95">
        <f t="shared" si="1"/>
        <v>2.1646917060023522E-6</v>
      </c>
      <c r="AC42">
        <v>1.7049999999999999E-3</v>
      </c>
      <c r="AD42" s="95">
        <f t="shared" si="1"/>
        <v>3.1444124793913796E-6</v>
      </c>
      <c r="AE42">
        <v>1.14E-3</v>
      </c>
      <c r="AF42" s="95">
        <f t="shared" si="1"/>
        <v>5.4674089970387516E-6</v>
      </c>
    </row>
    <row r="43" spans="1:32">
      <c r="A43" s="63">
        <v>38</v>
      </c>
      <c r="B43" s="78">
        <f>+QxM!G40/1000</f>
        <v>3.4782491306613911E-3</v>
      </c>
      <c r="C43" s="83">
        <v>1.8E-3</v>
      </c>
      <c r="D43" s="62">
        <f t="shared" si="9"/>
        <v>2.816520144565715E-6</v>
      </c>
      <c r="E43" s="67">
        <v>5.4599999999999996E-3</v>
      </c>
      <c r="F43" s="62">
        <f t="shared" si="2"/>
        <v>3.9273365081243304E-6</v>
      </c>
      <c r="G43" s="97">
        <v>1.8799999999999999E-3</v>
      </c>
      <c r="H43" s="62">
        <f t="shared" si="0"/>
        <v>2.5544002836598924E-6</v>
      </c>
      <c r="I43" s="102">
        <v>2.5799999999999998E-3</v>
      </c>
      <c r="J43" s="62">
        <f t="shared" si="3"/>
        <v>8.0685150073394515E-7</v>
      </c>
      <c r="K43" s="97">
        <v>1.49E-3</v>
      </c>
      <c r="L43" s="62">
        <f t="shared" si="4"/>
        <v>3.9531346055757778E-6</v>
      </c>
      <c r="M43" s="102">
        <v>9.1462021000000004E-3</v>
      </c>
      <c r="N43" s="62">
        <f t="shared" si="10"/>
        <v>3.2125690862634361E-5</v>
      </c>
      <c r="O43" s="102">
        <v>1.9269999999999999E-3</v>
      </c>
      <c r="P43" s="62">
        <f t="shared" si="10"/>
        <v>2.406373865377722E-6</v>
      </c>
      <c r="Q43" s="97">
        <v>4.7200000000000002E-3</v>
      </c>
      <c r="R43" s="62">
        <f t="shared" si="10"/>
        <v>1.5419452215031916E-6</v>
      </c>
      <c r="S43" s="98">
        <v>8.4000000000000003E-4</v>
      </c>
      <c r="T43" s="95">
        <f t="shared" si="10"/>
        <v>6.9603584754355856E-6</v>
      </c>
      <c r="U43" s="98">
        <v>1.2800000000000001E-3</v>
      </c>
      <c r="V43" s="95">
        <f t="shared" si="10"/>
        <v>4.83229924045356E-6</v>
      </c>
      <c r="W43" s="97">
        <v>1.7600000000000001E-3</v>
      </c>
      <c r="X43" s="95">
        <f t="shared" si="6"/>
        <v>2.952380075018626E-6</v>
      </c>
      <c r="Y43" s="97">
        <v>1.3270000000000001E-3</v>
      </c>
      <c r="Z43" s="95">
        <f t="shared" si="7"/>
        <v>4.6278728221713904E-6</v>
      </c>
      <c r="AA43" s="97">
        <v>2.0818899999999999E-3</v>
      </c>
      <c r="AB43" s="95">
        <f t="shared" si="1"/>
        <v>1.9498188217814361E-6</v>
      </c>
      <c r="AC43">
        <v>1.859E-3</v>
      </c>
      <c r="AD43" s="95">
        <f t="shared" si="1"/>
        <v>2.6219677471476709E-6</v>
      </c>
      <c r="AE43">
        <v>1.2199999999999999E-3</v>
      </c>
      <c r="AF43" s="95">
        <f t="shared" si="1"/>
        <v>5.0996891361329275E-6</v>
      </c>
    </row>
    <row r="44" spans="1:32">
      <c r="A44" s="63">
        <v>39</v>
      </c>
      <c r="B44" s="78">
        <f>+QxM!G41/1000</f>
        <v>3.4782491306613915E-3</v>
      </c>
      <c r="C44" s="83">
        <v>1.91E-3</v>
      </c>
      <c r="D44" s="62">
        <f t="shared" si="9"/>
        <v>2.4594053358202101E-6</v>
      </c>
      <c r="E44" s="67">
        <v>5.8100000000000001E-3</v>
      </c>
      <c r="F44" s="62">
        <f t="shared" si="2"/>
        <v>5.4370621166613568E-6</v>
      </c>
      <c r="G44" s="97">
        <v>2.0999999999999999E-3</v>
      </c>
      <c r="H44" s="62">
        <f t="shared" si="0"/>
        <v>1.8995706661688819E-6</v>
      </c>
      <c r="I44" s="102">
        <v>2.7899999999999999E-3</v>
      </c>
      <c r="J44" s="62">
        <f t="shared" si="3"/>
        <v>4.7368686585616127E-7</v>
      </c>
      <c r="K44" s="97">
        <v>1.5900000000000001E-3</v>
      </c>
      <c r="L44" s="62">
        <f t="shared" si="4"/>
        <v>3.5654847794435005E-6</v>
      </c>
      <c r="M44" s="102">
        <v>9.4482244E-3</v>
      </c>
      <c r="N44" s="62">
        <f t="shared" si="10"/>
        <v>3.5640604716514592E-5</v>
      </c>
      <c r="O44" s="102">
        <v>2.0699999999999998E-3</v>
      </c>
      <c r="P44" s="62">
        <f t="shared" si="10"/>
        <v>1.9831656140085655E-6</v>
      </c>
      <c r="Q44" s="97">
        <v>4.9160000000000002E-3</v>
      </c>
      <c r="R44" s="62">
        <f t="shared" si="10"/>
        <v>2.0671275622839249E-6</v>
      </c>
      <c r="S44" s="98">
        <v>8.9999999999999998E-4</v>
      </c>
      <c r="T44" s="95">
        <f t="shared" si="10"/>
        <v>6.6473685797562223E-6</v>
      </c>
      <c r="U44" s="98">
        <v>1.3699999999999999E-3</v>
      </c>
      <c r="V44" s="95">
        <f t="shared" si="10"/>
        <v>4.4447143969345146E-6</v>
      </c>
      <c r="W44" s="97">
        <v>1.8600000000000001E-3</v>
      </c>
      <c r="X44" s="95">
        <f t="shared" si="6"/>
        <v>2.6187302488863489E-6</v>
      </c>
      <c r="Y44" s="97">
        <v>1.508E-3</v>
      </c>
      <c r="Z44" s="95">
        <f t="shared" si="7"/>
        <v>3.8818816368719695E-6</v>
      </c>
      <c r="AA44" s="97">
        <v>2.1675000000000002E-3</v>
      </c>
      <c r="AB44" s="95">
        <f t="shared" si="1"/>
        <v>1.7180632835295932E-6</v>
      </c>
      <c r="AC44">
        <v>2.0309999999999998E-3</v>
      </c>
      <c r="AD44" s="95">
        <f t="shared" si="1"/>
        <v>2.0945300462001538E-6</v>
      </c>
      <c r="AE44">
        <v>1.2899999999999999E-3</v>
      </c>
      <c r="AF44" s="95">
        <f t="shared" si="1"/>
        <v>4.7884342578403361E-6</v>
      </c>
    </row>
    <row r="45" spans="1:32">
      <c r="A45" s="63">
        <v>40</v>
      </c>
      <c r="B45" s="78">
        <f>+QxM!G42/1000</f>
        <v>4.1586366741917964E-3</v>
      </c>
      <c r="C45" s="83">
        <v>2.0299999999999997E-3</v>
      </c>
      <c r="D45" s="62">
        <f t="shared" si="9"/>
        <v>4.5310940907143131E-6</v>
      </c>
      <c r="E45" s="67">
        <v>6.1799999999999997E-3</v>
      </c>
      <c r="F45" s="62">
        <f t="shared" si="2"/>
        <v>4.085909694922401E-6</v>
      </c>
      <c r="G45" s="97">
        <v>2.3600000000000001E-3</v>
      </c>
      <c r="H45" s="62">
        <f t="shared" si="0"/>
        <v>3.2350938857477259E-6</v>
      </c>
      <c r="I45" s="102">
        <v>3.0200000000000001E-3</v>
      </c>
      <c r="J45" s="62">
        <f t="shared" si="3"/>
        <v>1.2964934758145549E-6</v>
      </c>
      <c r="K45" s="97">
        <v>1.72E-3</v>
      </c>
      <c r="L45" s="62">
        <f t="shared" si="4"/>
        <v>5.9469488287132249E-6</v>
      </c>
      <c r="M45" s="102">
        <v>9.7811371999999997E-3</v>
      </c>
      <c r="N45" s="62">
        <f t="shared" si="10"/>
        <v>3.161251216271352E-5</v>
      </c>
      <c r="O45" s="102">
        <v>2.2339999999999999E-3</v>
      </c>
      <c r="P45" s="62">
        <f t="shared" si="10"/>
        <v>3.7042263276440596E-6</v>
      </c>
      <c r="Q45" s="97">
        <v>5.1279999999999997E-3</v>
      </c>
      <c r="R45" s="62">
        <f t="shared" si="10"/>
        <v>9.3966525742194094E-7</v>
      </c>
      <c r="S45" s="98">
        <v>9.7000000000000005E-4</v>
      </c>
      <c r="T45" s="95">
        <f t="shared" si="10"/>
        <v>1.0167403840000921E-5</v>
      </c>
      <c r="U45" s="98">
        <v>1.48E-3</v>
      </c>
      <c r="V45" s="95">
        <f t="shared" si="10"/>
        <v>7.175094432325288E-6</v>
      </c>
      <c r="W45" s="97">
        <v>1.98E-3</v>
      </c>
      <c r="X45" s="95">
        <f t="shared" si="6"/>
        <v>4.746457758133492E-6</v>
      </c>
      <c r="Y45" s="97">
        <v>1.6930000000000001E-3</v>
      </c>
      <c r="Z45" s="95">
        <f t="shared" si="7"/>
        <v>6.0793642091195823E-6</v>
      </c>
      <c r="AA45" s="97">
        <v>2.2653E-3</v>
      </c>
      <c r="AB45" s="95">
        <f t="shared" si="1"/>
        <v>3.5847237618396526E-6</v>
      </c>
      <c r="AC45">
        <v>2.2239999999999998E-3</v>
      </c>
      <c r="AD45" s="95">
        <f t="shared" si="1"/>
        <v>3.7428190611278956E-6</v>
      </c>
      <c r="AE45">
        <v>1.3799999999999999E-3</v>
      </c>
      <c r="AF45" s="95">
        <f t="shared" si="1"/>
        <v>7.7208217671636473E-6</v>
      </c>
    </row>
    <row r="46" spans="1:32">
      <c r="A46" s="63">
        <v>41</v>
      </c>
      <c r="B46" s="78">
        <f>+QxM!G43/1000</f>
        <v>4.1586366741917973E-3</v>
      </c>
      <c r="C46" s="83">
        <v>2.16E-3</v>
      </c>
      <c r="D46" s="62">
        <f t="shared" si="9"/>
        <v>3.9945485554244487E-6</v>
      </c>
      <c r="E46" s="67">
        <v>6.5900000000000004E-3</v>
      </c>
      <c r="F46" s="62">
        <f t="shared" si="2"/>
        <v>5.9115276220851265E-6</v>
      </c>
      <c r="G46" s="97">
        <v>2.65E-3</v>
      </c>
      <c r="H46" s="62">
        <f t="shared" si="0"/>
        <v>2.2759846147164872E-6</v>
      </c>
      <c r="I46" s="102">
        <v>3.29E-3</v>
      </c>
      <c r="J46" s="62">
        <f t="shared" si="3"/>
        <v>7.5452967175098671E-7</v>
      </c>
      <c r="K46" s="97">
        <v>1.8700000000000001E-3</v>
      </c>
      <c r="L46" s="62">
        <f t="shared" si="4"/>
        <v>5.2378578264556906E-6</v>
      </c>
      <c r="M46" s="102">
        <v>1.01462989E-2</v>
      </c>
      <c r="N46" s="62">
        <f t="shared" si="10"/>
        <v>3.5852098930370435E-5</v>
      </c>
      <c r="O46" s="102">
        <v>2.4199999999999998E-3</v>
      </c>
      <c r="P46" s="62">
        <f t="shared" si="10"/>
        <v>3.0228574848447144E-6</v>
      </c>
      <c r="Q46" s="97">
        <v>5.3810000000000004E-3</v>
      </c>
      <c r="R46" s="62">
        <f t="shared" si="10"/>
        <v>1.4941721002808912E-6</v>
      </c>
      <c r="S46" s="98">
        <v>1.0499999999999999E-3</v>
      </c>
      <c r="T46" s="95">
        <f t="shared" si="10"/>
        <v>9.6636219721302396E-6</v>
      </c>
      <c r="U46" s="98">
        <v>1.6100000000000001E-3</v>
      </c>
      <c r="V46" s="95">
        <f t="shared" si="10"/>
        <v>6.4955488970354235E-6</v>
      </c>
      <c r="W46" s="97">
        <v>2.1099999999999999E-3</v>
      </c>
      <c r="X46" s="95">
        <f t="shared" si="6"/>
        <v>4.1969122228436288E-6</v>
      </c>
      <c r="Y46" s="97">
        <v>1.8929999999999999E-3</v>
      </c>
      <c r="Z46" s="95">
        <f t="shared" si="7"/>
        <v>5.1331095394428695E-6</v>
      </c>
      <c r="AA46" s="97">
        <v>2.3770200000000001E-3</v>
      </c>
      <c r="AB46" s="95">
        <f t="shared" si="1"/>
        <v>3.1741579737582405E-6</v>
      </c>
      <c r="AC46">
        <v>2.4390000000000002E-3</v>
      </c>
      <c r="AD46" s="95">
        <f t="shared" si="1"/>
        <v>2.9571502912254247E-6</v>
      </c>
      <c r="AE46">
        <v>1.48E-3</v>
      </c>
      <c r="AF46" s="95">
        <f t="shared" si="1"/>
        <v>7.1750944323252931E-6</v>
      </c>
    </row>
    <row r="47" spans="1:32">
      <c r="A47" s="63">
        <v>42</v>
      </c>
      <c r="B47" s="78">
        <f>+QxM!G44/1000</f>
        <v>4.1586366741917973E-3</v>
      </c>
      <c r="C47" s="83">
        <v>2.31E-3</v>
      </c>
      <c r="D47" s="62">
        <f t="shared" si="9"/>
        <v>3.4174575531669095E-6</v>
      </c>
      <c r="E47" s="67">
        <v>7.0299999999999998E-3</v>
      </c>
      <c r="F47" s="62">
        <f t="shared" si="2"/>
        <v>8.2447273487963411E-6</v>
      </c>
      <c r="G47" s="97">
        <v>2.9499999999999999E-3</v>
      </c>
      <c r="H47" s="62">
        <f t="shared" si="0"/>
        <v>1.460802610201409E-6</v>
      </c>
      <c r="I47" s="102">
        <v>3.5599999999999998E-3</v>
      </c>
      <c r="J47" s="62">
        <f t="shared" si="3"/>
        <v>3.583658676874163E-7</v>
      </c>
      <c r="K47" s="97">
        <v>2.0499999999999997E-3</v>
      </c>
      <c r="L47" s="62">
        <f t="shared" si="4"/>
        <v>4.4463486237466451E-6</v>
      </c>
      <c r="M47" s="102">
        <v>1.0556986000000001E-2</v>
      </c>
      <c r="N47" s="62">
        <f t="shared" si="10"/>
        <v>4.0938874095070291E-5</v>
      </c>
      <c r="O47" s="102">
        <v>2.6280000000000001E-3</v>
      </c>
      <c r="P47" s="62">
        <f t="shared" si="10"/>
        <v>2.342848628380926E-6</v>
      </c>
      <c r="Q47" s="97">
        <v>5.7130000000000002E-3</v>
      </c>
      <c r="R47" s="62">
        <f t="shared" si="10"/>
        <v>2.4160453486175374E-6</v>
      </c>
      <c r="S47" s="98">
        <v>1.15E-3</v>
      </c>
      <c r="T47" s="95">
        <f t="shared" si="10"/>
        <v>9.0518946372918795E-6</v>
      </c>
      <c r="U47" s="98">
        <v>1.7600000000000001E-3</v>
      </c>
      <c r="V47" s="95">
        <f t="shared" si="10"/>
        <v>5.7534578947778846E-6</v>
      </c>
      <c r="W47" s="97">
        <v>2.2499999999999998E-3</v>
      </c>
      <c r="X47" s="95">
        <f t="shared" si="6"/>
        <v>3.6428939540699257E-6</v>
      </c>
      <c r="Y47" s="97">
        <v>2.1199999999999999E-3</v>
      </c>
      <c r="Z47" s="95">
        <f t="shared" si="7"/>
        <v>4.1560394893597926E-6</v>
      </c>
      <c r="AA47" s="97">
        <v>2.5046500000000002E-3</v>
      </c>
      <c r="AB47" s="95">
        <f t="shared" si="1"/>
        <v>2.7356719184040418E-6</v>
      </c>
      <c r="AC47">
        <v>2.6770000000000001E-3</v>
      </c>
      <c r="AD47" s="95">
        <f t="shared" si="1"/>
        <v>2.1952472343101299E-6</v>
      </c>
      <c r="AE47">
        <v>1.6100000000000001E-3</v>
      </c>
      <c r="AF47" s="95">
        <f t="shared" si="1"/>
        <v>6.4955488970354235E-6</v>
      </c>
    </row>
    <row r="48" spans="1:32">
      <c r="A48" s="63">
        <v>43</v>
      </c>
      <c r="B48" s="78">
        <f>+QxM!G45/1000</f>
        <v>4.1586366741917973E-3</v>
      </c>
      <c r="C48" s="83">
        <v>2.4700000000000004E-3</v>
      </c>
      <c r="D48" s="62">
        <f t="shared" si="9"/>
        <v>2.8514938174255329E-6</v>
      </c>
      <c r="E48" s="67">
        <v>7.5100000000000002E-3</v>
      </c>
      <c r="F48" s="62">
        <f t="shared" si="2"/>
        <v>1.1231636141572219E-5</v>
      </c>
      <c r="G48" s="97">
        <v>3.2799999999999999E-3</v>
      </c>
      <c r="H48" s="62">
        <f t="shared" si="0"/>
        <v>7.7200240523482265E-7</v>
      </c>
      <c r="I48" s="102">
        <v>3.8700000000000002E-3</v>
      </c>
      <c r="J48" s="62">
        <f t="shared" si="3"/>
        <v>8.3311129688501641E-8</v>
      </c>
      <c r="K48" s="97">
        <v>2.2699999999999999E-3</v>
      </c>
      <c r="L48" s="62">
        <f t="shared" si="4"/>
        <v>3.5669484871022533E-6</v>
      </c>
      <c r="M48" s="102">
        <v>1.09914991E-2</v>
      </c>
      <c r="N48" s="62">
        <f t="shared" si="10"/>
        <v>4.6688008930021549E-5</v>
      </c>
      <c r="O48" s="102">
        <v>2.8600000000000001E-3</v>
      </c>
      <c r="P48" s="62">
        <f t="shared" si="10"/>
        <v>1.6864572115559318E-6</v>
      </c>
      <c r="Q48" s="97">
        <v>6.1019999999999998E-3</v>
      </c>
      <c r="R48" s="62">
        <f t="shared" si="10"/>
        <v>3.7766610160963176E-6</v>
      </c>
      <c r="S48" s="98">
        <v>1.2600000000000001E-3</v>
      </c>
      <c r="T48" s="95">
        <f t="shared" si="10"/>
        <v>8.4020945689696852E-6</v>
      </c>
      <c r="U48" s="98">
        <v>1.92E-3</v>
      </c>
      <c r="V48" s="95">
        <f t="shared" si="10"/>
        <v>5.0114941590365121E-6</v>
      </c>
      <c r="W48" s="97">
        <v>2.3999999999999998E-3</v>
      </c>
      <c r="X48" s="95">
        <f t="shared" si="6"/>
        <v>3.0928029518123864E-6</v>
      </c>
      <c r="Y48" s="97">
        <v>2.2550000000000001E-3</v>
      </c>
      <c r="Z48" s="95">
        <f t="shared" si="7"/>
        <v>3.6238325873280068E-6</v>
      </c>
      <c r="AA48" s="97">
        <v>2.6504499999999999E-3</v>
      </c>
      <c r="AB48" s="95">
        <f t="shared" si="1"/>
        <v>2.2746270442097148E-6</v>
      </c>
      <c r="AC48">
        <v>2.9399999999999999E-3</v>
      </c>
      <c r="AD48" s="95">
        <f t="shared" si="1"/>
        <v>1.485075343685245E-6</v>
      </c>
      <c r="AE48">
        <v>1.7700000000000001E-3</v>
      </c>
      <c r="AF48" s="95">
        <f t="shared" si="1"/>
        <v>5.7055851612940508E-6</v>
      </c>
    </row>
    <row r="49" spans="1:32">
      <c r="A49" s="63">
        <v>44</v>
      </c>
      <c r="B49" s="78">
        <f>+QxM!G46/1000</f>
        <v>4.1586366741917973E-3</v>
      </c>
      <c r="C49" s="83">
        <v>2.64E-3</v>
      </c>
      <c r="D49" s="62">
        <f t="shared" si="9"/>
        <v>2.306257348200323E-6</v>
      </c>
      <c r="E49" s="67">
        <v>8.0400000000000003E-3</v>
      </c>
      <c r="F49" s="62">
        <f t="shared" si="2"/>
        <v>1.5064981266928915E-5</v>
      </c>
      <c r="G49" s="97">
        <v>3.64E-3</v>
      </c>
      <c r="H49" s="62">
        <f t="shared" si="0"/>
        <v>2.6898399981672846E-7</v>
      </c>
      <c r="I49" s="102">
        <v>4.1900000000000001E-3</v>
      </c>
      <c r="J49" s="62">
        <f t="shared" si="3"/>
        <v>9.8365820575148372E-10</v>
      </c>
      <c r="K49" s="97">
        <v>2.5200000000000001E-3</v>
      </c>
      <c r="L49" s="62">
        <f t="shared" si="4"/>
        <v>2.6851301500063543E-6</v>
      </c>
      <c r="M49" s="102">
        <v>1.14632203E-2</v>
      </c>
      <c r="N49" s="62">
        <f t="shared" si="10"/>
        <v>5.3356941946425314E-5</v>
      </c>
      <c r="O49" s="102">
        <v>3.117E-3</v>
      </c>
      <c r="P49" s="62">
        <f t="shared" si="10"/>
        <v>1.0850069610213486E-6</v>
      </c>
      <c r="Q49" s="97">
        <v>6.5360000000000001E-3</v>
      </c>
      <c r="R49" s="62">
        <f t="shared" si="10"/>
        <v>5.6518563828978393E-6</v>
      </c>
      <c r="S49" s="98">
        <v>1.39E-3</v>
      </c>
      <c r="T49" s="95">
        <f t="shared" si="10"/>
        <v>7.6653490336798172E-6</v>
      </c>
      <c r="U49" s="98">
        <v>2.1099999999999999E-3</v>
      </c>
      <c r="V49" s="95">
        <f t="shared" si="10"/>
        <v>4.1969122228436288E-6</v>
      </c>
      <c r="W49" s="97">
        <v>2.5600000000000002E-3</v>
      </c>
      <c r="X49" s="95">
        <f t="shared" si="6"/>
        <v>2.5556392160710098E-6</v>
      </c>
      <c r="Y49" s="97">
        <v>2.3830000000000001E-3</v>
      </c>
      <c r="Z49" s="95">
        <f t="shared" si="7"/>
        <v>3.1528855987349065E-6</v>
      </c>
      <c r="AA49" s="97">
        <v>2.8170000000000001E-3</v>
      </c>
      <c r="AB49" s="95">
        <f t="shared" si="1"/>
        <v>1.7999889655364266E-6</v>
      </c>
      <c r="AC49">
        <v>3.2290000000000001E-3</v>
      </c>
      <c r="AD49" s="95">
        <f t="shared" si="1"/>
        <v>8.642243460023857E-7</v>
      </c>
      <c r="AE49">
        <v>1.9599999999999999E-3</v>
      </c>
      <c r="AF49" s="95">
        <f t="shared" si="1"/>
        <v>4.8340032251011679E-6</v>
      </c>
    </row>
    <row r="50" spans="1:32">
      <c r="A50" s="63">
        <v>45</v>
      </c>
      <c r="B50" s="78">
        <f>+QxM!G47/1000</f>
        <v>5.5941691525834888E-3</v>
      </c>
      <c r="C50" s="83">
        <v>2.8399999999999996E-3</v>
      </c>
      <c r="D50" s="62">
        <f t="shared" si="9"/>
        <v>7.585447721042455E-6</v>
      </c>
      <c r="E50" s="67">
        <v>8.6099999999999996E-3</v>
      </c>
      <c r="F50" s="62">
        <f t="shared" si="2"/>
        <v>9.0952357002289895E-6</v>
      </c>
      <c r="G50" s="97">
        <v>4.0299999999999997E-3</v>
      </c>
      <c r="H50" s="62">
        <f t="shared" si="0"/>
        <v>2.4466251378937502E-6</v>
      </c>
      <c r="I50" s="102">
        <v>4.5500000000000002E-3</v>
      </c>
      <c r="J50" s="62">
        <f t="shared" si="3"/>
        <v>1.0902892192069205E-6</v>
      </c>
      <c r="K50" s="97">
        <v>2.7699999999999999E-3</v>
      </c>
      <c r="L50" s="62">
        <f t="shared" si="4"/>
        <v>7.9759314024041409E-6</v>
      </c>
      <c r="M50" s="102">
        <v>1.1998532900000001E-2</v>
      </c>
      <c r="N50" s="62">
        <f t="shared" si="10"/>
        <v>4.1015875009222867E-5</v>
      </c>
      <c r="O50" s="102">
        <v>3.3960000000000001E-3</v>
      </c>
      <c r="P50" s="62">
        <f t="shared" si="10"/>
        <v>4.8319476233696129E-6</v>
      </c>
      <c r="Q50" s="97">
        <v>7.0169999999999998E-3</v>
      </c>
      <c r="R50" s="62">
        <f t="shared" si="10"/>
        <v>2.0244476203599869E-6</v>
      </c>
      <c r="S50" s="98">
        <v>1.5299999999999999E-3</v>
      </c>
      <c r="T50" s="95">
        <f t="shared" si="10"/>
        <v>1.6517470900811191E-5</v>
      </c>
      <c r="U50" s="98">
        <v>2.31E-3</v>
      </c>
      <c r="V50" s="95">
        <f t="shared" si="10"/>
        <v>1.078576702278095E-5</v>
      </c>
      <c r="W50" s="97">
        <v>2.7499999999999998E-3</v>
      </c>
      <c r="X50" s="95">
        <f t="shared" si="6"/>
        <v>8.0892981685074811E-6</v>
      </c>
      <c r="Y50" s="97">
        <v>2.5430000000000001E-3</v>
      </c>
      <c r="Z50" s="95">
        <f t="shared" si="7"/>
        <v>9.3096331976770443E-6</v>
      </c>
      <c r="AA50" s="97">
        <v>3.0072599999999999E-3</v>
      </c>
      <c r="AB50" s="95">
        <f t="shared" si="1"/>
        <v>6.6920989637202249E-6</v>
      </c>
      <c r="AC50">
        <v>3.5469999999999998E-3</v>
      </c>
      <c r="AD50" s="95">
        <f t="shared" si="1"/>
        <v>4.1909015392894004E-6</v>
      </c>
      <c r="AE50">
        <v>2.1800000000000001E-3</v>
      </c>
      <c r="AF50" s="95">
        <f t="shared" si="1"/>
        <v>1.1656551002452657E-5</v>
      </c>
    </row>
    <row r="51" spans="1:32">
      <c r="A51" s="63">
        <v>46</v>
      </c>
      <c r="B51" s="78">
        <f>+QxM!G48/1000</f>
        <v>5.5941691525834879E-3</v>
      </c>
      <c r="C51" s="83">
        <v>3.0499999999999998E-3</v>
      </c>
      <c r="D51" s="62">
        <f t="shared" si="9"/>
        <v>6.4727966769573839E-6</v>
      </c>
      <c r="E51" s="67">
        <v>9.2300000000000004E-3</v>
      </c>
      <c r="F51" s="62">
        <f t="shared" si="2"/>
        <v>1.3219265951025476E-5</v>
      </c>
      <c r="G51" s="97">
        <v>4.4600000000000004E-3</v>
      </c>
      <c r="H51" s="62">
        <f t="shared" si="0"/>
        <v>1.2863396666719461E-6</v>
      </c>
      <c r="I51" s="102">
        <v>4.9199999999999999E-3</v>
      </c>
      <c r="J51" s="62">
        <f t="shared" si="3"/>
        <v>4.5450404629513832E-7</v>
      </c>
      <c r="K51" s="97">
        <v>3.0299999999999997E-3</v>
      </c>
      <c r="L51" s="62">
        <f t="shared" si="4"/>
        <v>6.574963443060724E-6</v>
      </c>
      <c r="M51" s="102">
        <v>1.25638703E-2</v>
      </c>
      <c r="N51" s="62">
        <f t="shared" si="10"/>
        <v>4.8576734084299048E-5</v>
      </c>
      <c r="O51" s="102">
        <v>3.7030000000000001E-3</v>
      </c>
      <c r="P51" s="62">
        <f t="shared" si="10"/>
        <v>3.5765207636833472E-6</v>
      </c>
      <c r="Q51" s="97">
        <v>7.5459999999999998E-3</v>
      </c>
      <c r="R51" s="62">
        <f t="shared" si="10"/>
        <v>3.8096436569266586E-6</v>
      </c>
      <c r="S51" s="98">
        <v>1.6999999999999999E-3</v>
      </c>
      <c r="T51" s="95">
        <f t="shared" si="10"/>
        <v>1.51645533889328E-5</v>
      </c>
      <c r="U51" s="98">
        <v>2.5400000000000002E-3</v>
      </c>
      <c r="V51" s="95">
        <f t="shared" si="10"/>
        <v>9.3279492125925405E-6</v>
      </c>
      <c r="W51" s="97">
        <v>2.9499999999999999E-3</v>
      </c>
      <c r="X51" s="95">
        <f t="shared" si="6"/>
        <v>6.9916305074740809E-6</v>
      </c>
      <c r="Y51" s="97">
        <v>2.7750000000000001E-3</v>
      </c>
      <c r="Z51" s="95">
        <f t="shared" si="7"/>
        <v>7.9477147108782998E-6</v>
      </c>
      <c r="AA51" s="97">
        <v>3.2245799999999999E-3</v>
      </c>
      <c r="AB51" s="95">
        <f t="shared" si="1"/>
        <v>5.6149527520413328E-6</v>
      </c>
      <c r="AC51">
        <v>3.8960000000000002E-3</v>
      </c>
      <c r="AD51" s="95">
        <f t="shared" si="1"/>
        <v>2.883778470786121E-6</v>
      </c>
      <c r="AE51">
        <v>2.4099999999999998E-3</v>
      </c>
      <c r="AF51" s="95">
        <f t="shared" si="1"/>
        <v>1.0138933192264249E-5</v>
      </c>
    </row>
    <row r="52" spans="1:32">
      <c r="A52" s="63">
        <v>47</v>
      </c>
      <c r="B52" s="78">
        <f>+QxM!G49/1000</f>
        <v>5.5941691525834888E-3</v>
      </c>
      <c r="C52" s="83">
        <v>3.2799999999999999E-3</v>
      </c>
      <c r="D52" s="62">
        <f t="shared" si="9"/>
        <v>5.3553788667689829E-6</v>
      </c>
      <c r="E52" s="67">
        <v>9.9100000000000004E-3</v>
      </c>
      <c r="F52" s="62">
        <f t="shared" si="2"/>
        <v>1.8626395903511927E-5</v>
      </c>
      <c r="G52" s="97">
        <v>4.9399999999999999E-3</v>
      </c>
      <c r="H52" s="62">
        <f t="shared" si="0"/>
        <v>4.279372801917999E-7</v>
      </c>
      <c r="I52" s="102">
        <v>5.3200000000000001E-3</v>
      </c>
      <c r="J52" s="62">
        <f t="shared" si="3"/>
        <v>7.5168724228348311E-8</v>
      </c>
      <c r="K52" s="97">
        <v>3.2499999999999999E-3</v>
      </c>
      <c r="L52" s="62">
        <f t="shared" si="4"/>
        <v>5.4951290159239927E-6</v>
      </c>
      <c r="M52" s="102">
        <v>1.31986814E-2</v>
      </c>
      <c r="N52" s="62">
        <f t="shared" si="10"/>
        <v>5.7828606521107727E-5</v>
      </c>
      <c r="O52" s="102">
        <v>4.0509999999999999E-3</v>
      </c>
      <c r="P52" s="62">
        <f t="shared" si="10"/>
        <v>2.3813710334852432E-6</v>
      </c>
      <c r="Q52" s="97">
        <v>8.0999999999999996E-3</v>
      </c>
      <c r="R52" s="62">
        <f t="shared" si="10"/>
        <v>6.2791882358641487E-6</v>
      </c>
      <c r="S52" s="98">
        <v>1.89E-3</v>
      </c>
      <c r="T52" s="95">
        <f t="shared" si="10"/>
        <v>1.372086911095108E-5</v>
      </c>
      <c r="U52" s="98">
        <v>2.7699999999999999E-3</v>
      </c>
      <c r="V52" s="95">
        <f t="shared" si="10"/>
        <v>7.9759314024041409E-6</v>
      </c>
      <c r="W52" s="97">
        <v>3.1700000000000001E-3</v>
      </c>
      <c r="X52" s="95">
        <f t="shared" si="6"/>
        <v>5.8765960803373495E-6</v>
      </c>
      <c r="Y52" s="97">
        <v>3.1199999999999999E-3</v>
      </c>
      <c r="Z52" s="95">
        <f t="shared" si="7"/>
        <v>6.1215129955956992E-6</v>
      </c>
      <c r="AA52" s="97">
        <v>3.4728200000000002E-3</v>
      </c>
      <c r="AB52" s="95">
        <f t="shared" si="1"/>
        <v>4.5001222271666857E-6</v>
      </c>
      <c r="AC52">
        <v>4.2770000000000004E-3</v>
      </c>
      <c r="AD52" s="95">
        <f t="shared" si="1"/>
        <v>1.7349345765175049E-6</v>
      </c>
      <c r="AE52">
        <v>2.66E-3</v>
      </c>
      <c r="AF52" s="95">
        <f t="shared" si="1"/>
        <v>8.6093486159725088E-6</v>
      </c>
    </row>
    <row r="53" spans="1:32">
      <c r="A53" s="63">
        <v>48</v>
      </c>
      <c r="B53" s="78">
        <f>+QxM!G50/1000</f>
        <v>5.5941691525834888E-3</v>
      </c>
      <c r="C53" s="83">
        <v>3.5400000000000002E-3</v>
      </c>
      <c r="D53" s="62">
        <f t="shared" si="9"/>
        <v>4.2196109074255681E-6</v>
      </c>
      <c r="E53" s="67">
        <v>1.064E-2</v>
      </c>
      <c r="F53" s="62">
        <f t="shared" si="2"/>
        <v>2.5460408940740029E-5</v>
      </c>
      <c r="G53" s="97">
        <v>5.47E-3</v>
      </c>
      <c r="H53" s="62">
        <f t="shared" si="0"/>
        <v>1.5417978453301708E-8</v>
      </c>
      <c r="I53" s="102">
        <v>5.7400000000000003E-3</v>
      </c>
      <c r="J53" s="62">
        <f t="shared" si="3"/>
        <v>2.1266636058217869E-8</v>
      </c>
      <c r="K53" s="97">
        <v>3.4199999999999999E-3</v>
      </c>
      <c r="L53" s="62">
        <f t="shared" si="4"/>
        <v>4.727011504045606E-6</v>
      </c>
      <c r="M53" s="102">
        <v>1.38818511E-2</v>
      </c>
      <c r="N53" s="62">
        <f t="shared" si="10"/>
        <v>6.8685672061533537E-5</v>
      </c>
      <c r="O53" s="102">
        <v>4.444E-3</v>
      </c>
      <c r="P53" s="62">
        <f t="shared" si="10"/>
        <v>1.3228890795546206E-6</v>
      </c>
      <c r="Q53" s="97">
        <v>8.6669999999999994E-3</v>
      </c>
      <c r="R53" s="62">
        <f t="shared" si="10"/>
        <v>9.4422894168344705E-6</v>
      </c>
      <c r="S53" s="98">
        <v>2.1099999999999999E-3</v>
      </c>
      <c r="T53" s="95">
        <f t="shared" si="10"/>
        <v>1.2139434683814348E-5</v>
      </c>
      <c r="U53" s="98">
        <v>3.0400000000000002E-3</v>
      </c>
      <c r="V53" s="95">
        <f t="shared" si="10"/>
        <v>6.5237800600090567E-6</v>
      </c>
      <c r="W53" s="97">
        <v>3.4099999999999998E-3</v>
      </c>
      <c r="X53" s="95">
        <f t="shared" si="6"/>
        <v>4.7705948870972761E-6</v>
      </c>
      <c r="Y53" s="97">
        <v>3.1779999999999998E-3</v>
      </c>
      <c r="Z53" s="95">
        <f t="shared" si="7"/>
        <v>5.8378733738960147E-6</v>
      </c>
      <c r="AA53" s="97">
        <v>3.7563700000000002E-3</v>
      </c>
      <c r="AB53" s="95">
        <f t="shared" si="1"/>
        <v>3.3775057252365888E-6</v>
      </c>
      <c r="AC53">
        <v>4.6950000000000004E-3</v>
      </c>
      <c r="AD53" s="95">
        <f t="shared" si="1"/>
        <v>8.0850516495770867E-7</v>
      </c>
      <c r="AE53">
        <v>2.9399999999999999E-3</v>
      </c>
      <c r="AF53" s="95">
        <f t="shared" si="1"/>
        <v>7.0446138905257555E-6</v>
      </c>
    </row>
    <row r="54" spans="1:32">
      <c r="A54" s="63">
        <v>49</v>
      </c>
      <c r="B54" s="78">
        <f>+QxM!G51/1000</f>
        <v>5.5941691525834879E-3</v>
      </c>
      <c r="C54" s="83">
        <v>3.8300000000000001E-3</v>
      </c>
      <c r="D54" s="62">
        <f t="shared" si="9"/>
        <v>3.1122927989271417E-6</v>
      </c>
      <c r="E54" s="67">
        <v>1.145E-2</v>
      </c>
      <c r="F54" s="62">
        <f t="shared" si="2"/>
        <v>3.4290754913554789E-5</v>
      </c>
      <c r="G54" s="97">
        <v>6.0600000000000003E-3</v>
      </c>
      <c r="H54" s="62">
        <f t="shared" si="0"/>
        <v>2.1699837840478602E-7</v>
      </c>
      <c r="I54" s="102">
        <v>6.2100000000000002E-3</v>
      </c>
      <c r="J54" s="62">
        <f t="shared" si="3"/>
        <v>3.7924763262973972E-7</v>
      </c>
      <c r="K54" s="97">
        <v>3.64E-3</v>
      </c>
      <c r="L54" s="62">
        <f t="shared" si="4"/>
        <v>3.8187770769088672E-6</v>
      </c>
      <c r="M54" s="102">
        <v>1.46295742E-2</v>
      </c>
      <c r="N54" s="62">
        <f t="shared" si="10"/>
        <v>8.1638544370879774E-5</v>
      </c>
      <c r="O54" s="102">
        <v>4.8780000000000004E-3</v>
      </c>
      <c r="P54" s="62">
        <f t="shared" si="10"/>
        <v>5.1289825511215067E-7</v>
      </c>
      <c r="Q54" s="97">
        <v>9.2069999999999999E-3</v>
      </c>
      <c r="R54" s="62">
        <f t="shared" si="10"/>
        <v>1.3052546732044313E-5</v>
      </c>
      <c r="S54" s="98">
        <v>2.3500000000000001E-3</v>
      </c>
      <c r="T54" s="95">
        <f t="shared" si="10"/>
        <v>1.0524633490574266E-5</v>
      </c>
      <c r="U54" s="98">
        <v>3.3300000000000001E-3</v>
      </c>
      <c r="V54" s="95">
        <f t="shared" si="10"/>
        <v>5.1264619515106293E-6</v>
      </c>
      <c r="W54" s="97">
        <v>3.6700000000000001E-3</v>
      </c>
      <c r="X54" s="95">
        <f t="shared" si="6"/>
        <v>3.7024269277538575E-6</v>
      </c>
      <c r="Y54" s="97">
        <v>3.2550000000000001E-3</v>
      </c>
      <c r="Z54" s="95">
        <f t="shared" si="7"/>
        <v>5.4717123243981528E-6</v>
      </c>
      <c r="AA54" s="97">
        <v>4.0802199999999999E-3</v>
      </c>
      <c r="AB54" s="95">
        <f t="shared" si="1"/>
        <v>2.2920420366082614E-6</v>
      </c>
      <c r="AC54">
        <v>5.1510000000000002E-3</v>
      </c>
      <c r="AD54" s="95">
        <f t="shared" si="1"/>
        <v>1.9639889780156661E-7</v>
      </c>
      <c r="AE54">
        <v>3.2299999999999998E-3</v>
      </c>
      <c r="AF54" s="95">
        <f t="shared" si="1"/>
        <v>5.589295782027328E-6</v>
      </c>
    </row>
    <row r="55" spans="1:32">
      <c r="A55" s="63">
        <v>50</v>
      </c>
      <c r="B55" s="78">
        <f>+QxM!G52/1000</f>
        <v>7.6059961093600083E-3</v>
      </c>
      <c r="C55" s="83">
        <v>4.1399999999999996E-3</v>
      </c>
      <c r="D55" s="62">
        <f t="shared" si="9"/>
        <v>1.2013129030098717E-5</v>
      </c>
      <c r="E55" s="67">
        <v>1.2319999999999999E-2</v>
      </c>
      <c r="F55" s="62">
        <f t="shared" si="2"/>
        <v>2.2221832680968972E-5</v>
      </c>
      <c r="G55" s="97">
        <v>6.7099999999999998E-3</v>
      </c>
      <c r="H55" s="62">
        <f t="shared" si="0"/>
        <v>8.0280902798827229E-7</v>
      </c>
      <c r="I55" s="102">
        <v>6.7099999999999998E-3</v>
      </c>
      <c r="J55" s="62">
        <f t="shared" si="3"/>
        <v>8.0280902798827229E-7</v>
      </c>
      <c r="K55" s="97">
        <v>3.9100000000000003E-3</v>
      </c>
      <c r="L55" s="62">
        <f t="shared" si="4"/>
        <v>1.3660387240404317E-5</v>
      </c>
      <c r="M55" s="102">
        <v>1.54463767E-2</v>
      </c>
      <c r="N55" s="62">
        <f t="shared" ref="N55:V70" si="11">+(M55-$B55)^2</f>
        <v>6.1471567806084318E-5</v>
      </c>
      <c r="O55" s="102">
        <v>5.3470000000000002E-3</v>
      </c>
      <c r="P55" s="62">
        <f t="shared" si="11"/>
        <v>5.1030634221036539E-6</v>
      </c>
      <c r="Q55" s="97">
        <v>9.8160000000000001E-3</v>
      </c>
      <c r="R55" s="62">
        <f t="shared" si="11"/>
        <v>4.8841171966439006E-6</v>
      </c>
      <c r="S55" s="98">
        <v>2.63E-3</v>
      </c>
      <c r="T55" s="95">
        <f t="shared" si="11"/>
        <v>2.4760537280365943E-5</v>
      </c>
      <c r="U55" s="98">
        <v>3.65E-3</v>
      </c>
      <c r="V55" s="95">
        <f t="shared" si="11"/>
        <v>1.5649905217271525E-5</v>
      </c>
      <c r="W55" s="97">
        <v>3.96E-3</v>
      </c>
      <c r="X55" s="95">
        <f t="shared" si="6"/>
        <v>1.3293287629468318E-5</v>
      </c>
      <c r="Y55" s="97">
        <v>3.4510000000000001E-3</v>
      </c>
      <c r="Z55" s="95">
        <f t="shared" si="7"/>
        <v>1.7263992668796806E-5</v>
      </c>
      <c r="AA55" s="97">
        <v>4.4501000000000002E-3</v>
      </c>
      <c r="AB55" s="95">
        <f t="shared" si="1"/>
        <v>9.9596802530736368E-6</v>
      </c>
      <c r="AC55">
        <v>5.6499999999999996E-3</v>
      </c>
      <c r="AD55" s="95">
        <f t="shared" si="1"/>
        <v>3.8259207798314909E-6</v>
      </c>
      <c r="AE55">
        <v>3.5599999999999998E-3</v>
      </c>
      <c r="AF55" s="95">
        <f t="shared" si="1"/>
        <v>1.6370084516956328E-5</v>
      </c>
    </row>
    <row r="56" spans="1:32">
      <c r="A56" s="63">
        <v>51</v>
      </c>
      <c r="B56" s="78">
        <f>+QxM!G53/1000</f>
        <v>7.6059961093600092E-3</v>
      </c>
      <c r="C56" s="83">
        <v>4.4900000000000001E-3</v>
      </c>
      <c r="D56" s="62">
        <f t="shared" si="9"/>
        <v>9.7094317535467141E-6</v>
      </c>
      <c r="E56" s="67">
        <v>1.3270000000000001E-2</v>
      </c>
      <c r="F56" s="62">
        <f t="shared" si="2"/>
        <v>3.2080940073184957E-5</v>
      </c>
      <c r="G56" s="97">
        <v>7.4200000000000004E-3</v>
      </c>
      <c r="H56" s="62">
        <f t="shared" si="0"/>
        <v>3.4594552697060353E-8</v>
      </c>
      <c r="I56" s="102">
        <v>7.3000000000000001E-3</v>
      </c>
      <c r="J56" s="62">
        <f t="shared" si="3"/>
        <v>9.3633618943462653E-8</v>
      </c>
      <c r="K56" s="97">
        <v>4.2599999999999999E-3</v>
      </c>
      <c r="L56" s="62">
        <f t="shared" si="4"/>
        <v>1.119568996385232E-5</v>
      </c>
      <c r="M56" s="102">
        <v>1.6337449300000001E-2</v>
      </c>
      <c r="N56" s="62">
        <f t="shared" si="11"/>
        <v>7.6238274820337288E-5</v>
      </c>
      <c r="O56" s="102">
        <v>5.8380000000000003E-3</v>
      </c>
      <c r="P56" s="62">
        <f t="shared" si="11"/>
        <v>3.1258102427121284E-6</v>
      </c>
      <c r="Q56" s="97">
        <v>1.055E-2</v>
      </c>
      <c r="R56" s="62">
        <f t="shared" si="11"/>
        <v>8.6671589081034052E-6</v>
      </c>
      <c r="S56" s="98">
        <v>2.9399999999999999E-3</v>
      </c>
      <c r="T56" s="95">
        <f t="shared" si="11"/>
        <v>2.1771519692562742E-5</v>
      </c>
      <c r="U56" s="98">
        <v>4.0099999999999997E-3</v>
      </c>
      <c r="V56" s="95">
        <f t="shared" si="11"/>
        <v>1.2931188018532325E-5</v>
      </c>
      <c r="W56" s="97">
        <v>4.2700000000000004E-3</v>
      </c>
      <c r="X56" s="95">
        <f t="shared" si="6"/>
        <v>1.1128870041665116E-5</v>
      </c>
      <c r="Y56" s="97">
        <v>3.8649999999999999E-3</v>
      </c>
      <c r="Z56" s="95">
        <f t="shared" si="7"/>
        <v>1.3995051890246727E-5</v>
      </c>
      <c r="AA56" s="97">
        <v>4.9316799999999999E-3</v>
      </c>
      <c r="AB56" s="95">
        <f t="shared" si="1"/>
        <v>7.1519666527824569E-6</v>
      </c>
      <c r="AC56">
        <v>6.1939999999999999E-3</v>
      </c>
      <c r="AD56" s="95">
        <f t="shared" si="1"/>
        <v>1.9937330128478033E-6</v>
      </c>
      <c r="AE56">
        <v>3.9100000000000003E-3</v>
      </c>
      <c r="AF56" s="95">
        <f t="shared" si="1"/>
        <v>1.3660387240404324E-5</v>
      </c>
    </row>
    <row r="57" spans="1:32">
      <c r="A57" s="63">
        <v>52</v>
      </c>
      <c r="B57" s="78">
        <f>+QxM!G54/1000</f>
        <v>7.6059961093600083E-3</v>
      </c>
      <c r="C57" s="83">
        <v>4.8700000000000002E-3</v>
      </c>
      <c r="D57" s="62">
        <f t="shared" si="9"/>
        <v>7.4856747104331016E-6</v>
      </c>
      <c r="E57" s="67">
        <v>1.43E-2</v>
      </c>
      <c r="F57" s="62">
        <f t="shared" si="2"/>
        <v>4.4809688087903351E-5</v>
      </c>
      <c r="G57" s="97">
        <v>8.1899999999999994E-3</v>
      </c>
      <c r="H57" s="62">
        <f t="shared" si="0"/>
        <v>3.4106054428264661E-7</v>
      </c>
      <c r="I57" s="102">
        <v>7.9600000000000001E-3</v>
      </c>
      <c r="J57" s="62">
        <f t="shared" si="3"/>
        <v>1.2531875458825125E-7</v>
      </c>
      <c r="K57" s="97">
        <v>4.7000000000000002E-3</v>
      </c>
      <c r="L57" s="62">
        <f t="shared" si="4"/>
        <v>8.4448133876155037E-6</v>
      </c>
      <c r="M57" s="102">
        <v>1.7308671500000001E-2</v>
      </c>
      <c r="N57" s="62">
        <f t="shared" si="11"/>
        <v>9.4141909736130956E-5</v>
      </c>
      <c r="O57" s="102">
        <v>6.3369999999999998E-3</v>
      </c>
      <c r="P57" s="62">
        <f t="shared" si="11"/>
        <v>1.6103511255708387E-6</v>
      </c>
      <c r="Q57" s="97">
        <v>1.1455999999999999E-2</v>
      </c>
      <c r="R57" s="62">
        <f t="shared" si="11"/>
        <v>1.4822529957943067E-5</v>
      </c>
      <c r="S57" s="98">
        <v>3.29E-3</v>
      </c>
      <c r="T57" s="95">
        <f t="shared" si="11"/>
        <v>1.8627822416010727E-5</v>
      </c>
      <c r="U57" s="98">
        <v>4.4000000000000003E-3</v>
      </c>
      <c r="V57" s="95">
        <f t="shared" si="11"/>
        <v>1.0278411053231509E-5</v>
      </c>
      <c r="W57" s="97">
        <v>4.62E-3</v>
      </c>
      <c r="X57" s="95">
        <f t="shared" si="6"/>
        <v>8.9161727651131073E-6</v>
      </c>
      <c r="Y57" s="97">
        <v>4.5259999999999996E-3</v>
      </c>
      <c r="Z57" s="95">
        <f t="shared" si="7"/>
        <v>9.4863760336727908E-6</v>
      </c>
      <c r="AA57" s="97">
        <v>5.4605900000000004E-3</v>
      </c>
      <c r="AB57" s="95">
        <f t="shared" si="1"/>
        <v>4.6027673740792465E-6</v>
      </c>
      <c r="AC57">
        <v>6.7879999999999998E-3</v>
      </c>
      <c r="AD57" s="95">
        <f t="shared" si="1"/>
        <v>6.6911763492811104E-7</v>
      </c>
      <c r="AE57">
        <v>4.3E-3</v>
      </c>
      <c r="AF57" s="95">
        <f t="shared" si="1"/>
        <v>1.0929610275103511E-5</v>
      </c>
    </row>
    <row r="58" spans="1:32">
      <c r="A58" s="63">
        <v>53</v>
      </c>
      <c r="B58" s="78">
        <f>+QxM!G55/1000</f>
        <v>7.6059961093600092E-3</v>
      </c>
      <c r="C58" s="83">
        <v>5.2900000000000004E-3</v>
      </c>
      <c r="D58" s="62">
        <f t="shared" si="9"/>
        <v>5.3638379785706975E-6</v>
      </c>
      <c r="E58" s="67">
        <v>1.5429999999999999E-2</v>
      </c>
      <c r="F58" s="62">
        <f t="shared" si="2"/>
        <v>6.1215036880749705E-5</v>
      </c>
      <c r="G58" s="97">
        <v>9.0299999999999998E-3</v>
      </c>
      <c r="H58" s="62">
        <f t="shared" si="0"/>
        <v>2.0277870805578305E-6</v>
      </c>
      <c r="I58" s="102">
        <v>8.7100000000000007E-3</v>
      </c>
      <c r="J58" s="62">
        <f t="shared" si="3"/>
        <v>1.2188245905482384E-6</v>
      </c>
      <c r="K58" s="97">
        <v>5.2100000000000002E-3</v>
      </c>
      <c r="L58" s="62">
        <f t="shared" si="4"/>
        <v>5.7407973560683E-6</v>
      </c>
      <c r="M58" s="102">
        <v>1.8394237800000001E-2</v>
      </c>
      <c r="N58" s="62">
        <f t="shared" si="11"/>
        <v>1.1638615877566283E-4</v>
      </c>
      <c r="O58" s="102">
        <v>6.8370000000000002E-3</v>
      </c>
      <c r="P58" s="62">
        <f t="shared" si="11"/>
        <v>5.9135501621083089E-7</v>
      </c>
      <c r="Q58" s="97">
        <v>1.2461E-2</v>
      </c>
      <c r="R58" s="62">
        <f t="shared" si="11"/>
        <v>2.3571062778129448E-5</v>
      </c>
      <c r="S58" s="98">
        <v>3.6800000000000001E-3</v>
      </c>
      <c r="T58" s="95">
        <f t="shared" si="11"/>
        <v>1.5413445450709928E-5</v>
      </c>
      <c r="U58" s="98">
        <v>4.7999999999999996E-3</v>
      </c>
      <c r="V58" s="95">
        <f t="shared" si="11"/>
        <v>7.873614165743511E-6</v>
      </c>
      <c r="W58" s="97">
        <v>4.9899999999999996E-3</v>
      </c>
      <c r="X58" s="95">
        <f t="shared" si="6"/>
        <v>6.8434356441867069E-6</v>
      </c>
      <c r="Y58" s="97">
        <v>5.0899999999999999E-3</v>
      </c>
      <c r="Z58" s="95">
        <f t="shared" si="7"/>
        <v>6.3302364223147034E-6</v>
      </c>
      <c r="AA58" s="97">
        <v>6.0414400000000004E-3</v>
      </c>
      <c r="AB58" s="95">
        <f t="shared" si="1"/>
        <v>2.447835819335728E-6</v>
      </c>
      <c r="AC58">
        <v>7.437E-3</v>
      </c>
      <c r="AD58" s="95">
        <f t="shared" si="1"/>
        <v>2.8559684978820171E-8</v>
      </c>
      <c r="AE58">
        <v>4.7099999999999998E-3</v>
      </c>
      <c r="AF58" s="95">
        <f t="shared" si="1"/>
        <v>8.3867934654283109E-6</v>
      </c>
    </row>
    <row r="59" spans="1:32">
      <c r="A59" s="63">
        <v>54</v>
      </c>
      <c r="B59" s="78">
        <f>+QxM!G56/1000</f>
        <v>7.6059961093600083E-3</v>
      </c>
      <c r="C59" s="83">
        <v>5.7499999999999999E-3</v>
      </c>
      <c r="D59" s="62">
        <f t="shared" si="9"/>
        <v>3.4447215579594884E-6</v>
      </c>
      <c r="E59" s="67">
        <v>1.6650000000000002E-2</v>
      </c>
      <c r="F59" s="62">
        <f t="shared" si="2"/>
        <v>8.1794006373911351E-5</v>
      </c>
      <c r="G59" s="97">
        <v>9.9399999999999992E-3</v>
      </c>
      <c r="H59" s="62">
        <f t="shared" si="0"/>
        <v>5.4475741615226142E-6</v>
      </c>
      <c r="I59" s="102">
        <v>9.5600000000000008E-3</v>
      </c>
      <c r="J59" s="62">
        <f t="shared" si="3"/>
        <v>3.8181312046362277E-6</v>
      </c>
      <c r="K59" s="97">
        <v>5.8300000000000001E-3</v>
      </c>
      <c r="L59" s="62">
        <f t="shared" si="4"/>
        <v>3.154162180461886E-6</v>
      </c>
      <c r="M59" s="102">
        <v>1.9562155599999999E-2</v>
      </c>
      <c r="N59" s="62">
        <f t="shared" si="11"/>
        <v>1.4294974976562073E-4</v>
      </c>
      <c r="O59" s="102">
        <v>7.3470000000000002E-3</v>
      </c>
      <c r="P59" s="62">
        <f t="shared" si="11"/>
        <v>6.707898466362126E-8</v>
      </c>
      <c r="Q59" s="97">
        <v>1.3516E-2</v>
      </c>
      <c r="R59" s="62">
        <f t="shared" si="11"/>
        <v>3.492814598737984E-5</v>
      </c>
      <c r="S59" s="98">
        <v>4.13E-3</v>
      </c>
      <c r="T59" s="95">
        <f t="shared" si="11"/>
        <v>1.2082548952285915E-5</v>
      </c>
      <c r="U59" s="98">
        <v>5.2199999999999998E-3</v>
      </c>
      <c r="V59" s="95">
        <f t="shared" si="11"/>
        <v>5.6929774338810974E-6</v>
      </c>
      <c r="W59" s="97">
        <v>5.4099999999999999E-3</v>
      </c>
      <c r="X59" s="95">
        <f t="shared" si="6"/>
        <v>4.8223989123242942E-6</v>
      </c>
      <c r="Y59" s="97">
        <v>5.8329999999999996E-3</v>
      </c>
      <c r="Z59" s="95">
        <f t="shared" si="7"/>
        <v>3.1435152038057276E-6</v>
      </c>
      <c r="AA59" s="97">
        <v>6.6793199999999999E-3</v>
      </c>
      <c r="AB59" s="95">
        <f t="shared" si="1"/>
        <v>8.5872861165860227E-7</v>
      </c>
      <c r="AC59">
        <v>8.1449999999999995E-3</v>
      </c>
      <c r="AD59" s="95">
        <f t="shared" si="1"/>
        <v>2.9052519412504756E-7</v>
      </c>
      <c r="AE59">
        <v>5.1399999999999996E-3</v>
      </c>
      <c r="AF59" s="95">
        <f t="shared" si="1"/>
        <v>6.0811368113786999E-6</v>
      </c>
    </row>
    <row r="60" spans="1:32">
      <c r="A60" s="63">
        <v>55</v>
      </c>
      <c r="B60" s="78">
        <f>+QxM!G57/1000</f>
        <v>1.2146877382573614E-2</v>
      </c>
      <c r="C60" s="83">
        <v>6.2500000000000003E-3</v>
      </c>
      <c r="D60" s="62">
        <f t="shared" si="9"/>
        <v>3.4773162865108228E-5</v>
      </c>
      <c r="E60" s="67">
        <v>1.7979999999999999E-2</v>
      </c>
      <c r="F60" s="62">
        <f t="shared" si="2"/>
        <v>3.402531946993125E-5</v>
      </c>
      <c r="G60" s="97">
        <v>1.093E-2</v>
      </c>
      <c r="H60" s="62">
        <f t="shared" si="0"/>
        <v>1.480790564219208E-6</v>
      </c>
      <c r="I60" s="102">
        <v>1.047E-2</v>
      </c>
      <c r="J60" s="62">
        <f t="shared" si="3"/>
        <v>2.8119177561869336E-6</v>
      </c>
      <c r="K60" s="97">
        <v>6.5199999999999998E-3</v>
      </c>
      <c r="L60" s="62">
        <f t="shared" si="4"/>
        <v>3.1661749078518487E-5</v>
      </c>
      <c r="M60" s="102">
        <v>2.0834818500000001E-2</v>
      </c>
      <c r="N60" s="62">
        <f t="shared" si="11"/>
        <v>7.5480320859868069E-5</v>
      </c>
      <c r="O60" s="102">
        <v>7.9050000000000006E-3</v>
      </c>
      <c r="P60" s="62">
        <f t="shared" si="11"/>
        <v>1.7993523728789566E-5</v>
      </c>
      <c r="Q60" s="97">
        <v>1.4767000000000001E-2</v>
      </c>
      <c r="R60" s="62">
        <f t="shared" si="11"/>
        <v>6.8650425303493005E-6</v>
      </c>
      <c r="S60" s="98">
        <v>4.6299999999999996E-3</v>
      </c>
      <c r="T60" s="95">
        <f t="shared" si="11"/>
        <v>5.6503445584646746E-5</v>
      </c>
      <c r="U60" s="98">
        <v>5.6699999999999997E-3</v>
      </c>
      <c r="V60" s="95">
        <f t="shared" si="11"/>
        <v>4.1949940628893631E-5</v>
      </c>
      <c r="W60" s="97">
        <v>5.8599999999999998E-3</v>
      </c>
      <c r="X60" s="95">
        <f t="shared" si="6"/>
        <v>3.9524827223515656E-5</v>
      </c>
      <c r="Y60" s="97">
        <v>6.7010000000000004E-3</v>
      </c>
      <c r="Z60" s="95">
        <f t="shared" si="7"/>
        <v>2.9657580466026832E-5</v>
      </c>
      <c r="AA60" s="97">
        <v>7.3797699999999999E-3</v>
      </c>
      <c r="AB60" s="95">
        <f t="shared" si="1"/>
        <v>2.2725312796987852E-5</v>
      </c>
      <c r="AC60">
        <v>8.9189999999999998E-3</v>
      </c>
      <c r="AD60" s="95">
        <f t="shared" si="1"/>
        <v>1.0419192396930284E-5</v>
      </c>
      <c r="AE60">
        <v>5.62E-3</v>
      </c>
      <c r="AF60" s="95">
        <f t="shared" si="1"/>
        <v>4.2600128367150987E-5</v>
      </c>
    </row>
    <row r="61" spans="1:32">
      <c r="A61" s="63">
        <v>56</v>
      </c>
      <c r="B61" s="78">
        <f>+QxM!G58/1000</f>
        <v>1.2146877382573614E-2</v>
      </c>
      <c r="C61" s="83">
        <v>6.8099999999999992E-3</v>
      </c>
      <c r="D61" s="62">
        <f t="shared" si="9"/>
        <v>2.8482260196625794E-5</v>
      </c>
      <c r="E61" s="67">
        <v>1.9429999999999999E-2</v>
      </c>
      <c r="F61" s="62">
        <f t="shared" si="2"/>
        <v>5.3043875060467765E-5</v>
      </c>
      <c r="G61" s="97">
        <v>1.2019999999999999E-2</v>
      </c>
      <c r="H61" s="62">
        <f t="shared" si="0"/>
        <v>1.6097870208731296E-8</v>
      </c>
      <c r="I61" s="102">
        <v>1.146E-2</v>
      </c>
      <c r="J61" s="62">
        <f t="shared" si="3"/>
        <v>4.7180053869117901E-7</v>
      </c>
      <c r="K61" s="97">
        <v>7.26E-3</v>
      </c>
      <c r="L61" s="62">
        <f t="shared" si="4"/>
        <v>2.3881570552309534E-5</v>
      </c>
      <c r="M61" s="102">
        <v>2.2222863200000002E-2</v>
      </c>
      <c r="N61" s="62">
        <f t="shared" si="11"/>
        <v>1.0152549019297771E-4</v>
      </c>
      <c r="O61" s="102">
        <v>8.5079999999999999E-3</v>
      </c>
      <c r="P61" s="62">
        <f t="shared" si="11"/>
        <v>1.3241428605405794E-5</v>
      </c>
      <c r="Q61" s="97">
        <v>1.6286999999999999E-2</v>
      </c>
      <c r="R61" s="62">
        <f t="shared" si="11"/>
        <v>1.7140615287325506E-5</v>
      </c>
      <c r="S61" s="98">
        <v>5.1900000000000002E-3</v>
      </c>
      <c r="T61" s="95">
        <f t="shared" si="11"/>
        <v>4.8398142916164295E-5</v>
      </c>
      <c r="U61" s="98">
        <v>6.1500000000000001E-3</v>
      </c>
      <c r="V61" s="95">
        <f t="shared" si="11"/>
        <v>3.5962538341622954E-5</v>
      </c>
      <c r="W61" s="97">
        <v>6.3499999999999997E-3</v>
      </c>
      <c r="X61" s="95">
        <f t="shared" si="6"/>
        <v>3.3603787388593511E-5</v>
      </c>
      <c r="Y61" s="97">
        <v>7.6379999999999998E-3</v>
      </c>
      <c r="Z61" s="95">
        <f t="shared" si="7"/>
        <v>2.0329975251083884E-5</v>
      </c>
      <c r="AA61" s="97">
        <v>8.1488800000000007E-3</v>
      </c>
      <c r="AB61" s="95">
        <f t="shared" si="1"/>
        <v>1.5983983071065459E-5</v>
      </c>
      <c r="AC61">
        <v>9.7630000000000008E-3</v>
      </c>
      <c r="AD61" s="95">
        <f t="shared" si="1"/>
        <v>5.6828713751460195E-6</v>
      </c>
      <c r="AE61">
        <v>6.1399999999999996E-3</v>
      </c>
      <c r="AF61" s="95">
        <f t="shared" si="1"/>
        <v>3.6082575889274437E-5</v>
      </c>
    </row>
    <row r="62" spans="1:32">
      <c r="A62" s="63">
        <v>57</v>
      </c>
      <c r="B62" s="78">
        <f>+QxM!G59/1000</f>
        <v>1.2146877382573612E-2</v>
      </c>
      <c r="C62" s="83">
        <v>7.43E-3</v>
      </c>
      <c r="D62" s="62">
        <f t="shared" si="9"/>
        <v>2.224893224223449E-5</v>
      </c>
      <c r="E62" s="67">
        <v>2.1000000000000001E-2</v>
      </c>
      <c r="F62" s="62">
        <f t="shared" si="2"/>
        <v>7.8377780079186683E-5</v>
      </c>
      <c r="G62" s="97">
        <v>1.3220000000000001E-2</v>
      </c>
      <c r="H62" s="62">
        <f t="shared" si="0"/>
        <v>1.1515921520320636E-6</v>
      </c>
      <c r="I62" s="102">
        <v>1.2489999999999999E-2</v>
      </c>
      <c r="J62" s="62">
        <f t="shared" si="3"/>
        <v>1.1773313058953495E-7</v>
      </c>
      <c r="K62" s="97">
        <v>7.9500000000000005E-3</v>
      </c>
      <c r="L62" s="62">
        <f t="shared" si="4"/>
        <v>1.761377976435793E-5</v>
      </c>
      <c r="M62" s="102">
        <v>2.3753601999999999E-2</v>
      </c>
      <c r="N62" s="62">
        <f t="shared" si="11"/>
        <v>1.3471605634477171E-4</v>
      </c>
      <c r="O62" s="102">
        <v>9.1160000000000008E-3</v>
      </c>
      <c r="P62" s="62">
        <f t="shared" si="11"/>
        <v>9.1862177081962648E-6</v>
      </c>
      <c r="Q62" s="97">
        <v>1.8183999999999999E-2</v>
      </c>
      <c r="R62" s="62">
        <f t="shared" si="11"/>
        <v>3.6446849497841228E-5</v>
      </c>
      <c r="S62" s="98">
        <v>5.8199999999999997E-3</v>
      </c>
      <c r="T62" s="95">
        <f t="shared" si="11"/>
        <v>4.0029377414121527E-5</v>
      </c>
      <c r="U62" s="98">
        <v>6.6600000000000001E-3</v>
      </c>
      <c r="V62" s="95">
        <f t="shared" si="11"/>
        <v>3.010582341139785E-5</v>
      </c>
      <c r="W62" s="97">
        <v>6.8999999999999999E-3</v>
      </c>
      <c r="X62" s="95">
        <f t="shared" si="6"/>
        <v>2.7529722267762519E-5</v>
      </c>
      <c r="Y62" s="97">
        <v>8.5889999999999994E-3</v>
      </c>
      <c r="Z62" s="95">
        <f t="shared" si="7"/>
        <v>1.2658491469428861E-5</v>
      </c>
      <c r="AA62" s="97">
        <v>8.9933099999999992E-3</v>
      </c>
      <c r="AB62" s="95">
        <f t="shared" si="1"/>
        <v>9.9449872364321879E-6</v>
      </c>
      <c r="AC62">
        <v>1.0687E-2</v>
      </c>
      <c r="AD62" s="95">
        <f t="shared" si="1"/>
        <v>2.1312419721499797E-6</v>
      </c>
      <c r="AE62">
        <v>6.7299999999999999E-3</v>
      </c>
      <c r="AF62" s="95">
        <f t="shared" si="1"/>
        <v>2.9342560577837548E-5</v>
      </c>
    </row>
    <row r="63" spans="1:32">
      <c r="A63" s="63">
        <v>58</v>
      </c>
      <c r="B63" s="78">
        <f>+QxM!G60/1000</f>
        <v>1.2146877382573612E-2</v>
      </c>
      <c r="C63" s="83">
        <v>8.0999999999999996E-3</v>
      </c>
      <c r="D63" s="62">
        <f t="shared" si="9"/>
        <v>1.6377216549585852E-5</v>
      </c>
      <c r="E63" s="67">
        <v>2.2710000000000001E-2</v>
      </c>
      <c r="F63" s="62">
        <f t="shared" si="2"/>
        <v>1.1157955943078492E-4</v>
      </c>
      <c r="G63" s="97">
        <v>1.4540000000000001E-2</v>
      </c>
      <c r="H63" s="62">
        <f t="shared" si="0"/>
        <v>5.7270358620377296E-6</v>
      </c>
      <c r="I63" s="102">
        <v>1.359E-2</v>
      </c>
      <c r="J63" s="62">
        <f t="shared" si="3"/>
        <v>2.082602888927588E-6</v>
      </c>
      <c r="K63" s="97">
        <v>8.6300000000000005E-3</v>
      </c>
      <c r="L63" s="62">
        <f t="shared" si="4"/>
        <v>1.2368426524057817E-5</v>
      </c>
      <c r="M63" s="102">
        <v>2.5412632099999999E-2</v>
      </c>
      <c r="N63" s="62">
        <f t="shared" si="11"/>
        <v>1.7598024822292044E-4</v>
      </c>
      <c r="O63" s="102">
        <v>9.7230000000000007E-3</v>
      </c>
      <c r="P63" s="62">
        <f t="shared" si="11"/>
        <v>5.875181565751901E-6</v>
      </c>
      <c r="Q63" s="97">
        <v>2.0507000000000001E-2</v>
      </c>
      <c r="R63" s="62">
        <f t="shared" si="11"/>
        <v>6.9891650178404251E-5</v>
      </c>
      <c r="S63" s="98">
        <v>6.5300000000000002E-3</v>
      </c>
      <c r="T63" s="95">
        <f t="shared" si="11"/>
        <v>3.1549311530866986E-5</v>
      </c>
      <c r="U63" s="98">
        <v>7.1799999999999998E-3</v>
      </c>
      <c r="V63" s="95">
        <f t="shared" si="11"/>
        <v>2.4669870933521296E-5</v>
      </c>
      <c r="W63" s="97">
        <v>7.4900000000000001E-3</v>
      </c>
      <c r="X63" s="95">
        <f t="shared" si="6"/>
        <v>2.1686506956325655E-5</v>
      </c>
      <c r="Y63" s="97">
        <v>1.0506E-2</v>
      </c>
      <c r="Z63" s="95">
        <f t="shared" si="7"/>
        <v>2.692478584641629E-6</v>
      </c>
      <c r="AA63" s="97">
        <v>9.9203699999999995E-3</v>
      </c>
      <c r="AB63" s="95">
        <f t="shared" si="1"/>
        <v>4.9573351246547987E-6</v>
      </c>
      <c r="AC63">
        <v>1.1697000000000001E-2</v>
      </c>
      <c r="AD63" s="95">
        <f t="shared" si="1"/>
        <v>2.0238965935128336E-7</v>
      </c>
      <c r="AE63">
        <v>7.3800000000000003E-3</v>
      </c>
      <c r="AF63" s="95">
        <f t="shared" si="1"/>
        <v>2.2723119980491849E-5</v>
      </c>
    </row>
    <row r="64" spans="1:32">
      <c r="A64" s="63">
        <v>59</v>
      </c>
      <c r="B64" s="78">
        <f>+QxM!G61/1000</f>
        <v>1.2146877382573614E-2</v>
      </c>
      <c r="C64" s="83">
        <v>8.8400000000000006E-3</v>
      </c>
      <c r="D64" s="62">
        <f t="shared" si="9"/>
        <v>1.0935438023376911E-5</v>
      </c>
      <c r="E64" s="67">
        <v>2.4570000000000002E-2</v>
      </c>
      <c r="F64" s="62">
        <f t="shared" si="2"/>
        <v>1.5433397556761106E-4</v>
      </c>
      <c r="G64" s="97">
        <v>1.5980000000000001E-2</v>
      </c>
      <c r="H64" s="62">
        <f t="shared" si="0"/>
        <v>1.4692829000225719E-5</v>
      </c>
      <c r="I64" s="102">
        <v>1.477E-2</v>
      </c>
      <c r="J64" s="62">
        <f t="shared" si="3"/>
        <v>6.8807722660538563E-6</v>
      </c>
      <c r="K64" s="97">
        <v>9.4199999999999996E-3</v>
      </c>
      <c r="L64" s="62">
        <f t="shared" si="4"/>
        <v>7.4358602595915256E-6</v>
      </c>
      <c r="M64" s="102">
        <v>2.7215772400000001E-2</v>
      </c>
      <c r="N64" s="62">
        <f t="shared" si="11"/>
        <v>2.270715970462178E-4</v>
      </c>
      <c r="O64" s="102">
        <v>1.0354E-2</v>
      </c>
      <c r="P64" s="62">
        <f t="shared" si="11"/>
        <v>3.214409308944011E-6</v>
      </c>
      <c r="Q64" s="97">
        <v>2.3132E-2</v>
      </c>
      <c r="R64" s="62">
        <f t="shared" si="11"/>
        <v>1.2067291891989273E-4</v>
      </c>
      <c r="S64" s="98">
        <v>7.3299999999999997E-3</v>
      </c>
      <c r="T64" s="95">
        <f t="shared" si="11"/>
        <v>2.320230771874923E-5</v>
      </c>
      <c r="U64" s="98">
        <v>7.7400000000000004E-3</v>
      </c>
      <c r="V64" s="95">
        <f t="shared" si="11"/>
        <v>1.9420568265038863E-5</v>
      </c>
      <c r="W64" s="97">
        <v>8.1399999999999997E-3</v>
      </c>
      <c r="X64" s="95">
        <f t="shared" si="6"/>
        <v>1.6055066358979978E-5</v>
      </c>
      <c r="Y64" s="97">
        <v>1.2378999999999999E-2</v>
      </c>
      <c r="Z64" s="95">
        <f t="shared" si="7"/>
        <v>5.3880909520876173E-8</v>
      </c>
      <c r="AA64" s="97">
        <v>1.0938059999999999E-2</v>
      </c>
      <c r="AB64" s="95">
        <f t="shared" si="1"/>
        <v>1.461239464412124E-6</v>
      </c>
      <c r="AC64">
        <v>1.2801999999999999E-2</v>
      </c>
      <c r="AD64" s="95">
        <f t="shared" si="1"/>
        <v>4.2918564386359807E-7</v>
      </c>
      <c r="AE64">
        <v>8.0999999999999996E-3</v>
      </c>
      <c r="AF64" s="95">
        <f t="shared" si="1"/>
        <v>1.6377216549585866E-5</v>
      </c>
    </row>
    <row r="65" spans="1:32">
      <c r="A65" s="63">
        <v>60</v>
      </c>
      <c r="B65" s="78">
        <f>+QxM!G62/1000</f>
        <v>1.7820511140781838E-2</v>
      </c>
      <c r="C65" s="83">
        <v>9.6600000000000002E-3</v>
      </c>
      <c r="D65" s="62">
        <f t="shared" si="9"/>
        <v>6.6593942078824501E-5</v>
      </c>
      <c r="E65" s="67">
        <v>2.6589999999999999E-2</v>
      </c>
      <c r="F65" s="62">
        <f t="shared" si="2"/>
        <v>7.6903934851951444E-5</v>
      </c>
      <c r="G65" s="97">
        <v>1.7559999999999999E-2</v>
      </c>
      <c r="H65" s="62">
        <f t="shared" si="0"/>
        <v>6.7866054471455155E-8</v>
      </c>
      <c r="I65" s="102">
        <v>1.6080000000000001E-2</v>
      </c>
      <c r="J65" s="62">
        <f t="shared" si="3"/>
        <v>3.0293790311856942E-6</v>
      </c>
      <c r="K65" s="97">
        <v>1.04E-2</v>
      </c>
      <c r="L65" s="62">
        <f t="shared" si="4"/>
        <v>5.5063985590467385E-5</v>
      </c>
      <c r="M65" s="102">
        <v>2.9213855699999999E-2</v>
      </c>
      <c r="N65" s="62">
        <f t="shared" si="11"/>
        <v>1.2980830024506606E-4</v>
      </c>
      <c r="O65" s="102">
        <v>1.1046E-2</v>
      </c>
      <c r="P65" s="62">
        <f t="shared" si="11"/>
        <v>4.5894001196577239E-5</v>
      </c>
      <c r="Q65" s="97">
        <v>2.6084E-2</v>
      </c>
      <c r="R65" s="62">
        <f t="shared" si="11"/>
        <v>6.8285248126422662E-5</v>
      </c>
      <c r="S65" s="98">
        <v>8.2199999999999999E-3</v>
      </c>
      <c r="T65" s="95">
        <f t="shared" si="11"/>
        <v>9.216981416427619E-5</v>
      </c>
      <c r="U65" s="98">
        <v>8.3400000000000002E-3</v>
      </c>
      <c r="V65" s="95">
        <f t="shared" si="11"/>
        <v>8.9880091490488552E-5</v>
      </c>
      <c r="W65" s="97">
        <v>8.8599999999999998E-3</v>
      </c>
      <c r="X65" s="95">
        <f t="shared" si="6"/>
        <v>8.0290759904075448E-5</v>
      </c>
      <c r="Y65" s="97">
        <v>1.4205000000000001E-2</v>
      </c>
      <c r="Z65" s="95">
        <f t="shared" si="7"/>
        <v>1.3071920809117585E-5</v>
      </c>
      <c r="AA65" s="97">
        <v>1.2055130000000001E-2</v>
      </c>
      <c r="AB65" s="95">
        <f t="shared" si="1"/>
        <v>3.3239619698482882E-5</v>
      </c>
      <c r="AC65">
        <v>1.4012E-2</v>
      </c>
      <c r="AD65" s="95">
        <f t="shared" si="1"/>
        <v>1.4504757109459377E-5</v>
      </c>
      <c r="AE65">
        <v>8.9099999999999995E-3</v>
      </c>
      <c r="AF65" s="95">
        <f t="shared" si="1"/>
        <v>7.9397208789997267E-5</v>
      </c>
    </row>
    <row r="66" spans="1:32">
      <c r="A66" s="63">
        <v>61</v>
      </c>
      <c r="B66" s="78">
        <f>+QxM!G63/1000</f>
        <v>1.7820511140781838E-2</v>
      </c>
      <c r="C66" s="83">
        <v>1.056E-2</v>
      </c>
      <c r="D66" s="62">
        <f t="shared" si="9"/>
        <v>5.2715022025417188E-5</v>
      </c>
      <c r="E66" s="67">
        <v>2.878E-2</v>
      </c>
      <c r="F66" s="62">
        <f t="shared" si="2"/>
        <v>1.20110396055327E-4</v>
      </c>
      <c r="G66" s="97">
        <v>1.9259999999999999E-2</v>
      </c>
      <c r="H66" s="62">
        <f t="shared" si="0"/>
        <v>2.0721281758132027E-6</v>
      </c>
      <c r="I66" s="102">
        <v>1.754E-2</v>
      </c>
      <c r="J66" s="62">
        <f t="shared" si="3"/>
        <v>7.868650010272827E-8</v>
      </c>
      <c r="K66" s="97">
        <v>1.159E-2</v>
      </c>
      <c r="L66" s="62">
        <f t="shared" si="4"/>
        <v>3.8819269075406611E-5</v>
      </c>
      <c r="M66" s="102">
        <v>3.1383377300000001E-2</v>
      </c>
      <c r="N66" s="62">
        <f t="shared" si="11"/>
        <v>1.8395133845286525E-4</v>
      </c>
      <c r="O66" s="102">
        <v>1.1835E-2</v>
      </c>
      <c r="P66" s="62">
        <f t="shared" si="11"/>
        <v>3.5826343616423501E-5</v>
      </c>
      <c r="Q66" s="97">
        <v>2.9267000000000001E-2</v>
      </c>
      <c r="R66" s="62">
        <f t="shared" si="11"/>
        <v>1.3102210720420553E-4</v>
      </c>
      <c r="S66" s="98">
        <v>9.2099999999999994E-3</v>
      </c>
      <c r="T66" s="95">
        <f t="shared" si="11"/>
        <v>7.4140902105528168E-5</v>
      </c>
      <c r="U66" s="98">
        <v>9.0200000000000002E-3</v>
      </c>
      <c r="V66" s="95">
        <f t="shared" si="11"/>
        <v>7.7448996339025248E-5</v>
      </c>
      <c r="W66" s="97">
        <v>9.6399999999999993E-3</v>
      </c>
      <c r="X66" s="95">
        <f t="shared" si="6"/>
        <v>6.6920762524455785E-5</v>
      </c>
      <c r="Y66" s="97">
        <v>1.5980000000000001E-2</v>
      </c>
      <c r="Z66" s="95">
        <f t="shared" si="7"/>
        <v>3.3874812593420595E-6</v>
      </c>
      <c r="AA66" s="97">
        <v>1.328114E-2</v>
      </c>
      <c r="AB66" s="95">
        <f t="shared" si="1"/>
        <v>2.0605890353763003E-5</v>
      </c>
      <c r="AC66">
        <v>1.5339E-2</v>
      </c>
      <c r="AD66" s="95">
        <f t="shared" si="1"/>
        <v>6.1578975418243793E-6</v>
      </c>
      <c r="AE66">
        <v>9.7699999999999992E-3</v>
      </c>
      <c r="AF66" s="95">
        <f t="shared" si="1"/>
        <v>6.4810729627852505E-5</v>
      </c>
    </row>
    <row r="67" spans="1:32">
      <c r="A67" s="63">
        <v>62</v>
      </c>
      <c r="B67" s="78">
        <f>+QxM!G64/1000</f>
        <v>1.7820511140781838E-2</v>
      </c>
      <c r="C67" s="83">
        <v>1.1550000000000001E-2</v>
      </c>
      <c r="D67" s="62">
        <f t="shared" si="9"/>
        <v>3.9319309966669134E-5</v>
      </c>
      <c r="E67" s="67">
        <v>3.1179999999999999E-2</v>
      </c>
      <c r="F67" s="62">
        <f t="shared" si="2"/>
        <v>1.7847594257957417E-4</v>
      </c>
      <c r="G67" s="97">
        <v>2.1100000000000001E-2</v>
      </c>
      <c r="H67" s="62">
        <f t="shared" si="0"/>
        <v>1.0755047177736045E-5</v>
      </c>
      <c r="I67" s="102">
        <v>1.9189999999999999E-2</v>
      </c>
      <c r="J67" s="62">
        <f t="shared" si="3"/>
        <v>1.8754997355226586E-6</v>
      </c>
      <c r="K67" s="97">
        <v>1.298E-2</v>
      </c>
      <c r="L67" s="62">
        <f t="shared" si="4"/>
        <v>2.3430548104033091E-5</v>
      </c>
      <c r="M67" s="102">
        <v>3.37324294E-2</v>
      </c>
      <c r="N67" s="62">
        <f t="shared" si="11"/>
        <v>2.5318914268804033E-4</v>
      </c>
      <c r="O67" s="102">
        <v>1.2728E-2</v>
      </c>
      <c r="P67" s="62">
        <f t="shared" si="11"/>
        <v>2.5933669718987143E-5</v>
      </c>
      <c r="Q67" s="97">
        <v>3.2675999999999997E-2</v>
      </c>
      <c r="R67" s="62">
        <f t="shared" si="11"/>
        <v>2.2068554924635481E-4</v>
      </c>
      <c r="S67" s="98">
        <v>1.0319999999999999E-2</v>
      </c>
      <c r="T67" s="95">
        <f t="shared" si="11"/>
        <v>5.6257667372992481E-5</v>
      </c>
      <c r="U67" s="98">
        <v>9.8099999999999993E-3</v>
      </c>
      <c r="V67" s="95">
        <f t="shared" si="11"/>
        <v>6.4168288736589962E-5</v>
      </c>
      <c r="W67" s="97">
        <v>1.0489999999999999E-2</v>
      </c>
      <c r="X67" s="95">
        <f t="shared" si="6"/>
        <v>5.3736393585126657E-5</v>
      </c>
      <c r="Y67" s="97">
        <v>1.77E-2</v>
      </c>
      <c r="Z67" s="95">
        <f t="shared" si="7"/>
        <v>1.4522935052539931E-8</v>
      </c>
      <c r="AA67" s="97">
        <v>1.462658E-2</v>
      </c>
      <c r="AB67" s="95">
        <f t="shared" si="1"/>
        <v>1.0201196132055974E-5</v>
      </c>
      <c r="AC67">
        <v>1.6794E-2</v>
      </c>
      <c r="AD67" s="95">
        <f t="shared" si="1"/>
        <v>1.0537251221492312E-6</v>
      </c>
      <c r="AE67">
        <v>1.0630000000000001E-2</v>
      </c>
      <c r="AF67" s="95">
        <f t="shared" si="1"/>
        <v>5.1703450465707727E-5</v>
      </c>
    </row>
    <row r="68" spans="1:32">
      <c r="A68" s="63">
        <v>63</v>
      </c>
      <c r="B68" s="78">
        <f>+QxM!G65/1000</f>
        <v>1.7820511140781838E-2</v>
      </c>
      <c r="C68" s="83">
        <v>1.264E-2</v>
      </c>
      <c r="D68" s="62">
        <f t="shared" si="9"/>
        <v>2.6837695679764742E-5</v>
      </c>
      <c r="E68" s="67">
        <v>3.3759999999999998E-2</v>
      </c>
      <c r="F68" s="62">
        <f t="shared" si="2"/>
        <v>2.5406730509313984E-4</v>
      </c>
      <c r="G68" s="97">
        <v>2.3089999999999999E-2</v>
      </c>
      <c r="H68" s="62">
        <f t="shared" si="0"/>
        <v>2.7767512837424318E-5</v>
      </c>
      <c r="I68" s="102">
        <v>2.1059999999999999E-2</v>
      </c>
      <c r="J68" s="62">
        <f t="shared" si="3"/>
        <v>1.049428806899858E-5</v>
      </c>
      <c r="K68" s="97">
        <v>1.447E-2</v>
      </c>
      <c r="L68" s="62">
        <f t="shared" si="4"/>
        <v>1.1225924904503214E-5</v>
      </c>
      <c r="M68" s="102">
        <v>3.6324111300000003E-2</v>
      </c>
      <c r="N68" s="62">
        <f t="shared" si="11"/>
        <v>3.423832188522185E-4</v>
      </c>
      <c r="O68" s="102">
        <v>1.3743E-2</v>
      </c>
      <c r="P68" s="62">
        <f t="shared" si="11"/>
        <v>1.6626097103200009E-5</v>
      </c>
      <c r="Q68" s="97">
        <v>3.6323000000000001E-2</v>
      </c>
      <c r="R68" s="62">
        <f t="shared" si="11"/>
        <v>3.4234209398549222E-4</v>
      </c>
      <c r="S68" s="98">
        <v>1.157E-2</v>
      </c>
      <c r="T68" s="95">
        <f t="shared" si="11"/>
        <v>3.9068889521037875E-5</v>
      </c>
      <c r="U68" s="98">
        <v>1.072E-2</v>
      </c>
      <c r="V68" s="95">
        <f t="shared" si="11"/>
        <v>5.0417258460366995E-5</v>
      </c>
      <c r="W68" s="97">
        <v>1.1429999999999999E-2</v>
      </c>
      <c r="X68" s="95">
        <f t="shared" si="6"/>
        <v>4.0838632640456804E-5</v>
      </c>
      <c r="Y68" s="97">
        <v>1.8846000000000002E-2</v>
      </c>
      <c r="Z68" s="95">
        <f t="shared" si="7"/>
        <v>1.0516274003805701E-6</v>
      </c>
      <c r="AA68" s="97">
        <v>1.6102869999999998E-2</v>
      </c>
      <c r="AB68" s="95">
        <f t="shared" si="1"/>
        <v>2.9502910885063404E-6</v>
      </c>
      <c r="AC68">
        <v>1.8391999999999999E-2</v>
      </c>
      <c r="AD68" s="95">
        <f t="shared" si="1"/>
        <v>3.2659951621047431E-7</v>
      </c>
      <c r="AE68">
        <v>1.149E-2</v>
      </c>
      <c r="AF68" s="95">
        <f t="shared" si="1"/>
        <v>4.0075371303562968E-5</v>
      </c>
    </row>
    <row r="69" spans="1:32">
      <c r="A69" s="63">
        <v>64</v>
      </c>
      <c r="B69" s="78">
        <f>+QxM!G66/1000</f>
        <v>1.7820511140781835E-2</v>
      </c>
      <c r="C69" s="83">
        <v>1.384E-2</v>
      </c>
      <c r="D69" s="62">
        <f t="shared" si="9"/>
        <v>1.5844468941888304E-5</v>
      </c>
      <c r="E69" s="67">
        <v>3.6580000000000001E-2</v>
      </c>
      <c r="F69" s="62">
        <f t="shared" si="2"/>
        <v>3.5191842225913049E-4</v>
      </c>
      <c r="G69" s="97">
        <v>2.5250000000000002E-2</v>
      </c>
      <c r="H69" s="62">
        <f t="shared" si="0"/>
        <v>5.5197304709246855E-5</v>
      </c>
      <c r="I69" s="102">
        <v>2.3140000000000001E-2</v>
      </c>
      <c r="J69" s="62">
        <f t="shared" si="3"/>
        <v>2.8296961723346185E-5</v>
      </c>
      <c r="K69" s="97">
        <v>1.6039999999999999E-2</v>
      </c>
      <c r="L69" s="62">
        <f t="shared" si="4"/>
        <v>3.1702199224482352E-6</v>
      </c>
      <c r="M69" s="102">
        <v>3.9123968799999999E-2</v>
      </c>
      <c r="N69" s="62">
        <f t="shared" si="11"/>
        <v>4.5383730823810107E-4</v>
      </c>
      <c r="O69" s="102">
        <v>1.4885000000000001E-2</v>
      </c>
      <c r="P69" s="62">
        <f t="shared" si="11"/>
        <v>8.6172256576542657E-6</v>
      </c>
      <c r="Q69" s="97">
        <v>4.0294999999999997E-2</v>
      </c>
      <c r="R69" s="62">
        <f t="shared" si="11"/>
        <v>5.0510264948312126E-4</v>
      </c>
      <c r="S69" s="98">
        <v>1.2959999999999999E-2</v>
      </c>
      <c r="T69" s="95">
        <f t="shared" si="11"/>
        <v>2.3624568549664338E-5</v>
      </c>
      <c r="U69" s="98">
        <v>1.18E-2</v>
      </c>
      <c r="V69" s="95">
        <f t="shared" si="11"/>
        <v>3.6246554396278192E-5</v>
      </c>
      <c r="W69" s="97">
        <v>1.2460000000000001E-2</v>
      </c>
      <c r="X69" s="95">
        <f t="shared" si="6"/>
        <v>2.8735079690446162E-5</v>
      </c>
      <c r="Y69" s="97">
        <v>2.0431999999999999E-2</v>
      </c>
      <c r="Z69" s="95">
        <f t="shared" si="7"/>
        <v>6.8198740618205873E-6</v>
      </c>
      <c r="AA69" s="97">
        <v>1.7722519999999999E-2</v>
      </c>
      <c r="AB69" s="95">
        <f t="shared" si="1"/>
        <v>9.60226367172565E-9</v>
      </c>
      <c r="AC69">
        <v>2.1047E-2</v>
      </c>
      <c r="AD69" s="95">
        <f t="shared" si="1"/>
        <v>1.0410230358658935E-5</v>
      </c>
      <c r="AE69">
        <v>1.238E-2</v>
      </c>
      <c r="AF69" s="95">
        <f t="shared" si="1"/>
        <v>2.9599161472971257E-5</v>
      </c>
    </row>
    <row r="70" spans="1:32">
      <c r="A70" s="63">
        <v>65</v>
      </c>
      <c r="B70" s="78">
        <f>+QxM!G67/1000</f>
        <v>2.7661374006741079E-2</v>
      </c>
      <c r="C70" s="83">
        <v>1.515E-2</v>
      </c>
      <c r="D70" s="62">
        <f t="shared" si="9"/>
        <v>1.565344795365563E-4</v>
      </c>
      <c r="E70" s="67">
        <v>3.9640000000000002E-2</v>
      </c>
      <c r="F70" s="62">
        <f t="shared" si="2"/>
        <v>1.4348748068637832E-4</v>
      </c>
      <c r="G70" s="97">
        <v>2.7609999999999999E-2</v>
      </c>
      <c r="H70" s="62">
        <f t="shared" ref="H70:H105" si="12">+(G70-$B70)^2</f>
        <v>2.6392885686325107E-9</v>
      </c>
      <c r="I70" s="102">
        <v>2.5420000000000002E-2</v>
      </c>
      <c r="J70" s="62">
        <f t="shared" si="3"/>
        <v>5.023757438094551E-6</v>
      </c>
      <c r="K70" s="97">
        <v>1.7649999999999999E-2</v>
      </c>
      <c r="L70" s="62">
        <f t="shared" si="4"/>
        <v>1.0022760950285094E-4</v>
      </c>
      <c r="M70" s="102">
        <v>4.2205930599999997E-2</v>
      </c>
      <c r="N70" s="62">
        <f t="shared" si="11"/>
        <v>2.1154412649451146E-4</v>
      </c>
      <c r="O70" s="102">
        <v>1.6181999999999998E-2</v>
      </c>
      <c r="P70" s="62">
        <f t="shared" si="11"/>
        <v>1.3177602758664278E-4</v>
      </c>
      <c r="Q70" s="97">
        <v>4.4478999999999998E-2</v>
      </c>
      <c r="R70" s="62">
        <f t="shared" si="11"/>
        <v>2.8283254404913805E-4</v>
      </c>
      <c r="S70" s="98">
        <v>1.451E-2</v>
      </c>
      <c r="T70" s="95">
        <f t="shared" si="11"/>
        <v>1.7295863826518489E-4</v>
      </c>
      <c r="U70" s="98">
        <v>1.306E-2</v>
      </c>
      <c r="V70" s="95">
        <f t="shared" si="11"/>
        <v>2.1320012288473402E-4</v>
      </c>
      <c r="W70" s="97">
        <v>1.358E-2</v>
      </c>
      <c r="X70" s="95">
        <f t="shared" si="6"/>
        <v>1.9828509391772329E-4</v>
      </c>
      <c r="Y70" s="97">
        <v>2.1954999999999999E-2</v>
      </c>
      <c r="Z70" s="95">
        <f t="shared" si="7"/>
        <v>3.2562704304810251E-5</v>
      </c>
      <c r="AA70" s="97">
        <v>1.949917E-2</v>
      </c>
      <c r="AB70" s="95">
        <f t="shared" ref="AB70:AB113" si="13">+(AA70-$B70)^2</f>
        <v>6.6621574247660123E-5</v>
      </c>
      <c r="AC70">
        <v>2.2078E-2</v>
      </c>
      <c r="AD70" s="95">
        <f t="shared" ref="AD70:AD112" si="14">+(AC70-$B70)^2</f>
        <v>3.1174065299151926E-5</v>
      </c>
      <c r="AE70">
        <v>1.336E-2</v>
      </c>
      <c r="AF70" s="95">
        <f t="shared" ref="AF70:AF108" si="15">+(AE70-$B70)^2</f>
        <v>2.0452929848068936E-4</v>
      </c>
    </row>
    <row r="71" spans="1:32">
      <c r="A71" s="63">
        <v>66</v>
      </c>
      <c r="B71" s="78">
        <f>+QxM!G68/1000</f>
        <v>2.7661374006741082E-2</v>
      </c>
      <c r="C71" s="83">
        <v>1.66E-2</v>
      </c>
      <c r="D71" s="62">
        <f t="shared" si="9"/>
        <v>1.2235399491700727E-4</v>
      </c>
      <c r="E71" s="67">
        <v>4.2959999999999998E-2</v>
      </c>
      <c r="F71" s="62">
        <f t="shared" ref="F71:F103" si="16">+(E71-$B71)^2</f>
        <v>2.3404795728161734E-4</v>
      </c>
      <c r="G71" s="97">
        <v>3.0210000000000001E-2</v>
      </c>
      <c r="H71" s="62">
        <f t="shared" si="12"/>
        <v>6.4954944535150079E-6</v>
      </c>
      <c r="I71" s="102">
        <v>2.785E-2</v>
      </c>
      <c r="J71" s="62">
        <f t="shared" ref="J71:J103" si="17">+(I71-$B71)^2</f>
        <v>3.5579765332913144E-8</v>
      </c>
      <c r="K71" s="97">
        <v>1.9269999999999999E-2</v>
      </c>
      <c r="L71" s="62">
        <f t="shared" ref="L71:L103" si="18">+(K71-$B71)^2</f>
        <v>7.04151577210099E-5</v>
      </c>
      <c r="M71" s="102">
        <v>4.5540612100000002E-2</v>
      </c>
      <c r="N71" s="62">
        <f t="shared" ref="N71:V86" si="19">+(M71-$B71)^2</f>
        <v>3.1966715479544088E-4</v>
      </c>
      <c r="O71" s="102">
        <v>1.7611999999999999E-2</v>
      </c>
      <c r="P71" s="62">
        <f t="shared" si="19"/>
        <v>1.0098991792736333E-4</v>
      </c>
      <c r="Q71" s="97">
        <v>4.8982999999999999E-2</v>
      </c>
      <c r="R71" s="62">
        <f t="shared" si="19"/>
        <v>4.5461173499641426E-4</v>
      </c>
      <c r="S71" s="98">
        <v>1.6240000000000001E-2</v>
      </c>
      <c r="T71" s="95">
        <f t="shared" si="19"/>
        <v>1.3044778420186082E-4</v>
      </c>
      <c r="U71" s="98">
        <v>1.452E-2</v>
      </c>
      <c r="V71" s="95">
        <f t="shared" si="19"/>
        <v>1.7269571078505017E-4</v>
      </c>
      <c r="W71" s="97">
        <v>1.481E-2</v>
      </c>
      <c r="X71" s="95">
        <f t="shared" ref="X71:X118" si="20">+(W71-$B71)^2</f>
        <v>1.6515781386114032E-4</v>
      </c>
      <c r="Y71" s="97">
        <v>2.2914E-2</v>
      </c>
      <c r="Z71" s="95">
        <f t="shared" ref="Z71:Z105" si="21">+(Y71-$B71)^2</f>
        <v>2.2537559959880874E-5</v>
      </c>
      <c r="AA71" s="97">
        <v>2.1447709999999998E-2</v>
      </c>
      <c r="AB71" s="95">
        <f t="shared" si="13"/>
        <v>3.8609620388669665E-5</v>
      </c>
      <c r="AC71">
        <v>2.4202999999999999E-2</v>
      </c>
      <c r="AD71" s="95">
        <f t="shared" si="14"/>
        <v>1.1960350770502377E-5</v>
      </c>
      <c r="AE71">
        <v>1.448E-2</v>
      </c>
      <c r="AF71" s="95">
        <f t="shared" si="15"/>
        <v>1.7374862070558946E-4</v>
      </c>
    </row>
    <row r="72" spans="1:32">
      <c r="A72" s="63">
        <v>67</v>
      </c>
      <c r="B72" s="78">
        <f>+QxM!G69/1000</f>
        <v>2.7661374006741082E-2</v>
      </c>
      <c r="C72" s="83">
        <v>1.8190000000000001E-2</v>
      </c>
      <c r="D72" s="62">
        <f t="shared" si="9"/>
        <v>8.9706925575570599E-5</v>
      </c>
      <c r="E72" s="67">
        <v>4.6559999999999997E-2</v>
      </c>
      <c r="F72" s="62">
        <f t="shared" si="16"/>
        <v>3.5715806443308148E-4</v>
      </c>
      <c r="G72" s="97">
        <v>3.3079999999999998E-2</v>
      </c>
      <c r="H72" s="62">
        <f t="shared" si="12"/>
        <v>2.9361507654821174E-5</v>
      </c>
      <c r="I72" s="102">
        <v>3.0439999999999998E-2</v>
      </c>
      <c r="J72" s="62">
        <f t="shared" si="17"/>
        <v>7.7207624104140971E-6</v>
      </c>
      <c r="K72" s="97">
        <v>2.0959999999999999E-2</v>
      </c>
      <c r="L72" s="62">
        <f t="shared" si="18"/>
        <v>4.4908413578225036E-5</v>
      </c>
      <c r="M72" s="102">
        <v>4.9175186500000002E-2</v>
      </c>
      <c r="N72" s="62">
        <f t="shared" si="19"/>
        <v>4.6284412799510357E-4</v>
      </c>
      <c r="O72" s="102">
        <v>1.9137999999999999E-2</v>
      </c>
      <c r="P72" s="62">
        <f t="shared" si="19"/>
        <v>7.2647904458789559E-5</v>
      </c>
      <c r="Q72" s="97">
        <v>5.4045000000000003E-2</v>
      </c>
      <c r="R72" s="62">
        <f t="shared" si="19"/>
        <v>6.9609572055216772E-4</v>
      </c>
      <c r="S72" s="98">
        <v>1.8169999999999999E-2</v>
      </c>
      <c r="T72" s="95">
        <f t="shared" si="19"/>
        <v>9.0086180535840297E-5</v>
      </c>
      <c r="U72" s="98">
        <v>1.6160000000000001E-2</v>
      </c>
      <c r="V72" s="95">
        <f t="shared" si="19"/>
        <v>1.3228160404293941E-4</v>
      </c>
      <c r="W72" s="97">
        <v>1.6160000000000001E-2</v>
      </c>
      <c r="X72" s="95">
        <f t="shared" si="20"/>
        <v>1.3228160404293941E-4</v>
      </c>
      <c r="Y72" s="97">
        <v>2.4669E-2</v>
      </c>
      <c r="Z72" s="95">
        <f t="shared" si="21"/>
        <v>8.9543021962196804E-6</v>
      </c>
      <c r="AA72" s="97">
        <v>2.3584359999999999E-2</v>
      </c>
      <c r="AB72" s="95">
        <f t="shared" si="13"/>
        <v>1.6622043211162985E-5</v>
      </c>
      <c r="AC72">
        <v>2.6544999999999999E-2</v>
      </c>
      <c r="AD72" s="95">
        <f t="shared" si="14"/>
        <v>1.2462909229271402E-6</v>
      </c>
      <c r="AE72">
        <v>1.5709999999999998E-2</v>
      </c>
      <c r="AF72" s="95">
        <f t="shared" si="15"/>
        <v>1.4283534064900644E-4</v>
      </c>
    </row>
    <row r="73" spans="1:32">
      <c r="A73" s="63">
        <v>68</v>
      </c>
      <c r="B73" s="78">
        <f>+QxM!G70/1000</f>
        <v>2.7661374006741079E-2</v>
      </c>
      <c r="C73" s="83">
        <v>1.9940000000000003E-2</v>
      </c>
      <c r="D73" s="62">
        <f t="shared" si="9"/>
        <v>5.9619616551976736E-5</v>
      </c>
      <c r="E73" s="67">
        <v>5.0459999999999998E-2</v>
      </c>
      <c r="F73" s="62">
        <f t="shared" si="16"/>
        <v>5.1977734718050127E-4</v>
      </c>
      <c r="G73" s="97">
        <v>3.6240000000000001E-2</v>
      </c>
      <c r="H73" s="62">
        <f t="shared" si="12"/>
        <v>7.3592823932217629E-5</v>
      </c>
      <c r="I73" s="102">
        <v>3.3189999999999997E-2</v>
      </c>
      <c r="J73" s="62">
        <f t="shared" si="17"/>
        <v>3.0565705373338159E-5</v>
      </c>
      <c r="K73" s="97">
        <v>2.274E-2</v>
      </c>
      <c r="L73" s="62">
        <f t="shared" si="18"/>
        <v>2.4219922114226742E-5</v>
      </c>
      <c r="M73" s="102">
        <v>5.3167904299999999E-2</v>
      </c>
      <c r="N73" s="62">
        <f t="shared" si="19"/>
        <v>6.5058308760093501E-4</v>
      </c>
      <c r="O73" s="102">
        <v>2.0752E-2</v>
      </c>
      <c r="P73" s="62">
        <f t="shared" si="19"/>
        <v>4.7739449165029279E-5</v>
      </c>
      <c r="Q73" s="97">
        <v>5.9665999999999997E-2</v>
      </c>
      <c r="R73" s="62">
        <f t="shared" si="19"/>
        <v>1.0242960849683842E-3</v>
      </c>
      <c r="S73" s="98">
        <v>2.0310000000000002E-2</v>
      </c>
      <c r="T73" s="95">
        <f t="shared" si="19"/>
        <v>5.4042699786988361E-5</v>
      </c>
      <c r="U73" s="98">
        <v>1.7940000000000001E-2</v>
      </c>
      <c r="V73" s="95">
        <f t="shared" si="19"/>
        <v>9.4505112578941074E-5</v>
      </c>
      <c r="W73" s="97">
        <v>1.763E-2</v>
      </c>
      <c r="X73" s="95">
        <f t="shared" si="20"/>
        <v>1.0062846446312057E-4</v>
      </c>
      <c r="Y73" s="97">
        <v>2.6020000000000001E-2</v>
      </c>
      <c r="Z73" s="95">
        <f t="shared" si="21"/>
        <v>2.6941086300052587E-6</v>
      </c>
      <c r="AA73" s="97">
        <v>2.5926810000000002E-2</v>
      </c>
      <c r="AB73" s="95">
        <f t="shared" si="13"/>
        <v>3.0087122934816603E-6</v>
      </c>
      <c r="AC73">
        <v>2.9127E-2</v>
      </c>
      <c r="AD73" s="95">
        <f t="shared" si="14"/>
        <v>2.1480595521161994E-6</v>
      </c>
      <c r="AE73">
        <v>1.7080000000000001E-2</v>
      </c>
      <c r="AF73" s="95">
        <f t="shared" si="15"/>
        <v>1.1196547587053573E-4</v>
      </c>
    </row>
    <row r="74" spans="1:32">
      <c r="A74" s="63">
        <v>69</v>
      </c>
      <c r="B74" s="78">
        <f>+QxM!G71/1000</f>
        <v>2.7661374006741082E-2</v>
      </c>
      <c r="C74" s="83">
        <v>2.1870000000000001E-2</v>
      </c>
      <c r="D74" s="62">
        <f t="shared" si="9"/>
        <v>3.3540012885956253E-5</v>
      </c>
      <c r="E74" s="67">
        <v>5.4699999999999999E-2</v>
      </c>
      <c r="F74" s="62">
        <f t="shared" si="16"/>
        <v>7.3108729560333668E-4</v>
      </c>
      <c r="G74" s="97">
        <v>3.9660000000000001E-2</v>
      </c>
      <c r="H74" s="62">
        <f t="shared" si="12"/>
        <v>1.4396702572610858E-4</v>
      </c>
      <c r="I74" s="102">
        <v>3.6170000000000001E-2</v>
      </c>
      <c r="J74" s="62">
        <f t="shared" si="17"/>
        <v>7.2396716293161316E-5</v>
      </c>
      <c r="K74" s="97">
        <v>2.469E-2</v>
      </c>
      <c r="L74" s="62">
        <f t="shared" si="18"/>
        <v>8.8290634879365534E-6</v>
      </c>
      <c r="M74" s="102">
        <v>5.7475517400000002E-2</v>
      </c>
      <c r="N74" s="62">
        <f t="shared" si="19"/>
        <v>8.8888314627380452E-4</v>
      </c>
      <c r="O74" s="102">
        <v>2.2497E-2</v>
      </c>
      <c r="P74" s="62">
        <f t="shared" si="19"/>
        <v>2.6670758881502944E-5</v>
      </c>
      <c r="Q74" s="97">
        <v>6.5849000000000005E-2</v>
      </c>
      <c r="R74" s="62">
        <f t="shared" si="19"/>
        <v>1.4582947790010244E-3</v>
      </c>
      <c r="S74" s="98">
        <v>2.2689999999999998E-2</v>
      </c>
      <c r="T74" s="95">
        <f t="shared" si="19"/>
        <v>2.47145595149009E-5</v>
      </c>
      <c r="U74" s="98">
        <v>1.9859999999999999E-2</v>
      </c>
      <c r="V74" s="95">
        <f t="shared" si="19"/>
        <v>6.0861436393055426E-5</v>
      </c>
      <c r="W74" s="97">
        <v>1.925E-2</v>
      </c>
      <c r="X74" s="95">
        <f t="shared" si="20"/>
        <v>7.075121268127953E-5</v>
      </c>
      <c r="Y74" s="97">
        <v>2.7337E-2</v>
      </c>
      <c r="Z74" s="95">
        <f t="shared" si="21"/>
        <v>1.0521849624926363E-7</v>
      </c>
      <c r="AA74" s="97">
        <v>2.84943E-2</v>
      </c>
      <c r="AB74" s="95">
        <f t="shared" si="13"/>
        <v>6.9376571024635482E-7</v>
      </c>
      <c r="AC74">
        <v>3.1976999999999998E-2</v>
      </c>
      <c r="AD74" s="95">
        <f t="shared" si="14"/>
        <v>1.8624627713692006E-5</v>
      </c>
      <c r="AE74">
        <v>1.8599999999999998E-2</v>
      </c>
      <c r="AF74" s="95">
        <f t="shared" si="15"/>
        <v>8.2108498890042959E-5</v>
      </c>
    </row>
    <row r="75" spans="1:32">
      <c r="A75" s="63">
        <v>70</v>
      </c>
      <c r="B75" s="78">
        <f>+QxM!G72/1000</f>
        <v>4.1022613121092615E-2</v>
      </c>
      <c r="C75" s="83">
        <v>2.3980000000000001E-2</v>
      </c>
      <c r="D75" s="62">
        <f t="shared" si="9"/>
        <v>2.9045066199523813E-4</v>
      </c>
      <c r="E75" s="67">
        <v>5.9299999999999999E-2</v>
      </c>
      <c r="F75" s="62">
        <f t="shared" si="16"/>
        <v>3.3406287112125579E-4</v>
      </c>
      <c r="G75" s="97">
        <v>4.3299999999999998E-2</v>
      </c>
      <c r="H75" s="62">
        <f t="shared" si="12"/>
        <v>5.1864909962195139E-6</v>
      </c>
      <c r="I75" s="102">
        <v>3.9510000000000003E-2</v>
      </c>
      <c r="J75" s="62">
        <f t="shared" si="17"/>
        <v>2.2879984541015301E-6</v>
      </c>
      <c r="K75" s="97">
        <v>2.6940000000000002E-2</v>
      </c>
      <c r="L75" s="62">
        <f t="shared" si="18"/>
        <v>1.983199923183698E-4</v>
      </c>
      <c r="M75" s="102">
        <v>6.2186254599999997E-2</v>
      </c>
      <c r="N75" s="62">
        <f t="shared" si="19"/>
        <v>4.4789972064772907E-4</v>
      </c>
      <c r="O75" s="102">
        <v>2.4487999999999999E-2</v>
      </c>
      <c r="P75" s="62">
        <f t="shared" si="19"/>
        <v>2.7339343106420807E-4</v>
      </c>
      <c r="Q75" s="97">
        <v>7.2543999999999997E-2</v>
      </c>
      <c r="R75" s="62">
        <f t="shared" si="19"/>
        <v>9.9359783076975457E-4</v>
      </c>
      <c r="S75" s="98">
        <v>2.5340000000000001E-2</v>
      </c>
      <c r="T75" s="95">
        <f t="shared" si="19"/>
        <v>2.4594435430586617E-4</v>
      </c>
      <c r="U75" s="98">
        <v>2.1930000000000002E-2</v>
      </c>
      <c r="V75" s="95">
        <f t="shared" si="19"/>
        <v>3.6452787579171781E-4</v>
      </c>
      <c r="W75" s="97">
        <v>2.102E-2</v>
      </c>
      <c r="X75" s="95">
        <f t="shared" si="20"/>
        <v>4.0010453167210638E-4</v>
      </c>
      <c r="Y75" s="97">
        <v>2.8721E-2</v>
      </c>
      <c r="Z75" s="95">
        <f t="shared" si="21"/>
        <v>1.5132968538103799E-4</v>
      </c>
      <c r="AA75" s="97">
        <v>3.1307740000000001E-2</v>
      </c>
      <c r="AB75" s="95">
        <f t="shared" si="13"/>
        <v>9.4378759758927751E-5</v>
      </c>
      <c r="AC75">
        <v>3.5124000000000002E-2</v>
      </c>
      <c r="AD75" s="95">
        <f t="shared" si="14"/>
        <v>3.4793636752325926E-5</v>
      </c>
      <c r="AE75">
        <v>2.0320000000000001E-2</v>
      </c>
      <c r="AF75" s="95">
        <f t="shared" si="15"/>
        <v>4.2859819004163605E-4</v>
      </c>
    </row>
    <row r="76" spans="1:32">
      <c r="A76" s="63">
        <v>71</v>
      </c>
      <c r="B76" s="78">
        <f>+QxM!G73/1000</f>
        <v>4.1022613121092608E-2</v>
      </c>
      <c r="C76" s="83">
        <v>2.63E-2</v>
      </c>
      <c r="D76" s="62">
        <f t="shared" si="9"/>
        <v>2.1675533711336821E-4</v>
      </c>
      <c r="E76" s="67">
        <v>6.4269999999999994E-2</v>
      </c>
      <c r="F76" s="62">
        <f t="shared" si="16"/>
        <v>5.4044099669759533E-4</v>
      </c>
      <c r="G76" s="97">
        <v>4.709E-2</v>
      </c>
      <c r="H76" s="62">
        <f t="shared" si="12"/>
        <v>3.6813183538337585E-5</v>
      </c>
      <c r="I76" s="102">
        <v>4.3299999999999998E-2</v>
      </c>
      <c r="J76" s="62">
        <f t="shared" si="17"/>
        <v>5.186490996219546E-6</v>
      </c>
      <c r="K76" s="97">
        <v>2.971E-2</v>
      </c>
      <c r="L76" s="62">
        <f t="shared" si="18"/>
        <v>1.2797521562751661E-4</v>
      </c>
      <c r="M76" s="102">
        <v>6.7306914300000006E-2</v>
      </c>
      <c r="N76" s="62">
        <f t="shared" si="19"/>
        <v>6.9086448846351293E-4</v>
      </c>
      <c r="O76" s="102">
        <v>2.6747E-2</v>
      </c>
      <c r="P76" s="62">
        <f t="shared" si="19"/>
        <v>2.0379312998311142E-4</v>
      </c>
      <c r="Q76" s="97">
        <v>7.9825999999999994E-2</v>
      </c>
      <c r="R76" s="62">
        <f t="shared" si="19"/>
        <v>1.5057028332741619E-3</v>
      </c>
      <c r="S76" s="98">
        <v>2.828E-2</v>
      </c>
      <c r="T76" s="95">
        <f t="shared" si="19"/>
        <v>1.623741891538415E-4</v>
      </c>
      <c r="U76" s="98">
        <v>2.4150000000000001E-2</v>
      </c>
      <c r="V76" s="95">
        <f t="shared" si="19"/>
        <v>2.8468507353406638E-4</v>
      </c>
      <c r="W76" s="97">
        <v>2.2950000000000002E-2</v>
      </c>
      <c r="X76" s="95">
        <f t="shared" si="20"/>
        <v>3.2661934502468861E-4</v>
      </c>
      <c r="Y76" s="97">
        <v>3.0268E-2</v>
      </c>
      <c r="Z76" s="95">
        <f t="shared" si="21"/>
        <v>1.1566170338437729E-4</v>
      </c>
      <c r="AA76" s="97">
        <v>3.438985E-2</v>
      </c>
      <c r="AB76" s="95">
        <f t="shared" si="13"/>
        <v>4.3993546620526157E-5</v>
      </c>
      <c r="AC76">
        <v>3.8603999999999999E-2</v>
      </c>
      <c r="AD76" s="95">
        <f t="shared" si="14"/>
        <v>5.8496894295213274E-6</v>
      </c>
      <c r="AE76">
        <v>2.2239999999999999E-2</v>
      </c>
      <c r="AF76" s="95">
        <f t="shared" si="15"/>
        <v>3.5278655565664023E-4</v>
      </c>
    </row>
    <row r="77" spans="1:32">
      <c r="A77" s="63">
        <v>72</v>
      </c>
      <c r="B77" s="78">
        <f>+QxM!G74/1000</f>
        <v>4.1022613121092608E-2</v>
      </c>
      <c r="C77" s="83">
        <v>2.8850000000000001E-2</v>
      </c>
      <c r="D77" s="62">
        <f t="shared" si="9"/>
        <v>1.4817251019579589E-4</v>
      </c>
      <c r="E77" s="67">
        <v>6.966E-2</v>
      </c>
      <c r="F77" s="62">
        <f t="shared" si="16"/>
        <v>8.2009992725221731E-4</v>
      </c>
      <c r="G77" s="97">
        <v>5.0999999999999997E-2</v>
      </c>
      <c r="H77" s="62">
        <f t="shared" si="12"/>
        <v>9.9548248931393337E-5</v>
      </c>
      <c r="I77" s="102">
        <v>4.7649999999999998E-2</v>
      </c>
      <c r="J77" s="62">
        <f t="shared" si="17"/>
        <v>4.3922256842713842E-5</v>
      </c>
      <c r="K77" s="97">
        <v>3.2939999999999997E-2</v>
      </c>
      <c r="L77" s="62">
        <f t="shared" si="18"/>
        <v>6.5328634865258436E-5</v>
      </c>
      <c r="M77" s="102">
        <v>7.2895581000000001E-2</v>
      </c>
      <c r="N77" s="62">
        <f t="shared" si="19"/>
        <v>1.0158860814098625E-3</v>
      </c>
      <c r="O77" s="102">
        <v>2.9211999999999998E-2</v>
      </c>
      <c r="P77" s="62">
        <f t="shared" si="19"/>
        <v>1.394905822961249E-4</v>
      </c>
      <c r="Q77" s="97">
        <v>8.7638999999999995E-2</v>
      </c>
      <c r="R77" s="62">
        <f t="shared" si="19"/>
        <v>2.1730875256439687E-3</v>
      </c>
      <c r="S77" s="98">
        <v>3.1530000000000002E-2</v>
      </c>
      <c r="T77" s="95">
        <f t="shared" si="19"/>
        <v>9.0109703866739484E-5</v>
      </c>
      <c r="U77" s="98">
        <v>2.657E-2</v>
      </c>
      <c r="V77" s="95">
        <f t="shared" si="19"/>
        <v>2.0887802602797821E-4</v>
      </c>
      <c r="W77" s="97">
        <v>2.5080000000000002E-2</v>
      </c>
      <c r="X77" s="95">
        <f t="shared" si="20"/>
        <v>2.5416691312883411E-4</v>
      </c>
      <c r="Y77" s="97">
        <v>3.2077000000000001E-2</v>
      </c>
      <c r="Z77" s="95">
        <f t="shared" si="21"/>
        <v>8.0023994112264204E-5</v>
      </c>
      <c r="AA77" s="97">
        <v>3.7765260000000002E-2</v>
      </c>
      <c r="AB77" s="95">
        <f t="shared" si="13"/>
        <v>1.061034935549174E-5</v>
      </c>
      <c r="AC77">
        <v>4.2451999999999997E-2</v>
      </c>
      <c r="AD77" s="95">
        <f t="shared" si="14"/>
        <v>2.0431468495926071E-6</v>
      </c>
      <c r="AE77">
        <v>2.4309999999999998E-2</v>
      </c>
      <c r="AF77" s="95">
        <f t="shared" si="15"/>
        <v>2.7931143733531686E-4</v>
      </c>
    </row>
    <row r="78" spans="1:32">
      <c r="A78" s="63">
        <v>73</v>
      </c>
      <c r="B78" s="78">
        <f>+QxM!G75/1000</f>
        <v>4.1022613121092615E-2</v>
      </c>
      <c r="C78" s="83">
        <v>3.1649999999999998E-2</v>
      </c>
      <c r="D78" s="62">
        <f t="shared" si="9"/>
        <v>8.7845876717677484E-5</v>
      </c>
      <c r="E78" s="67">
        <v>7.5499999999999998E-2</v>
      </c>
      <c r="F78" s="62">
        <f t="shared" si="16"/>
        <v>1.1886902059978549E-3</v>
      </c>
      <c r="G78" s="97">
        <v>5.5010000000000003E-2</v>
      </c>
      <c r="H78" s="62">
        <f t="shared" si="12"/>
        <v>1.9564699170023059E-4</v>
      </c>
      <c r="I78" s="102">
        <v>5.2639999999999999E-2</v>
      </c>
      <c r="J78" s="62">
        <f t="shared" si="17"/>
        <v>1.3496367789420948E-4</v>
      </c>
      <c r="K78" s="97">
        <v>3.6319999999999998E-2</v>
      </c>
      <c r="L78" s="62">
        <f t="shared" si="18"/>
        <v>2.211457016667244E-5</v>
      </c>
      <c r="M78" s="102">
        <v>7.8960939999999993E-2</v>
      </c>
      <c r="N78" s="62">
        <f t="shared" si="19"/>
        <v>1.4393166463708262E-3</v>
      </c>
      <c r="O78" s="102">
        <v>3.1884999999999997E-2</v>
      </c>
      <c r="P78" s="62">
        <f t="shared" si="19"/>
        <v>8.3495973550763971E-5</v>
      </c>
      <c r="Q78" s="97">
        <v>9.6026E-2</v>
      </c>
      <c r="R78" s="62">
        <f t="shared" si="19"/>
        <v>3.0253725681507614E-3</v>
      </c>
      <c r="S78" s="98">
        <v>3.5139999999999998E-2</v>
      </c>
      <c r="T78" s="95">
        <f t="shared" si="19"/>
        <v>3.4605137132451023E-5</v>
      </c>
      <c r="U78" s="98">
        <v>2.9229999999999999E-2</v>
      </c>
      <c r="V78" s="95">
        <f t="shared" si="19"/>
        <v>1.3906572422376571E-4</v>
      </c>
      <c r="W78" s="97">
        <v>2.7400000000000001E-2</v>
      </c>
      <c r="X78" s="95">
        <f t="shared" si="20"/>
        <v>1.8557558824696465E-4</v>
      </c>
      <c r="Y78" s="97">
        <v>3.7102000000000003E-2</v>
      </c>
      <c r="Z78" s="95">
        <f t="shared" si="21"/>
        <v>1.5371207245283549E-5</v>
      </c>
      <c r="AA78" s="97">
        <v>4.146068E-2</v>
      </c>
      <c r="AB78" s="95">
        <f t="shared" si="13"/>
        <v>1.9190259039565771E-7</v>
      </c>
      <c r="AC78">
        <v>4.6711999999999997E-2</v>
      </c>
      <c r="AD78" s="95">
        <f t="shared" si="14"/>
        <v>3.2369123057883485E-5</v>
      </c>
      <c r="AE78">
        <v>2.6519999999999998E-2</v>
      </c>
      <c r="AF78" s="95">
        <f t="shared" si="15"/>
        <v>2.1032578734008772E-4</v>
      </c>
    </row>
    <row r="79" spans="1:32">
      <c r="A79" s="63">
        <v>74</v>
      </c>
      <c r="B79" s="78">
        <f>+QxM!G76/1000</f>
        <v>4.1022613121092615E-2</v>
      </c>
      <c r="C79" s="83">
        <v>3.4720000000000001E-2</v>
      </c>
      <c r="D79" s="62">
        <f t="shared" si="9"/>
        <v>3.9722932154168778E-5</v>
      </c>
      <c r="E79" s="67">
        <v>8.1809999999999994E-2</v>
      </c>
      <c r="F79" s="62">
        <f t="shared" si="16"/>
        <v>1.6636109284096658E-3</v>
      </c>
      <c r="G79" s="97">
        <v>5.9229999999999998E-2</v>
      </c>
      <c r="H79" s="62">
        <f t="shared" si="12"/>
        <v>3.3150893695820877E-4</v>
      </c>
      <c r="I79" s="102">
        <v>5.8189999999999999E-2</v>
      </c>
      <c r="J79" s="62">
        <f t="shared" si="17"/>
        <v>2.9471917225008142E-4</v>
      </c>
      <c r="K79" s="97">
        <v>3.9960000000000002E-2</v>
      </c>
      <c r="L79" s="62">
        <f t="shared" si="18"/>
        <v>1.1291466451181823E-6</v>
      </c>
      <c r="M79" s="102">
        <v>8.5532583300000006E-2</v>
      </c>
      <c r="N79" s="62">
        <f t="shared" si="19"/>
        <v>1.9811374453272252E-3</v>
      </c>
      <c r="O79" s="102">
        <v>3.4832000000000002E-2</v>
      </c>
      <c r="P79" s="62">
        <f t="shared" si="19"/>
        <v>3.8323690815044023E-5</v>
      </c>
      <c r="Q79" s="97">
        <v>0.10494100000000001</v>
      </c>
      <c r="R79" s="62">
        <f t="shared" si="19"/>
        <v>4.0855601812016798E-3</v>
      </c>
      <c r="S79" s="98">
        <v>3.9129999999999998E-2</v>
      </c>
      <c r="T79" s="95">
        <f t="shared" si="19"/>
        <v>3.5819844261319349E-6</v>
      </c>
      <c r="U79" s="98">
        <v>3.2230000000000002E-2</v>
      </c>
      <c r="V79" s="95">
        <f t="shared" si="19"/>
        <v>7.731004549720998E-5</v>
      </c>
      <c r="W79" s="97">
        <v>2.9940000000000001E-2</v>
      </c>
      <c r="X79" s="95">
        <f t="shared" si="20"/>
        <v>1.2282431359181417E-4</v>
      </c>
      <c r="Y79" s="97">
        <v>4.1704999999999999E-2</v>
      </c>
      <c r="Z79" s="95">
        <f t="shared" si="21"/>
        <v>4.6565185250496143E-7</v>
      </c>
      <c r="AA79" s="97">
        <v>4.5504969999999999E-2</v>
      </c>
      <c r="AB79" s="95">
        <f t="shared" si="13"/>
        <v>2.0091523189888346E-5</v>
      </c>
      <c r="AC79">
        <v>5.1429000000000002E-2</v>
      </c>
      <c r="AD79" s="95">
        <f t="shared" si="14"/>
        <v>1.0829288787349585E-4</v>
      </c>
      <c r="AE79">
        <v>2.894E-2</v>
      </c>
      <c r="AF79" s="95">
        <f t="shared" si="15"/>
        <v>1.459895398339994E-4</v>
      </c>
    </row>
    <row r="80" spans="1:32">
      <c r="A80" s="63">
        <v>75</v>
      </c>
      <c r="B80" s="78">
        <f>+QxM!G77/1000</f>
        <v>5.4006462597887765E-2</v>
      </c>
      <c r="C80" s="83">
        <v>3.8100000000000002E-2</v>
      </c>
      <c r="D80" s="62">
        <f t="shared" si="9"/>
        <v>2.5301555237800232E-4</v>
      </c>
      <c r="E80" s="67">
        <v>8.8639999999999997E-2</v>
      </c>
      <c r="F80" s="62">
        <f t="shared" si="16"/>
        <v>1.1994819129835068E-3</v>
      </c>
      <c r="G80" s="97">
        <v>6.3799999999999996E-2</v>
      </c>
      <c r="H80" s="62">
        <f t="shared" si="12"/>
        <v>9.591337484657117E-5</v>
      </c>
      <c r="I80" s="102">
        <v>6.4189999999999997E-2</v>
      </c>
      <c r="J80" s="62">
        <f t="shared" si="17"/>
        <v>1.0370443402021874E-4</v>
      </c>
      <c r="K80" s="97">
        <v>4.3950000000000003E-2</v>
      </c>
      <c r="L80" s="62">
        <f t="shared" si="18"/>
        <v>1.0113243998271548E-4</v>
      </c>
      <c r="M80" s="102">
        <v>9.2668009699999998E-2</v>
      </c>
      <c r="N80" s="62">
        <f t="shared" si="19"/>
        <v>1.4947152243288428E-3</v>
      </c>
      <c r="O80" s="102">
        <v>3.8217000000000001E-2</v>
      </c>
      <c r="P80" s="62">
        <f t="shared" si="19"/>
        <v>2.4930712913009663E-4</v>
      </c>
      <c r="Q80" s="97">
        <v>0.114413</v>
      </c>
      <c r="R80" s="62">
        <f t="shared" si="19"/>
        <v>3.6489497609127845E-3</v>
      </c>
      <c r="S80" s="98">
        <v>4.3529999999999999E-2</v>
      </c>
      <c r="T80" s="95">
        <f t="shared" si="19"/>
        <v>1.0975626856494128E-4</v>
      </c>
      <c r="U80" s="98">
        <v>3.5680000000000003E-2</v>
      </c>
      <c r="V80" s="95">
        <f t="shared" si="19"/>
        <v>3.3585923135177903E-4</v>
      </c>
      <c r="W80" s="97">
        <v>3.2730000000000002E-2</v>
      </c>
      <c r="X80" s="95">
        <f t="shared" si="20"/>
        <v>4.5268786067931689E-4</v>
      </c>
      <c r="Y80" s="97">
        <v>4.5663000000000002E-2</v>
      </c>
      <c r="Z80" s="95">
        <f t="shared" si="21"/>
        <v>6.9613368122352018E-5</v>
      </c>
      <c r="AA80" s="97">
        <v>4.9929300000000003E-2</v>
      </c>
      <c r="AB80" s="95">
        <f t="shared" si="13"/>
        <v>1.6623254849614888E-5</v>
      </c>
      <c r="AC80">
        <v>5.6654000000000003E-2</v>
      </c>
      <c r="AD80" s="95">
        <f t="shared" si="14"/>
        <v>7.0094542955832172E-6</v>
      </c>
      <c r="AE80">
        <v>3.1699999999999999E-2</v>
      </c>
      <c r="AF80" s="95">
        <f t="shared" si="15"/>
        <v>4.975782736309658E-4</v>
      </c>
    </row>
    <row r="81" spans="1:32">
      <c r="A81" s="63">
        <v>76</v>
      </c>
      <c r="B81" s="78">
        <f>+QxM!G78/1000</f>
        <v>5.4006462597887765E-2</v>
      </c>
      <c r="C81" s="83">
        <v>4.1799999999999997E-2</v>
      </c>
      <c r="D81" s="62">
        <f t="shared" si="9"/>
        <v>1.48997729153633E-4</v>
      </c>
      <c r="E81" s="67">
        <v>9.6019999999999994E-2</v>
      </c>
      <c r="F81" s="62">
        <f t="shared" si="16"/>
        <v>1.7651373250386832E-3</v>
      </c>
      <c r="G81" s="97">
        <v>6.8849999999999995E-2</v>
      </c>
      <c r="H81" s="62">
        <f t="shared" si="12"/>
        <v>2.2033060260790468E-4</v>
      </c>
      <c r="I81" s="102">
        <v>7.0529999999999995E-2</v>
      </c>
      <c r="J81" s="62">
        <f t="shared" si="17"/>
        <v>2.7302728827900181E-4</v>
      </c>
      <c r="K81" s="97">
        <v>4.8439999999999997E-2</v>
      </c>
      <c r="L81" s="62">
        <f t="shared" si="18"/>
        <v>3.098550585368344E-5</v>
      </c>
      <c r="M81" s="102">
        <v>0.1004249111</v>
      </c>
      <c r="N81" s="62">
        <f t="shared" si="19"/>
        <v>2.1546723613432455E-3</v>
      </c>
      <c r="O81" s="102">
        <v>4.2058999999999999E-2</v>
      </c>
      <c r="P81" s="62">
        <f t="shared" si="19"/>
        <v>1.4274186252792709E-4</v>
      </c>
      <c r="Q81" s="97">
        <v>0.12442</v>
      </c>
      <c r="R81" s="62">
        <f t="shared" si="19"/>
        <v>4.9580662494786579E-3</v>
      </c>
      <c r="S81" s="98">
        <v>4.8390000000000002E-2</v>
      </c>
      <c r="T81" s="95">
        <f t="shared" si="19"/>
        <v>3.1544652113472157E-5</v>
      </c>
      <c r="U81" s="98">
        <v>3.9609999999999999E-2</v>
      </c>
      <c r="V81" s="95">
        <f t="shared" si="19"/>
        <v>2.0725813533238136E-4</v>
      </c>
      <c r="W81" s="97">
        <v>3.5779999999999999E-2</v>
      </c>
      <c r="X81" s="95">
        <f t="shared" si="20"/>
        <v>3.3220393883220164E-4</v>
      </c>
      <c r="Y81" s="97">
        <v>5.0112999999999998E-2</v>
      </c>
      <c r="Z81" s="95">
        <f t="shared" si="21"/>
        <v>1.5159051001150963E-5</v>
      </c>
      <c r="AA81" s="97">
        <v>5.4767259999999998E-2</v>
      </c>
      <c r="AB81" s="95">
        <f t="shared" si="13"/>
        <v>5.7881268706072267E-7</v>
      </c>
      <c r="AC81">
        <v>6.2444E-2</v>
      </c>
      <c r="AD81" s="95">
        <f t="shared" si="14"/>
        <v>7.119203741204287E-5</v>
      </c>
      <c r="AE81">
        <v>3.483E-2</v>
      </c>
      <c r="AF81" s="95">
        <f t="shared" si="15"/>
        <v>3.6773671776818838E-4</v>
      </c>
    </row>
    <row r="82" spans="1:32">
      <c r="A82" s="63">
        <v>77</v>
      </c>
      <c r="B82" s="78">
        <f>+QxM!G79/1000</f>
        <v>5.4006462597887765E-2</v>
      </c>
      <c r="C82" s="83">
        <v>4.5859999999999998E-2</v>
      </c>
      <c r="D82" s="62">
        <f t="shared" si="9"/>
        <v>6.6364852858784304E-5</v>
      </c>
      <c r="E82" s="67">
        <v>0.10399</v>
      </c>
      <c r="F82" s="62">
        <f t="shared" si="16"/>
        <v>2.4983540112283524E-3</v>
      </c>
      <c r="G82" s="97">
        <v>7.4520000000000003E-2</v>
      </c>
      <c r="H82" s="62">
        <f t="shared" si="12"/>
        <v>4.2080521674785768E-4</v>
      </c>
      <c r="I82" s="102">
        <v>7.7119999999999994E-2</v>
      </c>
      <c r="J82" s="62">
        <f t="shared" si="17"/>
        <v>5.3423561123884088E-4</v>
      </c>
      <c r="K82" s="97">
        <v>5.3670000000000002E-2</v>
      </c>
      <c r="L82" s="62">
        <f t="shared" si="18"/>
        <v>1.1320707977738235E-7</v>
      </c>
      <c r="M82" s="102">
        <v>0.1088549336</v>
      </c>
      <c r="N82" s="62">
        <f t="shared" si="19"/>
        <v>3.008354771269546E-3</v>
      </c>
      <c r="O82" s="102">
        <v>4.6260999999999997E-2</v>
      </c>
      <c r="P82" s="62">
        <f t="shared" si="19"/>
        <v>5.9992190855278343E-5</v>
      </c>
      <c r="Q82" s="97">
        <v>0.134994</v>
      </c>
      <c r="R82" s="62">
        <f t="shared" si="19"/>
        <v>6.5589812144585275E-3</v>
      </c>
      <c r="S82" s="98">
        <v>5.3740000000000003E-2</v>
      </c>
      <c r="T82" s="95">
        <f t="shared" si="19"/>
        <v>7.1002316073095235E-8</v>
      </c>
      <c r="U82" s="98">
        <v>4.3999999999999997E-2</v>
      </c>
      <c r="V82" s="95">
        <f t="shared" si="19"/>
        <v>1.0012929372292682E-4</v>
      </c>
      <c r="W82" s="97">
        <v>3.9120000000000002E-2</v>
      </c>
      <c r="X82" s="95">
        <f t="shared" si="20"/>
        <v>2.216067686783113E-4</v>
      </c>
      <c r="Y82" s="97">
        <v>5.5116999999999999E-2</v>
      </c>
      <c r="Z82" s="95">
        <f t="shared" si="21"/>
        <v>1.23329332149019E-6</v>
      </c>
      <c r="AA82" s="97">
        <v>6.0054969999999999E-2</v>
      </c>
      <c r="AB82" s="95">
        <f t="shared" si="13"/>
        <v>3.6584441793406485E-5</v>
      </c>
      <c r="AC82">
        <v>6.8861000000000006E-2</v>
      </c>
      <c r="AD82" s="95">
        <f t="shared" si="14"/>
        <v>2.2065728143075148E-4</v>
      </c>
      <c r="AE82">
        <v>3.8260000000000002E-2</v>
      </c>
      <c r="AF82" s="95">
        <f t="shared" si="15"/>
        <v>2.4795108434667824E-4</v>
      </c>
    </row>
    <row r="83" spans="1:32">
      <c r="A83" s="63">
        <v>78</v>
      </c>
      <c r="B83" s="78">
        <f>+QxM!G80/1000</f>
        <v>5.4006462597887779E-2</v>
      </c>
      <c r="C83" s="83">
        <v>5.0299999999999997E-2</v>
      </c>
      <c r="D83" s="62">
        <f t="shared" si="9"/>
        <v>1.3737864989541042E-5</v>
      </c>
      <c r="E83" s="67">
        <v>0.11259</v>
      </c>
      <c r="F83" s="62">
        <f t="shared" si="16"/>
        <v>3.4320308545446811E-3</v>
      </c>
      <c r="G83" s="97">
        <v>8.0920000000000006E-2</v>
      </c>
      <c r="H83" s="62">
        <f t="shared" si="12"/>
        <v>7.2433849549489375E-4</v>
      </c>
      <c r="I83" s="102">
        <v>8.3900000000000002E-2</v>
      </c>
      <c r="J83" s="62">
        <f t="shared" si="17"/>
        <v>8.9362357841148241E-4</v>
      </c>
      <c r="K83" s="97">
        <v>5.9720000000000002E-2</v>
      </c>
      <c r="L83" s="62">
        <f t="shared" si="18"/>
        <v>3.2644509645335294E-5</v>
      </c>
      <c r="M83" s="102">
        <v>0.1179413327</v>
      </c>
      <c r="N83" s="62">
        <f t="shared" si="19"/>
        <v>4.0876676149739621E-3</v>
      </c>
      <c r="O83" s="102">
        <v>5.0826000000000003E-2</v>
      </c>
      <c r="P83" s="62">
        <f t="shared" si="19"/>
        <v>1.0115342336563061E-5</v>
      </c>
      <c r="Q83" s="97">
        <v>0.146171</v>
      </c>
      <c r="R83" s="62">
        <f t="shared" si="19"/>
        <v>8.4943019545453431E-3</v>
      </c>
      <c r="S83" s="98">
        <v>5.9619999999999999E-2</v>
      </c>
      <c r="T83" s="95">
        <f t="shared" si="19"/>
        <v>3.1511802164912813E-5</v>
      </c>
      <c r="U83" s="98">
        <v>4.8770000000000001E-2</v>
      </c>
      <c r="V83" s="95">
        <f t="shared" si="19"/>
        <v>2.7420540539077618E-5</v>
      </c>
      <c r="W83" s="97">
        <v>4.2779999999999999E-2</v>
      </c>
      <c r="X83" s="95">
        <f t="shared" si="20"/>
        <v>1.2603346246177325E-4</v>
      </c>
      <c r="Y83" s="97">
        <v>6.0736999999999999E-2</v>
      </c>
      <c r="Z83" s="95">
        <f t="shared" si="21"/>
        <v>4.5300133721231513E-5</v>
      </c>
      <c r="AA83" s="97">
        <v>6.5831180000000003E-2</v>
      </c>
      <c r="AB83" s="95">
        <f t="shared" si="13"/>
        <v>1.3982394163981567E-4</v>
      </c>
      <c r="AC83">
        <v>7.5971999999999998E-2</v>
      </c>
      <c r="AD83" s="95">
        <f t="shared" si="14"/>
        <v>4.8248483336359079E-4</v>
      </c>
      <c r="AE83">
        <v>4.197E-2</v>
      </c>
      <c r="AF83" s="95">
        <f t="shared" si="15"/>
        <v>1.4487643187035141E-4</v>
      </c>
    </row>
    <row r="84" spans="1:32">
      <c r="A84" s="63">
        <v>79</v>
      </c>
      <c r="B84" s="78">
        <f>+QxM!G81/1000</f>
        <v>5.4006462597887758E-2</v>
      </c>
      <c r="C84" s="83">
        <v>5.518E-2</v>
      </c>
      <c r="D84" s="62">
        <f t="shared" si="9"/>
        <v>1.3771900341563491E-6</v>
      </c>
      <c r="E84" s="67">
        <v>0.12186</v>
      </c>
      <c r="F84" s="62">
        <f t="shared" si="16"/>
        <v>4.6041025379798444E-3</v>
      </c>
      <c r="G84" s="97">
        <v>8.7989999999999999E-2</v>
      </c>
      <c r="H84" s="62">
        <f t="shared" si="12"/>
        <v>1.1548808143607616E-3</v>
      </c>
      <c r="I84" s="102">
        <v>9.1050000000000006E-2</v>
      </c>
      <c r="J84" s="62">
        <f t="shared" si="17"/>
        <v>1.3722236632616889E-3</v>
      </c>
      <c r="K84" s="97">
        <v>6.6479999999999997E-2</v>
      </c>
      <c r="L84" s="62">
        <f t="shared" si="18"/>
        <v>1.5558913532189294E-4</v>
      </c>
      <c r="M84" s="102">
        <v>0.12781489679999999</v>
      </c>
      <c r="N84" s="62">
        <f t="shared" si="19"/>
        <v>5.4476849593675311E-3</v>
      </c>
      <c r="O84" s="102">
        <v>5.5864999999999998E-2</v>
      </c>
      <c r="P84" s="62">
        <f t="shared" si="19"/>
        <v>3.4541612750501131E-6</v>
      </c>
      <c r="Q84" s="97">
        <v>0.157781</v>
      </c>
      <c r="R84" s="62">
        <f t="shared" si="19"/>
        <v>1.0769154613022393E-2</v>
      </c>
      <c r="S84" s="98">
        <v>6.608E-2</v>
      </c>
      <c r="T84" s="95">
        <f t="shared" si="19"/>
        <v>1.4577030540020321E-4</v>
      </c>
      <c r="U84" s="98">
        <v>5.425E-2</v>
      </c>
      <c r="V84" s="95">
        <f t="shared" si="19"/>
        <v>5.9310466227579531E-8</v>
      </c>
      <c r="W84" s="97">
        <v>4.6789999999999998E-2</v>
      </c>
      <c r="X84" s="95">
        <f t="shared" si="20"/>
        <v>5.2077332426712957E-5</v>
      </c>
      <c r="Y84" s="97">
        <v>6.7046999999999995E-2</v>
      </c>
      <c r="Z84" s="95">
        <f t="shared" si="21"/>
        <v>1.7005561573588818E-4</v>
      </c>
      <c r="AA84" s="97">
        <v>7.2137350000000003E-2</v>
      </c>
      <c r="AB84" s="95">
        <f t="shared" si="13"/>
        <v>3.2872907798807248E-4</v>
      </c>
      <c r="AC84">
        <v>8.3849999999999994E-2</v>
      </c>
      <c r="AD84" s="95">
        <f t="shared" si="14"/>
        <v>8.9063672467127198E-4</v>
      </c>
      <c r="AE84">
        <v>4.607E-2</v>
      </c>
      <c r="AF84" s="95">
        <f t="shared" si="15"/>
        <v>6.2987438567671313E-5</v>
      </c>
    </row>
    <row r="85" spans="1:32">
      <c r="A85" s="63">
        <v>80</v>
      </c>
      <c r="B85" s="78">
        <f>+QxM!G82/1000</f>
        <v>0</v>
      </c>
      <c r="C85" s="83">
        <v>6.0520000000000004E-2</v>
      </c>
      <c r="D85" s="62">
        <f t="shared" si="9"/>
        <v>3.6626704000000004E-3</v>
      </c>
      <c r="E85" s="67">
        <v>0.13184999999999999</v>
      </c>
      <c r="F85" s="62">
        <f t="shared" si="16"/>
        <v>1.73844225E-2</v>
      </c>
      <c r="G85" s="97">
        <v>9.5640000000000003E-2</v>
      </c>
      <c r="H85" s="62">
        <f t="shared" si="12"/>
        <v>9.1470096000000004E-3</v>
      </c>
      <c r="I85" s="102">
        <v>9.8839999999999997E-2</v>
      </c>
      <c r="J85" s="62">
        <f t="shared" si="17"/>
        <v>9.7693455999999998E-3</v>
      </c>
      <c r="K85" s="97">
        <v>7.4020000000000002E-2</v>
      </c>
      <c r="L85" s="62">
        <f t="shared" si="18"/>
        <v>5.4789604000000007E-3</v>
      </c>
      <c r="M85" s="102">
        <v>0.13849721849999999</v>
      </c>
      <c r="N85" s="62">
        <f t="shared" si="19"/>
        <v>1.9181479532236739E-2</v>
      </c>
      <c r="O85" s="102">
        <v>6.1620000000000001E-2</v>
      </c>
      <c r="P85" s="62">
        <f t="shared" si="19"/>
        <v>3.7970244000000001E-3</v>
      </c>
      <c r="Q85" s="97">
        <v>0.170045</v>
      </c>
      <c r="R85" s="62">
        <f t="shared" si="19"/>
        <v>2.8915302024999999E-2</v>
      </c>
      <c r="S85" s="98">
        <v>7.3160000000000003E-2</v>
      </c>
      <c r="T85" s="95">
        <f t="shared" si="19"/>
        <v>5.3523856000000005E-3</v>
      </c>
      <c r="U85" s="98">
        <v>6.0389999999999999E-2</v>
      </c>
      <c r="V85" s="95">
        <f t="shared" si="19"/>
        <v>3.6469520999999998E-3</v>
      </c>
      <c r="W85" s="97">
        <v>5.1180000000000003E-2</v>
      </c>
      <c r="X85" s="95">
        <f t="shared" si="20"/>
        <v>2.6193924000000005E-3</v>
      </c>
      <c r="Y85" s="97">
        <v>7.4124999999999996E-2</v>
      </c>
      <c r="Z85" s="95">
        <f t="shared" si="21"/>
        <v>5.4945156249999998E-3</v>
      </c>
      <c r="AA85" s="97">
        <v>7.901772E-2</v>
      </c>
      <c r="AB85" s="95">
        <f t="shared" si="13"/>
        <v>6.2438000739984002E-3</v>
      </c>
      <c r="AC85">
        <v>9.2575000000000005E-2</v>
      </c>
      <c r="AD85" s="95">
        <f t="shared" si="14"/>
        <v>8.5701306250000001E-3</v>
      </c>
      <c r="AE85">
        <v>5.0720000000000001E-2</v>
      </c>
      <c r="AF85" s="95">
        <f t="shared" si="15"/>
        <v>2.5725184000000003E-3</v>
      </c>
    </row>
    <row r="86" spans="1:32">
      <c r="A86" s="63">
        <v>81</v>
      </c>
      <c r="B86" s="78">
        <f>+QxM!G83/1000</f>
        <v>0</v>
      </c>
      <c r="C86" s="83">
        <v>6.6360000000000002E-2</v>
      </c>
      <c r="D86" s="62">
        <f t="shared" si="9"/>
        <v>4.4036496000000001E-3</v>
      </c>
      <c r="E86" s="67">
        <v>0.1426</v>
      </c>
      <c r="F86" s="62">
        <f t="shared" si="16"/>
        <v>2.033476E-2</v>
      </c>
      <c r="G86" s="97">
        <v>0.10378</v>
      </c>
      <c r="H86" s="62">
        <f t="shared" si="12"/>
        <v>1.07702884E-2</v>
      </c>
      <c r="I86" s="102">
        <v>0.10748000000000001</v>
      </c>
      <c r="J86" s="62">
        <f t="shared" si="17"/>
        <v>1.1551950400000002E-2</v>
      </c>
      <c r="K86" s="97">
        <v>8.2200000000000009E-2</v>
      </c>
      <c r="L86" s="62">
        <f t="shared" si="18"/>
        <v>6.7568400000000018E-3</v>
      </c>
      <c r="M86" s="102">
        <v>0.15000005459999999</v>
      </c>
      <c r="N86" s="62">
        <f t="shared" si="19"/>
        <v>2.2500016380002978E-2</v>
      </c>
      <c r="O86" s="102">
        <v>6.8153000000000005E-2</v>
      </c>
      <c r="P86" s="62">
        <f t="shared" si="19"/>
        <v>4.6448314090000008E-3</v>
      </c>
      <c r="Q86" s="97">
        <v>0.18288399999999999</v>
      </c>
      <c r="R86" s="62">
        <f t="shared" si="19"/>
        <v>3.3446557455999996E-2</v>
      </c>
      <c r="S86" s="98">
        <v>8.09E-2</v>
      </c>
      <c r="T86" s="95">
        <f t="shared" si="19"/>
        <v>6.5448099999999999E-3</v>
      </c>
      <c r="U86" s="98">
        <v>6.7280000000000006E-2</v>
      </c>
      <c r="V86" s="95">
        <f t="shared" si="19"/>
        <v>4.5265984000000007E-3</v>
      </c>
      <c r="W86" s="97">
        <v>5.5980000000000002E-2</v>
      </c>
      <c r="X86" s="95">
        <f t="shared" si="20"/>
        <v>3.1337604000000003E-3</v>
      </c>
      <c r="Y86" s="97">
        <v>8.2056000000000004E-2</v>
      </c>
      <c r="Z86" s="95">
        <f t="shared" si="21"/>
        <v>6.733187136000001E-3</v>
      </c>
      <c r="AA86" s="97">
        <v>8.6519269999999995E-2</v>
      </c>
      <c r="AB86" s="95">
        <f t="shared" si="13"/>
        <v>7.4855840813328996E-3</v>
      </c>
      <c r="AC86">
        <v>0.10141600000000001</v>
      </c>
      <c r="AD86" s="95">
        <f t="shared" si="14"/>
        <v>1.0285205056000002E-2</v>
      </c>
      <c r="AE86">
        <v>5.5989999999999998E-2</v>
      </c>
      <c r="AF86" s="95">
        <f t="shared" si="15"/>
        <v>3.1348800999999996E-3</v>
      </c>
    </row>
    <row r="87" spans="1:32">
      <c r="A87" s="63">
        <v>82</v>
      </c>
      <c r="B87" s="78">
        <f>+QxM!G84/1000</f>
        <v>0</v>
      </c>
      <c r="C87" s="83">
        <v>7.2749999999999995E-2</v>
      </c>
      <c r="D87" s="62">
        <f t="shared" si="9"/>
        <v>5.2925624999999995E-3</v>
      </c>
      <c r="E87" s="67">
        <v>0.15415999999999999</v>
      </c>
      <c r="F87" s="62">
        <f t="shared" si="16"/>
        <v>2.3765305599999998E-2</v>
      </c>
      <c r="G87" s="97">
        <v>0.11232</v>
      </c>
      <c r="H87" s="62">
        <f t="shared" si="12"/>
        <v>1.2615782400000001E-2</v>
      </c>
      <c r="I87" s="102">
        <v>0.11724999999999999</v>
      </c>
      <c r="J87" s="62">
        <f t="shared" si="17"/>
        <v>1.3747562499999998E-2</v>
      </c>
      <c r="K87" s="97">
        <v>9.0819999999999998E-2</v>
      </c>
      <c r="L87" s="62">
        <f t="shared" si="18"/>
        <v>8.2482723999999993E-3</v>
      </c>
      <c r="M87" s="102">
        <v>0.1624021235</v>
      </c>
      <c r="N87" s="62">
        <f t="shared" ref="N87:V102" si="22">+(M87-$B87)^2</f>
        <v>2.6374449717309251E-2</v>
      </c>
      <c r="O87" s="102">
        <v>7.5348999999999999E-2</v>
      </c>
      <c r="P87" s="62">
        <f t="shared" si="22"/>
        <v>5.6774718009999997E-3</v>
      </c>
      <c r="Q87" s="97">
        <v>0.19618099999999999</v>
      </c>
      <c r="R87" s="62">
        <f t="shared" si="22"/>
        <v>3.8486984761000001E-2</v>
      </c>
      <c r="S87" s="98">
        <v>8.9359999999999995E-2</v>
      </c>
      <c r="T87" s="95">
        <f t="shared" si="22"/>
        <v>7.9852095999999994E-3</v>
      </c>
      <c r="U87" s="98">
        <v>7.4999999999999997E-2</v>
      </c>
      <c r="V87" s="95">
        <f t="shared" si="22"/>
        <v>5.6249999999999998E-3</v>
      </c>
      <c r="W87" s="97">
        <v>6.1249999999999999E-2</v>
      </c>
      <c r="X87" s="95">
        <f t="shared" si="20"/>
        <v>3.7515624999999997E-3</v>
      </c>
      <c r="Y87" s="97">
        <v>9.0934000000000001E-2</v>
      </c>
      <c r="Z87" s="95">
        <f t="shared" si="21"/>
        <v>8.2689923559999996E-3</v>
      </c>
      <c r="AA87" s="97">
        <v>9.4691800000000007E-2</v>
      </c>
      <c r="AB87" s="95">
        <f t="shared" si="13"/>
        <v>8.9665369872400005E-3</v>
      </c>
      <c r="AC87">
        <v>0.110072</v>
      </c>
      <c r="AD87" s="95">
        <f t="shared" si="14"/>
        <v>1.2115845184000001E-2</v>
      </c>
      <c r="AE87">
        <v>6.1850000000000002E-2</v>
      </c>
      <c r="AF87" s="95">
        <f t="shared" si="15"/>
        <v>3.8254225000000004E-3</v>
      </c>
    </row>
    <row r="88" spans="1:32">
      <c r="A88" s="63">
        <v>83</v>
      </c>
      <c r="B88" s="78">
        <f>+QxM!G85/1000</f>
        <v>0</v>
      </c>
      <c r="C88" s="83">
        <v>7.9739999999999991E-2</v>
      </c>
      <c r="D88" s="62">
        <f t="shared" si="9"/>
        <v>6.3584675999999989E-3</v>
      </c>
      <c r="E88" s="67">
        <v>0.16657</v>
      </c>
      <c r="F88" s="62">
        <f t="shared" si="16"/>
        <v>2.7745564899999998E-2</v>
      </c>
      <c r="G88" s="97">
        <v>0.1212</v>
      </c>
      <c r="H88" s="62">
        <f t="shared" si="12"/>
        <v>1.468944E-2</v>
      </c>
      <c r="I88" s="102">
        <v>0.12826000000000001</v>
      </c>
      <c r="J88" s="62">
        <f t="shared" si="17"/>
        <v>1.6450627600000003E-2</v>
      </c>
      <c r="K88" s="97">
        <v>0.10022</v>
      </c>
      <c r="L88" s="62">
        <f t="shared" si="18"/>
        <v>1.00440484E-2</v>
      </c>
      <c r="M88" s="102">
        <v>0.17572957289999999</v>
      </c>
      <c r="N88" s="62">
        <f t="shared" si="22"/>
        <v>3.0880882791616413E-2</v>
      </c>
      <c r="O88" s="102">
        <v>8.3229999999999998E-2</v>
      </c>
      <c r="P88" s="62">
        <f t="shared" si="22"/>
        <v>6.9272329000000001E-3</v>
      </c>
      <c r="Q88" s="97">
        <v>0.20997499999999999</v>
      </c>
      <c r="R88" s="62">
        <f t="shared" si="22"/>
        <v>4.4089500625E-2</v>
      </c>
      <c r="S88" s="98">
        <v>9.8570000000000005E-2</v>
      </c>
      <c r="T88" s="95">
        <f t="shared" si="22"/>
        <v>9.7160449000000017E-3</v>
      </c>
      <c r="U88" s="98">
        <v>8.3640000000000006E-2</v>
      </c>
      <c r="V88" s="95">
        <f t="shared" si="22"/>
        <v>6.9956496000000007E-3</v>
      </c>
      <c r="W88" s="97">
        <v>6.701E-2</v>
      </c>
      <c r="X88" s="95">
        <f t="shared" si="20"/>
        <v>4.4903401000000003E-3</v>
      </c>
      <c r="Y88" s="97">
        <v>0.10086100000000001</v>
      </c>
      <c r="Z88" s="95">
        <f t="shared" si="21"/>
        <v>1.0172941321E-2</v>
      </c>
      <c r="AA88" s="97">
        <v>0.10358777</v>
      </c>
      <c r="AB88" s="95">
        <f t="shared" si="13"/>
        <v>1.0730426093572899E-2</v>
      </c>
      <c r="AC88">
        <v>0.11927500000000001</v>
      </c>
      <c r="AD88" s="95">
        <f t="shared" si="14"/>
        <v>1.4226525625000002E-2</v>
      </c>
      <c r="AE88">
        <v>6.8330000000000002E-2</v>
      </c>
      <c r="AF88" s="95">
        <f t="shared" si="15"/>
        <v>4.6689889000000005E-3</v>
      </c>
    </row>
    <row r="89" spans="1:32">
      <c r="A89" s="63">
        <v>84</v>
      </c>
      <c r="B89" s="78">
        <f>+QxM!G86/1000</f>
        <v>0</v>
      </c>
      <c r="C89" s="83">
        <v>8.7370000000000003E-2</v>
      </c>
      <c r="D89" s="62">
        <f t="shared" ref="D89:D103" si="23">+(C89-$B89)^2</f>
        <v>7.6335169000000007E-3</v>
      </c>
      <c r="E89" s="67">
        <v>0.17988000000000001</v>
      </c>
      <c r="F89" s="62">
        <f t="shared" si="16"/>
        <v>3.2356814400000003E-2</v>
      </c>
      <c r="G89" s="97">
        <v>0.13045000000000001</v>
      </c>
      <c r="H89" s="62">
        <f t="shared" si="12"/>
        <v>1.7017202500000002E-2</v>
      </c>
      <c r="I89" s="102">
        <v>0.14025000000000001</v>
      </c>
      <c r="J89" s="62">
        <f t="shared" si="17"/>
        <v>1.9670062500000005E-2</v>
      </c>
      <c r="K89" s="97">
        <v>0.11069</v>
      </c>
      <c r="L89" s="62">
        <f t="shared" si="18"/>
        <v>1.2252276099999999E-2</v>
      </c>
      <c r="M89" s="102">
        <v>0.1901425957</v>
      </c>
      <c r="N89" s="62">
        <f t="shared" si="22"/>
        <v>3.6154206699533661E-2</v>
      </c>
      <c r="O89" s="102">
        <v>9.1933000000000001E-2</v>
      </c>
      <c r="P89" s="62">
        <f t="shared" si="22"/>
        <v>8.4516764890000002E-3</v>
      </c>
      <c r="Q89" s="97">
        <v>0.22450500000000001</v>
      </c>
      <c r="R89" s="62">
        <f t="shared" si="22"/>
        <v>5.0402495025000008E-2</v>
      </c>
      <c r="S89" s="98">
        <v>0.10857</v>
      </c>
      <c r="T89" s="95">
        <f t="shared" si="22"/>
        <v>1.1787444899999999E-2</v>
      </c>
      <c r="U89" s="98">
        <v>9.3289999999999998E-2</v>
      </c>
      <c r="V89" s="95">
        <f t="shared" si="22"/>
        <v>8.7030240999999998E-3</v>
      </c>
      <c r="W89" s="97">
        <v>7.3319999999999996E-2</v>
      </c>
      <c r="X89" s="95">
        <f t="shared" si="20"/>
        <v>5.3758223999999999E-3</v>
      </c>
      <c r="Y89" s="97">
        <v>0.111946</v>
      </c>
      <c r="Z89" s="95">
        <f t="shared" si="21"/>
        <v>1.2531906916E-2</v>
      </c>
      <c r="AA89" s="97">
        <v>0.11326218</v>
      </c>
      <c r="AB89" s="95">
        <f t="shared" si="13"/>
        <v>1.2828321418352402E-2</v>
      </c>
      <c r="AC89">
        <v>0.12975600000000001</v>
      </c>
      <c r="AD89" s="95">
        <f t="shared" si="14"/>
        <v>1.6836619536000002E-2</v>
      </c>
      <c r="AE89">
        <v>7.5509999999999994E-2</v>
      </c>
      <c r="AF89" s="95">
        <f t="shared" si="15"/>
        <v>5.7017600999999989E-3</v>
      </c>
    </row>
    <row r="90" spans="1:32">
      <c r="A90" s="63">
        <v>85</v>
      </c>
      <c r="B90" s="78">
        <f>+QxM!G87/1000</f>
        <v>0</v>
      </c>
      <c r="C90" s="83">
        <v>9.570999999999999E-2</v>
      </c>
      <c r="D90" s="62">
        <f t="shared" si="23"/>
        <v>9.1604040999999983E-3</v>
      </c>
      <c r="E90" s="67">
        <v>0.19413</v>
      </c>
      <c r="F90" s="62">
        <f t="shared" si="16"/>
        <v>3.7686456899999998E-2</v>
      </c>
      <c r="G90" s="97">
        <v>0.14011999999999999</v>
      </c>
      <c r="H90" s="62">
        <f t="shared" si="12"/>
        <v>1.9633614399999999E-2</v>
      </c>
      <c r="I90" s="102">
        <v>0.15295</v>
      </c>
      <c r="J90" s="62">
        <f t="shared" si="17"/>
        <v>2.3393702500000002E-2</v>
      </c>
      <c r="K90" s="97">
        <v>0.12236</v>
      </c>
      <c r="L90" s="62">
        <f t="shared" si="18"/>
        <v>1.4971969599999999E-2</v>
      </c>
      <c r="M90" s="102">
        <v>0.2056927767</v>
      </c>
      <c r="N90" s="62">
        <f t="shared" si="22"/>
        <v>4.2309518386556062E-2</v>
      </c>
      <c r="O90" s="102">
        <v>0.10162499999999999</v>
      </c>
      <c r="P90" s="62">
        <f t="shared" si="22"/>
        <v>1.0327640624999999E-2</v>
      </c>
      <c r="Q90" s="97">
        <v>0.239403</v>
      </c>
      <c r="R90" s="62">
        <f t="shared" si="22"/>
        <v>5.7313796409000001E-2</v>
      </c>
      <c r="S90" s="98">
        <v>0.11942999999999999</v>
      </c>
      <c r="T90" s="95">
        <f t="shared" si="22"/>
        <v>1.42635249E-2</v>
      </c>
      <c r="U90" s="98">
        <v>0.10407</v>
      </c>
      <c r="V90" s="95">
        <f t="shared" si="22"/>
        <v>1.0830564899999999E-2</v>
      </c>
      <c r="W90" s="97">
        <v>8.0240000000000006E-2</v>
      </c>
      <c r="X90" s="95">
        <f t="shared" si="20"/>
        <v>6.4384576000000009E-3</v>
      </c>
      <c r="Y90" s="97">
        <v>0.124304</v>
      </c>
      <c r="Z90" s="95">
        <f t="shared" si="21"/>
        <v>1.5451484416E-2</v>
      </c>
      <c r="AA90" s="97">
        <v>0.12377241</v>
      </c>
      <c r="AB90" s="95">
        <f t="shared" si="13"/>
        <v>1.5319609477208099E-2</v>
      </c>
      <c r="AC90">
        <v>0.14224600000000001</v>
      </c>
      <c r="AD90" s="95">
        <f t="shared" si="14"/>
        <v>2.0233924516000003E-2</v>
      </c>
      <c r="AE90">
        <v>8.3479999999999999E-2</v>
      </c>
      <c r="AF90" s="95">
        <f t="shared" si="15"/>
        <v>6.9689104000000002E-3</v>
      </c>
    </row>
    <row r="91" spans="1:32">
      <c r="A91" s="63">
        <v>86</v>
      </c>
      <c r="B91" s="78">
        <f>+QxM!G88/1000</f>
        <v>0</v>
      </c>
      <c r="C91" s="83">
        <v>0.10479000000000001</v>
      </c>
      <c r="D91" s="62">
        <f t="shared" si="23"/>
        <v>1.0980944100000002E-2</v>
      </c>
      <c r="E91" s="67">
        <v>0.20937</v>
      </c>
      <c r="F91" s="62">
        <f t="shared" si="16"/>
        <v>4.3835796900000001E-2</v>
      </c>
      <c r="G91" s="97">
        <v>0.15026999999999999</v>
      </c>
      <c r="H91" s="62">
        <f t="shared" si="12"/>
        <v>2.2581072899999995E-2</v>
      </c>
      <c r="I91" s="102">
        <v>0.16608999999999999</v>
      </c>
      <c r="J91" s="62">
        <f t="shared" si="17"/>
        <v>2.7585888099999997E-2</v>
      </c>
      <c r="K91" s="97">
        <v>0.13516999999999998</v>
      </c>
      <c r="L91" s="62">
        <f t="shared" si="18"/>
        <v>1.8270928899999997E-2</v>
      </c>
      <c r="M91" s="102">
        <v>0.22213436910000001</v>
      </c>
      <c r="N91" s="62">
        <f t="shared" si="22"/>
        <v>4.9343677935455035E-2</v>
      </c>
      <c r="O91" s="102">
        <v>0.11244800000000001</v>
      </c>
      <c r="P91" s="62">
        <f t="shared" si="22"/>
        <v>1.2644552704000002E-2</v>
      </c>
      <c r="Q91" s="97">
        <v>0.25490800000000002</v>
      </c>
      <c r="R91" s="62">
        <f t="shared" si="22"/>
        <v>6.4978088464000008E-2</v>
      </c>
      <c r="S91" s="98">
        <v>0.13116</v>
      </c>
      <c r="T91" s="95">
        <f t="shared" si="22"/>
        <v>1.7202945599999998E-2</v>
      </c>
      <c r="U91" s="98">
        <v>0.11609</v>
      </c>
      <c r="V91" s="95">
        <f t="shared" si="22"/>
        <v>1.3476888099999999E-2</v>
      </c>
      <c r="W91" s="97">
        <v>8.7809999999999999E-2</v>
      </c>
      <c r="X91" s="95">
        <f t="shared" si="20"/>
        <v>7.7105960999999997E-3</v>
      </c>
      <c r="Y91" s="97">
        <v>0.13805899999999999</v>
      </c>
      <c r="Z91" s="95">
        <f t="shared" si="21"/>
        <v>1.9060287480999995E-2</v>
      </c>
      <c r="AA91" s="97">
        <v>0.13517781000000001</v>
      </c>
      <c r="AB91" s="95">
        <f t="shared" si="13"/>
        <v>1.8273040316396101E-2</v>
      </c>
      <c r="AC91">
        <v>0.15512799999999999</v>
      </c>
      <c r="AD91" s="95">
        <f t="shared" si="14"/>
        <v>2.4064696383999995E-2</v>
      </c>
      <c r="AE91">
        <v>9.2310000000000003E-2</v>
      </c>
      <c r="AF91" s="95">
        <f t="shared" si="15"/>
        <v>8.5211360999999999E-3</v>
      </c>
    </row>
    <row r="92" spans="1:32">
      <c r="A92" s="63">
        <v>87</v>
      </c>
      <c r="B92" s="78">
        <f>+QxM!G89/1000</f>
        <v>0</v>
      </c>
      <c r="C92" s="83">
        <v>0.11469</v>
      </c>
      <c r="D92" s="62">
        <f t="shared" si="23"/>
        <v>1.31537961E-2</v>
      </c>
      <c r="E92" s="67">
        <v>0.22563</v>
      </c>
      <c r="F92" s="62">
        <f t="shared" si="16"/>
        <v>5.09088969E-2</v>
      </c>
      <c r="G92" s="97">
        <v>0.16098000000000001</v>
      </c>
      <c r="H92" s="62">
        <f t="shared" si="12"/>
        <v>2.5914560400000005E-2</v>
      </c>
      <c r="I92" s="102">
        <v>0.17954999999999999</v>
      </c>
      <c r="J92" s="62">
        <f t="shared" si="17"/>
        <v>3.2238202499999993E-2</v>
      </c>
      <c r="K92" s="97">
        <v>0.14899000000000001</v>
      </c>
      <c r="L92" s="62">
        <f t="shared" si="18"/>
        <v>2.2198020100000004E-2</v>
      </c>
      <c r="M92" s="102">
        <v>0.2400098095</v>
      </c>
      <c r="N92" s="62">
        <f t="shared" si="22"/>
        <v>5.7604708656226293E-2</v>
      </c>
      <c r="O92" s="102">
        <v>0.124502</v>
      </c>
      <c r="P92" s="62">
        <f t="shared" si="22"/>
        <v>1.5500748004E-2</v>
      </c>
      <c r="Q92" s="97">
        <v>0.27156799999999998</v>
      </c>
      <c r="R92" s="62">
        <f t="shared" si="22"/>
        <v>7.3749178623999989E-2</v>
      </c>
      <c r="S92" s="98">
        <v>0.14382</v>
      </c>
      <c r="T92" s="95">
        <f t="shared" si="22"/>
        <v>2.0684192400000002E-2</v>
      </c>
      <c r="U92" s="98">
        <v>0.12945999999999999</v>
      </c>
      <c r="V92" s="95">
        <f t="shared" si="22"/>
        <v>1.6759891599999997E-2</v>
      </c>
      <c r="W92" s="97">
        <v>9.6089999999999995E-2</v>
      </c>
      <c r="X92" s="95">
        <f t="shared" si="20"/>
        <v>9.2332880999999988E-3</v>
      </c>
      <c r="Y92" s="97">
        <v>0.153339</v>
      </c>
      <c r="Z92" s="95">
        <f t="shared" si="21"/>
        <v>2.3512848921000001E-2</v>
      </c>
      <c r="AA92" s="97">
        <v>0.14753933</v>
      </c>
      <c r="AB92" s="95">
        <f t="shared" si="13"/>
        <v>2.1767853896848897E-2</v>
      </c>
      <c r="AC92">
        <v>0.166489</v>
      </c>
      <c r="AD92" s="95">
        <f t="shared" si="14"/>
        <v>2.7718587121000001E-2</v>
      </c>
      <c r="AE92">
        <v>0.10206999999999999</v>
      </c>
      <c r="AF92" s="95">
        <f t="shared" si="15"/>
        <v>1.0418284899999998E-2</v>
      </c>
    </row>
    <row r="93" spans="1:32">
      <c r="A93" s="63">
        <v>88</v>
      </c>
      <c r="B93" s="78">
        <f>+QxM!G90/1000</f>
        <v>0</v>
      </c>
      <c r="C93" s="83">
        <v>0.12547</v>
      </c>
      <c r="D93" s="62">
        <f t="shared" si="23"/>
        <v>1.57427209E-2</v>
      </c>
      <c r="E93" s="67">
        <v>0.24299999999999999</v>
      </c>
      <c r="F93" s="62">
        <f t="shared" si="16"/>
        <v>5.9048999999999997E-2</v>
      </c>
      <c r="G93" s="97">
        <v>0.17238999999999999</v>
      </c>
      <c r="H93" s="62">
        <f t="shared" si="12"/>
        <v>2.9718312099999995E-2</v>
      </c>
      <c r="I93" s="102">
        <v>0.19327</v>
      </c>
      <c r="J93" s="62">
        <f t="shared" si="17"/>
        <v>3.7353292900000001E-2</v>
      </c>
      <c r="K93" s="97">
        <v>0.16300000000000001</v>
      </c>
      <c r="L93" s="62">
        <f t="shared" si="18"/>
        <v>2.6569000000000002E-2</v>
      </c>
      <c r="M93" s="102">
        <v>0.25887517980000002</v>
      </c>
      <c r="N93" s="62">
        <f t="shared" si="22"/>
        <v>6.7016358716482344E-2</v>
      </c>
      <c r="O93" s="102">
        <v>0.13783699999999999</v>
      </c>
      <c r="P93" s="62">
        <f t="shared" si="22"/>
        <v>1.8999038568999996E-2</v>
      </c>
      <c r="Q93" s="97">
        <v>0.28938199999999997</v>
      </c>
      <c r="R93" s="62">
        <f t="shared" si="22"/>
        <v>8.3741941923999988E-2</v>
      </c>
      <c r="S93" s="98">
        <v>0.15742999999999999</v>
      </c>
      <c r="T93" s="95">
        <f t="shared" si="22"/>
        <v>2.4784204899999995E-2</v>
      </c>
      <c r="U93" s="98">
        <v>0.14432</v>
      </c>
      <c r="V93" s="95">
        <f t="shared" si="22"/>
        <v>2.0828262400000002E-2</v>
      </c>
      <c r="W93" s="97">
        <v>0.10517</v>
      </c>
      <c r="X93" s="95">
        <f t="shared" si="20"/>
        <v>1.10607289E-2</v>
      </c>
      <c r="Y93" s="97">
        <v>0.170267</v>
      </c>
      <c r="Z93" s="95">
        <f t="shared" si="21"/>
        <v>2.8990851288999999E-2</v>
      </c>
      <c r="AA93" s="97">
        <v>0.16091894000000001</v>
      </c>
      <c r="AB93" s="95">
        <f t="shared" si="13"/>
        <v>2.5894905250723604E-2</v>
      </c>
      <c r="AC93">
        <v>0.176622</v>
      </c>
      <c r="AD93" s="95">
        <f t="shared" si="14"/>
        <v>3.1195330884000002E-2</v>
      </c>
      <c r="AE93">
        <v>0.11278000000000001</v>
      </c>
      <c r="AF93" s="95">
        <f t="shared" si="15"/>
        <v>1.27193284E-2</v>
      </c>
    </row>
    <row r="94" spans="1:32">
      <c r="A94" s="63">
        <v>89</v>
      </c>
      <c r="B94" s="78">
        <f>+QxM!G91/1000</f>
        <v>0</v>
      </c>
      <c r="C94" s="83">
        <v>0.13718</v>
      </c>
      <c r="D94" s="62">
        <f t="shared" si="23"/>
        <v>1.8818352399999998E-2</v>
      </c>
      <c r="E94" s="67">
        <v>0.26144000000000001</v>
      </c>
      <c r="F94" s="62">
        <f t="shared" si="16"/>
        <v>6.8350873600000001E-2</v>
      </c>
      <c r="G94" s="97">
        <v>0.18475</v>
      </c>
      <c r="H94" s="62">
        <f t="shared" si="12"/>
        <v>3.4132562499999998E-2</v>
      </c>
      <c r="I94" s="102">
        <v>0.20729</v>
      </c>
      <c r="J94" s="62">
        <f t="shared" si="17"/>
        <v>4.2969144100000002E-2</v>
      </c>
      <c r="K94" s="97">
        <v>0.17902999999999999</v>
      </c>
      <c r="L94" s="62">
        <f t="shared" si="18"/>
        <v>3.20517409E-2</v>
      </c>
      <c r="M94" s="102">
        <v>0.27880713509999999</v>
      </c>
      <c r="N94" s="62">
        <f t="shared" si="22"/>
        <v>7.7733418582669647E-2</v>
      </c>
      <c r="O94" s="102">
        <v>0.15245800000000001</v>
      </c>
      <c r="P94" s="62">
        <f t="shared" si="22"/>
        <v>2.3243441764000002E-2</v>
      </c>
      <c r="Q94" s="97">
        <v>0.30870300000000001</v>
      </c>
      <c r="R94" s="62">
        <f t="shared" si="22"/>
        <v>9.5297542208999997E-2</v>
      </c>
      <c r="S94" s="98">
        <v>0.17202000000000001</v>
      </c>
      <c r="T94" s="95">
        <f t="shared" si="22"/>
        <v>2.9590880400000002E-2</v>
      </c>
      <c r="U94" s="98">
        <v>0.16078999999999999</v>
      </c>
      <c r="V94" s="95">
        <f t="shared" si="22"/>
        <v>2.5853424099999998E-2</v>
      </c>
      <c r="W94" s="97">
        <v>0.11511</v>
      </c>
      <c r="X94" s="95">
        <f t="shared" si="20"/>
        <v>1.3250312100000002E-2</v>
      </c>
      <c r="Y94" s="97">
        <v>0.189003</v>
      </c>
      <c r="Z94" s="95">
        <f t="shared" si="21"/>
        <v>3.5722134009000005E-2</v>
      </c>
      <c r="AA94" s="97">
        <v>0.17537887999999999</v>
      </c>
      <c r="AB94" s="95">
        <f t="shared" si="13"/>
        <v>3.0757751550054394E-2</v>
      </c>
      <c r="AC94">
        <v>0.18581800000000001</v>
      </c>
      <c r="AD94" s="95">
        <f t="shared" si="14"/>
        <v>3.4528329124000001E-2</v>
      </c>
      <c r="AE94">
        <v>0.12447999999999999</v>
      </c>
      <c r="AF94" s="95">
        <f t="shared" si="15"/>
        <v>1.5495270399999999E-2</v>
      </c>
    </row>
    <row r="95" spans="1:32">
      <c r="A95" s="63">
        <v>90</v>
      </c>
      <c r="B95" s="78">
        <f>+QxM!G92/1000</f>
        <v>0</v>
      </c>
      <c r="C95" s="83">
        <v>0.14989</v>
      </c>
      <c r="D95" s="62">
        <f t="shared" si="23"/>
        <v>2.2467012099999999E-2</v>
      </c>
      <c r="E95" s="67">
        <v>0.28099000000000002</v>
      </c>
      <c r="F95" s="62">
        <f t="shared" si="16"/>
        <v>7.8955380100000014E-2</v>
      </c>
      <c r="G95" s="97">
        <v>0.19838</v>
      </c>
      <c r="H95" s="62">
        <f t="shared" si="12"/>
        <v>3.9354624400000003E-2</v>
      </c>
      <c r="I95" s="102">
        <v>0.22176999999999999</v>
      </c>
      <c r="J95" s="62">
        <f t="shared" si="17"/>
        <v>4.9181932899999996E-2</v>
      </c>
      <c r="K95" s="97">
        <v>0.19428000000000001</v>
      </c>
      <c r="L95" s="62">
        <f t="shared" si="18"/>
        <v>3.7744718400000002E-2</v>
      </c>
      <c r="M95" s="102">
        <v>0.30075186970000001</v>
      </c>
      <c r="N95" s="62">
        <f t="shared" si="22"/>
        <v>9.0451687128045785E-2</v>
      </c>
      <c r="O95" s="102">
        <v>0.168352</v>
      </c>
      <c r="P95" s="62">
        <f t="shared" si="22"/>
        <v>2.8342395903999999E-2</v>
      </c>
      <c r="Q95" s="97">
        <v>0.33016600000000002</v>
      </c>
      <c r="R95" s="62">
        <f t="shared" si="22"/>
        <v>0.10900958755600001</v>
      </c>
      <c r="S95" s="98">
        <v>0.18759999999999999</v>
      </c>
      <c r="T95" s="95">
        <f t="shared" si="22"/>
        <v>3.5193759999999998E-2</v>
      </c>
      <c r="U95" s="98">
        <v>0.17899999999999999</v>
      </c>
      <c r="V95" s="95">
        <f t="shared" si="22"/>
        <v>3.2041E-2</v>
      </c>
      <c r="W95" s="97">
        <v>0.126</v>
      </c>
      <c r="X95" s="95">
        <f t="shared" si="20"/>
        <v>1.5876000000000001E-2</v>
      </c>
      <c r="Y95" s="97">
        <v>0.209651</v>
      </c>
      <c r="Z95" s="95">
        <f t="shared" si="21"/>
        <v>4.3953541801000001E-2</v>
      </c>
      <c r="AA95" s="97">
        <v>0.19098076999999999</v>
      </c>
      <c r="AB95" s="95">
        <f t="shared" si="13"/>
        <v>3.6473654509792897E-2</v>
      </c>
      <c r="AC95">
        <v>0.19436999999999999</v>
      </c>
      <c r="AD95" s="95">
        <f t="shared" si="14"/>
        <v>3.7779696899999993E-2</v>
      </c>
      <c r="AE95">
        <v>0.13718</v>
      </c>
      <c r="AF95" s="95">
        <f t="shared" si="15"/>
        <v>1.8818352399999998E-2</v>
      </c>
    </row>
    <row r="96" spans="1:32">
      <c r="A96" s="63">
        <v>91</v>
      </c>
      <c r="B96" s="78">
        <f>+QxM!G93/1000</f>
        <v>0</v>
      </c>
      <c r="C96" s="83">
        <v>0.16368000000000002</v>
      </c>
      <c r="D96" s="62">
        <f t="shared" si="23"/>
        <v>2.6791142400000006E-2</v>
      </c>
      <c r="E96" s="67">
        <v>0.30173</v>
      </c>
      <c r="F96" s="62">
        <f t="shared" si="16"/>
        <v>9.1040992899999992E-2</v>
      </c>
      <c r="G96" s="97">
        <v>0.21371000000000001</v>
      </c>
      <c r="H96" s="62">
        <f t="shared" si="12"/>
        <v>4.5671964100000004E-2</v>
      </c>
      <c r="I96" s="102">
        <v>0.23698</v>
      </c>
      <c r="J96" s="62">
        <f t="shared" si="17"/>
        <v>5.6159520399999996E-2</v>
      </c>
      <c r="K96" s="97">
        <v>0.20927000000000001</v>
      </c>
      <c r="L96" s="62">
        <f t="shared" si="18"/>
        <v>4.3793932900000006E-2</v>
      </c>
      <c r="M96" s="102">
        <v>0.32258007059999999</v>
      </c>
      <c r="N96" s="62">
        <f t="shared" si="22"/>
        <v>0.10405790194830097</v>
      </c>
      <c r="O96" s="102">
        <v>0.18548600000000001</v>
      </c>
      <c r="P96" s="62">
        <f t="shared" si="22"/>
        <v>3.4405056196000004E-2</v>
      </c>
      <c r="Q96" s="97">
        <v>0.35106399999999999</v>
      </c>
      <c r="R96" s="62">
        <f t="shared" si="22"/>
        <v>0.12324593209599999</v>
      </c>
      <c r="S96" s="98">
        <v>0.20419999999999999</v>
      </c>
      <c r="T96" s="95">
        <f t="shared" si="22"/>
        <v>4.1697639999999994E-2</v>
      </c>
      <c r="U96" s="98">
        <v>0.1991</v>
      </c>
      <c r="V96" s="95">
        <f t="shared" si="22"/>
        <v>3.9640809999999999E-2</v>
      </c>
      <c r="W96" s="97">
        <v>0.13791999999999999</v>
      </c>
      <c r="X96" s="95">
        <f t="shared" si="20"/>
        <v>1.9021926399999996E-2</v>
      </c>
      <c r="Y96" s="97">
        <v>0.232347</v>
      </c>
      <c r="Z96" s="95">
        <f t="shared" si="21"/>
        <v>5.3985128409000001E-2</v>
      </c>
      <c r="AA96" s="97">
        <v>0.20778447</v>
      </c>
      <c r="AB96" s="95">
        <f t="shared" si="13"/>
        <v>4.31743859731809E-2</v>
      </c>
      <c r="AC96">
        <v>0.202569</v>
      </c>
      <c r="AD96" s="95">
        <f t="shared" si="14"/>
        <v>4.1034199760999999E-2</v>
      </c>
      <c r="AE96">
        <v>0.15087</v>
      </c>
      <c r="AF96" s="95">
        <f t="shared" si="15"/>
        <v>2.2761756900000003E-2</v>
      </c>
    </row>
    <row r="97" spans="1:32">
      <c r="A97" s="63">
        <v>92</v>
      </c>
      <c r="B97" s="78">
        <f>+QxM!G94/1000</f>
        <v>0</v>
      </c>
      <c r="C97" s="83">
        <v>0.17859</v>
      </c>
      <c r="D97" s="62">
        <f t="shared" si="23"/>
        <v>3.1894388099999997E-2</v>
      </c>
      <c r="E97" s="67">
        <v>0.32363999999999998</v>
      </c>
      <c r="F97" s="62">
        <f t="shared" si="16"/>
        <v>0.10474284959999999</v>
      </c>
      <c r="G97" s="97">
        <v>0.23124</v>
      </c>
      <c r="H97" s="62">
        <f t="shared" si="12"/>
        <v>5.3471937599999998E-2</v>
      </c>
      <c r="I97" s="102">
        <v>0.25345000000000001</v>
      </c>
      <c r="J97" s="62">
        <f t="shared" si="17"/>
        <v>6.4236902499999998E-2</v>
      </c>
      <c r="K97" s="97">
        <v>0.22494</v>
      </c>
      <c r="L97" s="62">
        <f t="shared" si="18"/>
        <v>5.0598003600000004E-2</v>
      </c>
      <c r="M97" s="102">
        <v>0.34788329400000001</v>
      </c>
      <c r="N97" s="62">
        <f t="shared" si="22"/>
        <v>0.12102278624429044</v>
      </c>
      <c r="O97" s="102">
        <v>0.203817</v>
      </c>
      <c r="P97" s="62">
        <f t="shared" si="22"/>
        <v>4.1541369489000002E-2</v>
      </c>
      <c r="Q97" s="97">
        <v>0.37431700000000001</v>
      </c>
      <c r="R97" s="62">
        <f t="shared" si="22"/>
        <v>0.14011321648900002</v>
      </c>
      <c r="S97" s="98">
        <v>0.2218</v>
      </c>
      <c r="T97" s="95">
        <f t="shared" si="22"/>
        <v>4.9195240000000001E-2</v>
      </c>
      <c r="U97" s="98">
        <v>0.22119</v>
      </c>
      <c r="V97" s="95">
        <f t="shared" si="22"/>
        <v>4.8925016099999996E-2</v>
      </c>
      <c r="W97" s="97">
        <v>0.15098</v>
      </c>
      <c r="X97" s="95">
        <f t="shared" si="20"/>
        <v>2.2794960400000001E-2</v>
      </c>
      <c r="Y97" s="97">
        <v>0.25720399999999999</v>
      </c>
      <c r="Z97" s="95">
        <f t="shared" si="21"/>
        <v>6.615389761599999E-2</v>
      </c>
      <c r="AA97" s="97">
        <v>0.22584677</v>
      </c>
      <c r="AB97" s="95">
        <f t="shared" si="13"/>
        <v>5.1006763519432903E-2</v>
      </c>
      <c r="AC97">
        <v>0.21070800000000001</v>
      </c>
      <c r="AD97" s="95">
        <f t="shared" si="14"/>
        <v>4.4397861264000006E-2</v>
      </c>
      <c r="AE97">
        <v>0.16556000000000001</v>
      </c>
      <c r="AF97" s="95">
        <f t="shared" si="15"/>
        <v>2.7410113600000004E-2</v>
      </c>
    </row>
    <row r="98" spans="1:32">
      <c r="A98" s="63">
        <v>93</v>
      </c>
      <c r="B98" s="78">
        <f>+QxM!G95/1000</f>
        <v>0</v>
      </c>
      <c r="C98" s="83">
        <v>0.19857</v>
      </c>
      <c r="D98" s="62">
        <f t="shared" si="23"/>
        <v>3.9430044899999996E-2</v>
      </c>
      <c r="E98" s="67">
        <v>0.34666000000000002</v>
      </c>
      <c r="F98" s="62">
        <f t="shared" si="16"/>
        <v>0.12017315560000001</v>
      </c>
      <c r="G98" s="97">
        <v>0.25147000000000003</v>
      </c>
      <c r="H98" s="62">
        <f t="shared" si="12"/>
        <v>6.323716090000002E-2</v>
      </c>
      <c r="I98" s="102">
        <v>0.27211000000000002</v>
      </c>
      <c r="J98" s="62">
        <f t="shared" si="17"/>
        <v>7.4043852100000015E-2</v>
      </c>
      <c r="K98" s="97">
        <v>0.24146000000000001</v>
      </c>
      <c r="L98" s="62">
        <f t="shared" si="18"/>
        <v>5.8302931600000003E-2</v>
      </c>
      <c r="M98" s="102">
        <v>0.37119833209999997</v>
      </c>
      <c r="N98" s="62">
        <f t="shared" si="22"/>
        <v>0.13778820175382187</v>
      </c>
      <c r="O98" s="102">
        <v>0.223298</v>
      </c>
      <c r="P98" s="62">
        <f t="shared" si="22"/>
        <v>4.9861996803999997E-2</v>
      </c>
      <c r="Q98" s="97">
        <v>0.40174700000000002</v>
      </c>
      <c r="R98" s="62">
        <f t="shared" si="22"/>
        <v>0.16140065200900003</v>
      </c>
      <c r="S98" s="98">
        <v>0.2404</v>
      </c>
      <c r="T98" s="95">
        <f t="shared" si="22"/>
        <v>5.7792160000000002E-2</v>
      </c>
      <c r="U98" s="98">
        <v>0.24540000000000001</v>
      </c>
      <c r="V98" s="95">
        <f t="shared" si="22"/>
        <v>6.0221160000000003E-2</v>
      </c>
      <c r="W98" s="97">
        <v>0.16528000000000001</v>
      </c>
      <c r="X98" s="95">
        <f t="shared" si="20"/>
        <v>2.7317478400000005E-2</v>
      </c>
      <c r="Y98" s="97">
        <v>0.28432000000000002</v>
      </c>
      <c r="Z98" s="95">
        <f t="shared" si="21"/>
        <v>8.0837862400000016E-2</v>
      </c>
      <c r="AA98" s="97">
        <v>0.24521972</v>
      </c>
      <c r="AB98" s="95">
        <f t="shared" si="13"/>
        <v>6.0132711076878398E-2</v>
      </c>
      <c r="AC98">
        <v>0.21907699999999999</v>
      </c>
      <c r="AD98" s="95">
        <f t="shared" si="14"/>
        <v>4.7994731929000001E-2</v>
      </c>
      <c r="AE98">
        <v>0.18121999999999999</v>
      </c>
      <c r="AF98" s="95">
        <f t="shared" si="15"/>
        <v>3.2840688399999998E-2</v>
      </c>
    </row>
    <row r="99" spans="1:32">
      <c r="A99" s="63">
        <v>94</v>
      </c>
      <c r="B99" s="78">
        <f>+QxM!G96/1000</f>
        <v>0</v>
      </c>
      <c r="C99" s="83">
        <v>0.22365000000000002</v>
      </c>
      <c r="D99" s="62">
        <f t="shared" si="23"/>
        <v>5.0019322500000005E-2</v>
      </c>
      <c r="E99" s="67">
        <v>0.371</v>
      </c>
      <c r="F99" s="62">
        <f t="shared" si="16"/>
        <v>0.13764099999999999</v>
      </c>
      <c r="G99" s="97">
        <v>0.27489999999999998</v>
      </c>
      <c r="H99" s="62">
        <f t="shared" si="12"/>
        <v>7.5570009999999993E-2</v>
      </c>
      <c r="I99" s="102">
        <v>0.2959</v>
      </c>
      <c r="J99" s="62">
        <f t="shared" si="17"/>
        <v>8.7556809999999999E-2</v>
      </c>
      <c r="K99" s="97">
        <v>0.25886000000000003</v>
      </c>
      <c r="L99" s="62">
        <f t="shared" si="18"/>
        <v>6.7008499600000021E-2</v>
      </c>
      <c r="M99" s="102">
        <v>0.39999803550000002</v>
      </c>
      <c r="N99" s="62">
        <f t="shared" si="22"/>
        <v>0.15999842840385928</v>
      </c>
      <c r="O99" s="102">
        <v>0.243867</v>
      </c>
      <c r="P99" s="62">
        <f t="shared" si="22"/>
        <v>5.9471113689000002E-2</v>
      </c>
      <c r="Q99" s="97">
        <v>0.43065700000000001</v>
      </c>
      <c r="R99" s="62">
        <f t="shared" si="22"/>
        <v>0.18546545164900002</v>
      </c>
      <c r="S99" s="98">
        <v>0.25996999999999998</v>
      </c>
      <c r="T99" s="95">
        <f t="shared" si="22"/>
        <v>6.7584400899999994E-2</v>
      </c>
      <c r="U99" s="98">
        <v>0.27184000000000003</v>
      </c>
      <c r="V99" s="95">
        <f t="shared" si="22"/>
        <v>7.389698560000002E-2</v>
      </c>
      <c r="W99" s="97">
        <v>0.18093000000000001</v>
      </c>
      <c r="X99" s="95">
        <f t="shared" si="20"/>
        <v>3.2735664900000003E-2</v>
      </c>
      <c r="Y99" s="97">
        <v>0.31376399999999999</v>
      </c>
      <c r="Z99" s="95">
        <f t="shared" si="21"/>
        <v>9.8447847695999999E-2</v>
      </c>
      <c r="AA99" s="97">
        <v>0.26594878999999999</v>
      </c>
      <c r="AB99" s="95">
        <f t="shared" si="13"/>
        <v>7.0728758902464092E-2</v>
      </c>
      <c r="AC99">
        <v>0.22797100000000001</v>
      </c>
      <c r="AD99" s="95">
        <f t="shared" si="14"/>
        <v>5.1970776841000002E-2</v>
      </c>
      <c r="AE99">
        <v>0.19785</v>
      </c>
      <c r="AF99" s="95">
        <f t="shared" si="15"/>
        <v>3.9144622499999997E-2</v>
      </c>
    </row>
    <row r="100" spans="1:32">
      <c r="A100" s="63">
        <v>95</v>
      </c>
      <c r="B100" s="78">
        <f>+QxM!G97/1000</f>
        <v>0</v>
      </c>
      <c r="C100" s="83">
        <v>0.25605</v>
      </c>
      <c r="D100" s="62">
        <f t="shared" si="23"/>
        <v>6.5561602499999996E-2</v>
      </c>
      <c r="E100" s="67">
        <v>0.39621000000000001</v>
      </c>
      <c r="F100" s="62">
        <f t="shared" si="16"/>
        <v>0.15698236409999999</v>
      </c>
      <c r="G100" s="97">
        <v>0.30303000000000002</v>
      </c>
      <c r="H100" s="62">
        <f t="shared" si="12"/>
        <v>9.1827180900000013E-2</v>
      </c>
      <c r="I100" s="102">
        <v>0.32995999999999998</v>
      </c>
      <c r="J100" s="62">
        <f t="shared" si="17"/>
        <v>0.10887360159999998</v>
      </c>
      <c r="K100" s="97">
        <v>0.27612000000000003</v>
      </c>
      <c r="L100" s="62">
        <f t="shared" si="18"/>
        <v>7.6242254400000015E-2</v>
      </c>
      <c r="M100" s="102">
        <v>0.42473208229999998</v>
      </c>
      <c r="N100" s="62">
        <f t="shared" si="22"/>
        <v>0.18039734173489397</v>
      </c>
      <c r="O100" s="102">
        <v>0.26427699999999998</v>
      </c>
      <c r="P100" s="62">
        <f t="shared" si="22"/>
        <v>6.9842332728999992E-2</v>
      </c>
      <c r="Q100" s="97">
        <v>0.48717899999999997</v>
      </c>
      <c r="R100" s="62">
        <f t="shared" si="22"/>
        <v>0.23734337804099997</v>
      </c>
      <c r="S100" s="98">
        <v>0.28048000000000001</v>
      </c>
      <c r="T100" s="95">
        <f t="shared" si="22"/>
        <v>7.8669030400000006E-2</v>
      </c>
      <c r="U100" s="98">
        <v>0.30058000000000001</v>
      </c>
      <c r="V100" s="95">
        <f t="shared" si="22"/>
        <v>9.0348336400000007E-2</v>
      </c>
      <c r="W100" s="97">
        <v>0.19808000000000001</v>
      </c>
      <c r="X100" s="95">
        <f t="shared" si="20"/>
        <v>3.9235686400000004E-2</v>
      </c>
      <c r="Y100" s="97">
        <v>0.34557399999999999</v>
      </c>
      <c r="Z100" s="95">
        <f t="shared" si="21"/>
        <v>0.11942138947599999</v>
      </c>
      <c r="AA100" s="97">
        <v>0.28807072</v>
      </c>
      <c r="AB100" s="95">
        <f t="shared" si="13"/>
        <v>8.2984739721318396E-2</v>
      </c>
      <c r="AC100">
        <v>0.237679</v>
      </c>
      <c r="AD100" s="95">
        <f t="shared" si="14"/>
        <v>5.6491307041E-2</v>
      </c>
      <c r="AE100">
        <v>0.21475</v>
      </c>
      <c r="AF100" s="95">
        <f t="shared" si="15"/>
        <v>4.6117562500000001E-2</v>
      </c>
    </row>
    <row r="101" spans="1:32">
      <c r="A101" s="63">
        <v>96</v>
      </c>
      <c r="B101" s="78">
        <f>+QxM!G98/1000</f>
        <v>0</v>
      </c>
      <c r="C101" s="83">
        <v>0.29955000000000004</v>
      </c>
      <c r="D101" s="62">
        <f t="shared" si="23"/>
        <v>8.9730202500000023E-2</v>
      </c>
      <c r="E101" s="67">
        <v>0.44718999999999998</v>
      </c>
      <c r="F101" s="62">
        <f t="shared" si="16"/>
        <v>0.19997889609999997</v>
      </c>
      <c r="G101" s="97">
        <v>0.34336</v>
      </c>
      <c r="H101" s="62">
        <f t="shared" si="12"/>
        <v>0.1178960896</v>
      </c>
      <c r="I101" s="102">
        <v>0.38455</v>
      </c>
      <c r="J101" s="62">
        <f t="shared" si="17"/>
        <v>0.14787870250000001</v>
      </c>
      <c r="K101" s="97">
        <v>0.29294999999999999</v>
      </c>
      <c r="L101" s="62">
        <f t="shared" si="18"/>
        <v>8.5819702499999997E-2</v>
      </c>
      <c r="M101" s="102">
        <v>0.45795605230000003</v>
      </c>
      <c r="N101" s="62">
        <f t="shared" si="22"/>
        <v>0.20972374583820036</v>
      </c>
      <c r="O101" s="102">
        <v>0.28416799999999998</v>
      </c>
      <c r="P101" s="62">
        <f t="shared" si="22"/>
        <v>8.0751452223999987E-2</v>
      </c>
      <c r="Q101" s="97">
        <v>0.55000000000000004</v>
      </c>
      <c r="R101" s="62">
        <f t="shared" si="22"/>
        <v>0.30250000000000005</v>
      </c>
      <c r="S101" s="98">
        <v>0.30187999999999998</v>
      </c>
      <c r="T101" s="95">
        <f t="shared" si="22"/>
        <v>9.1131534399999992E-2</v>
      </c>
      <c r="U101" s="98">
        <v>0.33166000000000001</v>
      </c>
      <c r="V101" s="95">
        <f t="shared" si="22"/>
        <v>0.1099983556</v>
      </c>
      <c r="W101" s="97">
        <v>0.21686</v>
      </c>
      <c r="X101" s="95">
        <f t="shared" si="20"/>
        <v>4.7028259599999997E-2</v>
      </c>
      <c r="Y101" s="97">
        <v>0.379741</v>
      </c>
      <c r="Z101" s="95">
        <f t="shared" si="21"/>
        <v>0.144203227081</v>
      </c>
      <c r="AA101" s="97">
        <v>0.31161105</v>
      </c>
      <c r="AB101" s="95">
        <f t="shared" si="13"/>
        <v>9.7101446482102505E-2</v>
      </c>
      <c r="AC101">
        <v>0.251994</v>
      </c>
      <c r="AD101" s="95">
        <f t="shared" si="14"/>
        <v>6.3500976035999995E-2</v>
      </c>
      <c r="AE101">
        <v>0.23172000000000001</v>
      </c>
      <c r="AF101" s="95">
        <f t="shared" si="15"/>
        <v>5.3694158400000004E-2</v>
      </c>
    </row>
    <row r="102" spans="1:32">
      <c r="A102" s="63">
        <v>97</v>
      </c>
      <c r="B102" s="78">
        <f>+QxM!G99/1000</f>
        <v>0</v>
      </c>
      <c r="C102" s="83">
        <v>0.36118</v>
      </c>
      <c r="D102" s="62">
        <f t="shared" si="23"/>
        <v>0.13045099239999999</v>
      </c>
      <c r="E102" s="67">
        <v>0.54825999999999997</v>
      </c>
      <c r="F102" s="62">
        <f t="shared" si="16"/>
        <v>0.30058902759999995</v>
      </c>
      <c r="G102" s="97">
        <v>0.40978999999999999</v>
      </c>
      <c r="H102" s="62">
        <f t="shared" si="12"/>
        <v>0.1679278441</v>
      </c>
      <c r="I102" s="102">
        <v>0.48020000000000002</v>
      </c>
      <c r="J102" s="62">
        <f t="shared" si="17"/>
        <v>0.23059204000000003</v>
      </c>
      <c r="K102" s="97">
        <v>0.31086000000000003</v>
      </c>
      <c r="L102" s="62">
        <f t="shared" si="18"/>
        <v>9.663393960000001E-2</v>
      </c>
      <c r="M102" s="102">
        <v>0.48275101860000003</v>
      </c>
      <c r="N102" s="62">
        <f t="shared" si="22"/>
        <v>0.23304854595933758</v>
      </c>
      <c r="O102" s="102">
        <v>0.30316399999999999</v>
      </c>
      <c r="P102" s="62">
        <f t="shared" si="22"/>
        <v>9.1908410895999992E-2</v>
      </c>
      <c r="Q102" s="97">
        <v>0.66666700000000001</v>
      </c>
      <c r="R102" s="62">
        <f t="shared" si="22"/>
        <v>0.44444488888900002</v>
      </c>
      <c r="S102" s="98">
        <v>0.32411000000000001</v>
      </c>
      <c r="T102" s="95">
        <f t="shared" si="22"/>
        <v>0.10504729210000001</v>
      </c>
      <c r="U102" s="98">
        <v>0.36509999999999998</v>
      </c>
      <c r="V102" s="95">
        <f t="shared" si="22"/>
        <v>0.13329800999999999</v>
      </c>
      <c r="W102" s="97">
        <v>0.23741999999999999</v>
      </c>
      <c r="X102" s="95">
        <f t="shared" si="20"/>
        <v>5.6368256399999997E-2</v>
      </c>
      <c r="Y102" s="97">
        <v>0.41619899999999999</v>
      </c>
      <c r="Z102" s="95">
        <f t="shared" si="21"/>
        <v>0.173221607601</v>
      </c>
      <c r="AA102" s="97">
        <v>0.33658137999999999</v>
      </c>
      <c r="AB102" s="95">
        <f t="shared" si="13"/>
        <v>0.11328702536270439</v>
      </c>
      <c r="AC102">
        <v>0.27451300000000001</v>
      </c>
      <c r="AD102" s="95">
        <f t="shared" si="14"/>
        <v>7.5357387169000006E-2</v>
      </c>
      <c r="AE102">
        <v>0.24857000000000001</v>
      </c>
      <c r="AF102" s="95">
        <f t="shared" si="15"/>
        <v>6.1787044900000004E-2</v>
      </c>
    </row>
    <row r="103" spans="1:32">
      <c r="A103" s="63">
        <v>98</v>
      </c>
      <c r="B103" s="78">
        <f>+QxM!G100/1000</f>
        <v>0</v>
      </c>
      <c r="C103" s="83">
        <v>0.45562000000000002</v>
      </c>
      <c r="D103" s="62">
        <f t="shared" si="23"/>
        <v>0.20758958440000003</v>
      </c>
      <c r="E103" s="67">
        <v>0.72467000000000004</v>
      </c>
      <c r="F103" s="62">
        <f t="shared" si="16"/>
        <v>0.52514660890000009</v>
      </c>
      <c r="G103" s="97">
        <v>0.52261999999999997</v>
      </c>
      <c r="H103" s="62">
        <f t="shared" si="12"/>
        <v>0.27313166439999997</v>
      </c>
      <c r="I103" s="102">
        <v>0.65798000000000001</v>
      </c>
      <c r="J103" s="62">
        <f t="shared" si="17"/>
        <v>0.43293768040000002</v>
      </c>
      <c r="K103" s="97">
        <v>0.32994999999999997</v>
      </c>
      <c r="L103" s="62">
        <f t="shared" si="18"/>
        <v>0.10886700249999998</v>
      </c>
      <c r="M103" s="102">
        <v>0.50002960299999999</v>
      </c>
      <c r="N103" s="62">
        <f t="shared" ref="N103:V103" si="24">+(M103-$B103)^2</f>
        <v>0.2500296038763376</v>
      </c>
      <c r="O103" s="102">
        <v>0.32087599999999999</v>
      </c>
      <c r="P103" s="62">
        <f t="shared" si="24"/>
        <v>0.102961407376</v>
      </c>
      <c r="Q103" s="97">
        <v>0.83333299999999999</v>
      </c>
      <c r="R103" s="62">
        <f t="shared" si="24"/>
        <v>0.69444388888899999</v>
      </c>
      <c r="S103" s="98">
        <v>0.34708</v>
      </c>
      <c r="T103" s="95">
        <f t="shared" si="24"/>
        <v>0.12046452639999999</v>
      </c>
      <c r="U103" s="98">
        <v>0.40084999999999998</v>
      </c>
      <c r="V103" s="95">
        <f t="shared" si="24"/>
        <v>0.16068072249999998</v>
      </c>
      <c r="W103" s="97">
        <v>0.25994</v>
      </c>
      <c r="X103" s="95">
        <f t="shared" si="20"/>
        <v>6.7568803600000005E-2</v>
      </c>
      <c r="Y103" s="97">
        <v>0.454816</v>
      </c>
      <c r="Z103" s="95">
        <f t="shared" si="21"/>
        <v>0.206857593856</v>
      </c>
      <c r="AA103" s="97">
        <v>0.36297642000000002</v>
      </c>
      <c r="AB103" s="95">
        <f t="shared" si="13"/>
        <v>0.13175188147601641</v>
      </c>
      <c r="AC103">
        <v>0.30523600000000001</v>
      </c>
      <c r="AD103" s="95">
        <f t="shared" si="14"/>
        <v>9.3169015696000002E-2</v>
      </c>
      <c r="AE103">
        <v>0.26506000000000002</v>
      </c>
      <c r="AF103" s="95">
        <f t="shared" si="15"/>
        <v>7.0256803600000015E-2</v>
      </c>
    </row>
    <row r="104" spans="1:32" ht="15.75" thickBot="1">
      <c r="A104" s="64">
        <v>99</v>
      </c>
      <c r="B104" s="78">
        <f>+QxM!G101/1000</f>
        <v>0</v>
      </c>
      <c r="C104" s="83">
        <v>0.62051000000000001</v>
      </c>
      <c r="D104" s="62"/>
      <c r="E104" s="67">
        <v>1</v>
      </c>
      <c r="F104" s="62"/>
      <c r="G104" s="97">
        <v>0.70855000000000001</v>
      </c>
      <c r="H104" s="62">
        <f t="shared" si="12"/>
        <v>0.50204310250000006</v>
      </c>
      <c r="I104" s="102">
        <v>1</v>
      </c>
      <c r="J104" s="62"/>
      <c r="K104" s="97">
        <v>0.35032000000000002</v>
      </c>
      <c r="L104" s="62"/>
      <c r="M104" s="102">
        <v>0.53334538880000004</v>
      </c>
      <c r="N104" s="62"/>
      <c r="O104" s="102">
        <v>0.33691900000000002</v>
      </c>
      <c r="P104" s="62"/>
      <c r="Q104" s="97">
        <v>1</v>
      </c>
      <c r="R104" s="62"/>
      <c r="S104" s="98">
        <v>0.37071999999999999</v>
      </c>
      <c r="T104" s="95"/>
      <c r="U104" s="98">
        <v>0.43880000000000002</v>
      </c>
      <c r="V104" s="95"/>
      <c r="W104" s="97">
        <v>0.28460000000000002</v>
      </c>
      <c r="X104" s="95">
        <f t="shared" si="20"/>
        <v>8.0997160000000012E-2</v>
      </c>
      <c r="Y104" s="97">
        <v>0.49537900000000001</v>
      </c>
      <c r="Z104" s="95">
        <f t="shared" si="21"/>
        <v>0.24540035364100002</v>
      </c>
      <c r="AA104" s="97">
        <v>0.39077081000000002</v>
      </c>
      <c r="AB104" s="95">
        <f t="shared" si="13"/>
        <v>0.15270182594805612</v>
      </c>
      <c r="AC104">
        <v>0.34416200000000002</v>
      </c>
      <c r="AD104" s="95">
        <f t="shared" si="14"/>
        <v>0.11844748224400002</v>
      </c>
      <c r="AE104">
        <v>0.28097</v>
      </c>
      <c r="AF104" s="95">
        <f t="shared" si="15"/>
        <v>7.8944140900000001E-2</v>
      </c>
    </row>
    <row r="105" spans="1:32">
      <c r="A105" s="63">
        <v>100</v>
      </c>
      <c r="C105" s="83">
        <v>1</v>
      </c>
      <c r="D105" s="65"/>
      <c r="E105" s="67"/>
      <c r="F105" s="65"/>
      <c r="G105" s="97">
        <v>1</v>
      </c>
      <c r="H105" s="62">
        <f t="shared" si="12"/>
        <v>1</v>
      </c>
      <c r="I105" s="102"/>
      <c r="J105" s="103"/>
      <c r="K105" s="97">
        <v>0.36975999999999998</v>
      </c>
      <c r="L105" s="103"/>
      <c r="M105" s="102"/>
      <c r="N105" s="103"/>
      <c r="O105" s="102">
        <v>0.353765</v>
      </c>
      <c r="P105" s="103"/>
      <c r="R105" s="103"/>
      <c r="S105" s="98">
        <v>0.39491999999999999</v>
      </c>
      <c r="T105" s="104"/>
      <c r="U105" s="98">
        <v>0.47876999999999997</v>
      </c>
      <c r="V105" s="104"/>
      <c r="W105" s="97">
        <v>0.31161</v>
      </c>
      <c r="X105" s="95">
        <f t="shared" si="20"/>
        <v>9.71007921E-2</v>
      </c>
      <c r="Y105" s="97">
        <v>1</v>
      </c>
      <c r="Z105" s="95">
        <f t="shared" si="21"/>
        <v>1</v>
      </c>
      <c r="AA105" s="97">
        <v>0.41991582999999999</v>
      </c>
      <c r="AB105" s="95">
        <f t="shared" si="13"/>
        <v>0.1763293042845889</v>
      </c>
      <c r="AC105">
        <v>0.39129199999999997</v>
      </c>
      <c r="AD105" s="95">
        <f t="shared" si="14"/>
        <v>0.15310942926399998</v>
      </c>
      <c r="AE105">
        <v>0.29781999999999997</v>
      </c>
      <c r="AF105" s="95">
        <f t="shared" si="15"/>
        <v>8.8696752399999981E-2</v>
      </c>
    </row>
    <row r="106" spans="1:32">
      <c r="A106" s="63">
        <v>101</v>
      </c>
      <c r="E106" s="67"/>
      <c r="I106" s="102"/>
      <c r="K106" s="97">
        <v>0.38695999999999997</v>
      </c>
      <c r="M106" s="102"/>
      <c r="O106" s="102">
        <v>0.37145400000000001</v>
      </c>
      <c r="U106" s="98">
        <v>0.52048000000000005</v>
      </c>
      <c r="W106" s="97">
        <v>0.34117999999999998</v>
      </c>
      <c r="X106" s="95">
        <f t="shared" si="20"/>
        <v>0.11640379239999998</v>
      </c>
      <c r="AA106" s="97">
        <v>0.45033615999999999</v>
      </c>
      <c r="AB106" s="95">
        <f t="shared" si="13"/>
        <v>0.20280265700354558</v>
      </c>
      <c r="AC106">
        <v>0.44662600000000002</v>
      </c>
      <c r="AD106" s="95">
        <f t="shared" si="14"/>
        <v>0.19947478387600001</v>
      </c>
      <c r="AE106">
        <v>0.31569000000000003</v>
      </c>
      <c r="AF106" s="95">
        <f t="shared" si="15"/>
        <v>9.9660176100000011E-2</v>
      </c>
    </row>
    <row r="107" spans="1:32" ht="15.75" thickBot="1">
      <c r="A107" s="64">
        <v>102</v>
      </c>
      <c r="E107" s="67"/>
      <c r="I107" s="102"/>
      <c r="K107" s="97">
        <v>0.40525</v>
      </c>
      <c r="M107" s="102"/>
      <c r="O107" s="102">
        <v>0.39002599999999998</v>
      </c>
      <c r="U107" s="98">
        <v>0.56359000000000004</v>
      </c>
      <c r="W107" s="97">
        <v>0.37357000000000001</v>
      </c>
      <c r="X107" s="95">
        <f t="shared" si="20"/>
        <v>0.13955454490000002</v>
      </c>
      <c r="AA107" s="97">
        <v>0.48192668999999999</v>
      </c>
      <c r="AB107" s="95">
        <f t="shared" si="13"/>
        <v>0.23225333453435609</v>
      </c>
      <c r="AC107">
        <v>0.51016399999999995</v>
      </c>
      <c r="AD107" s="95">
        <f t="shared" si="14"/>
        <v>0.26026730689599997</v>
      </c>
      <c r="AE107">
        <v>0.33462999999999998</v>
      </c>
      <c r="AF107" s="95">
        <f t="shared" si="15"/>
        <v>0.11197723689999999</v>
      </c>
    </row>
    <row r="108" spans="1:32">
      <c r="A108" s="63">
        <v>103</v>
      </c>
      <c r="E108" s="67"/>
      <c r="I108" s="102"/>
      <c r="K108" s="97">
        <v>0.42469999999999997</v>
      </c>
      <c r="M108" s="102"/>
      <c r="O108" s="102">
        <v>0.409528</v>
      </c>
      <c r="U108" s="98">
        <v>0.60760999999999998</v>
      </c>
      <c r="W108" s="97">
        <v>0.40904000000000001</v>
      </c>
      <c r="X108" s="95">
        <f t="shared" si="20"/>
        <v>0.16731372160000002</v>
      </c>
      <c r="AA108" s="97">
        <v>0.51454984000000004</v>
      </c>
      <c r="AB108" s="95">
        <f t="shared" si="13"/>
        <v>0.26476153784402562</v>
      </c>
      <c r="AC108">
        <v>0.58190600000000003</v>
      </c>
      <c r="AD108" s="95">
        <f t="shared" si="14"/>
        <v>0.33861459283600004</v>
      </c>
      <c r="AE108">
        <v>0.35471000000000003</v>
      </c>
      <c r="AF108" s="95">
        <f t="shared" si="15"/>
        <v>0.12581918410000001</v>
      </c>
    </row>
    <row r="109" spans="1:32">
      <c r="A109" s="63">
        <v>104</v>
      </c>
      <c r="E109" s="67"/>
      <c r="I109" s="102"/>
      <c r="K109" s="97">
        <v>0.44535000000000002</v>
      </c>
      <c r="M109" s="102"/>
      <c r="O109" s="102">
        <v>0.430004</v>
      </c>
      <c r="U109" s="98">
        <v>0.65200000000000002</v>
      </c>
      <c r="W109" s="97">
        <v>0.44788</v>
      </c>
      <c r="X109" s="95">
        <f t="shared" si="20"/>
        <v>0.20059649439999999</v>
      </c>
      <c r="AA109" s="97">
        <v>0.5480334</v>
      </c>
      <c r="AB109" s="95">
        <f t="shared" si="13"/>
        <v>0.30034060751556002</v>
      </c>
      <c r="AC109">
        <v>0.66185099999999997</v>
      </c>
      <c r="AD109" s="95">
        <f t="shared" si="14"/>
        <v>0.43804674620099998</v>
      </c>
      <c r="AE109">
        <v>0.37598999999999999</v>
      </c>
    </row>
    <row r="110" spans="1:32" ht="15.75" thickBot="1">
      <c r="A110" s="64">
        <v>105</v>
      </c>
      <c r="E110" s="67"/>
      <c r="I110" s="102"/>
      <c r="K110" s="97">
        <v>0.46729000000000004</v>
      </c>
      <c r="M110" s="102"/>
      <c r="O110" s="102">
        <v>0.45150400000000002</v>
      </c>
      <c r="U110" s="98">
        <v>0.69611999999999996</v>
      </c>
      <c r="W110" s="97">
        <v>0.49042000000000002</v>
      </c>
      <c r="X110" s="95">
        <f t="shared" si="20"/>
        <v>0.24051177640000002</v>
      </c>
      <c r="AA110" s="97">
        <v>0.58216924000000003</v>
      </c>
      <c r="AB110" s="95">
        <f t="shared" si="13"/>
        <v>0.33892102400217766</v>
      </c>
      <c r="AC110">
        <v>0.75</v>
      </c>
      <c r="AD110" s="95">
        <f t="shared" si="14"/>
        <v>0.5625</v>
      </c>
      <c r="AE110">
        <v>0.39855000000000002</v>
      </c>
    </row>
    <row r="111" spans="1:32">
      <c r="A111" s="63">
        <v>106</v>
      </c>
      <c r="E111" s="67"/>
      <c r="I111" s="102"/>
      <c r="K111" s="97">
        <v>0.49057000000000001</v>
      </c>
      <c r="M111" s="102"/>
      <c r="O111" s="102">
        <v>0.47407899999999997</v>
      </c>
      <c r="U111" s="98">
        <v>0.73924999999999996</v>
      </c>
      <c r="W111" s="97">
        <v>0.53700000000000003</v>
      </c>
      <c r="X111" s="95">
        <f t="shared" si="20"/>
        <v>0.28836900000000004</v>
      </c>
      <c r="AA111" s="97">
        <v>0.61671339999999997</v>
      </c>
      <c r="AB111" s="95">
        <f t="shared" si="13"/>
        <v>0.38033541773955998</v>
      </c>
      <c r="AC111">
        <v>0.84635300000000002</v>
      </c>
      <c r="AD111" s="95">
        <f t="shared" si="14"/>
        <v>0.71631340060900006</v>
      </c>
      <c r="AE111">
        <v>0.42247000000000001</v>
      </c>
    </row>
    <row r="112" spans="1:32">
      <c r="A112" s="63">
        <v>107</v>
      </c>
      <c r="E112" s="67"/>
      <c r="I112" s="102"/>
      <c r="K112" s="97">
        <v>0.51527999999999996</v>
      </c>
      <c r="M112" s="102"/>
      <c r="O112" s="102">
        <v>0.49778299999999998</v>
      </c>
      <c r="U112" s="98" t="s">
        <v>102</v>
      </c>
      <c r="W112" s="97">
        <v>0.58801000000000003</v>
      </c>
      <c r="X112" s="95">
        <f t="shared" si="20"/>
        <v>0.34575576010000003</v>
      </c>
      <c r="AA112" s="97">
        <v>0.65138755000000004</v>
      </c>
      <c r="AB112" s="95">
        <f t="shared" si="13"/>
        <v>0.42430574029500256</v>
      </c>
      <c r="AC112">
        <v>0.950909</v>
      </c>
      <c r="AD112" s="95">
        <f t="shared" si="14"/>
        <v>0.90422792628100002</v>
      </c>
      <c r="AE112">
        <v>0.44782</v>
      </c>
    </row>
    <row r="113" spans="1:31" ht="15.75" thickBot="1">
      <c r="A113" s="64">
        <v>108</v>
      </c>
      <c r="E113" s="67"/>
      <c r="I113" s="102"/>
      <c r="K113" s="97">
        <v>0.54149000000000003</v>
      </c>
      <c r="M113" s="102"/>
      <c r="O113" s="102">
        <v>0.52267300000000005</v>
      </c>
      <c r="W113" s="97">
        <v>0.64387000000000005</v>
      </c>
      <c r="X113" s="95">
        <f t="shared" si="20"/>
        <v>0.4145685769000001</v>
      </c>
      <c r="AA113" s="97">
        <v>1</v>
      </c>
      <c r="AB113" s="95">
        <f t="shared" si="13"/>
        <v>1</v>
      </c>
      <c r="AE113">
        <v>0.47467999999999999</v>
      </c>
    </row>
    <row r="114" spans="1:31">
      <c r="A114" s="63">
        <v>109</v>
      </c>
      <c r="E114" s="67"/>
      <c r="I114" s="102"/>
      <c r="K114" s="97">
        <v>0.56926999999999994</v>
      </c>
      <c r="M114" s="102"/>
      <c r="O114" s="102">
        <v>0.54880600000000002</v>
      </c>
      <c r="W114" s="97">
        <v>0.70504999999999995</v>
      </c>
      <c r="X114" s="95">
        <f t="shared" si="20"/>
        <v>0.49709550249999995</v>
      </c>
      <c r="AE114">
        <v>0.50317000000000001</v>
      </c>
    </row>
    <row r="115" spans="1:31">
      <c r="A115" s="63">
        <v>110</v>
      </c>
      <c r="E115" s="67"/>
      <c r="I115" s="102"/>
      <c r="K115" s="97">
        <v>0.59870000000000001</v>
      </c>
      <c r="M115" s="102"/>
      <c r="O115" s="102">
        <v>0.57624600000000004</v>
      </c>
      <c r="W115" s="97">
        <v>0.77203999999999995</v>
      </c>
      <c r="X115" s="95">
        <f t="shared" si="20"/>
        <v>0.59604576159999989</v>
      </c>
      <c r="AE115">
        <v>0.53335999999999995</v>
      </c>
    </row>
    <row r="116" spans="1:31" ht="15.75" thickBot="1">
      <c r="A116" s="64">
        <v>111</v>
      </c>
      <c r="E116" s="67"/>
      <c r="I116" s="102"/>
      <c r="K116" s="97">
        <v>0.62988</v>
      </c>
      <c r="M116" s="102"/>
      <c r="O116" s="102">
        <v>0.60505900000000001</v>
      </c>
      <c r="W116" s="97">
        <v>0.84540000000000004</v>
      </c>
      <c r="X116" s="95">
        <f t="shared" si="20"/>
        <v>0.71470116000000006</v>
      </c>
      <c r="AE116">
        <v>0.56535999999999997</v>
      </c>
    </row>
    <row r="117" spans="1:31">
      <c r="A117" s="63">
        <v>112</v>
      </c>
      <c r="E117" s="67"/>
      <c r="I117" s="102"/>
      <c r="K117" s="97">
        <v>0.66286999999999996</v>
      </c>
      <c r="M117" s="102"/>
      <c r="O117" s="102">
        <v>0.63531199999999999</v>
      </c>
      <c r="W117" s="97">
        <v>0.92574999999999996</v>
      </c>
      <c r="X117" s="95">
        <f t="shared" si="20"/>
        <v>0.85701306249999998</v>
      </c>
      <c r="AE117">
        <v>0.59928000000000003</v>
      </c>
    </row>
    <row r="118" spans="1:31">
      <c r="A118" s="63">
        <v>113</v>
      </c>
      <c r="E118" s="67"/>
      <c r="I118" s="102"/>
      <c r="K118" s="97">
        <v>0.69777999999999996</v>
      </c>
      <c r="M118" s="102"/>
      <c r="O118" s="102">
        <v>0.66707700000000003</v>
      </c>
      <c r="W118" s="97">
        <v>1</v>
      </c>
      <c r="X118" s="95">
        <f t="shared" si="20"/>
        <v>1</v>
      </c>
      <c r="AE118">
        <v>0.63522999999999996</v>
      </c>
    </row>
    <row r="119" spans="1:31" ht="15.75" thickBot="1">
      <c r="A119" s="64">
        <v>114</v>
      </c>
      <c r="E119" s="67"/>
      <c r="I119" s="102"/>
      <c r="K119" s="97">
        <v>0.73468</v>
      </c>
      <c r="M119" s="102"/>
      <c r="O119" s="102">
        <v>0.70043100000000003</v>
      </c>
      <c r="AE119">
        <v>0.67335</v>
      </c>
    </row>
    <row r="120" spans="1:31">
      <c r="A120" s="63">
        <v>115</v>
      </c>
      <c r="E120" s="67"/>
      <c r="I120" s="102"/>
      <c r="K120" s="97">
        <v>0.77366000000000001</v>
      </c>
      <c r="M120" s="102"/>
      <c r="O120" s="102">
        <v>0.73545300000000002</v>
      </c>
      <c r="AE120">
        <v>0.71375</v>
      </c>
    </row>
    <row r="121" spans="1:31">
      <c r="A121" s="63">
        <v>116</v>
      </c>
      <c r="E121" s="67"/>
      <c r="I121" s="102"/>
      <c r="K121" s="97">
        <v>0.81477999999999995</v>
      </c>
      <c r="M121" s="102"/>
      <c r="O121" s="102">
        <v>0.77222500000000005</v>
      </c>
      <c r="AE121">
        <v>0.75344999999999995</v>
      </c>
    </row>
    <row r="122" spans="1:31" ht="15.75" thickBot="1">
      <c r="A122" s="64">
        <v>117</v>
      </c>
      <c r="E122" s="67"/>
      <c r="I122" s="102"/>
      <c r="K122" s="97">
        <v>0.85814999999999997</v>
      </c>
      <c r="M122" s="102"/>
      <c r="O122" s="102">
        <v>0.81083700000000003</v>
      </c>
      <c r="AE122">
        <v>0.79112000000000005</v>
      </c>
    </row>
    <row r="123" spans="1:31">
      <c r="E123" s="67"/>
      <c r="I123" s="102"/>
      <c r="K123" s="97">
        <v>0.90380999999999989</v>
      </c>
      <c r="M123" s="102"/>
      <c r="O123" s="102">
        <v>0.85137799999999997</v>
      </c>
      <c r="AE123">
        <v>0.83067000000000002</v>
      </c>
    </row>
    <row r="124" spans="1:31">
      <c r="E124" s="67"/>
      <c r="I124" s="102"/>
      <c r="K124" s="97">
        <v>0.9516699999999999</v>
      </c>
      <c r="M124" s="102"/>
      <c r="O124" s="102">
        <v>0.89394700000000005</v>
      </c>
      <c r="AE124">
        <v>0.87221000000000004</v>
      </c>
    </row>
    <row r="125" spans="1:31">
      <c r="E125" s="67"/>
      <c r="I125" s="102"/>
      <c r="M125" s="102"/>
      <c r="O125" s="102"/>
    </row>
  </sheetData>
  <pageMargins left="0.7" right="0.7" top="0.75" bottom="0.75" header="0.3" footer="0.3"/>
  <pageSetup orientation="portrait" horizontalDpi="300" verticalDpi="300" r:id="rId1"/>
  <legacyDrawing r:id="rId2"/>
</worksheet>
</file>

<file path=xl/worksheets/sheet16.xml><?xml version="1.0" encoding="utf-8"?>
<worksheet xmlns="http://schemas.openxmlformats.org/spreadsheetml/2006/main" xmlns:r="http://schemas.openxmlformats.org/officeDocument/2006/relationships">
  <sheetPr>
    <tabColor rgb="FFFF0000"/>
  </sheetPr>
  <dimension ref="A1:AF125"/>
  <sheetViews>
    <sheetView workbookViewId="0">
      <pane xSplit="2" ySplit="4" topLeftCell="AE5" activePane="bottomRight" state="frozen"/>
      <selection pane="topRight" activeCell="C1" sqref="C1"/>
      <selection pane="bottomLeft" activeCell="A5" sqref="A5"/>
      <selection pane="bottomRight" activeCell="AQ3" sqref="AQ3"/>
    </sheetView>
  </sheetViews>
  <sheetFormatPr baseColWidth="10" defaultRowHeight="15"/>
  <cols>
    <col min="1" max="1" width="4" customWidth="1"/>
    <col min="2" max="2" width="10.5703125" style="75" bestFit="1" customWidth="1"/>
    <col min="3" max="3" width="13.5703125" customWidth="1"/>
    <col min="4" max="4" width="14.28515625" customWidth="1"/>
    <col min="5" max="5" width="8.5703125" bestFit="1" customWidth="1"/>
    <col min="6" max="6" width="10.85546875" bestFit="1" customWidth="1"/>
    <col min="7" max="7" width="8.5703125" style="106" bestFit="1" customWidth="1"/>
    <col min="8" max="8" width="10.85546875" bestFit="1" customWidth="1"/>
    <col min="9" max="9" width="8.5703125" style="97" bestFit="1" customWidth="1"/>
    <col min="10" max="10" width="10.85546875" style="97" bestFit="1" customWidth="1"/>
    <col min="11" max="11" width="11.28515625" style="108" bestFit="1" customWidth="1"/>
    <col min="12" max="12" width="10.85546875" style="108" bestFit="1" customWidth="1"/>
    <col min="13" max="13" width="8.5703125" style="97" bestFit="1" customWidth="1"/>
    <col min="14" max="14" width="10.85546875" style="97" bestFit="1" customWidth="1"/>
    <col min="15" max="15" width="11.28515625" style="97" bestFit="1" customWidth="1"/>
    <col min="16" max="16" width="10.85546875" style="97" bestFit="1" customWidth="1"/>
    <col min="17" max="17" width="11.42578125" style="97"/>
    <col min="18" max="18" width="10.85546875" style="97" bestFit="1" customWidth="1"/>
    <col min="19" max="19" width="11.42578125" style="97"/>
    <col min="20" max="20" width="10.85546875" style="97" bestFit="1" customWidth="1"/>
    <col min="21" max="21" width="17.85546875" style="97" customWidth="1"/>
    <col min="22" max="22" width="37.42578125" style="97" customWidth="1"/>
    <col min="23" max="23" width="16.42578125" style="97" customWidth="1"/>
    <col min="24" max="24" width="28.28515625" style="97" customWidth="1"/>
    <col min="25" max="25" width="11.42578125" style="97"/>
    <col min="26" max="26" width="26.5703125" style="97" customWidth="1"/>
    <col min="27" max="27" width="11.42578125" style="97"/>
    <col min="28" max="28" width="22.42578125" style="97" customWidth="1"/>
    <col min="29" max="30" width="11.42578125" style="97"/>
    <col min="32" max="32" width="23.28515625" customWidth="1"/>
  </cols>
  <sheetData>
    <row r="1" spans="1:32">
      <c r="B1" s="75" t="s">
        <v>149</v>
      </c>
      <c r="K1" s="107"/>
    </row>
    <row r="2" spans="1:32" ht="75">
      <c r="D2" s="68" t="s">
        <v>126</v>
      </c>
      <c r="F2" s="71" t="s">
        <v>99</v>
      </c>
      <c r="H2" s="109" t="s">
        <v>142</v>
      </c>
      <c r="J2" s="109" t="s">
        <v>144</v>
      </c>
      <c r="L2" s="110" t="s">
        <v>136</v>
      </c>
      <c r="N2" s="71" t="s">
        <v>100</v>
      </c>
      <c r="P2" s="71" t="s">
        <v>137</v>
      </c>
      <c r="R2" s="100" t="s">
        <v>103</v>
      </c>
      <c r="T2" s="100" t="s">
        <v>141</v>
      </c>
      <c r="V2" s="100" t="s">
        <v>105</v>
      </c>
      <c r="X2" s="100" t="s">
        <v>139</v>
      </c>
      <c r="Z2" s="100" t="s">
        <v>135</v>
      </c>
      <c r="AB2" s="100" t="s">
        <v>140</v>
      </c>
      <c r="AD2" s="100" t="s">
        <v>143</v>
      </c>
      <c r="AF2" s="100" t="s">
        <v>138</v>
      </c>
    </row>
    <row r="3" spans="1:32" s="68" customFormat="1" ht="15.75" thickBot="1">
      <c r="B3" s="76" t="s">
        <v>101</v>
      </c>
      <c r="D3" s="68">
        <f>+SUM(D25:D84)</f>
        <v>5.4243302485674615E-3</v>
      </c>
      <c r="E3" s="71"/>
      <c r="F3" s="68">
        <f>+SUM(F25:F84)</f>
        <v>2.2888792538843461E-2</v>
      </c>
      <c r="G3" s="109"/>
      <c r="H3" s="68">
        <f>+SUM(H25:H84)</f>
        <v>2.9174279931546158E-4</v>
      </c>
      <c r="I3" s="109"/>
      <c r="J3" s="68">
        <f>+SUM(J25:J84)</f>
        <v>1.4019616377114617E-3</v>
      </c>
      <c r="K3" s="110"/>
      <c r="L3" s="68">
        <f>+SUM(L25:L84)</f>
        <v>4.0456861846274624E-3</v>
      </c>
      <c r="M3" s="71"/>
      <c r="N3" s="68">
        <f>+SUM(N25:N84)</f>
        <v>2.9350892334906856E-2</v>
      </c>
      <c r="O3" s="71"/>
      <c r="P3" s="68">
        <f>+SUM(P25:P84)</f>
        <v>5.3797645484970616E-3</v>
      </c>
      <c r="Q3" s="100"/>
      <c r="R3" s="68">
        <f>+SUM(R25:R84)</f>
        <v>5.3297383697770664E-2</v>
      </c>
      <c r="S3" s="100"/>
      <c r="T3" s="68">
        <f>+SUM(T25:T84)</f>
        <v>3.2271638093118622E-3</v>
      </c>
      <c r="U3" s="100"/>
      <c r="V3" s="68">
        <f>+SUM(V25:V84)</f>
        <v>1.136314011247462E-3</v>
      </c>
      <c r="W3" s="100"/>
      <c r="X3" s="68">
        <f>+SUM(X25:X84)</f>
        <v>2.9834747672034621E-3</v>
      </c>
      <c r="Y3" s="100"/>
      <c r="Z3" s="68">
        <f>+SUM(Z25:Z84)</f>
        <v>1.1342795170279463E-2</v>
      </c>
      <c r="AA3" s="100"/>
      <c r="AB3" s="68">
        <f>+SUM(AB25:AB84)</f>
        <v>4.1696722713650304E-3</v>
      </c>
      <c r="AC3" s="100"/>
      <c r="AD3" s="68">
        <f>+SUM(AD25:AD84)</f>
        <v>2.5693888950730618E-3</v>
      </c>
      <c r="AE3" s="100"/>
      <c r="AF3" s="68">
        <f>+SUM(AF25:AF84)</f>
        <v>1.2127443279743463E-2</v>
      </c>
    </row>
    <row r="4" spans="1:32">
      <c r="A4" s="59" t="s">
        <v>97</v>
      </c>
      <c r="B4" s="77"/>
      <c r="C4" s="82" t="s">
        <v>147</v>
      </c>
      <c r="D4" s="60"/>
      <c r="E4" s="66" t="s">
        <v>98</v>
      </c>
      <c r="F4" s="60"/>
      <c r="G4" s="94" t="s">
        <v>98</v>
      </c>
      <c r="H4" s="60"/>
      <c r="I4" s="66" t="s">
        <v>98</v>
      </c>
      <c r="J4" s="60"/>
      <c r="K4" s="111"/>
      <c r="L4" s="112"/>
      <c r="M4" s="66" t="s">
        <v>98</v>
      </c>
      <c r="N4" s="60"/>
      <c r="O4" s="66" t="s">
        <v>98</v>
      </c>
      <c r="P4" s="60"/>
      <c r="Q4" s="66" t="s">
        <v>98</v>
      </c>
      <c r="R4" s="60"/>
      <c r="S4" s="66" t="s">
        <v>98</v>
      </c>
      <c r="T4" s="60"/>
      <c r="U4" s="66" t="s">
        <v>98</v>
      </c>
      <c r="V4" s="60"/>
      <c r="W4" s="66" t="s">
        <v>98</v>
      </c>
      <c r="X4" s="60"/>
    </row>
    <row r="5" spans="1:32">
      <c r="A5" s="61">
        <v>0</v>
      </c>
      <c r="B5" s="78">
        <f>QxF!U2/1000</f>
        <v>1.6527711760467353E-2</v>
      </c>
      <c r="D5" s="62"/>
      <c r="E5" s="67">
        <v>2.2579999999999999E-2</v>
      </c>
      <c r="F5" s="62"/>
      <c r="G5" s="106">
        <v>5.4799999999999996E-3</v>
      </c>
      <c r="H5" s="62"/>
      <c r="I5">
        <v>2.8900000000000002E-3</v>
      </c>
      <c r="J5" s="62"/>
      <c r="K5" s="113">
        <v>4.1999999999999996E-4</v>
      </c>
      <c r="L5" s="114"/>
      <c r="M5" s="102">
        <v>0</v>
      </c>
      <c r="N5" s="62"/>
      <c r="O5" s="102">
        <v>5.7279999999999996E-3</v>
      </c>
      <c r="P5" s="62"/>
      <c r="Q5" s="97">
        <v>4.0980000000000003E-2</v>
      </c>
      <c r="R5" s="62"/>
      <c r="S5" s="97">
        <v>1.014E-2</v>
      </c>
      <c r="T5" s="62"/>
      <c r="U5" s="97">
        <v>4.8000000000000001E-4</v>
      </c>
      <c r="V5" s="62"/>
      <c r="W5" s="97">
        <v>8.1499999999999993E-3</v>
      </c>
      <c r="X5" s="62"/>
      <c r="Y5" s="97">
        <v>1.2800000000000001E-3</v>
      </c>
      <c r="AA5" s="97">
        <v>3.0411000000000001E-4</v>
      </c>
      <c r="AC5" s="97">
        <v>7.8309999999999994E-3</v>
      </c>
      <c r="AE5">
        <v>9.6000000000000002E-4</v>
      </c>
    </row>
    <row r="6" spans="1:32">
      <c r="A6" s="61">
        <v>1</v>
      </c>
      <c r="B6" s="78">
        <v>2.558878E-4</v>
      </c>
      <c r="D6" s="62"/>
      <c r="E6" s="67">
        <v>5.77E-3</v>
      </c>
      <c r="F6" s="62">
        <f>+(E6-$B6)^2</f>
        <v>3.0405433354188838E-5</v>
      </c>
      <c r="G6" s="106">
        <v>9.3999999999999997E-4</v>
      </c>
      <c r="H6" s="62">
        <f>+(G6-$B6)^2</f>
        <v>4.6800950218884003E-7</v>
      </c>
      <c r="I6">
        <v>8.7000000000000001E-4</v>
      </c>
      <c r="J6" s="62">
        <f t="shared" ref="J6:J69" si="0">+(I6-$B6)^2</f>
        <v>3.7713379418884005E-7</v>
      </c>
      <c r="K6" s="113">
        <v>3.1E-4</v>
      </c>
      <c r="L6" s="114">
        <f>+(K6-$B6)^2</f>
        <v>2.9281301888400001E-9</v>
      </c>
      <c r="M6" s="102">
        <v>0</v>
      </c>
      <c r="N6" s="62">
        <f>+(M6-$B6)^2</f>
        <v>6.5478566188840001E-8</v>
      </c>
      <c r="O6" s="102">
        <v>3.7300000000000001E-4</v>
      </c>
      <c r="P6" s="62">
        <f>+(O6-$B6)^2</f>
        <v>1.3715267388840003E-8</v>
      </c>
      <c r="Q6" s="97">
        <v>2.8872999999999999E-2</v>
      </c>
      <c r="R6" s="62">
        <f>+(Q6-$B6)^2</f>
        <v>8.1893911066738875E-4</v>
      </c>
      <c r="S6" s="97">
        <v>8.3900000000000001E-4</v>
      </c>
      <c r="T6" s="62">
        <f>+(S6-$B6)^2</f>
        <v>3.4001983778884008E-7</v>
      </c>
      <c r="U6" s="97">
        <v>4.0000000000000002E-4</v>
      </c>
      <c r="V6" s="62">
        <f>+(U6-$B6)^2</f>
        <v>2.0768326188840006E-8</v>
      </c>
      <c r="W6" s="97">
        <v>6.4999999999999997E-4</v>
      </c>
      <c r="X6" s="62">
        <f>+(W6-$B6)^2</f>
        <v>1.5532442618883997E-7</v>
      </c>
      <c r="Y6" s="97">
        <v>4.6000000000000001E-4</v>
      </c>
      <c r="Z6" s="62">
        <f>+(Y6-$B6)^2</f>
        <v>4.1661790188840005E-8</v>
      </c>
      <c r="AA6" s="97">
        <v>3.1040000000000001E-4</v>
      </c>
      <c r="AB6" s="62">
        <f t="shared" ref="AB6:AB69" si="1">+(AA6-$B6)^2</f>
        <v>2.971579948840001E-9</v>
      </c>
      <c r="AC6" s="97">
        <v>3.3E-4</v>
      </c>
      <c r="AD6" s="62">
        <f t="shared" ref="AD6:AF21" si="2">+(AC6-$B6)^2</f>
        <v>5.49261818884E-9</v>
      </c>
      <c r="AE6">
        <v>6.6E-4</v>
      </c>
      <c r="AF6" s="62">
        <f t="shared" si="2"/>
        <v>1.6330667018884E-7</v>
      </c>
    </row>
    <row r="7" spans="1:32">
      <c r="A7" s="61">
        <v>2</v>
      </c>
      <c r="B7" s="78">
        <v>2.5187459999999996E-4</v>
      </c>
      <c r="D7" s="62"/>
      <c r="E7" s="67">
        <v>4.1399999999999996E-3</v>
      </c>
      <c r="F7" s="62">
        <f t="shared" ref="F7:H70" si="3">+(E7-$B7)^2</f>
        <v>1.5117519126125158E-5</v>
      </c>
      <c r="G7" s="106">
        <v>6.7000000000000002E-4</v>
      </c>
      <c r="H7" s="62">
        <f t="shared" si="3"/>
        <v>1.7482885012516005E-7</v>
      </c>
      <c r="I7">
        <v>8.0999999999999996E-4</v>
      </c>
      <c r="J7" s="62">
        <f t="shared" si="0"/>
        <v>3.1150396212515995E-7</v>
      </c>
      <c r="K7" s="113">
        <v>2.3000000000000001E-4</v>
      </c>
      <c r="L7" s="114">
        <f t="shared" ref="L7:L70" si="4">+(K7-$B7)^2</f>
        <v>4.7849812515999769E-10</v>
      </c>
      <c r="M7" s="102">
        <v>0</v>
      </c>
      <c r="N7" s="62">
        <f t="shared" ref="N7:X22" si="5">+(M7-$B7)^2</f>
        <v>6.3440814125159976E-8</v>
      </c>
      <c r="O7" s="102">
        <v>2.41E-4</v>
      </c>
      <c r="P7" s="62">
        <f t="shared" si="5"/>
        <v>1.1825692515999895E-10</v>
      </c>
      <c r="Q7" s="97">
        <v>1.9359000000000001E-2</v>
      </c>
      <c r="R7" s="62">
        <f t="shared" si="5"/>
        <v>3.6508224105132519E-4</v>
      </c>
      <c r="S7" s="97">
        <v>5.0500000000000002E-4</v>
      </c>
      <c r="T7" s="62">
        <f t="shared" si="5"/>
        <v>6.4072468125160033E-8</v>
      </c>
      <c r="U7" s="97">
        <v>3.8000000000000002E-4</v>
      </c>
      <c r="V7" s="62">
        <f t="shared" si="5"/>
        <v>1.6416118125160018E-8</v>
      </c>
      <c r="W7" s="97">
        <v>3.8000000000000002E-4</v>
      </c>
      <c r="X7" s="62">
        <f t="shared" si="5"/>
        <v>1.6416118125160018E-8</v>
      </c>
      <c r="Y7" s="97">
        <v>2.5000000000000001E-4</v>
      </c>
      <c r="Z7" s="62">
        <f t="shared" ref="Z7:Z70" si="6">+(Y7-$B7)^2</f>
        <v>3.514125159999812E-12</v>
      </c>
      <c r="AA7" s="97">
        <v>3.1714999999999998E-4</v>
      </c>
      <c r="AB7" s="62">
        <f t="shared" si="1"/>
        <v>4.2608778451600041E-9</v>
      </c>
      <c r="AC7" s="97">
        <v>3.3199999999999999E-4</v>
      </c>
      <c r="AD7" s="62">
        <f t="shared" si="2"/>
        <v>6.4200797251600056E-9</v>
      </c>
      <c r="AE7">
        <v>4.2000000000000002E-4</v>
      </c>
      <c r="AF7" s="62">
        <f t="shared" si="2"/>
        <v>2.8266150125160021E-8</v>
      </c>
    </row>
    <row r="8" spans="1:32">
      <c r="A8" s="63">
        <v>3</v>
      </c>
      <c r="B8" s="78">
        <v>2.5725720000000006E-4</v>
      </c>
      <c r="D8" s="62"/>
      <c r="E8" s="67">
        <v>3.3800000000000002E-3</v>
      </c>
      <c r="F8" s="62">
        <f t="shared" si="3"/>
        <v>9.7515225949518407E-6</v>
      </c>
      <c r="G8" s="106">
        <v>5.9999999999999995E-4</v>
      </c>
      <c r="H8" s="62">
        <f t="shared" si="3"/>
        <v>1.1747262695183992E-7</v>
      </c>
      <c r="I8">
        <v>7.9000000000000001E-4</v>
      </c>
      <c r="J8" s="62">
        <f t="shared" si="0"/>
        <v>2.8381489095183994E-7</v>
      </c>
      <c r="K8" s="113">
        <v>2.0000000000000001E-4</v>
      </c>
      <c r="L8" s="114">
        <f t="shared" si="4"/>
        <v>3.2783869518400059E-9</v>
      </c>
      <c r="M8" s="102">
        <v>0</v>
      </c>
      <c r="N8" s="62">
        <f t="shared" si="5"/>
        <v>6.6181266951840027E-8</v>
      </c>
      <c r="O8" s="102">
        <v>1.8599999999999999E-4</v>
      </c>
      <c r="P8" s="62">
        <f t="shared" si="5"/>
        <v>5.0775885518400099E-9</v>
      </c>
      <c r="Q8" s="97">
        <v>1.1989E-2</v>
      </c>
      <c r="R8" s="62">
        <f t="shared" si="5"/>
        <v>1.3763378912535183E-4</v>
      </c>
      <c r="S8" s="97">
        <v>3.6900000000000002E-4</v>
      </c>
      <c r="T8" s="62">
        <f t="shared" si="5"/>
        <v>1.2486453351839992E-8</v>
      </c>
      <c r="U8" s="97">
        <v>3.6999999999999999E-4</v>
      </c>
      <c r="V8" s="62">
        <f t="shared" si="5"/>
        <v>1.2710938951839986E-8</v>
      </c>
      <c r="W8" s="97">
        <v>2.9999999999999997E-4</v>
      </c>
      <c r="X8" s="62">
        <f t="shared" si="5"/>
        <v>1.8269469518399924E-9</v>
      </c>
      <c r="Y8" s="97">
        <v>1.6000000000000001E-4</v>
      </c>
      <c r="Z8" s="62">
        <f t="shared" si="6"/>
        <v>9.4589629518400098E-9</v>
      </c>
      <c r="AA8" s="97">
        <v>3.2440000000000002E-4</v>
      </c>
      <c r="AB8" s="62">
        <f t="shared" si="1"/>
        <v>4.5081555918399953E-9</v>
      </c>
      <c r="AC8" s="97">
        <v>3.3399999999999999E-4</v>
      </c>
      <c r="AD8" s="62">
        <f t="shared" si="2"/>
        <v>5.8894573518399889E-9</v>
      </c>
      <c r="AE8">
        <v>2.5999999999999998E-4</v>
      </c>
      <c r="AF8" s="62">
        <f t="shared" si="2"/>
        <v>7.5229518399995365E-12</v>
      </c>
    </row>
    <row r="9" spans="1:32">
      <c r="A9" s="63">
        <v>4</v>
      </c>
      <c r="B9" s="78">
        <v>2.7065680000000003E-4</v>
      </c>
      <c r="D9" s="62"/>
      <c r="E9" s="67">
        <v>2.99E-3</v>
      </c>
      <c r="F9" s="62">
        <f t="shared" si="3"/>
        <v>7.3948274393862403E-6</v>
      </c>
      <c r="G9" s="106">
        <v>5.2999999999999998E-4</v>
      </c>
      <c r="H9" s="62">
        <f t="shared" si="3"/>
        <v>6.7258895386239966E-8</v>
      </c>
      <c r="I9">
        <v>7.6999999999999996E-4</v>
      </c>
      <c r="J9" s="62">
        <f t="shared" si="0"/>
        <v>2.493436313862399E-7</v>
      </c>
      <c r="K9" s="113">
        <v>1.9000000000000001E-4</v>
      </c>
      <c r="L9" s="114">
        <f t="shared" si="4"/>
        <v>6.5055193862400039E-9</v>
      </c>
      <c r="M9" s="102">
        <v>0</v>
      </c>
      <c r="N9" s="62">
        <f t="shared" si="5"/>
        <v>7.3255103386240016E-8</v>
      </c>
      <c r="O9" s="102">
        <v>1.4999999999999999E-4</v>
      </c>
      <c r="P9" s="62">
        <f t="shared" si="5"/>
        <v>1.4558063386240012E-8</v>
      </c>
      <c r="Q9" s="97">
        <v>6.417E-3</v>
      </c>
      <c r="R9" s="62">
        <f t="shared" si="5"/>
        <v>3.7777534732186232E-5</v>
      </c>
      <c r="S9" s="97">
        <v>2.92E-4</v>
      </c>
      <c r="T9" s="62">
        <f t="shared" si="5"/>
        <v>4.5553218623999837E-10</v>
      </c>
      <c r="U9" s="97">
        <v>3.6000000000000002E-4</v>
      </c>
      <c r="V9" s="62">
        <f t="shared" si="5"/>
        <v>7.9822073862399976E-9</v>
      </c>
      <c r="W9" s="97">
        <v>2.5000000000000001E-4</v>
      </c>
      <c r="X9" s="62">
        <f t="shared" si="5"/>
        <v>4.2670338624000119E-10</v>
      </c>
      <c r="Y9" s="97">
        <v>1.2E-4</v>
      </c>
      <c r="Z9" s="62">
        <f t="shared" si="6"/>
        <v>2.2697471386240012E-8</v>
      </c>
      <c r="AA9" s="97">
        <v>3.3218000000000001E-4</v>
      </c>
      <c r="AB9" s="62">
        <f t="shared" si="1"/>
        <v>3.785104138239997E-9</v>
      </c>
      <c r="AC9" s="97">
        <v>3.3599999999999998E-4</v>
      </c>
      <c r="AD9" s="62">
        <f t="shared" si="2"/>
        <v>4.2697337862399935E-9</v>
      </c>
      <c r="AE9">
        <v>1.6000000000000001E-4</v>
      </c>
      <c r="AF9" s="62">
        <f t="shared" si="2"/>
        <v>1.2244927386240004E-8</v>
      </c>
    </row>
    <row r="10" spans="1:32">
      <c r="A10" s="63">
        <v>5</v>
      </c>
      <c r="B10" s="78">
        <v>2.9079060000000007E-4</v>
      </c>
      <c r="D10" s="62"/>
      <c r="E10" s="67">
        <v>2.7599999999999999E-3</v>
      </c>
      <c r="F10" s="62">
        <f t="shared" si="3"/>
        <v>6.0969950610483588E-6</v>
      </c>
      <c r="G10" s="106">
        <v>4.6999999999999999E-4</v>
      </c>
      <c r="H10" s="62">
        <f t="shared" si="3"/>
        <v>3.211600904835997E-8</v>
      </c>
      <c r="I10">
        <v>7.6000000000000004E-4</v>
      </c>
      <c r="J10" s="62">
        <f t="shared" si="0"/>
        <v>2.2015746104835998E-7</v>
      </c>
      <c r="K10" s="113">
        <v>1.7999999999999998E-4</v>
      </c>
      <c r="L10" s="114">
        <f t="shared" si="4"/>
        <v>1.2274557048360018E-8</v>
      </c>
      <c r="M10" s="102">
        <v>0</v>
      </c>
      <c r="N10" s="62">
        <f t="shared" si="5"/>
        <v>8.4559173048360038E-8</v>
      </c>
      <c r="O10" s="102">
        <v>1.3300000000000001E-4</v>
      </c>
      <c r="P10" s="62">
        <f t="shared" si="5"/>
        <v>2.4897873448360018E-8</v>
      </c>
      <c r="Q10" s="97">
        <v>5.2420000000000001E-3</v>
      </c>
      <c r="R10" s="62">
        <f t="shared" si="5"/>
        <v>2.4514474522648361E-5</v>
      </c>
      <c r="S10" s="97">
        <v>2.5599999999999999E-4</v>
      </c>
      <c r="T10" s="62">
        <f t="shared" si="5"/>
        <v>1.2103858483600056E-9</v>
      </c>
      <c r="U10" s="97">
        <v>3.5E-4</v>
      </c>
      <c r="V10" s="62">
        <f t="shared" si="5"/>
        <v>3.5057530483599916E-9</v>
      </c>
      <c r="W10" s="97">
        <v>2.2000000000000001E-4</v>
      </c>
      <c r="X10" s="62">
        <f t="shared" si="5"/>
        <v>5.0113090483600088E-9</v>
      </c>
      <c r="Y10" s="115">
        <v>1E-4</v>
      </c>
      <c r="Z10" s="62">
        <f t="shared" si="6"/>
        <v>3.6401053048360032E-8</v>
      </c>
      <c r="AA10" s="97">
        <v>3.4053000000000002E-4</v>
      </c>
      <c r="AB10" s="62">
        <f t="shared" si="1"/>
        <v>2.4740079123599953E-9</v>
      </c>
      <c r="AC10" s="97">
        <v>3.3799999999999998E-4</v>
      </c>
      <c r="AD10" s="62">
        <f t="shared" si="2"/>
        <v>2.2287274483599912E-9</v>
      </c>
      <c r="AE10">
        <v>1.2E-4</v>
      </c>
      <c r="AF10" s="62">
        <f t="shared" si="2"/>
        <v>2.9169429048360028E-8</v>
      </c>
    </row>
    <row r="11" spans="1:32">
      <c r="A11" s="63">
        <v>6</v>
      </c>
      <c r="B11" s="78">
        <v>3.1647180000000019E-4</v>
      </c>
      <c r="D11" s="62"/>
      <c r="E11" s="67">
        <v>2.6099999999999999E-3</v>
      </c>
      <c r="F11" s="62">
        <f t="shared" si="3"/>
        <v>5.2602716041952379E-6</v>
      </c>
      <c r="G11" s="106">
        <v>4.0999999999999999E-4</v>
      </c>
      <c r="H11" s="62">
        <f t="shared" si="3"/>
        <v>8.7475241952399632E-9</v>
      </c>
      <c r="I11">
        <v>7.2999999999999996E-4</v>
      </c>
      <c r="J11" s="62">
        <f t="shared" si="0"/>
        <v>1.7100557219523982E-7</v>
      </c>
      <c r="K11" s="113">
        <v>1.9000000000000001E-4</v>
      </c>
      <c r="L11" s="114">
        <f t="shared" si="4"/>
        <v>1.5995116195240045E-8</v>
      </c>
      <c r="M11" s="102">
        <v>0</v>
      </c>
      <c r="N11" s="62">
        <f t="shared" si="5"/>
        <v>1.0015440019524012E-7</v>
      </c>
      <c r="O11" s="102">
        <v>1.21E-4</v>
      </c>
      <c r="P11" s="62">
        <f t="shared" si="5"/>
        <v>3.8209224595240069E-8</v>
      </c>
      <c r="Q11" s="97">
        <v>4.2940000000000001E-3</v>
      </c>
      <c r="R11" s="62">
        <f t="shared" si="5"/>
        <v>1.582073058179524E-5</v>
      </c>
      <c r="S11" s="97">
        <v>2.42E-4</v>
      </c>
      <c r="T11" s="62">
        <f t="shared" si="5"/>
        <v>5.5460489952400284E-9</v>
      </c>
      <c r="U11" s="97">
        <v>3.5E-4</v>
      </c>
      <c r="V11" s="62">
        <f t="shared" si="5"/>
        <v>1.124140195239987E-9</v>
      </c>
      <c r="W11" s="97">
        <v>2.0000000000000001E-4</v>
      </c>
      <c r="X11" s="62">
        <f t="shared" si="5"/>
        <v>1.3565680195240042E-8</v>
      </c>
      <c r="Y11" s="115" t="s">
        <v>148</v>
      </c>
      <c r="Z11" s="62">
        <f t="shared" si="6"/>
        <v>5.1289476195240078E-8</v>
      </c>
      <c r="AA11" s="97">
        <v>3.4948999999999999E-4</v>
      </c>
      <c r="AB11" s="62">
        <f t="shared" si="1"/>
        <v>1.0902015312399868E-9</v>
      </c>
      <c r="AC11" s="97">
        <v>3.4099999999999999E-4</v>
      </c>
      <c r="AD11" s="62">
        <f t="shared" si="2"/>
        <v>6.0163259523999032E-10</v>
      </c>
      <c r="AE11">
        <v>1.2E-4</v>
      </c>
      <c r="AF11" s="62">
        <f t="shared" si="2"/>
        <v>3.8601168195240079E-8</v>
      </c>
    </row>
    <row r="12" spans="1:32">
      <c r="A12" s="63">
        <v>7</v>
      </c>
      <c r="B12" s="78">
        <v>3.4660959999999999E-4</v>
      </c>
      <c r="D12" s="62"/>
      <c r="E12" s="67">
        <v>2.47E-3</v>
      </c>
      <c r="F12" s="62">
        <f t="shared" si="3"/>
        <v>4.5087867908121594E-6</v>
      </c>
      <c r="G12" s="106">
        <v>3.6000000000000002E-4</v>
      </c>
      <c r="H12" s="62">
        <f t="shared" si="3"/>
        <v>1.7930281216000091E-10</v>
      </c>
      <c r="I12">
        <v>7.2000000000000005E-4</v>
      </c>
      <c r="J12" s="62">
        <f t="shared" si="0"/>
        <v>1.3942039081216004E-7</v>
      </c>
      <c r="K12" s="113">
        <v>2.0999999999999998E-4</v>
      </c>
      <c r="L12" s="114">
        <f t="shared" si="4"/>
        <v>1.8662182812160002E-8</v>
      </c>
      <c r="M12" s="102">
        <v>0</v>
      </c>
      <c r="N12" s="62">
        <f t="shared" si="5"/>
        <v>1.2013821481215999E-7</v>
      </c>
      <c r="O12" s="102">
        <v>1.12E-4</v>
      </c>
      <c r="P12" s="62">
        <f t="shared" si="5"/>
        <v>5.5041664412159988E-8</v>
      </c>
      <c r="Q12" s="97">
        <v>3.5360000000000001E-3</v>
      </c>
      <c r="R12" s="62">
        <f t="shared" si="5"/>
        <v>1.017221112361216E-5</v>
      </c>
      <c r="S12" s="97">
        <v>2.33E-4</v>
      </c>
      <c r="T12" s="62">
        <f t="shared" si="5"/>
        <v>1.2907141212159998E-8</v>
      </c>
      <c r="U12" s="97">
        <v>3.5E-4</v>
      </c>
      <c r="V12" s="62">
        <f t="shared" si="5"/>
        <v>1.1494812160000049E-11</v>
      </c>
      <c r="W12" s="97">
        <v>1.8000000000000001E-4</v>
      </c>
      <c r="X12" s="62">
        <f t="shared" si="5"/>
        <v>2.7758758812159992E-8</v>
      </c>
      <c r="Y12" s="115" t="s">
        <v>148</v>
      </c>
      <c r="Z12" s="62">
        <f t="shared" si="6"/>
        <v>6.584848681215999E-8</v>
      </c>
      <c r="AA12" s="97">
        <v>3.5911E-4</v>
      </c>
      <c r="AB12" s="62">
        <f t="shared" si="1"/>
        <v>1.5626000016000016E-10</v>
      </c>
      <c r="AC12" s="97">
        <v>3.4400000000000001E-4</v>
      </c>
      <c r="AD12" s="62">
        <f t="shared" si="2"/>
        <v>6.8100121599998737E-12</v>
      </c>
      <c r="AE12">
        <v>1.2E-4</v>
      </c>
      <c r="AF12" s="62">
        <f t="shared" si="2"/>
        <v>5.1351910812159999E-8</v>
      </c>
    </row>
    <row r="13" spans="1:32">
      <c r="A13" s="63">
        <v>8</v>
      </c>
      <c r="B13" s="78">
        <v>3.802091999999998E-4</v>
      </c>
      <c r="D13" s="62"/>
      <c r="E13" s="67">
        <v>2.31E-3</v>
      </c>
      <c r="F13" s="62">
        <f t="shared" si="3"/>
        <v>3.7240925317646401E-6</v>
      </c>
      <c r="G13" s="106">
        <v>3.2000000000000003E-4</v>
      </c>
      <c r="H13" s="62">
        <f t="shared" si="3"/>
        <v>3.6251477646399729E-9</v>
      </c>
      <c r="I13">
        <v>6.9999999999999999E-4</v>
      </c>
      <c r="J13" s="62">
        <f t="shared" si="0"/>
        <v>1.0226615576464012E-7</v>
      </c>
      <c r="K13" s="113">
        <v>2.0999999999999998E-4</v>
      </c>
      <c r="L13" s="114">
        <f t="shared" si="4"/>
        <v>2.8971171764639938E-8</v>
      </c>
      <c r="M13" s="102">
        <v>0</v>
      </c>
      <c r="N13" s="62">
        <f t="shared" si="5"/>
        <v>1.4455903576463984E-7</v>
      </c>
      <c r="O13" s="102">
        <v>1.0399999999999999E-4</v>
      </c>
      <c r="P13" s="62">
        <f t="shared" si="5"/>
        <v>7.6291522164639904E-8</v>
      </c>
      <c r="Q13" s="97">
        <v>2.983E-3</v>
      </c>
      <c r="R13" s="62">
        <f t="shared" si="5"/>
        <v>6.7745199485646407E-6</v>
      </c>
      <c r="S13" s="97">
        <v>2.14E-4</v>
      </c>
      <c r="T13" s="62">
        <f t="shared" si="5"/>
        <v>2.7625498164639935E-8</v>
      </c>
      <c r="U13" s="97">
        <v>3.4000000000000002E-4</v>
      </c>
      <c r="V13" s="62">
        <f t="shared" si="5"/>
        <v>1.6167797646399822E-9</v>
      </c>
      <c r="W13" s="97">
        <v>1.7000000000000001E-4</v>
      </c>
      <c r="X13" s="62">
        <f t="shared" si="5"/>
        <v>4.4187907764639914E-8</v>
      </c>
      <c r="Y13" s="115" t="s">
        <v>148</v>
      </c>
      <c r="Z13" s="62">
        <f t="shared" si="6"/>
        <v>8.4221379764639877E-8</v>
      </c>
      <c r="AA13" s="97">
        <v>3.6944000000000001E-4</v>
      </c>
      <c r="AB13" s="62">
        <f t="shared" si="1"/>
        <v>1.1597566863999545E-10</v>
      </c>
      <c r="AC13" s="97">
        <v>3.48E-4</v>
      </c>
      <c r="AD13" s="62">
        <f t="shared" si="2"/>
        <v>1.0374325646399872E-9</v>
      </c>
      <c r="AE13">
        <v>1.1E-4</v>
      </c>
      <c r="AF13" s="62">
        <f t="shared" si="2"/>
        <v>7.3013011764639889E-8</v>
      </c>
    </row>
    <row r="14" spans="1:32">
      <c r="A14" s="63">
        <v>9</v>
      </c>
      <c r="B14" s="78">
        <v>4.1637179999999996E-4</v>
      </c>
      <c r="D14" s="62"/>
      <c r="E14" s="67">
        <v>2.1199999999999999E-3</v>
      </c>
      <c r="F14" s="62">
        <f t="shared" si="3"/>
        <v>2.9023490438352404E-6</v>
      </c>
      <c r="G14" s="106">
        <v>2.9999999999999997E-4</v>
      </c>
      <c r="H14" s="62">
        <f t="shared" si="3"/>
        <v>1.3542395835239997E-8</v>
      </c>
      <c r="I14">
        <v>6.8999999999999997E-4</v>
      </c>
      <c r="J14" s="62">
        <f t="shared" si="0"/>
        <v>7.4872391835239998E-8</v>
      </c>
      <c r="K14" s="113">
        <v>2.0999999999999998E-4</v>
      </c>
      <c r="L14" s="114">
        <f t="shared" si="4"/>
        <v>4.258931983523999E-8</v>
      </c>
      <c r="M14" s="102">
        <v>0</v>
      </c>
      <c r="N14" s="62">
        <f t="shared" si="5"/>
        <v>1.7336547583523997E-7</v>
      </c>
      <c r="O14" s="102">
        <v>9.7999999999999997E-5</v>
      </c>
      <c r="P14" s="62">
        <f t="shared" si="5"/>
        <v>1.0136060303523998E-7</v>
      </c>
      <c r="Q14" s="97">
        <v>2.539E-3</v>
      </c>
      <c r="R14" s="62">
        <f t="shared" si="5"/>
        <v>4.5055504754352408E-6</v>
      </c>
      <c r="S14" s="97">
        <v>1.9900000000000001E-4</v>
      </c>
      <c r="T14" s="62">
        <f t="shared" si="5"/>
        <v>4.7250499435239979E-8</v>
      </c>
      <c r="U14" s="97">
        <v>3.4000000000000002E-4</v>
      </c>
      <c r="V14" s="62">
        <f t="shared" si="5"/>
        <v>5.8326518352399909E-9</v>
      </c>
      <c r="W14" s="97">
        <v>1.6000000000000001E-4</v>
      </c>
      <c r="X14" s="62">
        <f t="shared" si="5"/>
        <v>6.5726499835239985E-8</v>
      </c>
      <c r="Y14" s="115">
        <v>1.1E-4</v>
      </c>
      <c r="Z14" s="62">
        <f t="shared" si="6"/>
        <v>9.3863679835239972E-8</v>
      </c>
      <c r="AA14" s="97">
        <v>3.8052000000000002E-4</v>
      </c>
      <c r="AB14" s="62">
        <f t="shared" si="1"/>
        <v>1.2853515632399958E-9</v>
      </c>
      <c r="AC14" s="97">
        <v>3.5100000000000002E-4</v>
      </c>
      <c r="AD14" s="62">
        <f t="shared" si="2"/>
        <v>4.2734722352399922E-9</v>
      </c>
      <c r="AE14">
        <v>1E-4</v>
      </c>
      <c r="AF14" s="62">
        <f t="shared" si="2"/>
        <v>1.0009111583523999E-7</v>
      </c>
    </row>
    <row r="15" spans="1:32">
      <c r="A15" s="63">
        <v>10</v>
      </c>
      <c r="B15" s="78">
        <v>4.5429460000000015E-4</v>
      </c>
      <c r="D15" s="62"/>
      <c r="E15" s="67">
        <v>1.97E-3</v>
      </c>
      <c r="F15" s="62">
        <f t="shared" si="3"/>
        <v>2.2973628595891591E-6</v>
      </c>
      <c r="G15" s="106">
        <v>2.9E-4</v>
      </c>
      <c r="H15" s="62">
        <f t="shared" si="3"/>
        <v>2.6992715589160047E-8</v>
      </c>
      <c r="I15">
        <v>6.8000000000000005E-4</v>
      </c>
      <c r="J15" s="62">
        <f t="shared" si="0"/>
        <v>5.0942927589159955E-8</v>
      </c>
      <c r="K15" s="113">
        <v>2.2000000000000001E-4</v>
      </c>
      <c r="L15" s="114">
        <f t="shared" si="4"/>
        <v>5.4893959589160065E-8</v>
      </c>
      <c r="M15" s="102">
        <v>6.1309683999999998E-3</v>
      </c>
      <c r="N15" s="62">
        <f t="shared" si="5"/>
        <v>3.2224625431606436E-5</v>
      </c>
      <c r="O15" s="102">
        <v>9.3999999999999994E-5</v>
      </c>
      <c r="P15" s="62">
        <f t="shared" si="5"/>
        <v>1.2981219878916011E-7</v>
      </c>
      <c r="Q15" s="97">
        <v>2.2390000000000001E-3</v>
      </c>
      <c r="R15" s="62">
        <f t="shared" si="5"/>
        <v>3.1851733647891594E-6</v>
      </c>
      <c r="S15" s="97">
        <v>1.95E-4</v>
      </c>
      <c r="T15" s="62">
        <f t="shared" si="5"/>
        <v>6.7233689589160095E-8</v>
      </c>
      <c r="U15" s="97">
        <v>3.5E-4</v>
      </c>
      <c r="V15" s="62">
        <f t="shared" si="5"/>
        <v>1.0877363589160032E-8</v>
      </c>
      <c r="W15" s="97">
        <v>1.4999999999999999E-4</v>
      </c>
      <c r="X15" s="62">
        <f t="shared" si="5"/>
        <v>9.2595203589160117E-8</v>
      </c>
      <c r="Y15" s="97">
        <v>1.3999999999999999E-4</v>
      </c>
      <c r="Z15" s="62">
        <f t="shared" si="6"/>
        <v>9.8781095589160096E-8</v>
      </c>
      <c r="AA15" s="97">
        <v>3.9241999999999999E-4</v>
      </c>
      <c r="AB15" s="62">
        <f t="shared" si="1"/>
        <v>3.8284661251600203E-9</v>
      </c>
      <c r="AC15" s="97">
        <v>3.5500000000000001E-4</v>
      </c>
      <c r="AD15" s="62">
        <f t="shared" si="2"/>
        <v>9.8594175891600279E-9</v>
      </c>
      <c r="AE15">
        <v>1E-4</v>
      </c>
      <c r="AF15" s="62">
        <f t="shared" si="2"/>
        <v>1.2552466358916012E-7</v>
      </c>
    </row>
    <row r="16" spans="1:32">
      <c r="A16" s="63">
        <v>11</v>
      </c>
      <c r="B16" s="78">
        <v>4.9327080000000003E-4</v>
      </c>
      <c r="D16" s="62"/>
      <c r="E16" s="67">
        <v>1.91E-3</v>
      </c>
      <c r="F16" s="62">
        <f t="shared" si="3"/>
        <v>2.0071216261326395E-6</v>
      </c>
      <c r="G16" s="106">
        <v>2.9E-4</v>
      </c>
      <c r="H16" s="62">
        <f t="shared" si="3"/>
        <v>4.1319018132640013E-8</v>
      </c>
      <c r="I16">
        <v>6.8999999999999997E-4</v>
      </c>
      <c r="J16" s="62">
        <f t="shared" si="0"/>
        <v>3.8702378132639979E-8</v>
      </c>
      <c r="K16" s="113">
        <v>2.5000000000000001E-4</v>
      </c>
      <c r="L16" s="114">
        <f t="shared" si="4"/>
        <v>5.918068213264001E-8</v>
      </c>
      <c r="M16" s="102">
        <v>6.1687883000000002E-3</v>
      </c>
      <c r="N16" s="62">
        <f t="shared" si="5"/>
        <v>3.2211498892806251E-5</v>
      </c>
      <c r="O16" s="102">
        <v>9.7999999999999997E-5</v>
      </c>
      <c r="P16" s="62">
        <f t="shared" si="5"/>
        <v>1.5623900533264002E-7</v>
      </c>
      <c r="Q16" s="97">
        <v>2.0960000000000002E-3</v>
      </c>
      <c r="R16" s="62">
        <f t="shared" si="5"/>
        <v>2.5687408885326407E-6</v>
      </c>
      <c r="S16" s="97">
        <v>2.0000000000000001E-4</v>
      </c>
      <c r="T16" s="62">
        <f t="shared" si="5"/>
        <v>8.6007762132640021E-8</v>
      </c>
      <c r="U16" s="97">
        <v>3.6999999999999999E-4</v>
      </c>
      <c r="V16" s="62">
        <f t="shared" si="5"/>
        <v>1.5195690132640009E-8</v>
      </c>
      <c r="W16" s="97">
        <v>1.6000000000000001E-4</v>
      </c>
      <c r="X16" s="62">
        <f t="shared" si="5"/>
        <v>1.1106942613264002E-7</v>
      </c>
      <c r="Y16" s="97">
        <v>1.8000000000000001E-4</v>
      </c>
      <c r="Z16" s="62">
        <f t="shared" si="6"/>
        <v>9.8138594132639999E-8</v>
      </c>
      <c r="AA16" s="97">
        <v>4.0518999999999999E-4</v>
      </c>
      <c r="AB16" s="62">
        <f t="shared" si="1"/>
        <v>7.7582273286400074E-9</v>
      </c>
      <c r="AC16" s="97">
        <v>3.6000000000000002E-4</v>
      </c>
      <c r="AD16" s="62">
        <f t="shared" si="2"/>
        <v>1.7761106132640003E-8</v>
      </c>
      <c r="AE16" t="s">
        <v>148</v>
      </c>
      <c r="AF16" s="62">
        <f t="shared" si="2"/>
        <v>1.6262733813264001E-7</v>
      </c>
    </row>
    <row r="17" spans="1:32">
      <c r="A17" s="63">
        <v>12</v>
      </c>
      <c r="B17" s="78">
        <v>5.3268959999999992E-4</v>
      </c>
      <c r="D17" s="62"/>
      <c r="E17" s="67">
        <v>1.92E-3</v>
      </c>
      <c r="F17" s="62">
        <f t="shared" si="3"/>
        <v>1.9246301459481608E-6</v>
      </c>
      <c r="G17" s="106">
        <v>2.9999999999999997E-4</v>
      </c>
      <c r="H17" s="62">
        <f t="shared" si="3"/>
        <v>5.4144449948159972E-8</v>
      </c>
      <c r="I17">
        <v>7.2000000000000005E-4</v>
      </c>
      <c r="J17" s="62">
        <f t="shared" si="0"/>
        <v>3.5085185948160048E-8</v>
      </c>
      <c r="K17" s="113">
        <v>2.7E-4</v>
      </c>
      <c r="L17" s="114">
        <f t="shared" si="4"/>
        <v>6.9005825948159949E-8</v>
      </c>
      <c r="M17" s="102">
        <v>6.1882127E-3</v>
      </c>
      <c r="N17" s="62">
        <f t="shared" si="5"/>
        <v>3.1984941534633615E-5</v>
      </c>
      <c r="O17" s="102">
        <v>1.1400000000000001E-4</v>
      </c>
      <c r="P17" s="62">
        <f t="shared" si="5"/>
        <v>1.7530098114815993E-7</v>
      </c>
      <c r="Q17" s="97">
        <v>2.0309999999999998E-3</v>
      </c>
      <c r="R17" s="62">
        <f t="shared" si="5"/>
        <v>2.2449340547481596E-6</v>
      </c>
      <c r="S17" s="97">
        <v>2.1100000000000001E-4</v>
      </c>
      <c r="T17" s="62">
        <f t="shared" si="5"/>
        <v>1.0348419874815992E-7</v>
      </c>
      <c r="U17" s="97">
        <v>4.0999999999999999E-4</v>
      </c>
      <c r="V17" s="62">
        <f t="shared" si="5"/>
        <v>1.5052737948159981E-8</v>
      </c>
      <c r="W17" s="97">
        <v>1.8000000000000001E-4</v>
      </c>
      <c r="X17" s="62">
        <f t="shared" si="5"/>
        <v>1.2438995394815993E-7</v>
      </c>
      <c r="Y17" s="97">
        <v>2.2000000000000001E-4</v>
      </c>
      <c r="Z17" s="62">
        <f t="shared" si="6"/>
        <v>9.7774785948159921E-8</v>
      </c>
      <c r="AA17" s="97">
        <v>4.1889E-4</v>
      </c>
      <c r="AB17" s="62">
        <f t="shared" si="1"/>
        <v>1.2950348960159981E-8</v>
      </c>
      <c r="AC17" s="97">
        <v>3.6499999999999998E-4</v>
      </c>
      <c r="AD17" s="62">
        <f t="shared" si="2"/>
        <v>2.8119801948159978E-8</v>
      </c>
      <c r="AE17" t="s">
        <v>148</v>
      </c>
      <c r="AF17" s="62">
        <f t="shared" si="2"/>
        <v>1.959740819481599E-7</v>
      </c>
    </row>
    <row r="18" spans="1:32">
      <c r="A18" s="63">
        <v>13</v>
      </c>
      <c r="B18" s="78">
        <v>5.720361999999999E-4</v>
      </c>
      <c r="D18" s="62"/>
      <c r="E18" s="67">
        <v>1.98E-3</v>
      </c>
      <c r="F18" s="62">
        <f t="shared" si="3"/>
        <v>1.9823620621104405E-6</v>
      </c>
      <c r="G18" s="106">
        <v>3.2000000000000003E-4</v>
      </c>
      <c r="H18" s="62">
        <f t="shared" si="3"/>
        <v>6.3522246110439938E-8</v>
      </c>
      <c r="I18">
        <v>7.5000000000000002E-4</v>
      </c>
      <c r="J18" s="62">
        <f t="shared" si="0"/>
        <v>3.1671114110440043E-8</v>
      </c>
      <c r="K18" s="113">
        <v>3.1E-4</v>
      </c>
      <c r="L18" s="114">
        <f t="shared" si="4"/>
        <v>6.8662970110439949E-8</v>
      </c>
      <c r="M18" s="102">
        <v>6.2172523E-3</v>
      </c>
      <c r="N18" s="62">
        <f t="shared" si="5"/>
        <v>3.1868464815699209E-5</v>
      </c>
      <c r="O18" s="102">
        <v>1.4300000000000001E-4</v>
      </c>
      <c r="P18" s="62">
        <f t="shared" si="5"/>
        <v>1.8407206091043992E-7</v>
      </c>
      <c r="Q18" s="97">
        <v>2.013E-3</v>
      </c>
      <c r="R18" s="62">
        <f t="shared" si="5"/>
        <v>2.0763766729104408E-6</v>
      </c>
      <c r="S18" s="97">
        <v>2.2800000000000001E-4</v>
      </c>
      <c r="T18" s="62">
        <f t="shared" si="5"/>
        <v>1.1836090691043993E-7</v>
      </c>
      <c r="U18" s="97">
        <v>4.6999999999999999E-4</v>
      </c>
      <c r="V18" s="62">
        <f t="shared" si="5"/>
        <v>1.0411386110439983E-8</v>
      </c>
      <c r="W18" s="97">
        <v>2.3000000000000001E-4</v>
      </c>
      <c r="X18" s="62">
        <f t="shared" si="5"/>
        <v>1.1698876211043993E-7</v>
      </c>
      <c r="Y18" s="97">
        <v>2.5999999999999998E-4</v>
      </c>
      <c r="Z18" s="62">
        <f t="shared" si="6"/>
        <v>9.736659011043995E-8</v>
      </c>
      <c r="AA18" s="97">
        <v>4.3360000000000002E-4</v>
      </c>
      <c r="AB18" s="62">
        <f t="shared" si="1"/>
        <v>1.9164581470439967E-8</v>
      </c>
      <c r="AC18" s="97">
        <v>3.7100000000000002E-4</v>
      </c>
      <c r="AD18" s="62">
        <f t="shared" si="2"/>
        <v>4.0415553710439953E-8</v>
      </c>
      <c r="AE18">
        <v>1E-4</v>
      </c>
      <c r="AF18" s="62">
        <f t="shared" si="2"/>
        <v>2.2281817411043991E-7</v>
      </c>
    </row>
    <row r="19" spans="1:32">
      <c r="A19" s="63">
        <v>14</v>
      </c>
      <c r="B19" s="78">
        <v>6.1089180000000029E-4</v>
      </c>
      <c r="D19" s="62"/>
      <c r="E19" s="67">
        <v>2.0699999999999998E-3</v>
      </c>
      <c r="F19" s="62">
        <f t="shared" si="3"/>
        <v>2.1289967393072383E-6</v>
      </c>
      <c r="G19" s="106">
        <v>3.5E-4</v>
      </c>
      <c r="H19" s="62">
        <f t="shared" si="3"/>
        <v>6.8064531307240159E-8</v>
      </c>
      <c r="I19">
        <v>8.0000000000000004E-4</v>
      </c>
      <c r="J19" s="62">
        <f t="shared" si="0"/>
        <v>3.5761911307239908E-8</v>
      </c>
      <c r="K19" s="113">
        <v>3.4000000000000002E-4</v>
      </c>
      <c r="L19" s="114">
        <f t="shared" si="4"/>
        <v>7.3382367307240141E-8</v>
      </c>
      <c r="M19" s="102">
        <v>6.2465979000000003E-3</v>
      </c>
      <c r="N19" s="62">
        <f t="shared" si="5"/>
        <v>3.1761183245577217E-5</v>
      </c>
      <c r="O19" s="102">
        <v>1.83E-4</v>
      </c>
      <c r="P19" s="62">
        <f t="shared" si="5"/>
        <v>1.8309139250724025E-7</v>
      </c>
      <c r="Q19" s="97">
        <v>2.0400000000000001E-3</v>
      </c>
      <c r="R19" s="62">
        <f t="shared" si="5"/>
        <v>2.0423502473072394E-6</v>
      </c>
      <c r="S19" s="97">
        <v>2.5000000000000001E-4</v>
      </c>
      <c r="T19" s="62">
        <f t="shared" si="5"/>
        <v>1.302428913072402E-7</v>
      </c>
      <c r="U19" s="97">
        <v>5.5000000000000003E-4</v>
      </c>
      <c r="V19" s="62">
        <f t="shared" si="5"/>
        <v>3.7078113072400313E-9</v>
      </c>
      <c r="W19" s="97">
        <v>2.9E-4</v>
      </c>
      <c r="X19" s="62">
        <f t="shared" si="5"/>
        <v>1.0297154730724019E-7</v>
      </c>
      <c r="Y19" s="97">
        <v>2.9999999999999997E-4</v>
      </c>
      <c r="Z19" s="62">
        <f t="shared" si="6"/>
        <v>9.6653711307240195E-8</v>
      </c>
      <c r="AA19" s="97">
        <v>4.4938999999999998E-4</v>
      </c>
      <c r="AB19" s="62">
        <f t="shared" si="1"/>
        <v>2.6082831403240101E-8</v>
      </c>
      <c r="AC19" s="97">
        <v>3.77E-4</v>
      </c>
      <c r="AD19" s="62">
        <f t="shared" si="2"/>
        <v>5.4705374107240134E-8</v>
      </c>
      <c r="AE19">
        <v>1.2E-4</v>
      </c>
      <c r="AF19" s="62">
        <f t="shared" si="2"/>
        <v>2.4097475930724032E-7</v>
      </c>
    </row>
    <row r="20" spans="1:32">
      <c r="A20" s="63">
        <v>15</v>
      </c>
      <c r="B20" s="78">
        <v>6.4893360000000007E-4</v>
      </c>
      <c r="D20" s="62"/>
      <c r="E20" s="67">
        <v>2.15E-3</v>
      </c>
      <c r="F20" s="62">
        <f t="shared" si="3"/>
        <v>2.2532003372089594E-6</v>
      </c>
      <c r="G20" s="106">
        <v>3.8999999999999999E-4</v>
      </c>
      <c r="H20" s="62">
        <f t="shared" si="3"/>
        <v>6.704660920896004E-8</v>
      </c>
      <c r="I20">
        <v>8.4999999999999995E-4</v>
      </c>
      <c r="J20" s="62">
        <f t="shared" si="0"/>
        <v>4.0427697208959953E-8</v>
      </c>
      <c r="K20" s="113">
        <v>3.5999999999999997E-4</v>
      </c>
      <c r="L20" s="114">
        <f t="shared" si="4"/>
        <v>8.348262520896006E-8</v>
      </c>
      <c r="M20" s="102">
        <v>6.2858621000000002E-3</v>
      </c>
      <c r="N20" s="62">
        <f t="shared" si="5"/>
        <v>3.1774962914112247E-5</v>
      </c>
      <c r="O20" s="102">
        <v>2.2900000000000001E-4</v>
      </c>
      <c r="P20" s="62">
        <f t="shared" si="5"/>
        <v>1.7634422840896004E-7</v>
      </c>
      <c r="Q20" s="97">
        <v>2.124E-3</v>
      </c>
      <c r="R20" s="62">
        <f t="shared" si="5"/>
        <v>2.1758208844089597E-6</v>
      </c>
      <c r="S20" s="97">
        <v>2.7399999999999999E-4</v>
      </c>
      <c r="T20" s="62">
        <f t="shared" si="5"/>
        <v>1.4057520440896005E-7</v>
      </c>
      <c r="U20" s="97">
        <v>6.4000000000000005E-4</v>
      </c>
      <c r="V20" s="62">
        <f t="shared" si="5"/>
        <v>7.9809208960000333E-11</v>
      </c>
      <c r="W20" s="97">
        <v>3.6999999999999999E-4</v>
      </c>
      <c r="X20" s="62">
        <f t="shared" si="5"/>
        <v>7.7803953208960038E-8</v>
      </c>
      <c r="Y20" s="97">
        <v>3.3E-4</v>
      </c>
      <c r="Z20" s="62">
        <f t="shared" si="6"/>
        <v>1.0171864120896004E-7</v>
      </c>
      <c r="AA20" s="97">
        <v>4.6633999999999998E-4</v>
      </c>
      <c r="AB20" s="62">
        <f t="shared" si="1"/>
        <v>3.3340422760960035E-8</v>
      </c>
      <c r="AC20" s="97">
        <v>3.8499999999999998E-4</v>
      </c>
      <c r="AD20" s="62">
        <f t="shared" si="2"/>
        <v>6.9660945208960053E-8</v>
      </c>
      <c r="AE20">
        <v>1.6000000000000001E-4</v>
      </c>
      <c r="AF20" s="62">
        <f t="shared" si="2"/>
        <v>2.3905606520896011E-7</v>
      </c>
    </row>
    <row r="21" spans="1:32">
      <c r="A21" s="63">
        <v>16</v>
      </c>
      <c r="B21" s="78">
        <v>6.8593479999999975E-4</v>
      </c>
      <c r="D21" s="62"/>
      <c r="E21" s="67">
        <v>2.1900000000000001E-3</v>
      </c>
      <c r="F21" s="62">
        <f t="shared" si="3"/>
        <v>2.2622121258510406E-6</v>
      </c>
      <c r="G21" s="106">
        <v>4.4000000000000002E-4</v>
      </c>
      <c r="H21" s="62">
        <f t="shared" si="3"/>
        <v>6.048392585103987E-8</v>
      </c>
      <c r="I21">
        <v>8.9999999999999998E-4</v>
      </c>
      <c r="J21" s="62">
        <f t="shared" si="0"/>
        <v>4.5823909851040096E-8</v>
      </c>
      <c r="K21" s="113">
        <v>3.8999999999999999E-4</v>
      </c>
      <c r="L21" s="114">
        <f t="shared" si="4"/>
        <v>8.7577405851039854E-8</v>
      </c>
      <c r="M21" s="102">
        <v>6.3256240999999998E-3</v>
      </c>
      <c r="N21" s="62">
        <f t="shared" si="5"/>
        <v>3.1806095400534491E-5</v>
      </c>
      <c r="O21" s="102">
        <v>2.7399999999999999E-4</v>
      </c>
      <c r="P21" s="62">
        <f t="shared" si="5"/>
        <v>1.6969027945103982E-7</v>
      </c>
      <c r="Q21" s="97">
        <v>2.1979999999999999E-3</v>
      </c>
      <c r="R21" s="62">
        <f t="shared" si="5"/>
        <v>2.2863411690510399E-6</v>
      </c>
      <c r="S21" s="97">
        <v>2.99E-4</v>
      </c>
      <c r="T21" s="62">
        <f t="shared" si="5"/>
        <v>1.4971853945103982E-7</v>
      </c>
      <c r="U21" s="97">
        <v>7.3999999999999999E-4</v>
      </c>
      <c r="V21" s="62">
        <f t="shared" si="5"/>
        <v>2.9230458510400254E-9</v>
      </c>
      <c r="W21" s="97">
        <v>4.4000000000000002E-4</v>
      </c>
      <c r="X21" s="62">
        <f t="shared" si="5"/>
        <v>6.048392585103987E-8</v>
      </c>
      <c r="Y21" s="97">
        <v>3.5E-4</v>
      </c>
      <c r="Z21" s="62">
        <f t="shared" si="6"/>
        <v>1.1285218985103983E-7</v>
      </c>
      <c r="AA21" s="97">
        <v>4.8453E-4</v>
      </c>
      <c r="AB21" s="62">
        <f t="shared" si="1"/>
        <v>4.0563893463039899E-8</v>
      </c>
      <c r="AC21" s="97">
        <v>3.9199999999999999E-4</v>
      </c>
      <c r="AD21" s="62">
        <f t="shared" si="2"/>
        <v>8.6397666651039856E-8</v>
      </c>
      <c r="AE21">
        <v>2.0000000000000001E-4</v>
      </c>
      <c r="AF21" s="62">
        <f t="shared" si="2"/>
        <v>2.3613262985103978E-7</v>
      </c>
    </row>
    <row r="22" spans="1:32">
      <c r="A22" s="63">
        <v>17</v>
      </c>
      <c r="B22" s="78">
        <v>7.2176460000000027E-4</v>
      </c>
      <c r="D22" s="62"/>
      <c r="E22" s="67">
        <v>2.2499999999999998E-3</v>
      </c>
      <c r="F22" s="62">
        <f t="shared" si="3"/>
        <v>2.3355034378131584E-6</v>
      </c>
      <c r="G22" s="106">
        <v>5.0000000000000001E-4</v>
      </c>
      <c r="H22" s="62">
        <f t="shared" si="3"/>
        <v>4.9179537813160115E-8</v>
      </c>
      <c r="I22">
        <v>9.5E-4</v>
      </c>
      <c r="J22" s="62">
        <f t="shared" si="0"/>
        <v>5.2091397813159879E-8</v>
      </c>
      <c r="K22" s="113">
        <v>4.0999999999999999E-4</v>
      </c>
      <c r="L22" s="114">
        <f t="shared" si="4"/>
        <v>9.7197165813160176E-8</v>
      </c>
      <c r="M22" s="102">
        <v>6.3756274000000002E-3</v>
      </c>
      <c r="N22" s="62">
        <f t="shared" si="5"/>
        <v>3.1966164561223845E-5</v>
      </c>
      <c r="O22" s="102">
        <v>3.1399999999999999E-4</v>
      </c>
      <c r="P22" s="62">
        <f t="shared" si="5"/>
        <v>1.6627196901316023E-7</v>
      </c>
      <c r="Q22" s="97">
        <v>2.3059999999999999E-3</v>
      </c>
      <c r="R22" s="62">
        <f t="shared" si="5"/>
        <v>2.5098018026131583E-6</v>
      </c>
      <c r="S22" s="97">
        <v>3.2400000000000001E-4</v>
      </c>
      <c r="T22" s="62">
        <f t="shared" si="5"/>
        <v>1.582166770131602E-7</v>
      </c>
      <c r="U22" s="97">
        <v>8.3000000000000001E-4</v>
      </c>
      <c r="V22" s="62">
        <f t="shared" si="5"/>
        <v>1.1714901813159943E-8</v>
      </c>
      <c r="W22" s="97">
        <v>4.8999999999999998E-4</v>
      </c>
      <c r="X22" s="62">
        <f t="shared" si="5"/>
        <v>5.3714829813160129E-8</v>
      </c>
      <c r="Y22" s="97">
        <v>3.6999999999999999E-4</v>
      </c>
      <c r="Z22" s="62">
        <f t="shared" si="6"/>
        <v>1.2373833381316019E-7</v>
      </c>
      <c r="AA22" s="97">
        <v>5.0405999999999997E-4</v>
      </c>
      <c r="AB22" s="62">
        <f t="shared" si="1"/>
        <v>4.7395292861160129E-8</v>
      </c>
      <c r="AC22" s="97">
        <v>4.0099999999999999E-4</v>
      </c>
      <c r="AD22" s="62">
        <f t="shared" ref="AD22:AD85" si="7">+(AC22-$B22)^2</f>
        <v>1.0288992861316018E-7</v>
      </c>
      <c r="AE22">
        <v>2.4000000000000001E-4</v>
      </c>
      <c r="AF22" s="62">
        <f t="shared" ref="AF22:AF85" si="8">+(AE22-$B22)^2</f>
        <v>2.3209712981316027E-7</v>
      </c>
    </row>
    <row r="23" spans="1:32">
      <c r="A23" s="63">
        <v>18</v>
      </c>
      <c r="B23" s="78">
        <v>7.5638820000000016E-4</v>
      </c>
      <c r="D23" s="62"/>
      <c r="E23" s="67">
        <v>2.3E-3</v>
      </c>
      <c r="F23" s="62">
        <f t="shared" si="3"/>
        <v>2.3827373890992389E-6</v>
      </c>
      <c r="G23" s="106">
        <v>5.5999999999999995E-4</v>
      </c>
      <c r="H23" s="62">
        <f t="shared" si="3"/>
        <v>3.856832509924008E-8</v>
      </c>
      <c r="I23">
        <v>9.7999999999999997E-4</v>
      </c>
      <c r="J23" s="62">
        <f t="shared" si="0"/>
        <v>5.0002237099239915E-8</v>
      </c>
      <c r="K23" s="113">
        <v>4.4000000000000002E-4</v>
      </c>
      <c r="L23" s="114">
        <f t="shared" si="4"/>
        <v>1.0010149309924009E-7</v>
      </c>
      <c r="M23" s="102">
        <v>6.4165354999999999E-3</v>
      </c>
      <c r="N23" s="62">
        <f t="shared" ref="N23:X38" si="9">+(M23-$B23)^2</f>
        <v>3.2037267457697284E-5</v>
      </c>
      <c r="O23" s="102">
        <v>3.4699999999999998E-4</v>
      </c>
      <c r="P23" s="62">
        <f t="shared" si="9"/>
        <v>1.6759869829924015E-7</v>
      </c>
      <c r="Q23" s="97">
        <v>2.4620000000000002E-3</v>
      </c>
      <c r="R23" s="62">
        <f t="shared" si="9"/>
        <v>2.9091116122992398E-6</v>
      </c>
      <c r="S23" s="97">
        <v>3.4699999999999998E-4</v>
      </c>
      <c r="T23" s="62">
        <f t="shared" si="9"/>
        <v>1.6759869829924015E-7</v>
      </c>
      <c r="U23" s="97">
        <v>9.2000000000000003E-4</v>
      </c>
      <c r="V23" s="62">
        <f t="shared" si="9"/>
        <v>2.6768821099239957E-8</v>
      </c>
      <c r="W23" s="97">
        <v>5.1000000000000004E-4</v>
      </c>
      <c r="X23" s="62">
        <f t="shared" si="9"/>
        <v>6.070714509924006E-8</v>
      </c>
      <c r="Y23" s="97">
        <v>3.6999999999999999E-4</v>
      </c>
      <c r="Z23" s="62">
        <f t="shared" si="6"/>
        <v>1.4929584109924012E-7</v>
      </c>
      <c r="AA23" s="97">
        <v>5.2501999999999996E-4</v>
      </c>
      <c r="AB23" s="62">
        <f t="shared" si="1"/>
        <v>5.3531243971240091E-8</v>
      </c>
      <c r="AC23" s="97">
        <v>4.1100000000000002E-4</v>
      </c>
      <c r="AD23" s="62">
        <f t="shared" si="7"/>
        <v>1.1929300869924011E-7</v>
      </c>
      <c r="AE23">
        <v>2.7999999999999998E-4</v>
      </c>
      <c r="AF23" s="62">
        <f t="shared" si="8"/>
        <v>2.2694571709924019E-7</v>
      </c>
    </row>
    <row r="24" spans="1:32">
      <c r="A24" s="63">
        <v>19</v>
      </c>
      <c r="B24" s="78">
        <v>7.8986679999999991E-4</v>
      </c>
      <c r="D24" s="62"/>
      <c r="E24" s="67">
        <v>2.3700000000000001E-3</v>
      </c>
      <c r="F24" s="62">
        <f t="shared" si="3"/>
        <v>2.4968209297422405E-6</v>
      </c>
      <c r="G24" s="106">
        <v>6.3000000000000003E-4</v>
      </c>
      <c r="H24" s="62">
        <f t="shared" si="3"/>
        <v>2.5557393742239961E-8</v>
      </c>
      <c r="I24">
        <v>1.0200000000000001E-3</v>
      </c>
      <c r="J24" s="62">
        <f t="shared" si="0"/>
        <v>5.2961289742240072E-8</v>
      </c>
      <c r="K24" s="113">
        <v>4.6000000000000001E-4</v>
      </c>
      <c r="L24" s="114">
        <f t="shared" si="4"/>
        <v>1.0881210574223993E-7</v>
      </c>
      <c r="M24" s="102">
        <v>6.4579733999999998E-3</v>
      </c>
      <c r="N24" s="62">
        <f t="shared" si="9"/>
        <v>3.2127432428963561E-5</v>
      </c>
      <c r="O24" s="102">
        <v>3.7399999999999998E-4</v>
      </c>
      <c r="P24" s="62">
        <f t="shared" si="9"/>
        <v>1.7294519534223994E-7</v>
      </c>
      <c r="Q24" s="97">
        <v>2.6189999999999998E-3</v>
      </c>
      <c r="R24" s="62">
        <f t="shared" si="9"/>
        <v>3.3457282633422391E-6</v>
      </c>
      <c r="S24" s="97">
        <v>3.6600000000000001E-4</v>
      </c>
      <c r="T24" s="62">
        <f t="shared" si="9"/>
        <v>1.7966306414223992E-7</v>
      </c>
      <c r="U24" s="97">
        <v>9.7999999999999997E-4</v>
      </c>
      <c r="V24" s="62">
        <f t="shared" si="9"/>
        <v>3.6150633742240026E-8</v>
      </c>
      <c r="W24" s="97">
        <v>5.1000000000000004E-4</v>
      </c>
      <c r="X24" s="62">
        <f t="shared" si="9"/>
        <v>7.8325425742239925E-8</v>
      </c>
      <c r="Y24" s="97">
        <v>3.6999999999999999E-4</v>
      </c>
      <c r="Z24" s="62">
        <f t="shared" si="6"/>
        <v>1.7628812974223993E-7</v>
      </c>
      <c r="AA24" s="97">
        <v>5.4750999999999997E-4</v>
      </c>
      <c r="AB24" s="62">
        <f t="shared" si="1"/>
        <v>5.8736818506239974E-8</v>
      </c>
      <c r="AC24" s="97">
        <v>4.2200000000000001E-4</v>
      </c>
      <c r="AD24" s="62">
        <f t="shared" si="7"/>
        <v>1.3532598254223994E-7</v>
      </c>
      <c r="AE24">
        <v>2.9999999999999997E-4</v>
      </c>
      <c r="AF24" s="62">
        <f t="shared" si="8"/>
        <v>2.399694817422399E-7</v>
      </c>
    </row>
    <row r="25" spans="1:32">
      <c r="A25" s="63">
        <v>20</v>
      </c>
      <c r="B25" s="78">
        <v>8.2235760000000065E-4</v>
      </c>
      <c r="C25" s="123">
        <v>2.0999999999999998E-4</v>
      </c>
      <c r="D25" s="62">
        <f t="shared" ref="D25:D88" si="10">+(C25-$B25)^2</f>
        <v>3.749818302777608E-7</v>
      </c>
      <c r="E25" s="67">
        <v>2.4299999999999999E-3</v>
      </c>
      <c r="F25" s="62">
        <f t="shared" si="3"/>
        <v>2.584514086277757E-6</v>
      </c>
      <c r="G25" s="106">
        <v>6.9999999999999999E-4</v>
      </c>
      <c r="H25" s="62">
        <f t="shared" si="3"/>
        <v>1.4971382277760161E-8</v>
      </c>
      <c r="I25">
        <v>1.0499999999999999E-3</v>
      </c>
      <c r="J25" s="62">
        <f t="shared" si="0"/>
        <v>5.1821062277759671E-8</v>
      </c>
      <c r="K25" s="113">
        <v>4.6999999999999999E-4</v>
      </c>
      <c r="L25" s="114">
        <f t="shared" si="4"/>
        <v>1.2415587827776047E-7</v>
      </c>
      <c r="M25" s="102">
        <v>6.5197980000000003E-3</v>
      </c>
      <c r="N25" s="62">
        <f t="shared" si="9"/>
        <v>3.2460827111552159E-5</v>
      </c>
      <c r="O25" s="102">
        <v>4.0200000000000001E-4</v>
      </c>
      <c r="P25" s="62">
        <f t="shared" si="9"/>
        <v>1.7670051187776054E-7</v>
      </c>
      <c r="Q25" s="97">
        <v>2.7650000000000001E-3</v>
      </c>
      <c r="R25" s="62">
        <f t="shared" si="9"/>
        <v>3.7738594942777576E-6</v>
      </c>
      <c r="S25" s="97">
        <v>3.8099999999999999E-4</v>
      </c>
      <c r="T25" s="62">
        <f t="shared" si="9"/>
        <v>1.9479653107776058E-7</v>
      </c>
      <c r="U25" s="97">
        <v>1.0200000000000001E-3</v>
      </c>
      <c r="V25" s="62">
        <f t="shared" si="9"/>
        <v>3.9062518277759774E-8</v>
      </c>
      <c r="W25" s="97">
        <v>5.0000000000000001E-4</v>
      </c>
      <c r="X25" s="62">
        <f t="shared" si="9"/>
        <v>1.0391442227776042E-7</v>
      </c>
      <c r="Y25" s="97">
        <v>3.6999999999999999E-4</v>
      </c>
      <c r="Z25" s="62">
        <f t="shared" si="6"/>
        <v>2.0462739827776059E-7</v>
      </c>
      <c r="AA25" s="97">
        <v>5.7165999999999998E-4</v>
      </c>
      <c r="AB25" s="62">
        <f t="shared" si="1"/>
        <v>6.2849286645760331E-8</v>
      </c>
      <c r="AC25" s="97">
        <v>4.3399999999999998E-4</v>
      </c>
      <c r="AD25" s="62">
        <f t="shared" si="7"/>
        <v>1.5082162547776053E-7</v>
      </c>
      <c r="AE25">
        <v>3.1E-4</v>
      </c>
      <c r="AF25" s="62">
        <f t="shared" si="8"/>
        <v>2.6251031027776063E-7</v>
      </c>
    </row>
    <row r="26" spans="1:32">
      <c r="A26" s="63">
        <v>21</v>
      </c>
      <c r="B26" s="78">
        <v>8.5411379999999983E-4</v>
      </c>
      <c r="C26" s="123">
        <v>2.3000000000000001E-4</v>
      </c>
      <c r="D26" s="62">
        <f t="shared" si="10"/>
        <v>3.8951803535043969E-7</v>
      </c>
      <c r="E26" s="67">
        <v>2.5100000000000001E-3</v>
      </c>
      <c r="F26" s="62">
        <f t="shared" si="3"/>
        <v>2.7419591073504406E-6</v>
      </c>
      <c r="G26" s="106">
        <v>7.6000000000000004E-4</v>
      </c>
      <c r="H26" s="62">
        <f t="shared" si="3"/>
        <v>8.8574073504399587E-9</v>
      </c>
      <c r="I26">
        <v>1.07E-3</v>
      </c>
      <c r="J26" s="62">
        <f t="shared" si="0"/>
        <v>4.6606851350440073E-8</v>
      </c>
      <c r="K26" s="113">
        <v>4.8999999999999998E-4</v>
      </c>
      <c r="L26" s="114">
        <f t="shared" si="4"/>
        <v>1.3257885935043987E-7</v>
      </c>
      <c r="M26" s="102">
        <v>6.5925500999999996E-3</v>
      </c>
      <c r="N26" s="62">
        <f t="shared" si="9"/>
        <v>3.2929651169157694E-5</v>
      </c>
      <c r="O26" s="102">
        <v>4.3100000000000001E-4</v>
      </c>
      <c r="P26" s="62">
        <f t="shared" si="9"/>
        <v>1.7902528775043984E-7</v>
      </c>
      <c r="Q26" s="97">
        <v>2.8890000000000001E-3</v>
      </c>
      <c r="R26" s="62">
        <f t="shared" si="9"/>
        <v>4.1407618469504405E-6</v>
      </c>
      <c r="S26" s="97">
        <v>3.8900000000000002E-4</v>
      </c>
      <c r="T26" s="62">
        <f t="shared" si="9"/>
        <v>2.1633084695043982E-7</v>
      </c>
      <c r="U26" s="97">
        <v>1.0399999999999999E-3</v>
      </c>
      <c r="V26" s="62">
        <f t="shared" si="9"/>
        <v>3.4553679350440029E-8</v>
      </c>
      <c r="W26" s="97">
        <v>5.0000000000000001E-4</v>
      </c>
      <c r="X26" s="62">
        <f t="shared" si="9"/>
        <v>1.2539658335043986E-7</v>
      </c>
      <c r="Y26" s="97">
        <v>3.6000000000000002E-4</v>
      </c>
      <c r="Z26" s="62">
        <f t="shared" si="6"/>
        <v>2.4414844735043987E-7</v>
      </c>
      <c r="AA26" s="97">
        <v>5.9758000000000001E-4</v>
      </c>
      <c r="AB26" s="62">
        <f t="shared" si="1"/>
        <v>6.5809590542439913E-8</v>
      </c>
      <c r="AC26" s="97">
        <v>4.4799999999999999E-4</v>
      </c>
      <c r="AD26" s="62">
        <f t="shared" si="7"/>
        <v>1.6492841855043987E-7</v>
      </c>
      <c r="AE26">
        <v>3.1E-4</v>
      </c>
      <c r="AF26" s="62">
        <f t="shared" si="8"/>
        <v>2.9605982735043974E-7</v>
      </c>
    </row>
    <row r="27" spans="1:32">
      <c r="A27" s="63">
        <v>22</v>
      </c>
      <c r="B27" s="78">
        <v>8.8548460000000115E-4</v>
      </c>
      <c r="C27" s="123">
        <v>2.5000000000000001E-4</v>
      </c>
      <c r="D27" s="62">
        <f t="shared" si="10"/>
        <v>4.0384067683716143E-7</v>
      </c>
      <c r="E27" s="67">
        <v>2.5899999999999999E-3</v>
      </c>
      <c r="F27" s="62">
        <f t="shared" si="3"/>
        <v>2.9053727488371553E-6</v>
      </c>
      <c r="G27" s="106">
        <v>8.0000000000000004E-4</v>
      </c>
      <c r="H27" s="62">
        <f t="shared" si="3"/>
        <v>7.3076168371601893E-9</v>
      </c>
      <c r="I27">
        <v>1.09E-3</v>
      </c>
      <c r="J27" s="62">
        <f t="shared" si="0"/>
        <v>4.182654883715955E-8</v>
      </c>
      <c r="K27" s="113">
        <v>5.0000000000000001E-4</v>
      </c>
      <c r="L27" s="114">
        <f t="shared" si="4"/>
        <v>1.4859837683716089E-7</v>
      </c>
      <c r="M27" s="102">
        <v>6.6463562999999996E-3</v>
      </c>
      <c r="N27" s="62">
        <f t="shared" si="9"/>
        <v>3.3187642743860874E-5</v>
      </c>
      <c r="O27" s="102">
        <v>4.5800000000000002E-4</v>
      </c>
      <c r="P27" s="62">
        <f t="shared" si="9"/>
        <v>1.8274308323716096E-7</v>
      </c>
      <c r="Q27" s="97">
        <v>2.9910000000000002E-3</v>
      </c>
      <c r="R27" s="62">
        <f t="shared" si="9"/>
        <v>4.4331950996371554E-6</v>
      </c>
      <c r="S27" s="97">
        <v>3.8900000000000002E-4</v>
      </c>
      <c r="T27" s="62">
        <f t="shared" si="9"/>
        <v>2.464969580371611E-7</v>
      </c>
      <c r="U27" s="97">
        <v>1.0399999999999999E-3</v>
      </c>
      <c r="V27" s="62">
        <f t="shared" si="9"/>
        <v>2.3875008837159617E-8</v>
      </c>
      <c r="W27" s="97">
        <v>5.0000000000000001E-4</v>
      </c>
      <c r="X27" s="62">
        <f t="shared" si="9"/>
        <v>1.4859837683716089E-7</v>
      </c>
      <c r="Y27" s="97">
        <v>3.6000000000000002E-4</v>
      </c>
      <c r="Z27" s="62">
        <f t="shared" si="6"/>
        <v>2.7613406483716125E-7</v>
      </c>
      <c r="AA27" s="97">
        <v>6.2538999999999997E-4</v>
      </c>
      <c r="AB27" s="62">
        <f t="shared" si="1"/>
        <v>6.7649200949160606E-8</v>
      </c>
      <c r="AC27" s="97">
        <v>4.6299999999999998E-4</v>
      </c>
      <c r="AD27" s="62">
        <f t="shared" si="7"/>
        <v>1.7849323723716099E-7</v>
      </c>
      <c r="AE27">
        <v>3.2000000000000003E-4</v>
      </c>
      <c r="AF27" s="62">
        <f t="shared" si="8"/>
        <v>3.1977283283716122E-7</v>
      </c>
    </row>
    <row r="28" spans="1:32">
      <c r="A28" s="63">
        <v>23</v>
      </c>
      <c r="B28" s="78">
        <v>9.1691519999999988E-4</v>
      </c>
      <c r="C28" s="123">
        <v>2.8000000000000003E-4</v>
      </c>
      <c r="D28" s="62">
        <f t="shared" si="10"/>
        <v>4.056609719910399E-7</v>
      </c>
      <c r="E28" s="67">
        <v>2.6800000000000001E-3</v>
      </c>
      <c r="F28" s="62">
        <f t="shared" si="3"/>
        <v>3.1084680119910405E-6</v>
      </c>
      <c r="G28" s="106">
        <v>8.4000000000000003E-4</v>
      </c>
      <c r="H28" s="62">
        <f t="shared" si="3"/>
        <v>5.9159479910399761E-9</v>
      </c>
      <c r="I28">
        <v>1.1100000000000001E-3</v>
      </c>
      <c r="J28" s="62">
        <f t="shared" si="0"/>
        <v>3.7281739991040085E-8</v>
      </c>
      <c r="K28" s="113">
        <v>5.1000000000000004E-4</v>
      </c>
      <c r="L28" s="114">
        <f t="shared" si="4"/>
        <v>1.6557997999103986E-7</v>
      </c>
      <c r="M28" s="102">
        <v>6.7211924999999997E-3</v>
      </c>
      <c r="N28" s="62">
        <f t="shared" si="9"/>
        <v>3.3689634975295287E-5</v>
      </c>
      <c r="O28" s="102">
        <v>4.8200000000000001E-4</v>
      </c>
      <c r="P28" s="62">
        <f t="shared" si="9"/>
        <v>1.8915123119103988E-7</v>
      </c>
      <c r="Q28" s="97">
        <v>3.0699999999999998E-3</v>
      </c>
      <c r="R28" s="62">
        <f t="shared" si="9"/>
        <v>4.6357741559910397E-6</v>
      </c>
      <c r="S28" s="97">
        <v>3.8699999999999997E-4</v>
      </c>
      <c r="T28" s="62">
        <f t="shared" si="9"/>
        <v>2.8081011919103991E-7</v>
      </c>
      <c r="U28" s="97">
        <v>1.0200000000000001E-3</v>
      </c>
      <c r="V28" s="62">
        <f t="shared" si="9"/>
        <v>1.0626475991040041E-8</v>
      </c>
      <c r="W28" s="97">
        <v>5.1999999999999995E-4</v>
      </c>
      <c r="X28" s="62">
        <f t="shared" si="9"/>
        <v>1.5754167599103994E-7</v>
      </c>
      <c r="Y28" s="97">
        <v>3.5E-4</v>
      </c>
      <c r="Z28" s="62">
        <f t="shared" si="6"/>
        <v>3.2139284399103991E-7</v>
      </c>
      <c r="AA28" s="97">
        <v>6.5525000000000002E-4</v>
      </c>
      <c r="AB28" s="62">
        <f t="shared" si="1"/>
        <v>6.8468676891039927E-8</v>
      </c>
      <c r="AC28" s="97">
        <v>4.7899999999999999E-4</v>
      </c>
      <c r="AD28" s="62">
        <f t="shared" si="7"/>
        <v>1.9176972239103991E-7</v>
      </c>
      <c r="AE28">
        <v>3.4000000000000002E-4</v>
      </c>
      <c r="AF28" s="62">
        <f t="shared" si="8"/>
        <v>3.3283114799103985E-7</v>
      </c>
    </row>
    <row r="29" spans="1:32">
      <c r="A29" s="63">
        <v>24</v>
      </c>
      <c r="B29" s="78">
        <v>9.4894680000000146E-4</v>
      </c>
      <c r="C29" s="123">
        <v>3.1E-4</v>
      </c>
      <c r="D29" s="62">
        <f t="shared" si="10"/>
        <v>4.0825301323024181E-7</v>
      </c>
      <c r="E29" s="67">
        <v>2.7699999999999999E-3</v>
      </c>
      <c r="F29" s="62">
        <f t="shared" si="3"/>
        <v>3.316234757230234E-6</v>
      </c>
      <c r="G29" s="106">
        <v>8.7000000000000001E-4</v>
      </c>
      <c r="H29" s="62">
        <f t="shared" si="3"/>
        <v>6.2325972302402294E-9</v>
      </c>
      <c r="I29">
        <v>1.14E-3</v>
      </c>
      <c r="J29" s="62">
        <f t="shared" si="0"/>
        <v>3.6501325230239428E-8</v>
      </c>
      <c r="K29" s="113">
        <v>5.2999999999999998E-4</v>
      </c>
      <c r="L29" s="114">
        <f t="shared" si="4"/>
        <v>1.7551642123024122E-7</v>
      </c>
      <c r="M29" s="102">
        <v>6.7972440999999996E-3</v>
      </c>
      <c r="N29" s="62">
        <f t="shared" si="9"/>
        <v>3.4202581309187271E-5</v>
      </c>
      <c r="O29" s="102">
        <v>5.04E-4</v>
      </c>
      <c r="P29" s="62">
        <f t="shared" si="9"/>
        <v>1.979776548302413E-7</v>
      </c>
      <c r="Q29" s="97">
        <v>3.1150000000000001E-3</v>
      </c>
      <c r="R29" s="62">
        <f t="shared" si="9"/>
        <v>4.6917864652302338E-6</v>
      </c>
      <c r="S29" s="97">
        <v>3.8900000000000002E-4</v>
      </c>
      <c r="T29" s="62">
        <f t="shared" si="9"/>
        <v>3.135404188302416E-7</v>
      </c>
      <c r="U29" s="97">
        <v>9.7999999999999997E-4</v>
      </c>
      <c r="V29" s="62">
        <f t="shared" si="9"/>
        <v>9.6430123023990757E-10</v>
      </c>
      <c r="W29" s="97">
        <v>5.5000000000000003E-4</v>
      </c>
      <c r="X29" s="62">
        <f t="shared" si="9"/>
        <v>1.5915854923024114E-7</v>
      </c>
      <c r="Y29" s="97">
        <v>3.5E-4</v>
      </c>
      <c r="Z29" s="62">
        <f t="shared" si="6"/>
        <v>3.5873726923024181E-7</v>
      </c>
      <c r="AA29" s="97">
        <v>6.8729999999999996E-4</v>
      </c>
      <c r="AB29" s="62">
        <f t="shared" si="1"/>
        <v>6.8459047950240791E-8</v>
      </c>
      <c r="AC29" s="97">
        <v>4.9799999999999996E-4</v>
      </c>
      <c r="AD29" s="62">
        <f t="shared" si="7"/>
        <v>2.0335301643024135E-7</v>
      </c>
      <c r="AE29">
        <v>3.5E-4</v>
      </c>
      <c r="AF29" s="62">
        <f t="shared" si="8"/>
        <v>3.5873726923024181E-7</v>
      </c>
    </row>
    <row r="30" spans="1:32">
      <c r="A30" s="63">
        <v>25</v>
      </c>
      <c r="B30" s="78">
        <v>9.8221659999999994E-4</v>
      </c>
      <c r="C30" s="123">
        <v>3.4000000000000002E-4</v>
      </c>
      <c r="D30" s="62">
        <f t="shared" si="10"/>
        <v>4.1244216131555991E-7</v>
      </c>
      <c r="E30" s="67">
        <v>2.8800000000000002E-3</v>
      </c>
      <c r="F30" s="62">
        <f t="shared" si="3"/>
        <v>3.6015818333155609E-6</v>
      </c>
      <c r="G30" s="106">
        <v>8.8999999999999995E-4</v>
      </c>
      <c r="H30" s="62">
        <f t="shared" si="3"/>
        <v>8.5039013155599981E-9</v>
      </c>
      <c r="I30">
        <v>1.16E-3</v>
      </c>
      <c r="J30" s="62">
        <f t="shared" si="0"/>
        <v>3.1606937315560023E-8</v>
      </c>
      <c r="K30" s="113">
        <v>5.5000000000000003E-4</v>
      </c>
      <c r="L30" s="114">
        <f t="shared" si="4"/>
        <v>1.8681118931555992E-7</v>
      </c>
      <c r="M30" s="102">
        <v>6.8950657000000004E-3</v>
      </c>
      <c r="N30" s="62">
        <f t="shared" si="9"/>
        <v>3.496178447937082E-5</v>
      </c>
      <c r="O30" s="102">
        <v>5.2700000000000002E-4</v>
      </c>
      <c r="P30" s="62">
        <f t="shared" si="9"/>
        <v>2.0722215291555992E-7</v>
      </c>
      <c r="Q30" s="97">
        <v>3.137E-3</v>
      </c>
      <c r="R30" s="62">
        <f t="shared" si="9"/>
        <v>4.6430915009155602E-6</v>
      </c>
      <c r="S30" s="97">
        <v>3.9500000000000001E-4</v>
      </c>
      <c r="T30" s="62">
        <f t="shared" si="9"/>
        <v>3.4482333531555997E-7</v>
      </c>
      <c r="U30" s="97">
        <v>9.3999999999999997E-4</v>
      </c>
      <c r="V30" s="62">
        <f t="shared" si="9"/>
        <v>1.7822413155599969E-9</v>
      </c>
      <c r="W30" s="97">
        <v>5.8E-4</v>
      </c>
      <c r="X30" s="62">
        <f t="shared" si="9"/>
        <v>1.6177819331555995E-7</v>
      </c>
      <c r="Y30" s="97">
        <v>3.5E-4</v>
      </c>
      <c r="Z30" s="62">
        <f t="shared" si="6"/>
        <v>3.9969782931555987E-7</v>
      </c>
      <c r="AA30" s="97">
        <v>7.2168999999999998E-4</v>
      </c>
      <c r="AB30" s="62">
        <f t="shared" si="1"/>
        <v>6.787410930755998E-8</v>
      </c>
      <c r="AC30" s="97">
        <v>5.1900000000000004E-4</v>
      </c>
      <c r="AD30" s="62">
        <f t="shared" si="7"/>
        <v>2.145696185155599E-7</v>
      </c>
      <c r="AE30">
        <v>3.6000000000000002E-4</v>
      </c>
      <c r="AF30" s="62">
        <f t="shared" si="8"/>
        <v>3.8715349731555985E-7</v>
      </c>
    </row>
    <row r="31" spans="1:32">
      <c r="A31" s="63">
        <v>26</v>
      </c>
      <c r="B31" s="78">
        <v>1.0174578000000014E-3</v>
      </c>
      <c r="C31" s="123">
        <v>3.8000000000000002E-4</v>
      </c>
      <c r="D31" s="62">
        <f t="shared" si="10"/>
        <v>4.0635244678084173E-7</v>
      </c>
      <c r="E31" s="67">
        <v>2.99E-3</v>
      </c>
      <c r="F31" s="62">
        <f t="shared" si="3"/>
        <v>3.8909227307808343E-6</v>
      </c>
      <c r="G31" s="106">
        <v>9.1E-4</v>
      </c>
      <c r="H31" s="62">
        <f t="shared" si="3"/>
        <v>1.15471787808403E-8</v>
      </c>
      <c r="I31">
        <v>1.1900000000000001E-3</v>
      </c>
      <c r="J31" s="62">
        <f t="shared" si="0"/>
        <v>2.9770810780839547E-8</v>
      </c>
      <c r="K31" s="113">
        <v>5.8E-4</v>
      </c>
      <c r="L31" s="114">
        <f t="shared" si="4"/>
        <v>1.9136932678084123E-7</v>
      </c>
      <c r="M31" s="102">
        <v>6.9842654999999997E-3</v>
      </c>
      <c r="N31" s="62">
        <f t="shared" si="9"/>
        <v>3.5602794128779272E-5</v>
      </c>
      <c r="O31" s="102">
        <v>5.5099999999999995E-4</v>
      </c>
      <c r="P31" s="62">
        <f t="shared" si="9"/>
        <v>2.1758287918084136E-7</v>
      </c>
      <c r="Q31" s="97">
        <v>3.1470000000000001E-3</v>
      </c>
      <c r="R31" s="62">
        <f t="shared" si="9"/>
        <v>4.5349499815808346E-6</v>
      </c>
      <c r="S31" s="97">
        <v>4.0499999999999998E-4</v>
      </c>
      <c r="T31" s="62">
        <f t="shared" si="9"/>
        <v>3.7510455678084174E-7</v>
      </c>
      <c r="U31" s="97">
        <v>8.9999999999999998E-4</v>
      </c>
      <c r="V31" s="62">
        <f t="shared" si="9"/>
        <v>1.3796334780840334E-8</v>
      </c>
      <c r="W31" s="97">
        <v>6.0999999999999997E-4</v>
      </c>
      <c r="X31" s="62">
        <f t="shared" si="9"/>
        <v>1.6602185878084115E-7</v>
      </c>
      <c r="Y31" s="97">
        <v>3.6000000000000002E-4</v>
      </c>
      <c r="Z31" s="62">
        <f t="shared" si="6"/>
        <v>4.3225075878084174E-7</v>
      </c>
      <c r="AA31" s="97">
        <v>7.5860999999999995E-4</v>
      </c>
      <c r="AB31" s="62">
        <f t="shared" si="1"/>
        <v>6.7002183564840753E-8</v>
      </c>
      <c r="AC31" s="97">
        <v>5.4199999999999995E-4</v>
      </c>
      <c r="AD31" s="62">
        <f t="shared" si="7"/>
        <v>2.2606011958084139E-7</v>
      </c>
      <c r="AE31">
        <v>3.8000000000000002E-4</v>
      </c>
      <c r="AF31" s="62">
        <f t="shared" si="8"/>
        <v>4.0635244678084173E-7</v>
      </c>
    </row>
    <row r="32" spans="1:32">
      <c r="A32" s="63">
        <v>27</v>
      </c>
      <c r="B32" s="78">
        <v>1.0554996000000003E-3</v>
      </c>
      <c r="C32" s="123">
        <v>4.0999999999999999E-4</v>
      </c>
      <c r="D32" s="62">
        <f t="shared" si="10"/>
        <v>4.166697336001604E-7</v>
      </c>
      <c r="E32" s="67">
        <v>3.1099999999999999E-3</v>
      </c>
      <c r="F32" s="62">
        <f t="shared" si="3"/>
        <v>4.2209718936001588E-6</v>
      </c>
      <c r="G32" s="106">
        <v>9.2000000000000003E-4</v>
      </c>
      <c r="H32" s="62">
        <f t="shared" si="3"/>
        <v>1.8360141600160078E-8</v>
      </c>
      <c r="I32">
        <v>1.2199999999999999E-3</v>
      </c>
      <c r="J32" s="62">
        <f t="shared" si="0"/>
        <v>2.7060381600159879E-8</v>
      </c>
      <c r="K32" s="113">
        <v>6.0999999999999997E-4</v>
      </c>
      <c r="L32" s="114">
        <f t="shared" si="4"/>
        <v>1.9846989360016031E-7</v>
      </c>
      <c r="M32" s="102">
        <v>7.085409E-3</v>
      </c>
      <c r="N32" s="62">
        <f t="shared" si="9"/>
        <v>3.6359807372208364E-5</v>
      </c>
      <c r="O32" s="102">
        <v>5.7499999999999999E-4</v>
      </c>
      <c r="P32" s="62">
        <f t="shared" si="9"/>
        <v>2.308798656001603E-7</v>
      </c>
      <c r="Q32" s="97">
        <v>3.287E-3</v>
      </c>
      <c r="R32" s="62">
        <f t="shared" si="9"/>
        <v>4.9795940352001583E-6</v>
      </c>
      <c r="S32" s="97">
        <v>4.2000000000000002E-4</v>
      </c>
      <c r="T32" s="62">
        <f t="shared" si="9"/>
        <v>4.0385974160016036E-7</v>
      </c>
      <c r="U32" s="97">
        <v>8.4999999999999995E-4</v>
      </c>
      <c r="V32" s="62">
        <f t="shared" si="9"/>
        <v>4.2230085600160145E-8</v>
      </c>
      <c r="W32" s="97">
        <v>6.4000000000000005E-4</v>
      </c>
      <c r="X32" s="62">
        <f t="shared" si="9"/>
        <v>1.7263991760016022E-7</v>
      </c>
      <c r="Y32" s="97">
        <v>3.6999999999999999E-4</v>
      </c>
      <c r="Z32" s="62">
        <f t="shared" si="6"/>
        <v>4.6990970160016046E-7</v>
      </c>
      <c r="AA32" s="97">
        <v>7.9823999999999997E-4</v>
      </c>
      <c r="AB32" s="62">
        <f t="shared" si="1"/>
        <v>6.6182501792160175E-8</v>
      </c>
      <c r="AC32" s="97">
        <v>5.6800000000000004E-4</v>
      </c>
      <c r="AD32" s="62">
        <f t="shared" si="7"/>
        <v>2.3765586000016026E-7</v>
      </c>
      <c r="AE32">
        <v>4.0000000000000002E-4</v>
      </c>
      <c r="AF32" s="62">
        <f t="shared" si="8"/>
        <v>4.2967972560016046E-7</v>
      </c>
    </row>
    <row r="33" spans="1:32">
      <c r="A33" s="63">
        <v>28</v>
      </c>
      <c r="B33" s="78">
        <v>1.0972672000000025E-3</v>
      </c>
      <c r="C33" s="123">
        <v>4.4999999999999999E-4</v>
      </c>
      <c r="D33" s="62">
        <f t="shared" si="10"/>
        <v>4.189548281958433E-7</v>
      </c>
      <c r="E33" s="67">
        <v>3.2499999999999999E-3</v>
      </c>
      <c r="F33" s="62">
        <f t="shared" si="3"/>
        <v>4.6342585081958286E-6</v>
      </c>
      <c r="G33" s="106">
        <v>9.3000000000000005E-4</v>
      </c>
      <c r="H33" s="62">
        <f t="shared" si="3"/>
        <v>2.7978316195840829E-8</v>
      </c>
      <c r="I33">
        <v>1.2600000000000001E-3</v>
      </c>
      <c r="J33" s="62">
        <f t="shared" si="0"/>
        <v>2.6481964195839193E-8</v>
      </c>
      <c r="K33" s="113">
        <v>6.4000000000000005E-4</v>
      </c>
      <c r="L33" s="114">
        <f t="shared" si="4"/>
        <v>2.0909329219584225E-7</v>
      </c>
      <c r="M33" s="102">
        <v>7.2093213E-3</v>
      </c>
      <c r="N33" s="62">
        <f t="shared" si="9"/>
        <v>3.7357205321326776E-5</v>
      </c>
      <c r="O33" s="102">
        <v>6.02E-4</v>
      </c>
      <c r="P33" s="62">
        <f t="shared" si="9"/>
        <v>2.452895993958425E-7</v>
      </c>
      <c r="Q33" s="97">
        <v>3.4169999999999999E-3</v>
      </c>
      <c r="R33" s="62">
        <f t="shared" si="9"/>
        <v>5.3811602633958276E-6</v>
      </c>
      <c r="S33" s="97">
        <v>4.3899999999999999E-4</v>
      </c>
      <c r="T33" s="62">
        <f t="shared" si="9"/>
        <v>4.3331570659584343E-7</v>
      </c>
      <c r="U33" s="97">
        <v>8.0999999999999996E-4</v>
      </c>
      <c r="V33" s="62">
        <f t="shared" si="9"/>
        <v>8.2522444195841481E-8</v>
      </c>
      <c r="W33" s="97">
        <v>6.7000000000000002E-4</v>
      </c>
      <c r="X33" s="62">
        <f t="shared" si="9"/>
        <v>1.8255726019584215E-7</v>
      </c>
      <c r="Y33" s="97">
        <v>3.8999999999999999E-4</v>
      </c>
      <c r="Z33" s="62">
        <f t="shared" si="6"/>
        <v>5.0022689219584368E-7</v>
      </c>
      <c r="AA33" s="97">
        <v>8.4077000000000002E-4</v>
      </c>
      <c r="AB33" s="62">
        <f t="shared" si="1"/>
        <v>6.5790813607841292E-8</v>
      </c>
      <c r="AC33" s="97">
        <v>5.9599999999999996E-4</v>
      </c>
      <c r="AD33" s="62">
        <f t="shared" si="7"/>
        <v>2.5126880579584257E-7</v>
      </c>
      <c r="AE33">
        <v>4.2000000000000002E-4</v>
      </c>
      <c r="AF33" s="62">
        <f t="shared" si="8"/>
        <v>4.5869086019584342E-7</v>
      </c>
    </row>
    <row r="34" spans="1:32">
      <c r="A34" s="63">
        <v>29</v>
      </c>
      <c r="B34" s="78">
        <v>1.1437817999999998E-3</v>
      </c>
      <c r="C34" s="123">
        <v>5.0000000000000001E-4</v>
      </c>
      <c r="D34" s="62">
        <f t="shared" si="10"/>
        <v>4.1445500601123971E-7</v>
      </c>
      <c r="E34" s="67">
        <v>3.3999999999999998E-3</v>
      </c>
      <c r="F34" s="62">
        <f t="shared" si="3"/>
        <v>5.0905205660112402E-6</v>
      </c>
      <c r="G34" s="106">
        <v>9.5E-4</v>
      </c>
      <c r="H34" s="62">
        <f t="shared" si="3"/>
        <v>3.7551386011239923E-8</v>
      </c>
      <c r="I34">
        <v>1.2999999999999999E-3</v>
      </c>
      <c r="J34" s="62">
        <f t="shared" si="0"/>
        <v>2.4404126011240043E-8</v>
      </c>
      <c r="K34" s="113">
        <v>6.7000000000000002E-4</v>
      </c>
      <c r="L34" s="114">
        <f t="shared" si="4"/>
        <v>2.244691940112398E-7</v>
      </c>
      <c r="M34" s="102">
        <v>7.3250028E-3</v>
      </c>
      <c r="N34" s="62">
        <f t="shared" si="9"/>
        <v>3.8207493050841009E-5</v>
      </c>
      <c r="O34" s="102">
        <v>6.3000000000000003E-4</v>
      </c>
      <c r="P34" s="62">
        <f t="shared" si="9"/>
        <v>2.6397173801123976E-7</v>
      </c>
      <c r="Q34" s="97">
        <v>3.5479999999999999E-3</v>
      </c>
      <c r="R34" s="62">
        <f t="shared" si="9"/>
        <v>5.7802651532112403E-6</v>
      </c>
      <c r="S34" s="97">
        <v>4.6200000000000001E-4</v>
      </c>
      <c r="T34" s="62">
        <f t="shared" si="9"/>
        <v>4.6482642281123977E-7</v>
      </c>
      <c r="U34" s="97">
        <v>7.6999999999999996E-4</v>
      </c>
      <c r="V34" s="62">
        <f t="shared" si="9"/>
        <v>1.3971283401123987E-7</v>
      </c>
      <c r="W34" s="97">
        <v>7.1000000000000002E-4</v>
      </c>
      <c r="X34" s="62">
        <f t="shared" si="9"/>
        <v>1.881666500112398E-7</v>
      </c>
      <c r="Y34" s="97">
        <v>4.0999999999999999E-4</v>
      </c>
      <c r="Z34" s="62">
        <f t="shared" si="6"/>
        <v>5.3843573001123972E-7</v>
      </c>
      <c r="AA34" s="97">
        <v>8.8643000000000001E-4</v>
      </c>
      <c r="AB34" s="62">
        <f t="shared" si="1"/>
        <v>6.62299489632399E-8</v>
      </c>
      <c r="AC34" s="97">
        <v>6.2799999999999998E-4</v>
      </c>
      <c r="AD34" s="62">
        <f t="shared" si="7"/>
        <v>2.6603086521123982E-7</v>
      </c>
      <c r="AE34">
        <v>4.4999999999999999E-4</v>
      </c>
      <c r="AF34" s="62">
        <f t="shared" si="8"/>
        <v>4.8133318601123976E-7</v>
      </c>
    </row>
    <row r="35" spans="1:32">
      <c r="A35" s="63">
        <v>30</v>
      </c>
      <c r="B35" s="78">
        <v>1.1961605999999997E-3</v>
      </c>
      <c r="C35" s="123">
        <v>5.5000000000000003E-4</v>
      </c>
      <c r="D35" s="62">
        <f t="shared" si="10"/>
        <v>4.1752352099235956E-7</v>
      </c>
      <c r="E35" s="67">
        <v>3.5599999999999998E-3</v>
      </c>
      <c r="F35" s="62">
        <f t="shared" si="3"/>
        <v>5.5877367089923606E-6</v>
      </c>
      <c r="G35" s="106">
        <v>9.7000000000000005E-4</v>
      </c>
      <c r="H35" s="62">
        <f t="shared" si="3"/>
        <v>5.114861699235984E-8</v>
      </c>
      <c r="I35">
        <v>1.3500000000000001E-3</v>
      </c>
      <c r="J35" s="62">
        <f t="shared" si="0"/>
        <v>2.3666560992360112E-8</v>
      </c>
      <c r="K35" s="113">
        <v>6.9999999999999999E-4</v>
      </c>
      <c r="L35" s="114">
        <f t="shared" si="4"/>
        <v>2.461753409923597E-7</v>
      </c>
      <c r="M35" s="102">
        <v>7.4747479999999998E-3</v>
      </c>
      <c r="N35" s="62">
        <f t="shared" si="9"/>
        <v>3.9420659739438765E-5</v>
      </c>
      <c r="O35" s="102">
        <v>6.6200000000000005E-4</v>
      </c>
      <c r="P35" s="62">
        <f t="shared" si="9"/>
        <v>2.8532754659235965E-7</v>
      </c>
      <c r="Q35" s="97">
        <v>3.669E-3</v>
      </c>
      <c r="R35" s="62">
        <f t="shared" si="9"/>
        <v>6.1149346981923612E-6</v>
      </c>
      <c r="S35" s="97">
        <v>4.8999999999999998E-4</v>
      </c>
      <c r="T35" s="62">
        <f t="shared" si="9"/>
        <v>4.9866279299235956E-7</v>
      </c>
      <c r="U35" s="97">
        <v>7.3999999999999999E-4</v>
      </c>
      <c r="V35" s="62">
        <f t="shared" si="9"/>
        <v>2.0808249299235975E-7</v>
      </c>
      <c r="W35" s="97">
        <v>7.5000000000000002E-4</v>
      </c>
      <c r="X35" s="62">
        <f t="shared" si="9"/>
        <v>1.9905928099235973E-7</v>
      </c>
      <c r="Y35" s="97">
        <v>4.4000000000000002E-4</v>
      </c>
      <c r="Z35" s="62">
        <f t="shared" si="6"/>
        <v>5.7177885299235947E-7</v>
      </c>
      <c r="AA35" s="97">
        <v>9.3543000000000001E-4</v>
      </c>
      <c r="AB35" s="62">
        <f t="shared" si="1"/>
        <v>6.7980445776359844E-8</v>
      </c>
      <c r="AC35" s="97">
        <v>6.6299999999999996E-4</v>
      </c>
      <c r="AD35" s="62">
        <f t="shared" si="7"/>
        <v>2.8426022539235974E-7</v>
      </c>
      <c r="AE35">
        <v>4.8999999999999998E-4</v>
      </c>
      <c r="AF35" s="62">
        <f t="shared" si="8"/>
        <v>4.9866279299235956E-7</v>
      </c>
    </row>
    <row r="36" spans="1:32">
      <c r="A36" s="63">
        <v>31</v>
      </c>
      <c r="B36" s="78">
        <v>1.2556167999999987E-3</v>
      </c>
      <c r="C36" s="123">
        <v>5.9999999999999995E-4</v>
      </c>
      <c r="D36" s="62">
        <f t="shared" si="10"/>
        <v>4.2983338844223843E-7</v>
      </c>
      <c r="E36" s="67">
        <v>3.7299999999999998E-3</v>
      </c>
      <c r="F36" s="62">
        <f t="shared" si="3"/>
        <v>6.1225722204422453E-6</v>
      </c>
      <c r="G36" s="106">
        <v>1E-3</v>
      </c>
      <c r="H36" s="62">
        <f t="shared" si="3"/>
        <v>6.5339948442239341E-8</v>
      </c>
      <c r="I36">
        <v>1.4E-3</v>
      </c>
      <c r="J36" s="62">
        <f t="shared" si="0"/>
        <v>2.0846508442240362E-8</v>
      </c>
      <c r="K36" s="113">
        <v>7.5000000000000002E-4</v>
      </c>
      <c r="L36" s="114">
        <f t="shared" si="4"/>
        <v>2.5564834844223869E-7</v>
      </c>
      <c r="M36" s="102">
        <v>7.6167422999999998E-3</v>
      </c>
      <c r="N36" s="62">
        <f t="shared" si="9"/>
        <v>4.0463917626750263E-5</v>
      </c>
      <c r="O36" s="102">
        <v>6.9899999999999997E-4</v>
      </c>
      <c r="P36" s="62">
        <f t="shared" si="9"/>
        <v>3.0982226204223863E-7</v>
      </c>
      <c r="Q36" s="97">
        <v>3.7780000000000001E-3</v>
      </c>
      <c r="R36" s="62">
        <f t="shared" si="9"/>
        <v>6.3624170076422473E-6</v>
      </c>
      <c r="S36" s="97">
        <v>5.2300000000000003E-4</v>
      </c>
      <c r="T36" s="62">
        <f t="shared" si="9"/>
        <v>5.3672737564223814E-7</v>
      </c>
      <c r="U36" s="97">
        <v>7.2000000000000005E-4</v>
      </c>
      <c r="V36" s="62">
        <f t="shared" si="9"/>
        <v>2.8688535644223859E-7</v>
      </c>
      <c r="W36" s="97">
        <v>7.9000000000000001E-4</v>
      </c>
      <c r="X36" s="62">
        <f t="shared" si="9"/>
        <v>2.1679900444223881E-7</v>
      </c>
      <c r="Y36" s="97">
        <v>4.6999999999999999E-4</v>
      </c>
      <c r="Z36" s="62">
        <f t="shared" si="6"/>
        <v>6.1719375644223813E-7</v>
      </c>
      <c r="AA36" s="97">
        <v>9.8802000000000004E-4</v>
      </c>
      <c r="AB36" s="62">
        <f t="shared" si="1"/>
        <v>7.1608047370239306E-8</v>
      </c>
      <c r="AC36" s="97">
        <v>7.0299999999999996E-4</v>
      </c>
      <c r="AD36" s="62">
        <f t="shared" si="7"/>
        <v>3.0538532764223864E-7</v>
      </c>
      <c r="AE36">
        <v>5.2999999999999998E-4</v>
      </c>
      <c r="AF36" s="62">
        <f t="shared" si="8"/>
        <v>5.2651974044223822E-7</v>
      </c>
    </row>
    <row r="37" spans="1:32">
      <c r="A37" s="63">
        <v>32</v>
      </c>
      <c r="B37" s="78">
        <v>1.3234595999999997E-3</v>
      </c>
      <c r="C37" s="123">
        <v>6.4999999999999997E-4</v>
      </c>
      <c r="D37" s="62">
        <f t="shared" si="10"/>
        <v>4.5354783283215964E-7</v>
      </c>
      <c r="E37" s="67">
        <v>3.9199999999999999E-3</v>
      </c>
      <c r="F37" s="62">
        <f t="shared" si="3"/>
        <v>6.7420220488321611E-6</v>
      </c>
      <c r="G37" s="106">
        <v>1.0399999999999999E-3</v>
      </c>
      <c r="H37" s="62">
        <f t="shared" si="3"/>
        <v>8.0349344832159873E-8</v>
      </c>
      <c r="I37">
        <v>1.4499999999999999E-3</v>
      </c>
      <c r="J37" s="62">
        <f t="shared" si="0"/>
        <v>1.6012472832160054E-8</v>
      </c>
      <c r="K37" s="113">
        <v>7.9000000000000001E-4</v>
      </c>
      <c r="L37" s="114">
        <f t="shared" si="4"/>
        <v>2.8457914483215967E-7</v>
      </c>
      <c r="M37" s="102">
        <v>7.7723536999999999E-3</v>
      </c>
      <c r="N37" s="62">
        <f t="shared" si="9"/>
        <v>4.1588235113014807E-5</v>
      </c>
      <c r="O37" s="102">
        <v>7.3899999999999997E-4</v>
      </c>
      <c r="P37" s="62">
        <f t="shared" si="9"/>
        <v>3.4159302403215966E-7</v>
      </c>
      <c r="Q37" s="97">
        <v>3.901E-3</v>
      </c>
      <c r="R37" s="62">
        <f t="shared" si="9"/>
        <v>6.6437145136321611E-6</v>
      </c>
      <c r="S37" s="97">
        <v>5.6099999999999998E-4</v>
      </c>
      <c r="T37" s="62">
        <f t="shared" si="9"/>
        <v>5.8134464163215953E-7</v>
      </c>
      <c r="U37" s="97">
        <v>7.1000000000000002E-4</v>
      </c>
      <c r="V37" s="62">
        <f t="shared" si="9"/>
        <v>3.7633268083215959E-7</v>
      </c>
      <c r="W37" s="97">
        <v>8.4000000000000003E-4</v>
      </c>
      <c r="X37" s="62">
        <f t="shared" si="9"/>
        <v>2.3373318483215966E-7</v>
      </c>
      <c r="Y37" s="97">
        <v>5.0000000000000001E-4</v>
      </c>
      <c r="Z37" s="62">
        <f t="shared" si="6"/>
        <v>6.7808571283215943E-7</v>
      </c>
      <c r="AA37" s="97">
        <v>1.0444600000000001E-3</v>
      </c>
      <c r="AB37" s="62">
        <f t="shared" si="1"/>
        <v>7.7840776800159782E-8</v>
      </c>
      <c r="AC37" s="97">
        <v>7.4700000000000005E-4</v>
      </c>
      <c r="AD37" s="62">
        <f t="shared" si="7"/>
        <v>3.323056704321596E-7</v>
      </c>
      <c r="AE37">
        <v>5.5999999999999995E-4</v>
      </c>
      <c r="AF37" s="62">
        <f t="shared" si="8"/>
        <v>5.8287056083215958E-7</v>
      </c>
    </row>
    <row r="38" spans="1:32">
      <c r="A38" s="63">
        <v>33</v>
      </c>
      <c r="B38" s="78">
        <v>1.4010942000000017E-3</v>
      </c>
      <c r="C38" s="123">
        <v>7.1999999999999994E-4</v>
      </c>
      <c r="D38" s="62">
        <f t="shared" si="10"/>
        <v>4.6388930927364235E-7</v>
      </c>
      <c r="E38" s="67">
        <v>4.1200000000000004E-3</v>
      </c>
      <c r="F38" s="62">
        <f t="shared" si="3"/>
        <v>7.3924487492736334E-6</v>
      </c>
      <c r="G38" s="106">
        <v>1.08E-3</v>
      </c>
      <c r="H38" s="62">
        <f t="shared" si="3"/>
        <v>1.0310148527364106E-7</v>
      </c>
      <c r="I38">
        <v>1.5E-3</v>
      </c>
      <c r="J38" s="62">
        <f t="shared" si="0"/>
        <v>9.7823572736396772E-9</v>
      </c>
      <c r="K38" s="113">
        <v>8.4999999999999995E-4</v>
      </c>
      <c r="L38" s="114">
        <f t="shared" si="4"/>
        <v>3.0370481727364188E-7</v>
      </c>
      <c r="M38" s="102">
        <v>7.9637944999999995E-3</v>
      </c>
      <c r="N38" s="62">
        <f t="shared" si="9"/>
        <v>4.3069035227620067E-5</v>
      </c>
      <c r="O38" s="102">
        <v>7.7999999999999999E-4</v>
      </c>
      <c r="P38" s="62">
        <f t="shared" si="9"/>
        <v>3.8575800527364209E-7</v>
      </c>
      <c r="Q38" s="97">
        <v>4.0020000000000003E-3</v>
      </c>
      <c r="R38" s="62">
        <f t="shared" si="9"/>
        <v>6.7647109804736331E-6</v>
      </c>
      <c r="S38" s="97">
        <v>6.0400000000000004E-4</v>
      </c>
      <c r="T38" s="62">
        <f t="shared" si="9"/>
        <v>6.3535916367364263E-7</v>
      </c>
      <c r="U38" s="97">
        <v>7.1000000000000002E-4</v>
      </c>
      <c r="V38" s="62">
        <f t="shared" si="9"/>
        <v>4.7761119327364229E-7</v>
      </c>
      <c r="W38" s="97">
        <v>8.8999999999999995E-4</v>
      </c>
      <c r="X38" s="62">
        <f t="shared" si="9"/>
        <v>2.6121728127364177E-7</v>
      </c>
      <c r="Y38" s="97">
        <v>5.4000000000000001E-4</v>
      </c>
      <c r="Z38" s="62">
        <f t="shared" si="6"/>
        <v>7.4148322127364281E-7</v>
      </c>
      <c r="AA38" s="97">
        <v>1.10505E-3</v>
      </c>
      <c r="AB38" s="62">
        <f t="shared" si="1"/>
        <v>8.7642168353640992E-8</v>
      </c>
      <c r="AC38" s="97">
        <v>7.9500000000000003E-4</v>
      </c>
      <c r="AD38" s="62">
        <f t="shared" si="7"/>
        <v>3.6735017927364197E-7</v>
      </c>
      <c r="AE38">
        <v>5.9999999999999995E-4</v>
      </c>
      <c r="AF38" s="62">
        <f t="shared" si="8"/>
        <v>6.4175191727364279E-7</v>
      </c>
    </row>
    <row r="39" spans="1:32">
      <c r="A39" s="63">
        <v>34</v>
      </c>
      <c r="B39" s="78">
        <v>1.4900218000000001E-3</v>
      </c>
      <c r="C39" s="123">
        <v>7.7999999999999999E-4</v>
      </c>
      <c r="D39" s="62">
        <f t="shared" si="10"/>
        <v>5.0413095647524015E-7</v>
      </c>
      <c r="E39" s="67">
        <v>4.3499999999999997E-3</v>
      </c>
      <c r="F39" s="62">
        <f t="shared" si="3"/>
        <v>8.1794753044752376E-6</v>
      </c>
      <c r="G39" s="106">
        <v>1.1299999999999999E-3</v>
      </c>
      <c r="H39" s="62">
        <f t="shared" si="3"/>
        <v>1.2961569647524009E-7</v>
      </c>
      <c r="I39">
        <v>1.58E-3</v>
      </c>
      <c r="J39" s="62">
        <f t="shared" si="0"/>
        <v>8.0960764752399925E-9</v>
      </c>
      <c r="K39" s="113">
        <v>9.2000000000000003E-4</v>
      </c>
      <c r="L39" s="114">
        <f t="shared" si="4"/>
        <v>3.2492485247524006E-7</v>
      </c>
      <c r="M39" s="102">
        <v>8.1593246999999997E-3</v>
      </c>
      <c r="N39" s="62">
        <f t="shared" ref="N39:X54" si="11">+(M39-$B39)^2</f>
        <v>4.447960117194841E-5</v>
      </c>
      <c r="O39" s="102">
        <v>8.2700000000000004E-4</v>
      </c>
      <c r="P39" s="62">
        <f t="shared" si="11"/>
        <v>4.3959790727524004E-7</v>
      </c>
      <c r="Q39" s="97">
        <v>4.1269999999999996E-3</v>
      </c>
      <c r="R39" s="62">
        <f t="shared" si="11"/>
        <v>6.9536540272752376E-6</v>
      </c>
      <c r="S39" s="97">
        <v>6.5300000000000004E-4</v>
      </c>
      <c r="T39" s="62">
        <f t="shared" si="11"/>
        <v>7.0060549367524009E-7</v>
      </c>
      <c r="U39" s="97">
        <v>7.1000000000000002E-4</v>
      </c>
      <c r="V39" s="62">
        <f t="shared" si="11"/>
        <v>6.084340084752401E-7</v>
      </c>
      <c r="W39" s="97">
        <v>9.3999999999999997E-4</v>
      </c>
      <c r="X39" s="62">
        <f t="shared" si="11"/>
        <v>3.0252398047524009E-7</v>
      </c>
      <c r="Y39" s="97">
        <v>5.6999999999999998E-4</v>
      </c>
      <c r="Z39" s="62">
        <f t="shared" si="6"/>
        <v>8.4644011247524021E-7</v>
      </c>
      <c r="AA39" s="97">
        <v>1.17008E-3</v>
      </c>
      <c r="AB39" s="62">
        <f t="shared" si="1"/>
        <v>1.0236275538724005E-7</v>
      </c>
      <c r="AC39" s="97">
        <v>8.4999999999999995E-4</v>
      </c>
      <c r="AD39" s="62">
        <f t="shared" si="7"/>
        <v>4.0962790447524013E-7</v>
      </c>
      <c r="AE39">
        <v>6.4000000000000005E-4</v>
      </c>
      <c r="AF39" s="62">
        <f t="shared" si="8"/>
        <v>7.2253706047524005E-7</v>
      </c>
    </row>
    <row r="40" spans="1:32">
      <c r="A40" s="63">
        <v>35</v>
      </c>
      <c r="B40" s="78">
        <v>1.5918396E-3</v>
      </c>
      <c r="C40" s="123">
        <v>8.5999999999999998E-4</v>
      </c>
      <c r="D40" s="62">
        <f t="shared" si="10"/>
        <v>5.3558920012816011E-7</v>
      </c>
      <c r="E40" s="67">
        <v>4.5900000000000003E-3</v>
      </c>
      <c r="F40" s="62">
        <f t="shared" si="3"/>
        <v>8.9889657841281614E-6</v>
      </c>
      <c r="G40" s="106">
        <v>1.1800000000000001E-3</v>
      </c>
      <c r="H40" s="62">
        <f t="shared" si="3"/>
        <v>1.6961185612815998E-7</v>
      </c>
      <c r="I40">
        <v>1.65E-3</v>
      </c>
      <c r="J40" s="62">
        <f t="shared" si="0"/>
        <v>3.3826321281599935E-9</v>
      </c>
      <c r="K40" s="113">
        <v>1E-3</v>
      </c>
      <c r="L40" s="114">
        <f t="shared" si="4"/>
        <v>3.5027411212816002E-7</v>
      </c>
      <c r="M40" s="102">
        <v>8.3701920999999999E-3</v>
      </c>
      <c r="N40" s="62">
        <f t="shared" si="11"/>
        <v>4.5946062614256238E-5</v>
      </c>
      <c r="O40" s="102">
        <v>8.7900000000000001E-4</v>
      </c>
      <c r="P40" s="62">
        <f t="shared" si="11"/>
        <v>5.0814029532816005E-7</v>
      </c>
      <c r="Q40" s="97">
        <v>4.2420000000000001E-3</v>
      </c>
      <c r="R40" s="62">
        <f t="shared" si="11"/>
        <v>7.0233501457281606E-6</v>
      </c>
      <c r="S40" s="97">
        <v>7.0699999999999995E-4</v>
      </c>
      <c r="T40" s="62">
        <f t="shared" si="11"/>
        <v>7.8294111772816016E-7</v>
      </c>
      <c r="U40" s="97">
        <v>7.2999999999999996E-4</v>
      </c>
      <c r="V40" s="62">
        <f t="shared" si="11"/>
        <v>7.4276749612816016E-7</v>
      </c>
      <c r="W40" s="97">
        <v>1E-3</v>
      </c>
      <c r="X40" s="62">
        <f t="shared" si="11"/>
        <v>3.5027411212816002E-7</v>
      </c>
      <c r="Y40" s="97">
        <v>6.2E-4</v>
      </c>
      <c r="Z40" s="62">
        <f t="shared" si="6"/>
        <v>9.4447220812816011E-7</v>
      </c>
      <c r="AA40" s="97">
        <v>1.2398699999999999E-3</v>
      </c>
      <c r="AB40" s="62">
        <f t="shared" si="1"/>
        <v>1.2388259932416009E-7</v>
      </c>
      <c r="AC40" s="97">
        <v>9.1E-4</v>
      </c>
      <c r="AD40" s="62">
        <f t="shared" si="7"/>
        <v>4.6490524012816005E-7</v>
      </c>
      <c r="AE40">
        <v>6.8999999999999997E-4</v>
      </c>
      <c r="AF40" s="62">
        <f t="shared" si="8"/>
        <v>8.1331466412816016E-7</v>
      </c>
    </row>
    <row r="41" spans="1:32">
      <c r="A41" s="63">
        <v>36</v>
      </c>
      <c r="B41" s="78">
        <v>1.7082407999999987E-3</v>
      </c>
      <c r="C41" s="123">
        <v>9.3999999999999997E-4</v>
      </c>
      <c r="D41" s="62">
        <f t="shared" si="10"/>
        <v>5.9019392678463814E-7</v>
      </c>
      <c r="E41" s="67">
        <v>4.8599999999999997E-3</v>
      </c>
      <c r="F41" s="62">
        <f t="shared" si="3"/>
        <v>9.9335860547846469E-6</v>
      </c>
      <c r="G41" s="106">
        <v>1.24E-3</v>
      </c>
      <c r="H41" s="62">
        <f t="shared" si="3"/>
        <v>2.1924944678463882E-7</v>
      </c>
      <c r="I41">
        <v>1.7600000000000001E-3</v>
      </c>
      <c r="J41" s="62">
        <f t="shared" si="0"/>
        <v>2.6790147846401379E-9</v>
      </c>
      <c r="K41" s="113">
        <v>1.07E-3</v>
      </c>
      <c r="L41" s="114">
        <f t="shared" si="4"/>
        <v>4.073513187846384E-7</v>
      </c>
      <c r="M41" s="102">
        <v>8.5969472999999994E-3</v>
      </c>
      <c r="N41" s="62">
        <f t="shared" si="11"/>
        <v>4.7454277243142265E-5</v>
      </c>
      <c r="O41" s="102">
        <v>9.4300000000000004E-4</v>
      </c>
      <c r="P41" s="62">
        <f t="shared" si="11"/>
        <v>5.8559348198463802E-7</v>
      </c>
      <c r="Q41" s="97">
        <v>4.3829999999999997E-3</v>
      </c>
      <c r="R41" s="62">
        <f t="shared" si="11"/>
        <v>7.1543367779846455E-6</v>
      </c>
      <c r="S41" s="97">
        <v>7.6800000000000002E-4</v>
      </c>
      <c r="T41" s="62">
        <f t="shared" si="11"/>
        <v>8.8405276198463757E-7</v>
      </c>
      <c r="U41" s="97">
        <v>7.6000000000000004E-4</v>
      </c>
      <c r="V41" s="62">
        <f t="shared" si="11"/>
        <v>8.991606147846375E-7</v>
      </c>
      <c r="W41" s="97">
        <v>1.07E-3</v>
      </c>
      <c r="X41" s="62">
        <f t="shared" si="11"/>
        <v>4.073513187846384E-7</v>
      </c>
      <c r="Y41" s="97">
        <v>6.6E-4</v>
      </c>
      <c r="Z41" s="62">
        <f t="shared" si="6"/>
        <v>1.0988087747846374E-6</v>
      </c>
      <c r="AA41" s="97">
        <v>1.31478E-3</v>
      </c>
      <c r="AB41" s="62">
        <f t="shared" si="1"/>
        <v>1.5481140113663901E-7</v>
      </c>
      <c r="AC41" s="97">
        <v>9.77E-4</v>
      </c>
      <c r="AD41" s="62">
        <f t="shared" si="7"/>
        <v>5.3471310758463818E-7</v>
      </c>
      <c r="AE41">
        <v>7.5000000000000002E-4</v>
      </c>
      <c r="AF41" s="62">
        <f t="shared" si="8"/>
        <v>9.1822543078463751E-7</v>
      </c>
    </row>
    <row r="42" spans="1:32">
      <c r="A42" s="63">
        <v>37</v>
      </c>
      <c r="B42" s="78">
        <v>1.8410145999999982E-3</v>
      </c>
      <c r="C42" s="123">
        <v>1.0200000000000001E-3</v>
      </c>
      <c r="D42" s="62">
        <f t="shared" si="10"/>
        <v>6.7406497341315697E-7</v>
      </c>
      <c r="E42" s="67">
        <v>5.1500000000000001E-3</v>
      </c>
      <c r="F42" s="62">
        <f t="shared" si="3"/>
        <v>1.0949384377413172E-5</v>
      </c>
      <c r="G42" s="106">
        <v>1.31E-3</v>
      </c>
      <c r="H42" s="62">
        <f t="shared" si="3"/>
        <v>2.8197650541315818E-7</v>
      </c>
      <c r="I42">
        <v>1.89E-3</v>
      </c>
      <c r="J42" s="62">
        <f t="shared" si="0"/>
        <v>2.3995694131601706E-9</v>
      </c>
      <c r="K42" s="113">
        <v>1.14E-3</v>
      </c>
      <c r="L42" s="114">
        <f t="shared" si="4"/>
        <v>4.914214694131576E-7</v>
      </c>
      <c r="M42" s="102">
        <v>8.8626945000000006E-3</v>
      </c>
      <c r="N42" s="62">
        <f t="shared" si="11"/>
        <v>4.9303988618064046E-5</v>
      </c>
      <c r="O42" s="102">
        <v>1.0200000000000001E-3</v>
      </c>
      <c r="P42" s="62">
        <f t="shared" si="11"/>
        <v>6.7406497341315697E-7</v>
      </c>
      <c r="Q42" s="97">
        <v>4.5380000000000004E-3</v>
      </c>
      <c r="R42" s="62">
        <f t="shared" si="11"/>
        <v>7.2737302478131716E-6</v>
      </c>
      <c r="S42" s="97">
        <v>8.34E-4</v>
      </c>
      <c r="T42" s="62">
        <f t="shared" si="11"/>
        <v>1.0140784046131563E-6</v>
      </c>
      <c r="U42" s="97">
        <v>7.9000000000000001E-4</v>
      </c>
      <c r="V42" s="62">
        <f t="shared" si="11"/>
        <v>1.1046316894131565E-6</v>
      </c>
      <c r="W42" s="97">
        <v>1.14E-3</v>
      </c>
      <c r="X42" s="62">
        <f t="shared" si="11"/>
        <v>4.914214694131576E-7</v>
      </c>
      <c r="Y42" s="97">
        <v>7.1000000000000002E-4</v>
      </c>
      <c r="Z42" s="62">
        <f t="shared" si="6"/>
        <v>1.2791940254131558E-6</v>
      </c>
      <c r="AA42" s="97">
        <v>1.39517E-3</v>
      </c>
      <c r="AB42" s="62">
        <f t="shared" si="1"/>
        <v>1.9877740734915839E-7</v>
      </c>
      <c r="AC42" s="97">
        <v>1.052E-3</v>
      </c>
      <c r="AD42" s="62">
        <f t="shared" si="7"/>
        <v>6.2254403901315723E-7</v>
      </c>
      <c r="AE42">
        <v>8.1999999999999998E-4</v>
      </c>
      <c r="AF42" s="62">
        <f t="shared" si="8"/>
        <v>1.0424708134131565E-6</v>
      </c>
    </row>
    <row r="43" spans="1:32">
      <c r="A43" s="63">
        <v>38</v>
      </c>
      <c r="B43" s="78">
        <v>1.9920461999999996E-3</v>
      </c>
      <c r="C43" s="123">
        <v>1.1200000000000001E-3</v>
      </c>
      <c r="D43" s="62">
        <f t="shared" si="10"/>
        <v>7.6046457493443901E-7</v>
      </c>
      <c r="E43" s="67">
        <v>5.4599999999999996E-3</v>
      </c>
      <c r="F43" s="62">
        <f t="shared" si="3"/>
        <v>1.2026703558934441E-5</v>
      </c>
      <c r="G43" s="106">
        <v>1.41E-3</v>
      </c>
      <c r="H43" s="62">
        <f t="shared" si="3"/>
        <v>3.3877777893443945E-7</v>
      </c>
      <c r="I43">
        <v>2.0400000000000001E-3</v>
      </c>
      <c r="J43" s="62">
        <f t="shared" si="0"/>
        <v>2.2995669344400569E-9</v>
      </c>
      <c r="K43" s="113">
        <v>1.1999999999999999E-3</v>
      </c>
      <c r="L43" s="114">
        <f t="shared" si="4"/>
        <v>6.2733718293443944E-7</v>
      </c>
      <c r="M43" s="102">
        <v>9.1462021000000004E-3</v>
      </c>
      <c r="N43" s="62">
        <f t="shared" si="11"/>
        <v>5.1181946641504819E-5</v>
      </c>
      <c r="O43" s="102">
        <v>1.114E-3</v>
      </c>
      <c r="P43" s="62">
        <f t="shared" si="11"/>
        <v>7.7096512933443925E-7</v>
      </c>
      <c r="Q43" s="97">
        <v>4.7200000000000002E-3</v>
      </c>
      <c r="R43" s="62">
        <f t="shared" si="11"/>
        <v>7.4417319349344436E-6</v>
      </c>
      <c r="S43" s="97">
        <v>9.0700000000000004E-4</v>
      </c>
      <c r="T43" s="62">
        <f t="shared" si="11"/>
        <v>1.177325256134439E-6</v>
      </c>
      <c r="U43" s="97">
        <v>8.4000000000000003E-4</v>
      </c>
      <c r="V43" s="62">
        <f t="shared" si="11"/>
        <v>1.3272104469344389E-6</v>
      </c>
      <c r="W43" s="97">
        <v>1.2199999999999999E-3</v>
      </c>
      <c r="X43" s="62">
        <f t="shared" si="11"/>
        <v>5.9605533493443941E-7</v>
      </c>
      <c r="Y43" s="97">
        <v>7.6000000000000004E-4</v>
      </c>
      <c r="Z43" s="62">
        <f t="shared" si="6"/>
        <v>1.5179378389344389E-6</v>
      </c>
      <c r="AA43" s="97">
        <v>1.48146E-3</v>
      </c>
      <c r="AB43" s="62">
        <f t="shared" si="1"/>
        <v>2.6069826763043954E-7</v>
      </c>
      <c r="AC43" s="97">
        <v>1.1360000000000001E-3</v>
      </c>
      <c r="AD43" s="62">
        <f t="shared" si="7"/>
        <v>7.3281509653443916E-7</v>
      </c>
      <c r="AE43">
        <v>8.8000000000000003E-4</v>
      </c>
      <c r="AF43" s="62">
        <f t="shared" si="8"/>
        <v>1.2366467509344386E-6</v>
      </c>
    </row>
    <row r="44" spans="1:32">
      <c r="A44" s="63">
        <v>39</v>
      </c>
      <c r="B44" s="78">
        <v>2.1633168000000009E-3</v>
      </c>
      <c r="C44" s="123">
        <v>1.2199999999999999E-3</v>
      </c>
      <c r="D44" s="62">
        <f t="shared" si="10"/>
        <v>8.8984658516224179E-7</v>
      </c>
      <c r="E44" s="67">
        <v>5.8100000000000001E-3</v>
      </c>
      <c r="F44" s="62">
        <f t="shared" si="3"/>
        <v>1.3298298361162234E-5</v>
      </c>
      <c r="G44" s="106">
        <v>1.5299999999999999E-3</v>
      </c>
      <c r="H44" s="62">
        <f t="shared" si="3"/>
        <v>4.010901691622413E-7</v>
      </c>
      <c r="I44">
        <v>2.2200000000000002E-3</v>
      </c>
      <c r="J44" s="62">
        <f t="shared" si="0"/>
        <v>3.2129851622399187E-9</v>
      </c>
      <c r="K44" s="113">
        <v>1.2600000000000001E-3</v>
      </c>
      <c r="L44" s="114">
        <f t="shared" si="4"/>
        <v>8.1598124116224157E-7</v>
      </c>
      <c r="M44" s="102">
        <v>9.4482244E-3</v>
      </c>
      <c r="N44" s="62">
        <f t="shared" si="11"/>
        <v>5.3069878740537756E-5</v>
      </c>
      <c r="O44" s="102">
        <v>1.224E-3</v>
      </c>
      <c r="P44" s="62">
        <f t="shared" si="11"/>
        <v>8.8231605076224166E-7</v>
      </c>
      <c r="Q44" s="97">
        <v>4.9160000000000002E-3</v>
      </c>
      <c r="R44" s="62">
        <f t="shared" si="11"/>
        <v>7.5772647995622361E-6</v>
      </c>
      <c r="S44" s="97">
        <v>9.8799999999999995E-4</v>
      </c>
      <c r="T44" s="62">
        <f t="shared" si="11"/>
        <v>1.3813695803622423E-6</v>
      </c>
      <c r="U44" s="97">
        <v>8.9999999999999998E-4</v>
      </c>
      <c r="V44" s="62">
        <f t="shared" si="11"/>
        <v>1.5959693371622423E-6</v>
      </c>
      <c r="W44" s="97">
        <v>1.2899999999999999E-3</v>
      </c>
      <c r="X44" s="62">
        <f t="shared" si="11"/>
        <v>7.6268223316224169E-7</v>
      </c>
      <c r="Y44" s="97">
        <v>8.1999999999999998E-4</v>
      </c>
      <c r="Z44" s="62">
        <f t="shared" si="6"/>
        <v>1.8045000251622424E-6</v>
      </c>
      <c r="AA44" s="97">
        <v>1.5740800000000001E-3</v>
      </c>
      <c r="AB44" s="62">
        <f t="shared" si="1"/>
        <v>3.47200006474241E-7</v>
      </c>
      <c r="AC44" s="97">
        <v>1.2279999999999999E-3</v>
      </c>
      <c r="AD44" s="62">
        <f t="shared" si="7"/>
        <v>8.7481751636224188E-7</v>
      </c>
      <c r="AE44">
        <v>9.3000000000000005E-4</v>
      </c>
      <c r="AF44" s="62">
        <f t="shared" si="8"/>
        <v>1.5210703291622421E-6</v>
      </c>
    </row>
    <row r="45" spans="1:32">
      <c r="A45" s="63">
        <v>40</v>
      </c>
      <c r="B45" s="78">
        <v>2.3569036000000002E-3</v>
      </c>
      <c r="C45" s="123">
        <v>1.33E-3</v>
      </c>
      <c r="D45" s="62">
        <f t="shared" si="10"/>
        <v>1.0545310036929606E-6</v>
      </c>
      <c r="E45" s="67">
        <v>6.1799999999999997E-3</v>
      </c>
      <c r="F45" s="62">
        <f t="shared" si="3"/>
        <v>1.4616066083692956E-5</v>
      </c>
      <c r="G45" s="106">
        <v>1.6800000000000001E-3</v>
      </c>
      <c r="H45" s="62">
        <f t="shared" si="3"/>
        <v>4.5819848369296021E-7</v>
      </c>
      <c r="I45">
        <v>2.4199999999999998E-3</v>
      </c>
      <c r="J45" s="62">
        <f t="shared" si="0"/>
        <v>3.9811556929599496E-9</v>
      </c>
      <c r="K45" s="113">
        <v>1.34E-3</v>
      </c>
      <c r="L45" s="114">
        <f t="shared" si="4"/>
        <v>1.0340929316929605E-6</v>
      </c>
      <c r="M45" s="102">
        <v>9.7811371999999997E-3</v>
      </c>
      <c r="N45" s="62">
        <f t="shared" si="11"/>
        <v>5.511924454736896E-5</v>
      </c>
      <c r="O45" s="102">
        <v>1.3450000000000001E-3</v>
      </c>
      <c r="P45" s="62">
        <f t="shared" si="11"/>
        <v>1.0239488956929603E-6</v>
      </c>
      <c r="Q45" s="97">
        <v>5.1279999999999997E-3</v>
      </c>
      <c r="R45" s="62">
        <f t="shared" si="11"/>
        <v>7.6789752580929571E-6</v>
      </c>
      <c r="S45" s="97">
        <v>1.0759999999999999E-3</v>
      </c>
      <c r="T45" s="62">
        <f t="shared" si="11"/>
        <v>1.6407140324929608E-6</v>
      </c>
      <c r="U45" s="97">
        <v>9.7000000000000005E-4</v>
      </c>
      <c r="V45" s="62">
        <f t="shared" si="11"/>
        <v>1.9235015956929609E-6</v>
      </c>
      <c r="W45" s="97">
        <v>1.3799999999999999E-3</v>
      </c>
      <c r="X45" s="62">
        <f t="shared" si="11"/>
        <v>9.5434064369296068E-7</v>
      </c>
      <c r="Y45" s="97">
        <v>8.8000000000000003E-4</v>
      </c>
      <c r="Z45" s="62">
        <f t="shared" si="6"/>
        <v>2.1812442436929602E-6</v>
      </c>
      <c r="AA45" s="97">
        <v>1.67348E-3</v>
      </c>
      <c r="AB45" s="62">
        <f t="shared" si="1"/>
        <v>4.6706781703696037E-7</v>
      </c>
      <c r="AC45" s="97">
        <v>1.3309999999999999E-3</v>
      </c>
      <c r="AD45" s="62">
        <f t="shared" si="7"/>
        <v>1.0524781964929607E-6</v>
      </c>
      <c r="AE45">
        <v>9.7999999999999997E-4</v>
      </c>
      <c r="AF45" s="62">
        <f t="shared" si="8"/>
        <v>1.8958635236929607E-6</v>
      </c>
    </row>
    <row r="46" spans="1:32">
      <c r="A46" s="63">
        <v>41</v>
      </c>
      <c r="B46" s="78">
        <v>2.5749797999999979E-3</v>
      </c>
      <c r="C46" s="123">
        <v>1.4499999999999999E-3</v>
      </c>
      <c r="D46" s="62">
        <f t="shared" si="10"/>
        <v>1.2655795504080356E-6</v>
      </c>
      <c r="E46" s="67">
        <v>6.5900000000000004E-3</v>
      </c>
      <c r="F46" s="62">
        <f t="shared" si="3"/>
        <v>1.6120387206408055E-5</v>
      </c>
      <c r="G46" s="106">
        <v>1.8799999999999999E-3</v>
      </c>
      <c r="H46" s="62">
        <f t="shared" si="3"/>
        <v>4.8299692240803719E-7</v>
      </c>
      <c r="I46">
        <v>2.64E-3</v>
      </c>
      <c r="J46" s="62">
        <f t="shared" si="0"/>
        <v>4.2276264080402691E-9</v>
      </c>
      <c r="K46" s="113">
        <v>1.4299999999999998E-3</v>
      </c>
      <c r="L46" s="114">
        <f t="shared" si="4"/>
        <v>1.3109787424080357E-6</v>
      </c>
      <c r="M46" s="102">
        <v>1.01462989E-2</v>
      </c>
      <c r="N46" s="62">
        <f t="shared" si="11"/>
        <v>5.7324872914024831E-5</v>
      </c>
      <c r="O46" s="102">
        <v>1.477E-3</v>
      </c>
      <c r="P46" s="62">
        <f t="shared" si="11"/>
        <v>1.2055596412080353E-6</v>
      </c>
      <c r="Q46" s="97">
        <v>5.3810000000000004E-3</v>
      </c>
      <c r="R46" s="62">
        <f t="shared" si="11"/>
        <v>7.8737493628080531E-6</v>
      </c>
      <c r="S46" s="97">
        <v>1.1720000000000001E-3</v>
      </c>
      <c r="T46" s="62">
        <f t="shared" si="11"/>
        <v>1.9683523192080338E-6</v>
      </c>
      <c r="U46" s="97">
        <v>1.0499999999999999E-3</v>
      </c>
      <c r="V46" s="62">
        <f t="shared" si="11"/>
        <v>2.3255633904080338E-6</v>
      </c>
      <c r="W46" s="97">
        <v>1.48E-3</v>
      </c>
      <c r="X46" s="62">
        <f t="shared" si="11"/>
        <v>1.1989807624080354E-6</v>
      </c>
      <c r="Y46" s="97">
        <v>9.5E-4</v>
      </c>
      <c r="Z46" s="62">
        <f t="shared" si="6"/>
        <v>2.6405593504080335E-6</v>
      </c>
      <c r="AA46" s="97">
        <v>1.78016E-3</v>
      </c>
      <c r="AB46" s="62">
        <f t="shared" si="1"/>
        <v>6.3173851447203661E-7</v>
      </c>
      <c r="AC46" s="97">
        <v>1.446E-3</v>
      </c>
      <c r="AD46" s="62">
        <f t="shared" si="7"/>
        <v>1.2745953888080352E-6</v>
      </c>
      <c r="AE46">
        <v>1.0399999999999999E-3</v>
      </c>
      <c r="AF46" s="62">
        <f t="shared" si="8"/>
        <v>2.3561629864080337E-6</v>
      </c>
    </row>
    <row r="47" spans="1:32">
      <c r="A47" s="63">
        <v>42</v>
      </c>
      <c r="B47" s="78">
        <v>2.819814600000001E-3</v>
      </c>
      <c r="C47" s="123">
        <v>1.5900000000000001E-3</v>
      </c>
      <c r="D47" s="62">
        <f t="shared" si="10"/>
        <v>1.5124439503731624E-6</v>
      </c>
      <c r="E47" s="67">
        <v>7.0299999999999998E-3</v>
      </c>
      <c r="F47" s="62">
        <f t="shared" si="3"/>
        <v>1.7725661102373146E-5</v>
      </c>
      <c r="G47" s="106">
        <v>2.0999999999999999E-3</v>
      </c>
      <c r="H47" s="62">
        <f t="shared" si="3"/>
        <v>5.1813305837316166E-7</v>
      </c>
      <c r="I47">
        <v>2.8700000000000002E-3</v>
      </c>
      <c r="J47" s="62">
        <f t="shared" si="0"/>
        <v>2.5185743731599165E-9</v>
      </c>
      <c r="K47" s="113">
        <v>1.5300000000000001E-3</v>
      </c>
      <c r="L47" s="114">
        <f t="shared" si="4"/>
        <v>1.6636217023731623E-6</v>
      </c>
      <c r="M47" s="102">
        <v>1.0556986000000001E-2</v>
      </c>
      <c r="N47" s="62">
        <f t="shared" si="11"/>
        <v>5.9863821272977948E-5</v>
      </c>
      <c r="O47" s="102">
        <v>1.624E-3</v>
      </c>
      <c r="P47" s="62">
        <f t="shared" si="11"/>
        <v>1.4299725575731624E-6</v>
      </c>
      <c r="Q47" s="97">
        <v>5.7130000000000002E-3</v>
      </c>
      <c r="R47" s="62">
        <f t="shared" si="11"/>
        <v>8.3705217587731557E-6</v>
      </c>
      <c r="S47" s="97">
        <v>1.2769999999999999E-3</v>
      </c>
      <c r="T47" s="62">
        <f t="shared" si="11"/>
        <v>2.3802768899731632E-6</v>
      </c>
      <c r="U47" s="97">
        <v>1.15E-3</v>
      </c>
      <c r="V47" s="62">
        <f t="shared" si="11"/>
        <v>2.7882807983731634E-6</v>
      </c>
      <c r="W47" s="97">
        <v>1.6100000000000001E-3</v>
      </c>
      <c r="X47" s="62">
        <f t="shared" si="11"/>
        <v>1.4636513663731621E-6</v>
      </c>
      <c r="Y47" s="97">
        <v>1.0300000000000001E-3</v>
      </c>
      <c r="Z47" s="62">
        <f t="shared" si="6"/>
        <v>3.2034363023731632E-6</v>
      </c>
      <c r="AA47" s="97">
        <v>1.8946499999999999E-3</v>
      </c>
      <c r="AB47" s="62">
        <f t="shared" si="1"/>
        <v>8.5592953709316201E-7</v>
      </c>
      <c r="AC47" s="97">
        <v>1.5740000000000001E-3</v>
      </c>
      <c r="AD47" s="62">
        <f t="shared" si="7"/>
        <v>1.5520540175731623E-6</v>
      </c>
      <c r="AE47">
        <v>1.1100000000000001E-3</v>
      </c>
      <c r="AF47" s="62">
        <f t="shared" si="8"/>
        <v>2.9234659663731629E-6</v>
      </c>
    </row>
    <row r="48" spans="1:32">
      <c r="A48" s="63">
        <v>43</v>
      </c>
      <c r="B48" s="78">
        <v>3.0937732000000007E-3</v>
      </c>
      <c r="C48" s="123">
        <v>1.73E-3</v>
      </c>
      <c r="D48" s="62">
        <f t="shared" si="10"/>
        <v>1.8598773410382419E-6</v>
      </c>
      <c r="E48" s="67">
        <v>7.5100000000000002E-3</v>
      </c>
      <c r="F48" s="62">
        <f t="shared" si="3"/>
        <v>1.9503059149038233E-5</v>
      </c>
      <c r="G48" s="106">
        <v>2.3600000000000001E-3</v>
      </c>
      <c r="H48" s="62">
        <f t="shared" si="3"/>
        <v>5.3842310903824087E-7</v>
      </c>
      <c r="I48">
        <v>3.0899999999999999E-3</v>
      </c>
      <c r="J48" s="62">
        <f t="shared" si="0"/>
        <v>1.4237038240006185E-11</v>
      </c>
      <c r="K48" s="113">
        <v>1.65E-3</v>
      </c>
      <c r="L48" s="114">
        <f t="shared" si="4"/>
        <v>2.0844810530382422E-6</v>
      </c>
      <c r="M48" s="102">
        <v>1.09914991E-2</v>
      </c>
      <c r="N48" s="62">
        <f t="shared" si="11"/>
        <v>6.23740743915308E-5</v>
      </c>
      <c r="O48" s="102">
        <v>1.789E-3</v>
      </c>
      <c r="P48" s="62">
        <f t="shared" si="11"/>
        <v>1.7024331034382418E-6</v>
      </c>
      <c r="Q48" s="97">
        <v>6.1019999999999998E-3</v>
      </c>
      <c r="R48" s="62">
        <f t="shared" si="11"/>
        <v>9.0494284802382349E-6</v>
      </c>
      <c r="S48" s="97">
        <v>1.392E-3</v>
      </c>
      <c r="T48" s="62">
        <f t="shared" si="11"/>
        <v>2.8960320242382424E-6</v>
      </c>
      <c r="U48" s="97">
        <v>1.2600000000000001E-3</v>
      </c>
      <c r="V48" s="62">
        <f t="shared" si="11"/>
        <v>3.3627241490382425E-6</v>
      </c>
      <c r="W48" s="97">
        <v>1.7700000000000001E-3</v>
      </c>
      <c r="X48" s="62">
        <f t="shared" si="11"/>
        <v>1.7523754850382415E-6</v>
      </c>
      <c r="Y48" s="97">
        <v>1.1100000000000001E-3</v>
      </c>
      <c r="Z48" s="62">
        <f t="shared" si="6"/>
        <v>3.9353561090382414E-6</v>
      </c>
      <c r="AA48" s="97">
        <v>2.01753E-3</v>
      </c>
      <c r="AB48" s="62">
        <f t="shared" si="1"/>
        <v>1.1582994255462415E-6</v>
      </c>
      <c r="AC48" s="97">
        <v>1.7160000000000001E-3</v>
      </c>
      <c r="AD48" s="62">
        <f t="shared" si="7"/>
        <v>1.8982589906382416E-6</v>
      </c>
      <c r="AE48">
        <v>1.1999999999999999E-3</v>
      </c>
      <c r="AF48" s="62">
        <f t="shared" si="8"/>
        <v>3.5863769330382429E-6</v>
      </c>
    </row>
    <row r="49" spans="1:32">
      <c r="A49" s="63">
        <v>44</v>
      </c>
      <c r="B49" s="78">
        <v>3.3993167999999976E-3</v>
      </c>
      <c r="C49" s="123">
        <v>1.89E-3</v>
      </c>
      <c r="D49" s="62">
        <f t="shared" si="10"/>
        <v>2.2780372027622328E-6</v>
      </c>
      <c r="E49" s="67">
        <v>8.0400000000000003E-3</v>
      </c>
      <c r="F49" s="62">
        <f t="shared" si="3"/>
        <v>2.1535940562762261E-5</v>
      </c>
      <c r="G49" s="106">
        <v>2.65E-3</v>
      </c>
      <c r="H49" s="62">
        <f t="shared" si="3"/>
        <v>5.6147566676223634E-7</v>
      </c>
      <c r="I49">
        <v>3.32E-3</v>
      </c>
      <c r="J49" s="62">
        <f t="shared" si="0"/>
        <v>6.2911547622396066E-9</v>
      </c>
      <c r="K49" s="113">
        <v>1.7900000000000001E-3</v>
      </c>
      <c r="L49" s="114">
        <f t="shared" si="4"/>
        <v>2.5899005627622315E-6</v>
      </c>
      <c r="M49" s="102">
        <v>1.14632203E-2</v>
      </c>
      <c r="N49" s="62">
        <f t="shared" si="11"/>
        <v>6.5026539657312283E-5</v>
      </c>
      <c r="O49" s="102">
        <v>1.9680000000000001E-3</v>
      </c>
      <c r="P49" s="62">
        <f t="shared" si="11"/>
        <v>2.0486677819622327E-6</v>
      </c>
      <c r="Q49" s="97">
        <v>6.5360000000000001E-3</v>
      </c>
      <c r="R49" s="62">
        <f t="shared" si="11"/>
        <v>9.8387814971622558E-6</v>
      </c>
      <c r="S49" s="97">
        <v>1.516E-3</v>
      </c>
      <c r="T49" s="62">
        <f t="shared" si="11"/>
        <v>3.5468821691622308E-6</v>
      </c>
      <c r="U49" s="97">
        <v>1.39E-3</v>
      </c>
      <c r="V49" s="62">
        <f t="shared" si="11"/>
        <v>4.0373540027622292E-6</v>
      </c>
      <c r="W49" s="97">
        <v>1.9599999999999999E-3</v>
      </c>
      <c r="X49" s="62">
        <f t="shared" si="11"/>
        <v>2.0716328507622332E-6</v>
      </c>
      <c r="Y49" s="97">
        <v>1.1999999999999999E-3</v>
      </c>
      <c r="Z49" s="62">
        <f t="shared" si="6"/>
        <v>4.8369943867622291E-6</v>
      </c>
      <c r="AA49" s="97">
        <v>2.14941E-3</v>
      </c>
      <c r="AB49" s="62">
        <f t="shared" si="1"/>
        <v>1.5622670086862337E-6</v>
      </c>
      <c r="AC49" s="97">
        <v>1.874E-3</v>
      </c>
      <c r="AD49" s="62">
        <f t="shared" si="7"/>
        <v>2.3265913403622326E-6</v>
      </c>
      <c r="AE49">
        <v>1.2899999999999999E-3</v>
      </c>
      <c r="AF49" s="62">
        <f t="shared" si="8"/>
        <v>4.4492173627622303E-6</v>
      </c>
    </row>
    <row r="50" spans="1:32">
      <c r="A50" s="63">
        <v>45</v>
      </c>
      <c r="B50" s="78">
        <v>3.7390026000000041E-3</v>
      </c>
      <c r="C50" s="123">
        <v>2.0600000000000002E-3</v>
      </c>
      <c r="D50" s="62">
        <f t="shared" si="10"/>
        <v>2.8190497308067728E-6</v>
      </c>
      <c r="E50" s="67">
        <v>8.6099999999999996E-3</v>
      </c>
      <c r="F50" s="62">
        <f t="shared" si="3"/>
        <v>2.3726615670806711E-5</v>
      </c>
      <c r="G50" s="106">
        <v>2.9499999999999999E-3</v>
      </c>
      <c r="H50" s="62">
        <f t="shared" si="3"/>
        <v>6.2252510280676656E-7</v>
      </c>
      <c r="I50">
        <v>3.5599999999999998E-3</v>
      </c>
      <c r="J50" s="62">
        <f t="shared" si="0"/>
        <v>3.2041930806761528E-8</v>
      </c>
      <c r="K50" s="113">
        <v>1.9599999999999999E-3</v>
      </c>
      <c r="L50" s="114">
        <f t="shared" si="4"/>
        <v>3.1648502508067749E-6</v>
      </c>
      <c r="M50" s="102">
        <v>1.1998532900000001E-2</v>
      </c>
      <c r="N50" s="62">
        <f t="shared" si="11"/>
        <v>6.8219840776618024E-5</v>
      </c>
      <c r="O50" s="102">
        <v>2.1610000000000002E-3</v>
      </c>
      <c r="P50" s="62">
        <f t="shared" si="11"/>
        <v>2.4900922056067721E-6</v>
      </c>
      <c r="Q50" s="97">
        <v>7.0169999999999998E-3</v>
      </c>
      <c r="R50" s="62">
        <f t="shared" si="11"/>
        <v>1.0745266954406732E-5</v>
      </c>
      <c r="S50" s="97">
        <v>1.652E-3</v>
      </c>
      <c r="T50" s="62">
        <f t="shared" si="11"/>
        <v>4.3555798524067762E-6</v>
      </c>
      <c r="U50" s="97">
        <v>1.5299999999999999E-3</v>
      </c>
      <c r="V50" s="62">
        <f t="shared" si="11"/>
        <v>4.8796924868067795E-6</v>
      </c>
      <c r="W50" s="97">
        <v>2.1800000000000001E-3</v>
      </c>
      <c r="X50" s="62">
        <f t="shared" si="11"/>
        <v>2.4304891068067726E-6</v>
      </c>
      <c r="Y50" s="97">
        <v>1.2999999999999999E-3</v>
      </c>
      <c r="Z50" s="62">
        <f t="shared" si="6"/>
        <v>5.9487336828067797E-6</v>
      </c>
      <c r="AA50" s="97">
        <v>2.2909499999999999E-3</v>
      </c>
      <c r="AB50" s="62">
        <f t="shared" si="1"/>
        <v>2.0968563323667718E-6</v>
      </c>
      <c r="AC50" s="97">
        <v>2.0500000000000002E-3</v>
      </c>
      <c r="AD50" s="62">
        <f t="shared" si="7"/>
        <v>2.8527297828067731E-6</v>
      </c>
      <c r="AE50">
        <v>1.4E-3</v>
      </c>
      <c r="AF50" s="62">
        <f t="shared" si="8"/>
        <v>5.4709331628067805E-6</v>
      </c>
    </row>
    <row r="51" spans="1:32">
      <c r="A51" s="63">
        <v>46</v>
      </c>
      <c r="B51" s="78">
        <v>4.1154838000000016E-3</v>
      </c>
      <c r="C51" s="123">
        <v>2.2400000000000002E-3</v>
      </c>
      <c r="D51" s="62">
        <f t="shared" si="10"/>
        <v>3.5174394840624455E-6</v>
      </c>
      <c r="E51" s="67">
        <v>9.2300000000000004E-3</v>
      </c>
      <c r="F51" s="62">
        <f t="shared" si="3"/>
        <v>2.6158275960062428E-5</v>
      </c>
      <c r="G51" s="106">
        <v>3.2799999999999999E-3</v>
      </c>
      <c r="H51" s="62">
        <f t="shared" si="3"/>
        <v>6.9803318006244285E-7</v>
      </c>
      <c r="I51">
        <v>3.8E-3</v>
      </c>
      <c r="J51" s="62">
        <f t="shared" si="0"/>
        <v>9.9530028062441046E-8</v>
      </c>
      <c r="K51" s="113">
        <v>2.16E-3</v>
      </c>
      <c r="L51" s="114">
        <f t="shared" si="4"/>
        <v>3.8239168920624465E-6</v>
      </c>
      <c r="M51" s="102">
        <v>1.25638703E-2</v>
      </c>
      <c r="N51" s="62">
        <f t="shared" si="11"/>
        <v>7.1375234453382219E-5</v>
      </c>
      <c r="O51" s="102">
        <v>2.3640000000000002E-3</v>
      </c>
      <c r="P51" s="62">
        <f t="shared" si="11"/>
        <v>3.0676955016624449E-6</v>
      </c>
      <c r="Q51" s="97">
        <v>7.5459999999999998E-3</v>
      </c>
      <c r="R51" s="62">
        <f t="shared" si="11"/>
        <v>1.1768441398462428E-5</v>
      </c>
      <c r="S51" s="97">
        <v>1.8E-3</v>
      </c>
      <c r="T51" s="62">
        <f t="shared" si="11"/>
        <v>5.3614652280624483E-6</v>
      </c>
      <c r="U51" s="97">
        <v>1.6999999999999999E-3</v>
      </c>
      <c r="V51" s="62">
        <f t="shared" si="11"/>
        <v>5.8345619880624473E-6</v>
      </c>
      <c r="W51" s="97">
        <v>2.4099999999999998E-3</v>
      </c>
      <c r="X51" s="62">
        <f t="shared" si="11"/>
        <v>2.9086749920624464E-6</v>
      </c>
      <c r="Y51" s="97">
        <v>1.4E-3</v>
      </c>
      <c r="Z51" s="62">
        <f t="shared" si="6"/>
        <v>7.3738522680624482E-6</v>
      </c>
      <c r="AA51" s="97">
        <v>2.4428499999999999E-3</v>
      </c>
      <c r="AB51" s="62">
        <f t="shared" si="1"/>
        <v>2.7977038289024461E-6</v>
      </c>
      <c r="AC51" s="97">
        <v>2.2460000000000002E-3</v>
      </c>
      <c r="AD51" s="62">
        <f t="shared" si="7"/>
        <v>3.4949696784624456E-6</v>
      </c>
      <c r="AE51">
        <v>1.5299999999999999E-3</v>
      </c>
      <c r="AF51" s="62">
        <f t="shared" si="8"/>
        <v>6.6847264800624476E-6</v>
      </c>
    </row>
    <row r="52" spans="1:32">
      <c r="A52" s="63">
        <v>47</v>
      </c>
      <c r="B52" s="78">
        <v>4.5315096000000023E-3</v>
      </c>
      <c r="C52" s="123">
        <v>2.4399999999999999E-3</v>
      </c>
      <c r="D52" s="62">
        <f t="shared" si="10"/>
        <v>4.37441240689217E-6</v>
      </c>
      <c r="E52" s="67">
        <v>9.9100000000000004E-3</v>
      </c>
      <c r="F52" s="62">
        <f t="shared" si="3"/>
        <v>2.892815898289214E-5</v>
      </c>
      <c r="G52" s="106">
        <v>3.64E-3</v>
      </c>
      <c r="H52" s="62">
        <f t="shared" si="3"/>
        <v>7.947893668921642E-7</v>
      </c>
      <c r="I52">
        <v>4.0499999999999998E-3</v>
      </c>
      <c r="J52" s="62">
        <f t="shared" si="0"/>
        <v>2.3185149489216246E-7</v>
      </c>
      <c r="K52" s="113">
        <v>2.3799999999999997E-3</v>
      </c>
      <c r="L52" s="114">
        <f t="shared" si="4"/>
        <v>4.6289935588921711E-6</v>
      </c>
      <c r="M52" s="102">
        <v>1.31986814E-2</v>
      </c>
      <c r="N52" s="62">
        <f t="shared" si="11"/>
        <v>7.5119867010715213E-5</v>
      </c>
      <c r="O52" s="102">
        <v>2.578E-3</v>
      </c>
      <c r="P52" s="62">
        <f t="shared" si="11"/>
        <v>3.8161997572921695E-6</v>
      </c>
      <c r="Q52" s="97">
        <v>8.0999999999999996E-3</v>
      </c>
      <c r="R52" s="62">
        <f t="shared" si="11"/>
        <v>1.273412373489214E-5</v>
      </c>
      <c r="S52" s="97">
        <v>1.9620000000000002E-3</v>
      </c>
      <c r="T52" s="62">
        <f t="shared" si="11"/>
        <v>6.6023795844921712E-6</v>
      </c>
      <c r="U52" s="97">
        <v>1.89E-3</v>
      </c>
      <c r="V52" s="62">
        <f t="shared" si="11"/>
        <v>6.9775729668921716E-6</v>
      </c>
      <c r="W52" s="97">
        <v>2.66E-3</v>
      </c>
      <c r="X52" s="62">
        <f t="shared" si="11"/>
        <v>3.5025481828921688E-6</v>
      </c>
      <c r="Y52" s="97">
        <v>1.5200000000000001E-3</v>
      </c>
      <c r="Z52" s="62">
        <f t="shared" si="6"/>
        <v>9.069190070892174E-6</v>
      </c>
      <c r="AA52" s="97">
        <v>2.6058700000000001E-3</v>
      </c>
      <c r="AB52" s="62">
        <f t="shared" si="1"/>
        <v>3.7080878690881686E-6</v>
      </c>
      <c r="AC52" s="97">
        <v>2.4629999999999999E-3</v>
      </c>
      <c r="AD52" s="62">
        <f t="shared" si="7"/>
        <v>4.2787319652921705E-6</v>
      </c>
      <c r="AE52">
        <v>1.67E-3</v>
      </c>
      <c r="AF52" s="62">
        <f t="shared" si="8"/>
        <v>8.1882371908921733E-6</v>
      </c>
    </row>
    <row r="53" spans="1:32">
      <c r="A53" s="63">
        <v>48</v>
      </c>
      <c r="B53" s="78">
        <v>4.989925200000001E-3</v>
      </c>
      <c r="C53" s="123">
        <v>2.66E-3</v>
      </c>
      <c r="D53" s="62">
        <f t="shared" si="10"/>
        <v>5.4285514375950448E-6</v>
      </c>
      <c r="E53" s="67">
        <v>1.064E-2</v>
      </c>
      <c r="F53" s="62">
        <f t="shared" si="3"/>
        <v>3.1923345245595031E-5</v>
      </c>
      <c r="G53" s="106">
        <v>4.0299999999999997E-3</v>
      </c>
      <c r="H53" s="62">
        <f t="shared" si="3"/>
        <v>9.2145638959504252E-7</v>
      </c>
      <c r="I53">
        <v>4.3299999999999996E-3</v>
      </c>
      <c r="J53" s="62">
        <f t="shared" si="0"/>
        <v>4.3550126959504181E-7</v>
      </c>
      <c r="K53" s="113">
        <v>2.64E-3</v>
      </c>
      <c r="L53" s="114">
        <f t="shared" si="4"/>
        <v>5.5221484455950452E-6</v>
      </c>
      <c r="M53" s="102">
        <v>1.38818511E-2</v>
      </c>
      <c r="N53" s="62">
        <f t="shared" si="11"/>
        <v>7.9066346211090807E-5</v>
      </c>
      <c r="O53" s="102">
        <v>2.8E-3</v>
      </c>
      <c r="P53" s="62">
        <f t="shared" si="11"/>
        <v>4.7957723815950444E-6</v>
      </c>
      <c r="Q53" s="97">
        <v>8.6669999999999994E-3</v>
      </c>
      <c r="R53" s="62">
        <f t="shared" si="11"/>
        <v>1.3520879084795027E-5</v>
      </c>
      <c r="S53" s="97">
        <v>2.1380000000000001E-3</v>
      </c>
      <c r="T53" s="62">
        <f t="shared" si="11"/>
        <v>8.1334773463950451E-6</v>
      </c>
      <c r="U53" s="97">
        <v>2.1099999999999999E-3</v>
      </c>
      <c r="V53" s="62">
        <f t="shared" si="11"/>
        <v>8.2939691575950461E-6</v>
      </c>
      <c r="W53" s="97">
        <v>2.9399999999999999E-3</v>
      </c>
      <c r="X53" s="62">
        <f t="shared" si="11"/>
        <v>4.2021933255950445E-6</v>
      </c>
      <c r="Y53" s="97">
        <v>1.64E-3</v>
      </c>
      <c r="Z53" s="62">
        <f t="shared" si="6"/>
        <v>1.1221998845595048E-5</v>
      </c>
      <c r="AA53" s="97">
        <v>2.7808199999999998E-3</v>
      </c>
      <c r="AB53" s="62">
        <f t="shared" si="1"/>
        <v>4.8801457846670454E-6</v>
      </c>
      <c r="AC53" s="97">
        <v>2.7060000000000001E-3</v>
      </c>
      <c r="AD53" s="62">
        <f t="shared" si="7"/>
        <v>5.216314319195044E-6</v>
      </c>
      <c r="AE53">
        <v>1.82E-3</v>
      </c>
      <c r="AF53" s="62">
        <f t="shared" si="8"/>
        <v>1.0048425773595047E-5</v>
      </c>
    </row>
    <row r="54" spans="1:32">
      <c r="A54" s="63">
        <v>49</v>
      </c>
      <c r="B54" s="78">
        <v>5.4936718000000023E-3</v>
      </c>
      <c r="C54" s="123">
        <v>2.8999999999999998E-3</v>
      </c>
      <c r="D54" s="62">
        <f t="shared" si="10"/>
        <v>6.727133406115253E-6</v>
      </c>
      <c r="E54" s="67">
        <v>1.145E-2</v>
      </c>
      <c r="F54" s="62">
        <f t="shared" si="3"/>
        <v>3.5477845626115212E-5</v>
      </c>
      <c r="G54" s="106">
        <v>4.4600000000000004E-3</v>
      </c>
      <c r="H54" s="62">
        <f t="shared" si="3"/>
        <v>1.0684773901152439E-6</v>
      </c>
      <c r="I54">
        <v>4.6299999999999996E-3</v>
      </c>
      <c r="J54" s="62">
        <f t="shared" si="0"/>
        <v>7.4592897811524477E-7</v>
      </c>
      <c r="K54" s="113">
        <v>2.9300000000000003E-3</v>
      </c>
      <c r="L54" s="114">
        <f t="shared" si="4"/>
        <v>6.5724130981152505E-6</v>
      </c>
      <c r="M54" s="102">
        <v>1.46295742E-2</v>
      </c>
      <c r="N54" s="62">
        <f t="shared" si="11"/>
        <v>8.3464712662325717E-5</v>
      </c>
      <c r="O54" s="102">
        <v>3.032E-3</v>
      </c>
      <c r="P54" s="62">
        <f t="shared" si="11"/>
        <v>6.0598280509152512E-6</v>
      </c>
      <c r="Q54" s="97">
        <v>9.2069999999999999E-3</v>
      </c>
      <c r="R54" s="62">
        <f t="shared" si="11"/>
        <v>1.3788806320915223E-5</v>
      </c>
      <c r="S54" s="97">
        <v>2.33E-3</v>
      </c>
      <c r="T54" s="62">
        <f t="shared" si="11"/>
        <v>1.0008819258115254E-5</v>
      </c>
      <c r="U54" s="97">
        <v>2.3500000000000001E-3</v>
      </c>
      <c r="V54" s="62">
        <f t="shared" si="11"/>
        <v>9.8826723861152539E-6</v>
      </c>
      <c r="W54" s="97">
        <v>3.2299999999999998E-3</v>
      </c>
      <c r="X54" s="62">
        <f t="shared" si="11"/>
        <v>5.1242100181152512E-6</v>
      </c>
      <c r="Y54" s="97">
        <v>1.7799999999999999E-3</v>
      </c>
      <c r="Z54" s="62">
        <f t="shared" si="6"/>
        <v>1.3791358238115258E-5</v>
      </c>
      <c r="AA54" s="97">
        <v>2.9685699999999998E-3</v>
      </c>
      <c r="AB54" s="62">
        <f t="shared" si="1"/>
        <v>6.3761391003632524E-6</v>
      </c>
      <c r="AC54" s="97">
        <v>2.9750000000000002E-3</v>
      </c>
      <c r="AD54" s="62">
        <f t="shared" si="7"/>
        <v>6.3437076361152508E-6</v>
      </c>
      <c r="AE54">
        <v>1.99E-3</v>
      </c>
      <c r="AF54" s="62">
        <f t="shared" si="8"/>
        <v>1.2275716082115256E-5</v>
      </c>
    </row>
    <row r="55" spans="1:32">
      <c r="A55" s="63">
        <v>50</v>
      </c>
      <c r="B55" s="78">
        <v>6.045786599999995E-3</v>
      </c>
      <c r="C55" s="123">
        <v>3.16E-3</v>
      </c>
      <c r="D55" s="62">
        <f t="shared" si="10"/>
        <v>8.3277643007395307E-6</v>
      </c>
      <c r="E55" s="67">
        <v>1.2319999999999999E-2</v>
      </c>
      <c r="F55" s="62">
        <f t="shared" si="3"/>
        <v>3.9365753788739611E-5</v>
      </c>
      <c r="G55" s="106">
        <v>4.9399999999999999E-3</v>
      </c>
      <c r="H55" s="62">
        <f t="shared" si="3"/>
        <v>1.2227640047395492E-6</v>
      </c>
      <c r="I55">
        <v>4.96E-3</v>
      </c>
      <c r="J55" s="62">
        <f t="shared" si="0"/>
        <v>1.1789325407395493E-6</v>
      </c>
      <c r="K55" s="113">
        <v>3.2400000000000003E-3</v>
      </c>
      <c r="L55" s="114">
        <f t="shared" si="4"/>
        <v>7.8724384447395312E-6</v>
      </c>
      <c r="M55" s="102">
        <v>1.54463767E-2</v>
      </c>
      <c r="N55" s="62">
        <f t="shared" ref="N55:X70" si="12">+(M55-$B55)^2</f>
        <v>8.8371094228218108E-5</v>
      </c>
      <c r="O55" s="102">
        <v>3.2889999999999998E-3</v>
      </c>
      <c r="P55" s="62">
        <f t="shared" si="12"/>
        <v>7.5998723579395335E-6</v>
      </c>
      <c r="Q55" s="97">
        <v>9.8160000000000001E-3</v>
      </c>
      <c r="R55" s="62">
        <f t="shared" si="12"/>
        <v>1.4214509081539598E-5</v>
      </c>
      <c r="S55" s="97">
        <v>2.5409999999999999E-3</v>
      </c>
      <c r="T55" s="62">
        <f t="shared" si="12"/>
        <v>1.2283529111539526E-5</v>
      </c>
      <c r="U55" s="97">
        <v>2.63E-3</v>
      </c>
      <c r="V55" s="62">
        <f t="shared" si="12"/>
        <v>1.1667598096739526E-5</v>
      </c>
      <c r="W55" s="97">
        <v>3.5599999999999998E-3</v>
      </c>
      <c r="X55" s="62">
        <f t="shared" si="12"/>
        <v>6.1791350207395362E-6</v>
      </c>
      <c r="Y55" s="97">
        <v>1.9300000000000001E-3</v>
      </c>
      <c r="Z55" s="62">
        <f t="shared" si="6"/>
        <v>1.6939699336739517E-5</v>
      </c>
      <c r="AA55" s="97">
        <v>3.1700600000000002E-3</v>
      </c>
      <c r="AB55" s="62">
        <f t="shared" si="1"/>
        <v>8.2698034779475307E-6</v>
      </c>
      <c r="AC55" s="97">
        <v>3.2750000000000001E-3</v>
      </c>
      <c r="AD55" s="62">
        <f t="shared" si="7"/>
        <v>7.6772583827395319E-6</v>
      </c>
      <c r="AE55">
        <v>2.16E-3</v>
      </c>
      <c r="AF55" s="62">
        <f t="shared" si="8"/>
        <v>1.5099337500739521E-5</v>
      </c>
    </row>
    <row r="56" spans="1:32">
      <c r="A56" s="63">
        <v>51</v>
      </c>
      <c r="B56" s="78">
        <v>6.6494027999999964E-3</v>
      </c>
      <c r="C56" s="123">
        <v>3.4500000000000004E-3</v>
      </c>
      <c r="D56" s="62">
        <f t="shared" si="10"/>
        <v>1.0236178276647815E-5</v>
      </c>
      <c r="E56" s="67">
        <v>1.3270000000000001E-2</v>
      </c>
      <c r="F56" s="62">
        <f t="shared" si="3"/>
        <v>4.3832307284647898E-5</v>
      </c>
      <c r="G56" s="106">
        <v>5.47E-3</v>
      </c>
      <c r="H56" s="62">
        <f t="shared" si="3"/>
        <v>1.3909909646478313E-6</v>
      </c>
      <c r="I56">
        <v>5.3099999999999996E-3</v>
      </c>
      <c r="J56" s="62">
        <f t="shared" si="0"/>
        <v>1.7939998606478314E-6</v>
      </c>
      <c r="K56" s="113">
        <v>3.5999999999999999E-3</v>
      </c>
      <c r="L56" s="114">
        <f t="shared" si="4"/>
        <v>9.2988574366478178E-6</v>
      </c>
      <c r="M56" s="102">
        <v>1.6337449300000001E-2</v>
      </c>
      <c r="N56" s="62">
        <f t="shared" si="12"/>
        <v>9.385824498616236E-5</v>
      </c>
      <c r="O56" s="102">
        <v>3.5590000000000001E-3</v>
      </c>
      <c r="P56" s="62">
        <f t="shared" si="12"/>
        <v>9.5505894662478166E-6</v>
      </c>
      <c r="Q56" s="97">
        <v>1.055E-2</v>
      </c>
      <c r="R56" s="62">
        <f t="shared" si="12"/>
        <v>1.5214658516647872E-5</v>
      </c>
      <c r="S56" s="97">
        <v>2.771E-3</v>
      </c>
      <c r="T56" s="62">
        <f t="shared" si="12"/>
        <v>1.5042008279047811E-5</v>
      </c>
      <c r="U56" s="97">
        <v>2.9399999999999999E-3</v>
      </c>
      <c r="V56" s="62">
        <f t="shared" si="12"/>
        <v>1.3759669132647814E-5</v>
      </c>
      <c r="W56" s="97">
        <v>3.9100000000000003E-3</v>
      </c>
      <c r="X56" s="62">
        <f t="shared" si="12"/>
        <v>7.5043277006478188E-6</v>
      </c>
      <c r="Y56" s="97">
        <v>2.0899999999999998E-3</v>
      </c>
      <c r="Z56" s="62">
        <f t="shared" si="6"/>
        <v>2.0788153892647809E-5</v>
      </c>
      <c r="AA56" s="97">
        <v>3.39127E-3</v>
      </c>
      <c r="AB56" s="62">
        <f t="shared" si="1"/>
        <v>1.0615429342435816E-5</v>
      </c>
      <c r="AC56" s="97">
        <v>3.6089999999999998E-3</v>
      </c>
      <c r="AD56" s="62">
        <f t="shared" si="7"/>
        <v>9.2440491862478192E-6</v>
      </c>
      <c r="AE56">
        <v>2.3400000000000001E-3</v>
      </c>
      <c r="AF56" s="62">
        <f t="shared" si="8"/>
        <v>1.8570952492647807E-5</v>
      </c>
    </row>
    <row r="57" spans="1:32">
      <c r="A57" s="63">
        <v>52</v>
      </c>
      <c r="B57" s="78">
        <v>7.3077496000000016E-3</v>
      </c>
      <c r="C57" s="123">
        <v>3.7499999999999999E-3</v>
      </c>
      <c r="D57" s="62">
        <f t="shared" si="10"/>
        <v>1.2657582216300173E-5</v>
      </c>
      <c r="E57" s="67">
        <v>1.43E-2</v>
      </c>
      <c r="F57" s="62">
        <f t="shared" si="3"/>
        <v>4.8891565656300137E-5</v>
      </c>
      <c r="G57" s="106">
        <v>6.0600000000000003E-3</v>
      </c>
      <c r="H57" s="62">
        <f t="shared" si="3"/>
        <v>1.5568790643001632E-6</v>
      </c>
      <c r="I57">
        <v>5.7000000000000002E-3</v>
      </c>
      <c r="J57" s="62">
        <f t="shared" si="0"/>
        <v>2.5848587763001643E-6</v>
      </c>
      <c r="K57" s="113">
        <v>3.9900000000000005E-3</v>
      </c>
      <c r="L57" s="114">
        <f t="shared" si="4"/>
        <v>1.1007462408300167E-5</v>
      </c>
      <c r="M57" s="102">
        <v>1.7308671500000001E-2</v>
      </c>
      <c r="N57" s="62">
        <f t="shared" si="12"/>
        <v>1.0001843884989959E-4</v>
      </c>
      <c r="O57" s="102">
        <v>3.8189999999999999E-3</v>
      </c>
      <c r="P57" s="62">
        <f t="shared" si="12"/>
        <v>1.2171373771500171E-5</v>
      </c>
      <c r="Q57" s="97">
        <v>1.1455999999999999E-2</v>
      </c>
      <c r="R57" s="62">
        <f t="shared" si="12"/>
        <v>1.720798138110014E-5</v>
      </c>
      <c r="S57" s="97">
        <v>3.0240000000000002E-3</v>
      </c>
      <c r="T57" s="62">
        <f t="shared" si="12"/>
        <v>1.8350510635500167E-5</v>
      </c>
      <c r="U57" s="97">
        <v>3.29E-3</v>
      </c>
      <c r="V57" s="62">
        <f t="shared" si="12"/>
        <v>1.6142311848300176E-5</v>
      </c>
      <c r="W57" s="97">
        <v>4.3E-3</v>
      </c>
      <c r="X57" s="62">
        <f t="shared" si="12"/>
        <v>9.0465576563001703E-6</v>
      </c>
      <c r="Y57" s="97">
        <v>2.2799999999999999E-3</v>
      </c>
      <c r="Z57" s="62">
        <f t="shared" si="6"/>
        <v>2.5278266040300176E-5</v>
      </c>
      <c r="AA57" s="97">
        <v>3.6375999999999999E-3</v>
      </c>
      <c r="AB57" s="62">
        <f t="shared" si="1"/>
        <v>1.3469998086380172E-5</v>
      </c>
      <c r="AC57" s="97">
        <v>4.0090000000000004E-3</v>
      </c>
      <c r="AD57" s="62">
        <f t="shared" si="7"/>
        <v>1.0881748923500167E-5</v>
      </c>
      <c r="AE57">
        <v>2.5100000000000001E-3</v>
      </c>
      <c r="AF57" s="62">
        <f t="shared" si="8"/>
        <v>2.3018401224300175E-5</v>
      </c>
    </row>
    <row r="58" spans="1:32">
      <c r="A58" s="63">
        <v>53</v>
      </c>
      <c r="B58" s="78">
        <v>8.0241522000000041E-3</v>
      </c>
      <c r="C58" s="123">
        <v>4.0899999999999999E-3</v>
      </c>
      <c r="D58" s="62">
        <f t="shared" si="10"/>
        <v>1.5477553532764873E-5</v>
      </c>
      <c r="E58" s="67">
        <v>1.5429999999999999E-2</v>
      </c>
      <c r="F58" s="62">
        <f t="shared" si="3"/>
        <v>5.4846581636764769E-5</v>
      </c>
      <c r="G58" s="106">
        <v>6.7099999999999998E-3</v>
      </c>
      <c r="H58" s="62">
        <f t="shared" si="3"/>
        <v>1.7269960047648511E-6</v>
      </c>
      <c r="I58">
        <v>6.1500000000000001E-3</v>
      </c>
      <c r="J58" s="62">
        <f t="shared" si="0"/>
        <v>3.5124464687648551E-6</v>
      </c>
      <c r="K58" s="113">
        <v>4.4099999999999999E-3</v>
      </c>
      <c r="L58" s="114">
        <f t="shared" si="4"/>
        <v>1.3062096124764871E-5</v>
      </c>
      <c r="M58" s="102">
        <v>1.8394237800000001E-2</v>
      </c>
      <c r="N58" s="62">
        <f t="shared" si="12"/>
        <v>1.075386753513273E-4</v>
      </c>
      <c r="O58" s="102">
        <v>4.0590000000000001E-3</v>
      </c>
      <c r="P58" s="62">
        <f t="shared" si="12"/>
        <v>1.5722431969164871E-5</v>
      </c>
      <c r="Q58" s="97">
        <v>1.2461E-2</v>
      </c>
      <c r="R58" s="62">
        <f t="shared" si="12"/>
        <v>1.9685618400364803E-5</v>
      </c>
      <c r="S58" s="97">
        <v>3.3019999999999998E-3</v>
      </c>
      <c r="T58" s="62">
        <f t="shared" si="12"/>
        <v>2.2298721399964883E-5</v>
      </c>
      <c r="U58" s="97">
        <v>3.6800000000000001E-3</v>
      </c>
      <c r="V58" s="62">
        <f t="shared" si="12"/>
        <v>1.8871658336764873E-5</v>
      </c>
      <c r="W58" s="97">
        <v>4.7099999999999998E-3</v>
      </c>
      <c r="X58" s="62">
        <f t="shared" si="12"/>
        <v>1.0983604804764868E-5</v>
      </c>
      <c r="Y58" s="97">
        <v>2.48E-3</v>
      </c>
      <c r="Z58" s="62">
        <f t="shared" si="6"/>
        <v>3.0737623616764891E-5</v>
      </c>
      <c r="AA58" s="97">
        <v>3.9119100000000002E-3</v>
      </c>
      <c r="AB58" s="62">
        <f t="shared" si="1"/>
        <v>1.6910535911460871E-5</v>
      </c>
      <c r="AC58" s="97">
        <v>4.3899999999999998E-3</v>
      </c>
      <c r="AD58" s="62">
        <f t="shared" si="7"/>
        <v>1.3207062212764871E-5</v>
      </c>
      <c r="AE58">
        <v>2.6800000000000001E-3</v>
      </c>
      <c r="AF58" s="62">
        <f t="shared" si="8"/>
        <v>2.8559962736764884E-5</v>
      </c>
    </row>
    <row r="59" spans="1:32">
      <c r="A59" s="63">
        <v>54</v>
      </c>
      <c r="B59" s="78">
        <v>8.8020317999999969E-3</v>
      </c>
      <c r="C59" s="123">
        <v>4.45E-3</v>
      </c>
      <c r="D59" s="62">
        <f t="shared" si="10"/>
        <v>1.8940180788211212E-5</v>
      </c>
      <c r="E59" s="67">
        <v>1.6650000000000002E-2</v>
      </c>
      <c r="F59" s="62">
        <f t="shared" si="3"/>
        <v>6.1590604868211316E-5</v>
      </c>
      <c r="G59" s="106">
        <v>7.4200000000000004E-3</v>
      </c>
      <c r="H59" s="62">
        <f t="shared" si="3"/>
        <v>1.9100118962112304E-6</v>
      </c>
      <c r="I59">
        <v>6.6100000000000004E-3</v>
      </c>
      <c r="J59" s="62">
        <f t="shared" si="0"/>
        <v>4.8050034122112244E-6</v>
      </c>
      <c r="K59" s="113">
        <v>4.8600000000000006E-3</v>
      </c>
      <c r="L59" s="114">
        <f t="shared" si="4"/>
        <v>1.5539614712211212E-5</v>
      </c>
      <c r="M59" s="102">
        <v>1.9562155599999999E-2</v>
      </c>
      <c r="N59" s="62">
        <f t="shared" si="12"/>
        <v>1.1578026419132648E-4</v>
      </c>
      <c r="O59" s="102">
        <v>4.2960000000000003E-3</v>
      </c>
      <c r="P59" s="62">
        <f t="shared" si="12"/>
        <v>2.0304322582611208E-5</v>
      </c>
      <c r="Q59" s="97">
        <v>1.3516E-2</v>
      </c>
      <c r="R59" s="62">
        <f t="shared" si="12"/>
        <v>2.2221496190611273E-5</v>
      </c>
      <c r="S59" s="97">
        <v>3.6080000000000001E-3</v>
      </c>
      <c r="T59" s="62">
        <f t="shared" si="12"/>
        <v>2.6977966339411206E-5</v>
      </c>
      <c r="U59" s="97">
        <v>4.13E-3</v>
      </c>
      <c r="V59" s="62">
        <f t="shared" si="12"/>
        <v>2.182788114021121E-5</v>
      </c>
      <c r="W59" s="97">
        <v>5.1399999999999996E-3</v>
      </c>
      <c r="X59" s="62">
        <f t="shared" si="12"/>
        <v>1.3410476904211219E-5</v>
      </c>
      <c r="Y59" s="97">
        <v>2.7000000000000001E-3</v>
      </c>
      <c r="Z59" s="62">
        <f t="shared" si="6"/>
        <v>3.72347920882112E-5</v>
      </c>
      <c r="AA59" s="97">
        <v>4.2173599999999999E-3</v>
      </c>
      <c r="AB59" s="62">
        <f t="shared" si="1"/>
        <v>2.1019215513715214E-5</v>
      </c>
      <c r="AC59" s="97">
        <v>4.803E-3</v>
      </c>
      <c r="AD59" s="62">
        <f t="shared" si="7"/>
        <v>1.5992255337411217E-5</v>
      </c>
      <c r="AE59">
        <v>2.8400000000000001E-3</v>
      </c>
      <c r="AF59" s="62">
        <f t="shared" si="8"/>
        <v>3.5545823184211198E-5</v>
      </c>
    </row>
    <row r="60" spans="1:32">
      <c r="A60" s="63">
        <v>55</v>
      </c>
      <c r="B60" s="78">
        <v>9.6449055999999998E-3</v>
      </c>
      <c r="C60" s="123">
        <v>4.8499999999999993E-3</v>
      </c>
      <c r="D60" s="62">
        <f t="shared" si="10"/>
        <v>2.2991119712911365E-5</v>
      </c>
      <c r="E60" s="67">
        <v>1.7979999999999999E-2</v>
      </c>
      <c r="F60" s="62">
        <f t="shared" si="3"/>
        <v>6.9473798656911347E-5</v>
      </c>
      <c r="G60" s="106">
        <v>8.1899999999999994E-3</v>
      </c>
      <c r="H60" s="62">
        <f t="shared" si="3"/>
        <v>2.1167503049113612E-6</v>
      </c>
      <c r="I60">
        <v>7.0899999999999999E-3</v>
      </c>
      <c r="J60" s="62">
        <f t="shared" si="0"/>
        <v>6.5275426249113594E-6</v>
      </c>
      <c r="K60" s="113">
        <v>5.3600000000000002E-3</v>
      </c>
      <c r="L60" s="114">
        <f t="shared" si="4"/>
        <v>1.8360416000911358E-5</v>
      </c>
      <c r="M60" s="102">
        <v>2.0834818500000001E-2</v>
      </c>
      <c r="N60" s="62">
        <f t="shared" si="12"/>
        <v>1.2521415070958645E-4</v>
      </c>
      <c r="O60" s="102">
        <v>4.5560000000000002E-3</v>
      </c>
      <c r="P60" s="62">
        <f t="shared" si="12"/>
        <v>2.5896960205711357E-5</v>
      </c>
      <c r="Q60" s="97">
        <v>1.4767000000000001E-2</v>
      </c>
      <c r="R60" s="62">
        <f t="shared" si="12"/>
        <v>2.6235851042511367E-5</v>
      </c>
      <c r="S60" s="97">
        <v>3.9459999999999999E-3</v>
      </c>
      <c r="T60" s="62">
        <f t="shared" si="12"/>
        <v>3.2477525037711361E-5</v>
      </c>
      <c r="U60" s="97">
        <v>4.6299999999999996E-3</v>
      </c>
      <c r="V60" s="62">
        <f t="shared" si="12"/>
        <v>2.5149278176911362E-5</v>
      </c>
      <c r="W60" s="97">
        <v>5.62E-3</v>
      </c>
      <c r="X60" s="62">
        <f t="shared" si="12"/>
        <v>1.6199865088911359E-5</v>
      </c>
      <c r="Y60" s="97">
        <v>2.9399999999999999E-3</v>
      </c>
      <c r="Z60" s="62">
        <f t="shared" si="6"/>
        <v>4.4955759104911362E-5</v>
      </c>
      <c r="AA60" s="97">
        <v>4.5574700000000001E-3</v>
      </c>
      <c r="AB60" s="62">
        <f t="shared" si="1"/>
        <v>2.5882000984147358E-5</v>
      </c>
      <c r="AC60" s="97">
        <v>5.2110000000000004E-3</v>
      </c>
      <c r="AD60" s="62">
        <f t="shared" si="7"/>
        <v>1.9659518869711356E-5</v>
      </c>
      <c r="AE60">
        <v>2.98E-3</v>
      </c>
      <c r="AF60" s="62">
        <f t="shared" si="8"/>
        <v>4.4420966656911355E-5</v>
      </c>
    </row>
    <row r="61" spans="1:32">
      <c r="A61" s="63">
        <v>56</v>
      </c>
      <c r="B61" s="78">
        <v>1.0556386800000005E-2</v>
      </c>
      <c r="C61" s="123">
        <v>5.28E-3</v>
      </c>
      <c r="D61" s="62">
        <f t="shared" si="10"/>
        <v>2.784025766321429E-5</v>
      </c>
      <c r="E61" s="67">
        <v>1.9429999999999999E-2</v>
      </c>
      <c r="F61" s="62">
        <f t="shared" si="3"/>
        <v>7.8741011223214141E-5</v>
      </c>
      <c r="G61" s="106">
        <v>9.0299999999999998E-3</v>
      </c>
      <c r="H61" s="62">
        <f t="shared" si="3"/>
        <v>2.3298566632142548E-6</v>
      </c>
      <c r="I61">
        <v>7.5700000000000003E-3</v>
      </c>
      <c r="J61" s="62">
        <f t="shared" si="0"/>
        <v>8.9185061192142656E-6</v>
      </c>
      <c r="K61" s="113">
        <v>5.9100000000000003E-3</v>
      </c>
      <c r="L61" s="114">
        <f t="shared" si="4"/>
        <v>2.1588910295214279E-5</v>
      </c>
      <c r="M61" s="102">
        <v>2.2222863200000002E-2</v>
      </c>
      <c r="N61" s="62">
        <f t="shared" si="12"/>
        <v>1.3610667159175688E-4</v>
      </c>
      <c r="O61" s="102">
        <v>4.862E-3</v>
      </c>
      <c r="P61" s="62">
        <f t="shared" si="12"/>
        <v>3.2426041028014296E-5</v>
      </c>
      <c r="Q61" s="97">
        <v>1.6286999999999999E-2</v>
      </c>
      <c r="R61" s="62">
        <f t="shared" si="12"/>
        <v>3.2839927648014178E-5</v>
      </c>
      <c r="S61" s="97">
        <v>4.3200000000000001E-3</v>
      </c>
      <c r="T61" s="62">
        <f t="shared" si="12"/>
        <v>3.8892520319214296E-5</v>
      </c>
      <c r="U61" s="97">
        <v>5.1900000000000002E-3</v>
      </c>
      <c r="V61" s="62">
        <f t="shared" si="12"/>
        <v>2.8798107287214287E-5</v>
      </c>
      <c r="W61" s="97">
        <v>6.1399999999999996E-3</v>
      </c>
      <c r="X61" s="62">
        <f t="shared" si="12"/>
        <v>1.9504472367214285E-5</v>
      </c>
      <c r="Y61" s="97">
        <v>3.2100000000000002E-3</v>
      </c>
      <c r="Z61" s="62">
        <f t="shared" si="6"/>
        <v>5.3969399015214307E-5</v>
      </c>
      <c r="AA61" s="97">
        <v>4.9361800000000001E-3</v>
      </c>
      <c r="AB61" s="62">
        <f t="shared" si="1"/>
        <v>3.1586724474766289E-5</v>
      </c>
      <c r="AC61" s="97">
        <v>5.6280000000000002E-3</v>
      </c>
      <c r="AD61" s="62">
        <f t="shared" si="7"/>
        <v>2.4288996450414286E-5</v>
      </c>
      <c r="AE61">
        <v>3.1099999999999999E-3</v>
      </c>
      <c r="AF61" s="62">
        <f t="shared" si="8"/>
        <v>5.5448676375214309E-5</v>
      </c>
    </row>
    <row r="62" spans="1:32">
      <c r="A62" s="63">
        <v>57</v>
      </c>
      <c r="B62" s="78">
        <v>1.1540184600000008E-2</v>
      </c>
      <c r="C62" s="123">
        <v>5.7499999999999999E-3</v>
      </c>
      <c r="D62" s="62">
        <f t="shared" si="10"/>
        <v>3.3526237702077257E-5</v>
      </c>
      <c r="E62" s="67">
        <v>2.1000000000000001E-2</v>
      </c>
      <c r="F62" s="62">
        <f t="shared" si="3"/>
        <v>8.9488107402077027E-5</v>
      </c>
      <c r="G62" s="106">
        <v>9.9399999999999992E-3</v>
      </c>
      <c r="H62" s="62">
        <f t="shared" si="3"/>
        <v>2.5605907540771891E-6</v>
      </c>
      <c r="I62">
        <v>8.0300000000000007E-3</v>
      </c>
      <c r="J62" s="62">
        <f t="shared" si="0"/>
        <v>1.2321395926077213E-5</v>
      </c>
      <c r="K62" s="113">
        <v>6.4900000000000001E-3</v>
      </c>
      <c r="L62" s="114">
        <f t="shared" si="4"/>
        <v>2.5504364494077243E-5</v>
      </c>
      <c r="M62" s="102">
        <v>2.3753601999999999E-2</v>
      </c>
      <c r="N62" s="62">
        <f t="shared" si="12"/>
        <v>1.4916756458662253E-4</v>
      </c>
      <c r="O62" s="102">
        <v>5.2220000000000001E-3</v>
      </c>
      <c r="P62" s="62">
        <f t="shared" si="12"/>
        <v>3.9919456639677265E-5</v>
      </c>
      <c r="Q62" s="97">
        <v>1.8183999999999999E-2</v>
      </c>
      <c r="R62" s="62">
        <f t="shared" si="12"/>
        <v>4.4140283069277038E-5</v>
      </c>
      <c r="S62" s="97">
        <v>4.7340000000000004E-3</v>
      </c>
      <c r="T62" s="62">
        <f t="shared" si="12"/>
        <v>4.6324148809277264E-5</v>
      </c>
      <c r="U62" s="97">
        <v>5.8199999999999997E-3</v>
      </c>
      <c r="V62" s="62">
        <f t="shared" si="12"/>
        <v>3.2720511858077257E-5</v>
      </c>
      <c r="W62" s="97">
        <v>6.7299999999999999E-3</v>
      </c>
      <c r="X62" s="62">
        <f t="shared" si="12"/>
        <v>2.3137875886077242E-5</v>
      </c>
      <c r="Y62" s="97">
        <v>3.5100000000000001E-3</v>
      </c>
      <c r="Z62" s="62">
        <f t="shared" si="6"/>
        <v>6.4483864710077277E-5</v>
      </c>
      <c r="AA62" s="97">
        <v>5.35784E-3</v>
      </c>
      <c r="AB62" s="62">
        <f t="shared" si="1"/>
        <v>3.8221384753149261E-5</v>
      </c>
      <c r="AC62" s="97">
        <v>6.0039999999999998E-3</v>
      </c>
      <c r="AD62" s="62">
        <f t="shared" si="7"/>
        <v>3.0649339925277255E-5</v>
      </c>
      <c r="AE62">
        <v>3.2399999999999998E-3</v>
      </c>
      <c r="AF62" s="62">
        <f t="shared" si="8"/>
        <v>6.8893064394077302E-5</v>
      </c>
    </row>
    <row r="63" spans="1:32">
      <c r="A63" s="63">
        <v>58</v>
      </c>
      <c r="B63" s="78">
        <v>1.2600104199999998E-2</v>
      </c>
      <c r="C63" s="123">
        <v>6.2599999999999999E-3</v>
      </c>
      <c r="D63" s="62">
        <f t="shared" si="10"/>
        <v>4.019692126685762E-5</v>
      </c>
      <c r="E63" s="67">
        <v>2.2710000000000001E-2</v>
      </c>
      <c r="F63" s="62">
        <f t="shared" si="3"/>
        <v>1.022099930868577E-4</v>
      </c>
      <c r="G63" s="106">
        <v>1.093E-2</v>
      </c>
      <c r="H63" s="62">
        <f t="shared" si="3"/>
        <v>2.7892480388576326E-6</v>
      </c>
      <c r="I63">
        <v>8.4700000000000001E-3</v>
      </c>
      <c r="J63" s="62">
        <f t="shared" si="0"/>
        <v>1.7057760702857625E-5</v>
      </c>
      <c r="K63" s="113">
        <v>7.0899999999999999E-3</v>
      </c>
      <c r="L63" s="114">
        <f t="shared" si="4"/>
        <v>3.0361248294857622E-5</v>
      </c>
      <c r="M63" s="102">
        <v>2.5412632099999999E-2</v>
      </c>
      <c r="N63" s="62">
        <f t="shared" si="12"/>
        <v>1.6416087118827842E-4</v>
      </c>
      <c r="O63" s="102">
        <v>5.646E-3</v>
      </c>
      <c r="P63" s="62">
        <f t="shared" si="12"/>
        <v>4.835956522445762E-5</v>
      </c>
      <c r="Q63" s="97">
        <v>2.0507000000000001E-2</v>
      </c>
      <c r="R63" s="62">
        <f t="shared" si="12"/>
        <v>6.2519001192057685E-5</v>
      </c>
      <c r="S63" s="97">
        <v>5.195E-3</v>
      </c>
      <c r="T63" s="62">
        <f t="shared" si="12"/>
        <v>5.4835568212857618E-5</v>
      </c>
      <c r="U63" s="97">
        <v>6.5300000000000002E-3</v>
      </c>
      <c r="V63" s="62">
        <f t="shared" si="12"/>
        <v>3.6846164998857614E-5</v>
      </c>
      <c r="W63" s="97">
        <v>7.3800000000000003E-3</v>
      </c>
      <c r="X63" s="62">
        <f t="shared" si="12"/>
        <v>2.724948785885762E-5</v>
      </c>
      <c r="Y63" s="97">
        <v>3.8400000000000001E-3</v>
      </c>
      <c r="Z63" s="62">
        <f t="shared" si="6"/>
        <v>7.6739425594857613E-5</v>
      </c>
      <c r="AA63" s="97">
        <v>5.8272999999999997E-3</v>
      </c>
      <c r="AB63" s="62">
        <f t="shared" si="1"/>
        <v>4.5870876731537622E-5</v>
      </c>
      <c r="AC63" s="97">
        <v>6.4609999999999997E-3</v>
      </c>
      <c r="AD63" s="62">
        <f t="shared" si="7"/>
        <v>3.7688600378457625E-5</v>
      </c>
      <c r="AE63">
        <v>3.3800000000000002E-3</v>
      </c>
      <c r="AF63" s="62">
        <f t="shared" si="8"/>
        <v>8.5010321458857621E-5</v>
      </c>
    </row>
    <row r="64" spans="1:32">
      <c r="A64" s="63">
        <v>59</v>
      </c>
      <c r="B64" s="78">
        <v>1.3740046800000001E-2</v>
      </c>
      <c r="C64" s="123">
        <v>6.8200000000000005E-3</v>
      </c>
      <c r="D64" s="62">
        <f t="shared" si="10"/>
        <v>4.7887047714190242E-5</v>
      </c>
      <c r="E64" s="67">
        <v>2.4570000000000002E-2</v>
      </c>
      <c r="F64" s="62">
        <f t="shared" si="3"/>
        <v>1.1728788631419026E-4</v>
      </c>
      <c r="G64" s="106">
        <v>1.2019999999999999E-2</v>
      </c>
      <c r="H64" s="62">
        <f t="shared" si="3"/>
        <v>2.958560994190245E-6</v>
      </c>
      <c r="I64">
        <v>8.94E-3</v>
      </c>
      <c r="J64" s="62">
        <f t="shared" si="0"/>
        <v>2.3040449282190247E-5</v>
      </c>
      <c r="K64" s="113">
        <v>7.7000000000000002E-3</v>
      </c>
      <c r="L64" s="114">
        <f t="shared" si="4"/>
        <v>3.6482165346190245E-5</v>
      </c>
      <c r="M64" s="102">
        <v>2.7215772400000001E-2</v>
      </c>
      <c r="N64" s="62">
        <f t="shared" si="12"/>
        <v>1.8159518044649536E-4</v>
      </c>
      <c r="O64" s="102">
        <v>6.136E-3</v>
      </c>
      <c r="P64" s="62">
        <f t="shared" si="12"/>
        <v>5.7821527736590255E-5</v>
      </c>
      <c r="Q64" s="97">
        <v>2.3132E-2</v>
      </c>
      <c r="R64" s="62">
        <f t="shared" si="12"/>
        <v>8.8208784910990214E-5</v>
      </c>
      <c r="S64" s="97">
        <v>5.7080000000000004E-3</v>
      </c>
      <c r="T64" s="62">
        <f t="shared" si="12"/>
        <v>6.4513775797390261E-5</v>
      </c>
      <c r="U64" s="97">
        <v>7.3299999999999997E-3</v>
      </c>
      <c r="V64" s="62">
        <f t="shared" si="12"/>
        <v>4.1088699978190255E-5</v>
      </c>
      <c r="W64" s="97">
        <v>8.0999999999999996E-3</v>
      </c>
      <c r="X64" s="62">
        <f t="shared" si="12"/>
        <v>3.1810127906190253E-5</v>
      </c>
      <c r="Y64" s="97">
        <v>4.1999999999999997E-3</v>
      </c>
      <c r="Z64" s="62">
        <f t="shared" si="6"/>
        <v>9.1012492946190244E-5</v>
      </c>
      <c r="AA64" s="97">
        <v>6.34995E-3</v>
      </c>
      <c r="AB64" s="62">
        <f t="shared" si="1"/>
        <v>5.4613530713370251E-5</v>
      </c>
      <c r="AC64" s="97">
        <v>6.9319999999999998E-3</v>
      </c>
      <c r="AD64" s="62">
        <f t="shared" si="7"/>
        <v>4.6349501230990252E-5</v>
      </c>
      <c r="AE64">
        <v>3.5599999999999998E-3</v>
      </c>
      <c r="AF64" s="62">
        <f t="shared" si="8"/>
        <v>1.0363335285019028E-4</v>
      </c>
    </row>
    <row r="65" spans="1:32">
      <c r="A65" s="63">
        <v>60</v>
      </c>
      <c r="B65" s="78">
        <v>1.4964009600000003E-2</v>
      </c>
      <c r="C65" s="123">
        <v>7.4199999999999995E-3</v>
      </c>
      <c r="D65" s="62">
        <f t="shared" si="10"/>
        <v>5.6912080844892216E-5</v>
      </c>
      <c r="E65" s="67">
        <v>2.6589999999999999E-2</v>
      </c>
      <c r="F65" s="62">
        <f t="shared" si="3"/>
        <v>1.3516365278089208E-4</v>
      </c>
      <c r="G65" s="106">
        <v>1.3220000000000001E-2</v>
      </c>
      <c r="H65" s="62">
        <f t="shared" si="3"/>
        <v>3.041569484892168E-6</v>
      </c>
      <c r="I65">
        <v>9.4699999999999993E-3</v>
      </c>
      <c r="J65" s="62">
        <f t="shared" si="0"/>
        <v>3.0184141484892203E-5</v>
      </c>
      <c r="K65" s="113">
        <v>8.3400000000000002E-3</v>
      </c>
      <c r="L65" s="114">
        <f t="shared" si="4"/>
        <v>4.3877503180892196E-5</v>
      </c>
      <c r="M65" s="102">
        <v>2.9213855699999999E-2</v>
      </c>
      <c r="N65" s="62">
        <f t="shared" si="12"/>
        <v>2.0305811387368511E-4</v>
      </c>
      <c r="O65" s="102">
        <v>6.6959999999999997E-3</v>
      </c>
      <c r="P65" s="62">
        <f t="shared" si="12"/>
        <v>6.8359982745692225E-5</v>
      </c>
      <c r="Q65" s="97">
        <v>2.6084E-2</v>
      </c>
      <c r="R65" s="62">
        <f t="shared" si="12"/>
        <v>1.2365418649609207E-4</v>
      </c>
      <c r="S65" s="97">
        <v>6.2810000000000001E-3</v>
      </c>
      <c r="T65" s="62">
        <f t="shared" si="12"/>
        <v>7.5394655713692209E-5</v>
      </c>
      <c r="U65" s="97">
        <v>8.2199999999999999E-3</v>
      </c>
      <c r="V65" s="62">
        <f t="shared" si="12"/>
        <v>4.5481665484892203E-5</v>
      </c>
      <c r="W65" s="97">
        <v>8.9099999999999995E-3</v>
      </c>
      <c r="X65" s="62">
        <f t="shared" si="12"/>
        <v>3.6651032236892204E-5</v>
      </c>
      <c r="Y65" s="97">
        <v>4.5900000000000003E-3</v>
      </c>
      <c r="Z65" s="62">
        <f t="shared" si="6"/>
        <v>1.0762007518089222E-4</v>
      </c>
      <c r="AA65" s="97">
        <v>6.9317900000000002E-3</v>
      </c>
      <c r="AB65" s="62">
        <f t="shared" si="1"/>
        <v>6.4516551702624208E-5</v>
      </c>
      <c r="AC65" s="97">
        <v>7.3980000000000001E-3</v>
      </c>
      <c r="AD65" s="62">
        <f t="shared" si="7"/>
        <v>5.7244501267292204E-5</v>
      </c>
      <c r="AE65">
        <v>3.79E-3</v>
      </c>
      <c r="AF65" s="62">
        <f t="shared" si="8"/>
        <v>1.2485849054089224E-4</v>
      </c>
    </row>
    <row r="66" spans="1:32">
      <c r="A66" s="63">
        <v>61</v>
      </c>
      <c r="B66" s="78">
        <v>1.6276085800000013E-2</v>
      </c>
      <c r="C66" s="123">
        <v>8.0800000000000004E-3</v>
      </c>
      <c r="D66" s="62">
        <f t="shared" si="10"/>
        <v>6.7175822440961857E-5</v>
      </c>
      <c r="E66" s="67">
        <v>2.878E-2</v>
      </c>
      <c r="F66" s="62">
        <f t="shared" si="3"/>
        <v>1.5634787032096131E-4</v>
      </c>
      <c r="G66" s="106">
        <v>1.4540000000000001E-2</v>
      </c>
      <c r="H66" s="62">
        <f t="shared" si="3"/>
        <v>3.0139939049616833E-6</v>
      </c>
      <c r="I66">
        <v>1.013E-2</v>
      </c>
      <c r="J66" s="62">
        <f t="shared" si="0"/>
        <v>3.7774370660961804E-5</v>
      </c>
      <c r="K66" s="113">
        <v>9.0299999999999998E-3</v>
      </c>
      <c r="L66" s="114">
        <f t="shared" si="4"/>
        <v>5.2505759420961838E-5</v>
      </c>
      <c r="M66" s="102">
        <v>3.1383377300000001E-2</v>
      </c>
      <c r="N66" s="62">
        <f t="shared" si="12"/>
        <v>2.2823025646597189E-4</v>
      </c>
      <c r="O66" s="102">
        <v>7.3150000000000003E-3</v>
      </c>
      <c r="P66" s="62">
        <f t="shared" si="12"/>
        <v>8.0301058714961877E-5</v>
      </c>
      <c r="Q66" s="97">
        <v>2.9267000000000001E-2</v>
      </c>
      <c r="R66" s="62">
        <f t="shared" si="12"/>
        <v>1.6876385175176132E-4</v>
      </c>
      <c r="S66" s="97">
        <v>6.9239999999999996E-3</v>
      </c>
      <c r="T66" s="62">
        <f t="shared" si="12"/>
        <v>8.7461508810561902E-5</v>
      </c>
      <c r="U66" s="97">
        <v>9.2099999999999994E-3</v>
      </c>
      <c r="V66" s="62">
        <f t="shared" si="12"/>
        <v>4.9929568532961834E-5</v>
      </c>
      <c r="W66" s="97">
        <v>9.7699999999999992E-3</v>
      </c>
      <c r="X66" s="62">
        <f t="shared" si="12"/>
        <v>4.2329152436961824E-5</v>
      </c>
      <c r="Y66" s="97">
        <v>5.0099999999999997E-3</v>
      </c>
      <c r="Z66" s="62">
        <f t="shared" si="6"/>
        <v>1.2692468925296194E-4</v>
      </c>
      <c r="AA66" s="97">
        <v>7.5794699999999996E-3</v>
      </c>
      <c r="AB66" s="62">
        <f t="shared" si="1"/>
        <v>7.5631126372809876E-5</v>
      </c>
      <c r="AC66" s="97">
        <v>7.8879999999999992E-3</v>
      </c>
      <c r="AD66" s="62">
        <f t="shared" si="7"/>
        <v>7.0359983388161871E-5</v>
      </c>
      <c r="AE66">
        <v>4.0800000000000003E-3</v>
      </c>
      <c r="AF66" s="62">
        <f t="shared" si="8"/>
        <v>1.4874450884096196E-4</v>
      </c>
    </row>
    <row r="67" spans="1:32">
      <c r="A67" s="63">
        <v>62</v>
      </c>
      <c r="B67" s="78">
        <v>1.7680464599999994E-2</v>
      </c>
      <c r="C67" s="123">
        <v>8.7899999999999992E-3</v>
      </c>
      <c r="D67" s="62">
        <f t="shared" si="10"/>
        <v>7.9040360803853065E-5</v>
      </c>
      <c r="E67" s="67">
        <v>3.1179999999999999E-2</v>
      </c>
      <c r="F67" s="62">
        <f t="shared" si="3"/>
        <v>1.822374560158533E-4</v>
      </c>
      <c r="G67" s="106">
        <v>1.5980000000000001E-2</v>
      </c>
      <c r="H67" s="62">
        <f t="shared" si="3"/>
        <v>2.8915798558531357E-6</v>
      </c>
      <c r="I67">
        <v>1.0959999999999999E-2</v>
      </c>
      <c r="J67" s="62">
        <f t="shared" si="0"/>
        <v>4.5164644439853088E-5</v>
      </c>
      <c r="K67" s="113">
        <v>9.7599999999999996E-3</v>
      </c>
      <c r="L67" s="114">
        <f t="shared" si="4"/>
        <v>6.2733759479853069E-5</v>
      </c>
      <c r="M67" s="102">
        <v>3.37324294E-2</v>
      </c>
      <c r="N67" s="62">
        <f t="shared" si="12"/>
        <v>2.576655739404392E-4</v>
      </c>
      <c r="O67" s="102">
        <v>7.9760000000000005E-3</v>
      </c>
      <c r="P67" s="62">
        <f t="shared" si="12"/>
        <v>9.4176633172653035E-5</v>
      </c>
      <c r="Q67" s="97">
        <v>3.2675999999999997E-2</v>
      </c>
      <c r="R67" s="62">
        <f t="shared" si="12"/>
        <v>2.2486608193265323E-4</v>
      </c>
      <c r="S67" s="97">
        <v>7.6449999999999999E-3</v>
      </c>
      <c r="T67" s="62">
        <f t="shared" si="12"/>
        <v>1.0071054973785306E-4</v>
      </c>
      <c r="U67" s="97">
        <v>1.0319999999999999E-2</v>
      </c>
      <c r="V67" s="62">
        <f t="shared" si="12"/>
        <v>5.4176439127853083E-5</v>
      </c>
      <c r="W67" s="97">
        <v>1.0630000000000001E-2</v>
      </c>
      <c r="X67" s="62">
        <f t="shared" si="12"/>
        <v>4.9709051075853068E-5</v>
      </c>
      <c r="Y67" s="97">
        <v>5.4799999999999996E-3</v>
      </c>
      <c r="Z67" s="62">
        <f t="shared" si="6"/>
        <v>1.4885133645585303E-4</v>
      </c>
      <c r="AA67" s="97">
        <v>8.3003999999999994E-3</v>
      </c>
      <c r="AB67" s="62">
        <f t="shared" si="1"/>
        <v>8.798561190017306E-5</v>
      </c>
      <c r="AC67" s="97">
        <v>8.3689999999999997E-3</v>
      </c>
      <c r="AD67" s="62">
        <f t="shared" si="7"/>
        <v>8.6703372997053057E-5</v>
      </c>
      <c r="AE67">
        <v>4.4200000000000003E-3</v>
      </c>
      <c r="AF67" s="62">
        <f t="shared" si="8"/>
        <v>1.7583992140785299E-4</v>
      </c>
    </row>
    <row r="68" spans="1:32">
      <c r="A68" s="63">
        <v>63</v>
      </c>
      <c r="B68" s="78">
        <v>1.9181431199999995E-2</v>
      </c>
      <c r="C68" s="123">
        <v>9.5700000000000004E-3</v>
      </c>
      <c r="D68" s="62">
        <f t="shared" si="10"/>
        <v>9.2379609712333333E-5</v>
      </c>
      <c r="E68" s="67">
        <v>3.3759999999999998E-2</v>
      </c>
      <c r="F68" s="62">
        <f t="shared" si="3"/>
        <v>2.1253466825633355E-4</v>
      </c>
      <c r="G68" s="106">
        <v>1.7559999999999999E-2</v>
      </c>
      <c r="H68" s="62">
        <f t="shared" si="3"/>
        <v>2.6290391363334246E-6</v>
      </c>
      <c r="I68">
        <v>1.2019999999999999E-2</v>
      </c>
      <c r="J68" s="62">
        <f t="shared" si="0"/>
        <v>5.1286096832333367E-5</v>
      </c>
      <c r="K68" s="113">
        <v>1.055E-2</v>
      </c>
      <c r="L68" s="114">
        <f t="shared" si="4"/>
        <v>7.4501604560333338E-5</v>
      </c>
      <c r="M68" s="102">
        <v>3.6324111300000003E-2</v>
      </c>
      <c r="N68" s="62">
        <f t="shared" si="12"/>
        <v>2.9387148101093629E-4</v>
      </c>
      <c r="O68" s="102">
        <v>8.6759999999999997E-3</v>
      </c>
      <c r="P68" s="62">
        <f t="shared" si="12"/>
        <v>1.1036408469793333E-4</v>
      </c>
      <c r="Q68" s="97">
        <v>3.6323000000000001E-2</v>
      </c>
      <c r="R68" s="62">
        <f t="shared" si="12"/>
        <v>2.9383338092513368E-4</v>
      </c>
      <c r="S68" s="97">
        <v>8.456E-3</v>
      </c>
      <c r="T68" s="62">
        <f t="shared" si="12"/>
        <v>1.1503487442593332E-4</v>
      </c>
      <c r="U68" s="97">
        <v>1.157E-2</v>
      </c>
      <c r="V68" s="62">
        <f t="shared" si="12"/>
        <v>5.7933884912333347E-5</v>
      </c>
      <c r="W68" s="97">
        <v>1.149E-2</v>
      </c>
      <c r="X68" s="62">
        <f t="shared" si="12"/>
        <v>5.9158113904333351E-5</v>
      </c>
      <c r="Y68" s="97">
        <v>5.9899999999999997E-3</v>
      </c>
      <c r="Z68" s="62">
        <f t="shared" si="6"/>
        <v>1.7401385710433332E-4</v>
      </c>
      <c r="AA68" s="97">
        <v>9.1027999999999994E-3</v>
      </c>
      <c r="AB68" s="62">
        <f t="shared" si="1"/>
        <v>1.0157880686561334E-4</v>
      </c>
      <c r="AC68" s="97">
        <v>9.4450000000000003E-3</v>
      </c>
      <c r="AD68" s="62">
        <f t="shared" si="7"/>
        <v>9.4798092512333334E-5</v>
      </c>
      <c r="AE68">
        <v>4.8199999999999996E-3</v>
      </c>
      <c r="AF68" s="62">
        <f t="shared" si="8"/>
        <v>2.0625070611233329E-4</v>
      </c>
    </row>
    <row r="69" spans="1:32">
      <c r="A69" s="63">
        <v>64</v>
      </c>
      <c r="B69" s="78">
        <v>2.0783366800000008E-2</v>
      </c>
      <c r="C69" s="123">
        <v>1.0410000000000001E-2</v>
      </c>
      <c r="D69" s="62">
        <f t="shared" si="10"/>
        <v>1.076067387673424E-4</v>
      </c>
      <c r="E69" s="67">
        <v>3.6580000000000001E-2</v>
      </c>
      <c r="F69" s="62">
        <f t="shared" si="3"/>
        <v>2.4953362045534202E-4</v>
      </c>
      <c r="G69" s="106">
        <v>1.9259999999999999E-2</v>
      </c>
      <c r="H69" s="62">
        <f t="shared" si="3"/>
        <v>2.3206464073422671E-6</v>
      </c>
      <c r="I69">
        <v>1.325E-2</v>
      </c>
      <c r="J69" s="62">
        <f t="shared" si="0"/>
        <v>5.6751615343342367E-5</v>
      </c>
      <c r="K69" s="113">
        <v>1.14E-2</v>
      </c>
      <c r="L69" s="114">
        <f t="shared" si="4"/>
        <v>8.8047572503342387E-5</v>
      </c>
      <c r="M69" s="102">
        <v>3.9123968799999999E-2</v>
      </c>
      <c r="N69" s="62">
        <f t="shared" si="12"/>
        <v>3.3637768172240363E-4</v>
      </c>
      <c r="O69" s="102">
        <v>9.4350000000000007E-3</v>
      </c>
      <c r="P69" s="62">
        <f t="shared" si="12"/>
        <v>1.287854290273424E-4</v>
      </c>
      <c r="Q69" s="97">
        <v>4.0294999999999997E-2</v>
      </c>
      <c r="R69" s="62">
        <f t="shared" si="12"/>
        <v>3.8070383013134184E-4</v>
      </c>
      <c r="S69" s="97">
        <v>9.3729999999999994E-3</v>
      </c>
      <c r="T69" s="62">
        <f t="shared" si="12"/>
        <v>1.3019647051054243E-4</v>
      </c>
      <c r="U69" s="97">
        <v>1.2959999999999999E-2</v>
      </c>
      <c r="V69" s="62">
        <f t="shared" si="12"/>
        <v>6.1205068087342385E-5</v>
      </c>
      <c r="W69" s="97">
        <v>1.238E-2</v>
      </c>
      <c r="X69" s="62">
        <f t="shared" si="12"/>
        <v>7.0616573575342376E-5</v>
      </c>
      <c r="Y69" s="97">
        <v>6.5399999999999998E-3</v>
      </c>
      <c r="Z69" s="62">
        <f t="shared" si="6"/>
        <v>2.0287349779934244E-4</v>
      </c>
      <c r="AA69" s="97">
        <v>9.9958000000000009E-3</v>
      </c>
      <c r="AB69" s="62">
        <f t="shared" si="1"/>
        <v>1.163715974644624E-4</v>
      </c>
      <c r="AC69" s="97">
        <v>1.0558E-2</v>
      </c>
      <c r="AD69" s="62">
        <f t="shared" si="7"/>
        <v>1.0455812619454242E-4</v>
      </c>
      <c r="AE69">
        <v>5.2700000000000004E-3</v>
      </c>
      <c r="AF69" s="62">
        <f t="shared" si="8"/>
        <v>2.4066454947134247E-4</v>
      </c>
    </row>
    <row r="70" spans="1:32">
      <c r="A70" s="63">
        <v>65</v>
      </c>
      <c r="B70" s="78">
        <v>2.2490748600000002E-2</v>
      </c>
      <c r="C70" s="123">
        <v>1.133E-2</v>
      </c>
      <c r="D70" s="62">
        <f t="shared" si="10"/>
        <v>1.2456230931240202E-4</v>
      </c>
      <c r="E70" s="67">
        <v>3.9640000000000002E-2</v>
      </c>
      <c r="F70" s="62">
        <f t="shared" si="3"/>
        <v>2.9409682358040194E-4</v>
      </c>
      <c r="G70" s="106">
        <v>2.1100000000000001E-2</v>
      </c>
      <c r="H70" s="62">
        <f t="shared" si="3"/>
        <v>1.934181668401965E-6</v>
      </c>
      <c r="I70">
        <v>1.4590000000000001E-2</v>
      </c>
      <c r="J70" s="62">
        <f t="shared" ref="J70:J104" si="13">+(I70-$B70)^2</f>
        <v>6.242182844040199E-5</v>
      </c>
      <c r="K70" s="113">
        <v>1.2330000000000001E-2</v>
      </c>
      <c r="L70" s="114">
        <f t="shared" si="4"/>
        <v>1.0324081211240199E-4</v>
      </c>
      <c r="M70" s="102">
        <v>4.2205930599999997E-2</v>
      </c>
      <c r="N70" s="62">
        <f t="shared" si="12"/>
        <v>3.8868840129312377E-4</v>
      </c>
      <c r="O70" s="102">
        <v>1.0298E-2</v>
      </c>
      <c r="P70" s="62">
        <f t="shared" si="12"/>
        <v>1.4866311842280202E-4</v>
      </c>
      <c r="Q70" s="97">
        <v>4.4478999999999998E-2</v>
      </c>
      <c r="R70" s="62">
        <f t="shared" si="12"/>
        <v>4.8348319962960174E-4</v>
      </c>
      <c r="S70" s="97">
        <v>1.0410000000000001E-2</v>
      </c>
      <c r="T70" s="62">
        <f t="shared" si="12"/>
        <v>1.4594448673640201E-4</v>
      </c>
      <c r="U70" s="97">
        <v>1.451E-2</v>
      </c>
      <c r="V70" s="62">
        <f t="shared" si="12"/>
        <v>6.3692348216401988E-5</v>
      </c>
      <c r="W70" s="97">
        <v>1.336E-2</v>
      </c>
      <c r="X70" s="62">
        <f t="shared" si="12"/>
        <v>8.3370569996402003E-5</v>
      </c>
      <c r="Y70" s="97">
        <v>7.1399999999999996E-3</v>
      </c>
      <c r="Z70" s="62">
        <f t="shared" si="6"/>
        <v>2.3564548258040203E-4</v>
      </c>
      <c r="AA70" s="97">
        <v>1.0989530000000001E-2</v>
      </c>
      <c r="AB70" s="62">
        <f t="shared" ref="AB70:AB113" si="14">+(AA70-$B70)^2</f>
        <v>1.32278029284986E-4</v>
      </c>
      <c r="AC70" s="97">
        <v>1.1714E-2</v>
      </c>
      <c r="AD70" s="62">
        <f t="shared" si="7"/>
        <v>1.1613831038760201E-4</v>
      </c>
      <c r="AE70">
        <v>5.77E-3</v>
      </c>
      <c r="AF70" s="62">
        <f t="shared" si="8"/>
        <v>2.7958343374440202E-4</v>
      </c>
    </row>
    <row r="71" spans="1:32">
      <c r="A71" s="63">
        <v>66</v>
      </c>
      <c r="B71" s="78">
        <v>2.4308149799999998E-2</v>
      </c>
      <c r="C71" s="123">
        <v>1.2330000000000001E-2</v>
      </c>
      <c r="D71" s="62">
        <f t="shared" si="10"/>
        <v>1.4347607263123996E-4</v>
      </c>
      <c r="E71" s="67">
        <v>4.2959999999999998E-2</v>
      </c>
      <c r="F71" s="62">
        <f t="shared" ref="F71:H108" si="15">+(E71-$B71)^2</f>
        <v>3.4789151588324006E-4</v>
      </c>
      <c r="G71" s="106">
        <v>2.3089999999999999E-2</v>
      </c>
      <c r="H71" s="62">
        <f t="shared" si="15"/>
        <v>1.4838889352400363E-6</v>
      </c>
      <c r="I71">
        <v>1.6E-2</v>
      </c>
      <c r="J71" s="62">
        <f t="shared" si="13"/>
        <v>6.9025353099240003E-5</v>
      </c>
      <c r="K71" s="113">
        <v>1.3349999999999999E-2</v>
      </c>
      <c r="L71" s="114">
        <f t="shared" ref="L71:L103" si="16">+(K71-$B71)^2</f>
        <v>1.2008104703924002E-4</v>
      </c>
      <c r="M71" s="102">
        <v>4.5540612100000002E-2</v>
      </c>
      <c r="N71" s="62">
        <f t="shared" ref="N71:X86" si="17">+(M71-$B71)^2</f>
        <v>4.5081745532092149E-4</v>
      </c>
      <c r="O71" s="102">
        <v>1.1280999999999999E-2</v>
      </c>
      <c r="P71" s="62">
        <f t="shared" si="17"/>
        <v>1.6970663191164E-4</v>
      </c>
      <c r="Q71" s="97">
        <v>4.8982999999999999E-2</v>
      </c>
      <c r="R71" s="62">
        <f t="shared" si="17"/>
        <v>6.0884823239244009E-4</v>
      </c>
      <c r="S71" s="97">
        <v>1.1587E-2</v>
      </c>
      <c r="T71" s="62">
        <f t="shared" si="17"/>
        <v>1.6182765223403999E-4</v>
      </c>
      <c r="U71" s="97">
        <v>1.6240000000000001E-2</v>
      </c>
      <c r="V71" s="62">
        <f t="shared" si="17"/>
        <v>6.5095041195239995E-5</v>
      </c>
      <c r="W71" s="97">
        <v>1.448E-2</v>
      </c>
      <c r="X71" s="62">
        <f t="shared" si="17"/>
        <v>9.6592528491240001E-5</v>
      </c>
      <c r="Y71" s="97">
        <v>7.7799999999999996E-3</v>
      </c>
      <c r="Z71" s="62">
        <f t="shared" ref="Z71:Z118" si="18">+(Y71-$B71)^2</f>
        <v>2.7317973581124003E-4</v>
      </c>
      <c r="AA71" s="97">
        <v>1.2095369999999999E-2</v>
      </c>
      <c r="AB71" s="62">
        <f t="shared" si="14"/>
        <v>1.4915199044328799E-4</v>
      </c>
      <c r="AC71" s="97">
        <v>1.2954E-2</v>
      </c>
      <c r="AD71" s="62">
        <f t="shared" si="7"/>
        <v>1.2891671768083999E-4</v>
      </c>
      <c r="AE71">
        <v>6.3299999999999997E-3</v>
      </c>
      <c r="AF71" s="62">
        <f t="shared" si="8"/>
        <v>3.2321387023124003E-4</v>
      </c>
    </row>
    <row r="72" spans="1:32">
      <c r="A72" s="63">
        <v>67</v>
      </c>
      <c r="B72" s="78">
        <v>2.6240239599999989E-2</v>
      </c>
      <c r="C72" s="123">
        <v>1.342E-2</v>
      </c>
      <c r="D72" s="62">
        <f t="shared" si="10"/>
        <v>1.6435854340140788E-4</v>
      </c>
      <c r="E72" s="67">
        <v>4.6559999999999997E-2</v>
      </c>
      <c r="F72" s="62">
        <f t="shared" si="15"/>
        <v>4.128926627134085E-4</v>
      </c>
      <c r="G72" s="106">
        <v>2.5250000000000002E-2</v>
      </c>
      <c r="H72" s="62">
        <f t="shared" si="15"/>
        <v>9.8057446540813541E-7</v>
      </c>
      <c r="I72">
        <v>1.7430000000000001E-2</v>
      </c>
      <c r="J72" s="62">
        <f t="shared" si="13"/>
        <v>7.7620321809407957E-5</v>
      </c>
      <c r="K72" s="113">
        <v>1.448E-2</v>
      </c>
      <c r="L72" s="114">
        <f t="shared" si="16"/>
        <v>1.383032354494079E-4</v>
      </c>
      <c r="M72" s="102">
        <v>4.9175186500000002E-2</v>
      </c>
      <c r="N72" s="62">
        <f t="shared" si="17"/>
        <v>5.260117893058202E-4</v>
      </c>
      <c r="O72" s="102">
        <v>1.2370000000000001E-2</v>
      </c>
      <c r="P72" s="62">
        <f t="shared" si="17"/>
        <v>1.9238354656140783E-4</v>
      </c>
      <c r="Q72" s="97">
        <v>5.4045000000000003E-2</v>
      </c>
      <c r="R72" s="62">
        <f t="shared" si="17"/>
        <v>7.731047009014089E-4</v>
      </c>
      <c r="S72" s="97">
        <v>1.2926E-2</v>
      </c>
      <c r="T72" s="62">
        <f t="shared" si="17"/>
        <v>1.7726897612620787E-4</v>
      </c>
      <c r="U72" s="97">
        <v>1.8169999999999999E-2</v>
      </c>
      <c r="V72" s="62">
        <f t="shared" si="17"/>
        <v>6.5128767201408011E-5</v>
      </c>
      <c r="W72" s="97">
        <v>1.5709999999999998E-2</v>
      </c>
      <c r="X72" s="62">
        <f t="shared" si="17"/>
        <v>1.1088594603340796E-4</v>
      </c>
      <c r="Y72" s="97">
        <v>8.5000000000000006E-3</v>
      </c>
      <c r="Z72" s="62">
        <f t="shared" si="18"/>
        <v>3.1471610106540777E-4</v>
      </c>
      <c r="AA72" s="97">
        <v>1.33253E-2</v>
      </c>
      <c r="AB72" s="62">
        <f t="shared" si="14"/>
        <v>1.6679566487164788E-4</v>
      </c>
      <c r="AC72" s="97">
        <v>1.3901E-2</v>
      </c>
      <c r="AD72" s="62">
        <f t="shared" si="7"/>
        <v>1.5225683390620789E-4</v>
      </c>
      <c r="AE72">
        <v>6.9499999999999996E-3</v>
      </c>
      <c r="AF72" s="62">
        <f t="shared" si="8"/>
        <v>3.7211334382540769E-4</v>
      </c>
    </row>
    <row r="73" spans="1:32">
      <c r="A73" s="63">
        <v>68</v>
      </c>
      <c r="B73" s="78">
        <v>2.8291783200000004E-2</v>
      </c>
      <c r="C73" s="123">
        <v>1.46E-2</v>
      </c>
      <c r="D73" s="62">
        <f t="shared" si="10"/>
        <v>1.8746492719580235E-4</v>
      </c>
      <c r="E73" s="67">
        <v>5.0459999999999998E-2</v>
      </c>
      <c r="F73" s="62">
        <f t="shared" si="15"/>
        <v>4.9142983609180195E-4</v>
      </c>
      <c r="G73" s="106">
        <v>2.7609999999999999E-2</v>
      </c>
      <c r="H73" s="62">
        <f t="shared" si="15"/>
        <v>4.6482833180224607E-7</v>
      </c>
      <c r="I73">
        <v>1.8839999999999999E-2</v>
      </c>
      <c r="J73" s="62">
        <f t="shared" si="13"/>
        <v>8.9336205659802325E-5</v>
      </c>
      <c r="K73" s="113">
        <v>1.5710000000000002E-2</v>
      </c>
      <c r="L73" s="114">
        <f t="shared" si="16"/>
        <v>1.5830126849180229E-4</v>
      </c>
      <c r="M73" s="102">
        <v>5.3167904299999999E-2</v>
      </c>
      <c r="N73" s="62">
        <f t="shared" si="17"/>
        <v>6.1882140098186498E-4</v>
      </c>
      <c r="O73" s="102">
        <v>1.3572000000000001E-2</v>
      </c>
      <c r="P73" s="62">
        <f t="shared" si="17"/>
        <v>2.1667201745500232E-4</v>
      </c>
      <c r="Q73" s="97">
        <v>5.9665999999999997E-2</v>
      </c>
      <c r="R73" s="62">
        <f t="shared" si="17"/>
        <v>9.8434147981340181E-4</v>
      </c>
      <c r="S73" s="97">
        <v>1.4453000000000001E-2</v>
      </c>
      <c r="T73" s="62">
        <f t="shared" si="17"/>
        <v>1.9151192045660233E-4</v>
      </c>
      <c r="U73" s="97">
        <v>2.0310000000000002E-2</v>
      </c>
      <c r="V73" s="62">
        <f t="shared" si="17"/>
        <v>6.3708863051802273E-5</v>
      </c>
      <c r="W73" s="97">
        <v>1.7080000000000001E-2</v>
      </c>
      <c r="X73" s="62">
        <f t="shared" si="17"/>
        <v>1.257040825238023E-4</v>
      </c>
      <c r="Y73" s="97">
        <v>9.2700000000000005E-3</v>
      </c>
      <c r="Z73" s="62">
        <f t="shared" si="18"/>
        <v>3.6182823610780238E-4</v>
      </c>
      <c r="AA73" s="97">
        <v>1.469377E-2</v>
      </c>
      <c r="AB73" s="62">
        <f t="shared" si="14"/>
        <v>1.8490596298737432E-4</v>
      </c>
      <c r="AC73" s="97">
        <v>1.6213999999999999E-2</v>
      </c>
      <c r="AD73" s="62">
        <f t="shared" si="7"/>
        <v>1.4587284702620234E-4</v>
      </c>
      <c r="AE73">
        <v>7.62E-3</v>
      </c>
      <c r="AF73" s="62">
        <f t="shared" si="8"/>
        <v>4.2732262066780231E-4</v>
      </c>
    </row>
    <row r="74" spans="1:32">
      <c r="A74" s="63">
        <v>69</v>
      </c>
      <c r="B74" s="78">
        <v>3.04676418E-2</v>
      </c>
      <c r="C74" s="123">
        <v>1.5880000000000002E-2</v>
      </c>
      <c r="D74" s="62">
        <f t="shared" si="10"/>
        <v>2.127992932851072E-4</v>
      </c>
      <c r="E74" s="67">
        <v>5.4699999999999999E-2</v>
      </c>
      <c r="F74" s="62">
        <f t="shared" si="15"/>
        <v>5.872071839331071E-4</v>
      </c>
      <c r="G74" s="106">
        <v>3.0210000000000001E-2</v>
      </c>
      <c r="H74" s="62">
        <f t="shared" si="15"/>
        <v>6.6379297107239844E-8</v>
      </c>
      <c r="I74">
        <v>2.036E-2</v>
      </c>
      <c r="J74" s="62">
        <f t="shared" si="13"/>
        <v>1.0216442275710725E-4</v>
      </c>
      <c r="K74" s="113">
        <v>1.7079999999999998E-2</v>
      </c>
      <c r="L74" s="114">
        <f t="shared" si="16"/>
        <v>1.792289529651073E-4</v>
      </c>
      <c r="M74" s="102">
        <v>5.7475517400000002E-2</v>
      </c>
      <c r="N74" s="62">
        <f t="shared" si="17"/>
        <v>7.294253444250755E-4</v>
      </c>
      <c r="O74" s="102">
        <v>1.4907999999999999E-2</v>
      </c>
      <c r="P74" s="62">
        <f t="shared" si="17"/>
        <v>2.4210245294430729E-4</v>
      </c>
      <c r="Q74" s="97">
        <v>6.5849000000000005E-2</v>
      </c>
      <c r="R74" s="62">
        <f t="shared" si="17"/>
        <v>1.2518405080767076E-3</v>
      </c>
      <c r="S74" s="97">
        <v>1.6199000000000002E-2</v>
      </c>
      <c r="T74" s="62">
        <f t="shared" si="17"/>
        <v>2.0359413881670721E-4</v>
      </c>
      <c r="U74" s="97">
        <v>2.2689999999999998E-2</v>
      </c>
      <c r="V74" s="62">
        <f t="shared" si="17"/>
        <v>6.0491711969107274E-5</v>
      </c>
      <c r="W74" s="97">
        <v>1.8599999999999998E-2</v>
      </c>
      <c r="X74" s="62">
        <f t="shared" si="17"/>
        <v>1.4084092189310728E-4</v>
      </c>
      <c r="Y74" s="97">
        <v>1.009E-2</v>
      </c>
      <c r="Z74" s="62">
        <f t="shared" si="18"/>
        <v>4.1524828532910719E-4</v>
      </c>
      <c r="AA74" s="97">
        <v>1.6215750000000001E-2</v>
      </c>
      <c r="AB74" s="62">
        <f t="shared" si="14"/>
        <v>2.0311641987890724E-4</v>
      </c>
      <c r="AC74" s="97">
        <v>1.8697999999999999E-2</v>
      </c>
      <c r="AD74" s="62">
        <f t="shared" si="7"/>
        <v>1.3852446810030727E-4</v>
      </c>
      <c r="AE74">
        <v>8.3499999999999998E-3</v>
      </c>
      <c r="AF74" s="62">
        <f t="shared" si="8"/>
        <v>4.8919007879310726E-4</v>
      </c>
    </row>
    <row r="75" spans="1:32">
      <c r="A75" s="63">
        <v>70</v>
      </c>
      <c r="B75" s="78">
        <v>3.2772772599999979E-2</v>
      </c>
      <c r="C75" s="123">
        <v>1.728E-2</v>
      </c>
      <c r="D75" s="62">
        <f t="shared" si="10"/>
        <v>2.4002600283531009E-4</v>
      </c>
      <c r="E75" s="67">
        <v>5.9299999999999999E-2</v>
      </c>
      <c r="F75" s="62">
        <f t="shared" si="15"/>
        <v>7.0369379353131176E-4</v>
      </c>
      <c r="G75" s="106">
        <v>3.3079999999999998E-2</v>
      </c>
      <c r="H75" s="62">
        <f t="shared" si="15"/>
        <v>9.4388675310771926E-8</v>
      </c>
      <c r="I75">
        <v>2.2110000000000001E-2</v>
      </c>
      <c r="J75" s="62">
        <f t="shared" si="13"/>
        <v>1.1369471951931029E-4</v>
      </c>
      <c r="K75" s="113">
        <v>1.8630000000000001E-2</v>
      </c>
      <c r="L75" s="114">
        <f t="shared" si="16"/>
        <v>2.0001801681531015E-4</v>
      </c>
      <c r="M75" s="102">
        <v>6.2186254599999997E-2</v>
      </c>
      <c r="N75" s="62">
        <f t="shared" si="17"/>
        <v>8.651529233643251E-4</v>
      </c>
      <c r="O75" s="102">
        <v>1.644E-2</v>
      </c>
      <c r="P75" s="62">
        <f t="shared" si="17"/>
        <v>2.667594608033101E-4</v>
      </c>
      <c r="Q75" s="97">
        <v>7.2543999999999997E-2</v>
      </c>
      <c r="R75" s="62">
        <f t="shared" si="17"/>
        <v>1.5817505289025123E-3</v>
      </c>
      <c r="S75" s="97">
        <v>1.8199E-2</v>
      </c>
      <c r="T75" s="62">
        <f t="shared" si="17"/>
        <v>2.1239484779651016E-4</v>
      </c>
      <c r="U75" s="97">
        <v>2.5340000000000001E-2</v>
      </c>
      <c r="V75" s="62">
        <f t="shared" si="17"/>
        <v>5.5246108523310427E-5</v>
      </c>
      <c r="W75" s="97">
        <v>2.0320000000000001E-2</v>
      </c>
      <c r="X75" s="62">
        <f t="shared" si="17"/>
        <v>1.550715454273102E-4</v>
      </c>
      <c r="Y75" s="97">
        <v>1.0999999999999999E-2</v>
      </c>
      <c r="Z75" s="62">
        <f t="shared" si="18"/>
        <v>4.7405362669130984E-4</v>
      </c>
      <c r="AA75" s="97">
        <v>1.7908250000000001E-2</v>
      </c>
      <c r="AB75" s="62">
        <f t="shared" si="14"/>
        <v>2.2095403212591013E-4</v>
      </c>
      <c r="AC75" s="97">
        <v>2.1132000000000001E-2</v>
      </c>
      <c r="AD75" s="62">
        <f t="shared" si="7"/>
        <v>1.3550758672491024E-4</v>
      </c>
      <c r="AE75">
        <v>9.1400000000000006E-3</v>
      </c>
      <c r="AF75" s="62">
        <f t="shared" si="8"/>
        <v>5.5850794076330967E-4</v>
      </c>
    </row>
    <row r="76" spans="1:32">
      <c r="A76" s="63">
        <v>71</v>
      </c>
      <c r="B76" s="78">
        <v>3.5212228800000009E-2</v>
      </c>
      <c r="C76" s="123">
        <v>1.8789999999999998E-2</v>
      </c>
      <c r="D76" s="62">
        <f t="shared" si="10"/>
        <v>2.6968959875954979E-4</v>
      </c>
      <c r="E76" s="67">
        <v>6.4269999999999994E-2</v>
      </c>
      <c r="F76" s="62">
        <f t="shared" si="15"/>
        <v>8.4435406711154859E-4</v>
      </c>
      <c r="G76" s="106">
        <v>3.6240000000000001E-2</v>
      </c>
      <c r="H76" s="62">
        <f t="shared" si="15"/>
        <v>1.0563136395494245E-6</v>
      </c>
      <c r="I76">
        <v>2.4230000000000002E-2</v>
      </c>
      <c r="J76" s="62">
        <f t="shared" si="13"/>
        <v>1.2060934941554961E-4</v>
      </c>
      <c r="K76" s="113">
        <v>2.0379999999999999E-2</v>
      </c>
      <c r="L76" s="114">
        <f t="shared" si="16"/>
        <v>2.1999501117554973E-4</v>
      </c>
      <c r="M76" s="102">
        <v>6.7306914300000006E-2</v>
      </c>
      <c r="N76" s="62">
        <f t="shared" si="17"/>
        <v>1.03006883734391E-3</v>
      </c>
      <c r="O76" s="102">
        <v>1.8162000000000001E-2</v>
      </c>
      <c r="P76" s="62">
        <f t="shared" si="17"/>
        <v>2.907103021323497E-4</v>
      </c>
      <c r="Q76" s="97">
        <v>7.9825999999999994E-2</v>
      </c>
      <c r="R76" s="62">
        <f t="shared" si="17"/>
        <v>1.9903885806859482E-3</v>
      </c>
      <c r="S76" s="97">
        <v>2.0494999999999999E-2</v>
      </c>
      <c r="T76" s="62">
        <f t="shared" si="17"/>
        <v>2.1659682355154973E-4</v>
      </c>
      <c r="U76" s="97">
        <v>2.828E-2</v>
      </c>
      <c r="V76" s="62">
        <f t="shared" si="17"/>
        <v>4.8055796135549568E-5</v>
      </c>
      <c r="W76" s="97">
        <v>2.2239999999999999E-2</v>
      </c>
      <c r="X76" s="62">
        <f t="shared" si="17"/>
        <v>1.6827872003954969E-4</v>
      </c>
      <c r="Y76" s="97">
        <v>1.2019999999999999E-2</v>
      </c>
      <c r="Z76" s="62">
        <f t="shared" si="18"/>
        <v>5.3787947671154991E-4</v>
      </c>
      <c r="AA76" s="97">
        <v>1.979003E-2</v>
      </c>
      <c r="AB76" s="62">
        <f t="shared" si="14"/>
        <v>2.378442158267217E-4</v>
      </c>
      <c r="AC76" s="97">
        <v>2.3466000000000001E-2</v>
      </c>
      <c r="AD76" s="62">
        <f t="shared" si="7"/>
        <v>1.3797389102194964E-4</v>
      </c>
      <c r="AE76">
        <v>1.0160000000000001E-2</v>
      </c>
      <c r="AF76" s="62">
        <f t="shared" si="8"/>
        <v>6.2761416784754974E-4</v>
      </c>
    </row>
    <row r="77" spans="1:32">
      <c r="A77" s="63">
        <v>72</v>
      </c>
      <c r="B77" s="78">
        <v>3.7791159599999999E-2</v>
      </c>
      <c r="C77" s="123">
        <v>2.044E-2</v>
      </c>
      <c r="D77" s="62">
        <f t="shared" si="10"/>
        <v>3.0106273946467211E-4</v>
      </c>
      <c r="E77" s="67">
        <v>6.966E-2</v>
      </c>
      <c r="F77" s="62">
        <f t="shared" si="15"/>
        <v>1.0156229884406723E-3</v>
      </c>
      <c r="G77" s="106">
        <v>3.9660000000000001E-2</v>
      </c>
      <c r="H77" s="62">
        <f t="shared" si="15"/>
        <v>3.4925644406721672E-6</v>
      </c>
      <c r="I77">
        <v>2.6870000000000002E-2</v>
      </c>
      <c r="J77" s="62">
        <f t="shared" si="13"/>
        <v>1.192717270086721E-4</v>
      </c>
      <c r="K77" s="113">
        <v>2.2290000000000001E-2</v>
      </c>
      <c r="L77" s="114">
        <f t="shared" si="16"/>
        <v>2.402859489446721E-4</v>
      </c>
      <c r="M77" s="102">
        <v>7.2895581000000001E-2</v>
      </c>
      <c r="N77" s="62">
        <f t="shared" si="17"/>
        <v>1.232320401828778E-3</v>
      </c>
      <c r="O77" s="102">
        <v>2.0018999999999999E-2</v>
      </c>
      <c r="P77" s="62">
        <f t="shared" si="17"/>
        <v>3.1584965684787215E-4</v>
      </c>
      <c r="Q77" s="97">
        <v>8.7638999999999995E-2</v>
      </c>
      <c r="R77" s="62">
        <f t="shared" si="17"/>
        <v>2.4848071925438718E-3</v>
      </c>
      <c r="S77" s="97">
        <v>2.3137000000000001E-2</v>
      </c>
      <c r="T77" s="62">
        <f t="shared" si="17"/>
        <v>2.1474439358227208E-4</v>
      </c>
      <c r="U77" s="97">
        <v>3.1530000000000002E-2</v>
      </c>
      <c r="V77" s="62">
        <f t="shared" si="17"/>
        <v>3.9202119536672114E-5</v>
      </c>
      <c r="W77" s="97">
        <v>2.4309999999999998E-2</v>
      </c>
      <c r="X77" s="62">
        <f t="shared" si="17"/>
        <v>1.8174166416067217E-4</v>
      </c>
      <c r="Y77" s="97">
        <v>1.312E-2</v>
      </c>
      <c r="Z77" s="62">
        <f t="shared" si="18"/>
        <v>6.0866611600867207E-4</v>
      </c>
      <c r="AA77" s="97">
        <v>2.1881830000000001E-2</v>
      </c>
      <c r="AB77" s="62">
        <f t="shared" si="14"/>
        <v>2.5310676832143605E-4</v>
      </c>
      <c r="AC77" s="97">
        <v>2.5797E-2</v>
      </c>
      <c r="AD77" s="62">
        <f t="shared" si="7"/>
        <v>1.4385986451027213E-4</v>
      </c>
      <c r="AE77">
        <v>1.132E-2</v>
      </c>
      <c r="AF77" s="62">
        <f t="shared" si="8"/>
        <v>7.0072229056867207E-4</v>
      </c>
    </row>
    <row r="78" spans="1:32">
      <c r="A78" s="63">
        <v>73</v>
      </c>
      <c r="B78" s="78">
        <v>4.0514810200000008E-2</v>
      </c>
      <c r="C78" s="123">
        <v>2.223E-2</v>
      </c>
      <c r="D78" s="62">
        <f t="shared" si="10"/>
        <v>3.3433428405002432E-4</v>
      </c>
      <c r="E78" s="67">
        <v>7.5499999999999998E-2</v>
      </c>
      <c r="F78" s="62">
        <f t="shared" si="15"/>
        <v>1.2239635053420232E-3</v>
      </c>
      <c r="G78" s="106">
        <v>4.3299999999999998E-2</v>
      </c>
      <c r="H78" s="62">
        <f t="shared" si="15"/>
        <v>7.7572822220239866E-6</v>
      </c>
      <c r="I78">
        <v>3.0110000000000001E-2</v>
      </c>
      <c r="J78" s="62">
        <f t="shared" si="13"/>
        <v>1.0826007529802417E-4</v>
      </c>
      <c r="K78" s="113">
        <v>2.4390000000000002E-2</v>
      </c>
      <c r="L78" s="114">
        <f t="shared" si="16"/>
        <v>2.6000950398602426E-4</v>
      </c>
      <c r="M78" s="102">
        <v>7.8960939999999993E-2</v>
      </c>
      <c r="N78" s="62">
        <f t="shared" si="17"/>
        <v>1.478104896598447E-3</v>
      </c>
      <c r="O78" s="102">
        <v>2.2003000000000002E-2</v>
      </c>
      <c r="P78" s="62">
        <f t="shared" si="17"/>
        <v>3.4268711688082429E-4</v>
      </c>
      <c r="Q78" s="97">
        <v>9.6026E-2</v>
      </c>
      <c r="R78" s="62">
        <f t="shared" si="17"/>
        <v>3.0814921930116231E-3</v>
      </c>
      <c r="S78" s="97">
        <v>2.6148000000000001E-2</v>
      </c>
      <c r="T78" s="62">
        <f t="shared" si="17"/>
        <v>2.0640523532282424E-4</v>
      </c>
      <c r="U78" s="97">
        <v>3.5139999999999998E-2</v>
      </c>
      <c r="V78" s="62">
        <f t="shared" si="17"/>
        <v>2.888858468602415E-5</v>
      </c>
      <c r="W78" s="97">
        <v>2.6519999999999998E-2</v>
      </c>
      <c r="X78" s="62">
        <f t="shared" si="17"/>
        <v>1.9585471253402429E-4</v>
      </c>
      <c r="Y78" s="97">
        <v>1.43E-2</v>
      </c>
      <c r="Z78" s="62">
        <f t="shared" si="18"/>
        <v>6.8721627382202445E-4</v>
      </c>
      <c r="AA78" s="97">
        <v>2.4206539999999999E-2</v>
      </c>
      <c r="AB78" s="62">
        <f t="shared" si="14"/>
        <v>2.6595967691620833E-4</v>
      </c>
      <c r="AC78" s="97">
        <v>2.8684000000000001E-2</v>
      </c>
      <c r="AD78" s="62">
        <f t="shared" si="7"/>
        <v>1.3996806998842421E-4</v>
      </c>
      <c r="AE78">
        <v>1.2659999999999999E-2</v>
      </c>
      <c r="AF78" s="62">
        <f t="shared" si="8"/>
        <v>7.7589045127802461E-4</v>
      </c>
    </row>
    <row r="79" spans="1:32">
      <c r="A79" s="63">
        <v>74</v>
      </c>
      <c r="B79" s="78">
        <v>4.3388521800000031E-2</v>
      </c>
      <c r="C79" s="123">
        <v>2.4170000000000001E-2</v>
      </c>
      <c r="D79" s="62">
        <f t="shared" si="10"/>
        <v>3.6935158017707638E-4</v>
      </c>
      <c r="E79" s="67">
        <v>8.1809999999999994E-2</v>
      </c>
      <c r="F79" s="62">
        <f t="shared" si="15"/>
        <v>1.4762099870730724E-3</v>
      </c>
      <c r="G79" s="106">
        <v>4.709E-2</v>
      </c>
      <c r="H79" s="62">
        <f t="shared" si="15"/>
        <v>1.3700940865075011E-5</v>
      </c>
      <c r="I79">
        <v>3.3930000000000002E-2</v>
      </c>
      <c r="J79" s="62">
        <f t="shared" si="13"/>
        <v>8.9463634641075783E-5</v>
      </c>
      <c r="K79" s="113">
        <v>2.6679999999999999E-2</v>
      </c>
      <c r="L79" s="114">
        <f t="shared" si="16"/>
        <v>2.7917470074107631E-4</v>
      </c>
      <c r="M79" s="102">
        <v>8.5532583300000006E-2</v>
      </c>
      <c r="N79" s="62">
        <f t="shared" si="17"/>
        <v>1.7761219197157802E-3</v>
      </c>
      <c r="O79" s="102">
        <v>2.4173E-2</v>
      </c>
      <c r="P79" s="62">
        <f t="shared" si="17"/>
        <v>3.6923627804627643E-4</v>
      </c>
      <c r="Q79" s="97">
        <v>0.10494100000000001</v>
      </c>
      <c r="R79" s="62">
        <f t="shared" si="17"/>
        <v>3.7887075725614723E-3</v>
      </c>
      <c r="S79" s="97">
        <v>2.9701000000000002E-2</v>
      </c>
      <c r="T79" s="62">
        <f t="shared" si="17"/>
        <v>1.8734825302547603E-4</v>
      </c>
      <c r="U79" s="97">
        <v>3.9129999999999998E-2</v>
      </c>
      <c r="V79" s="62">
        <f t="shared" si="17"/>
        <v>1.813500792107552E-5</v>
      </c>
      <c r="W79" s="97">
        <v>2.894E-2</v>
      </c>
      <c r="X79" s="62">
        <f t="shared" si="17"/>
        <v>2.0875978220507611E-4</v>
      </c>
      <c r="Y79" s="97">
        <v>1.558E-2</v>
      </c>
      <c r="Z79" s="62">
        <f t="shared" si="18"/>
        <v>7.7331388470107691E-4</v>
      </c>
      <c r="AA79" s="97">
        <v>2.6789449999999999E-2</v>
      </c>
      <c r="AB79" s="62">
        <f t="shared" si="14"/>
        <v>2.7552918462155627E-4</v>
      </c>
      <c r="AC79" s="97">
        <v>3.1767999999999998E-2</v>
      </c>
      <c r="AD79" s="62">
        <f t="shared" si="7"/>
        <v>1.3503652690427601E-4</v>
      </c>
      <c r="AE79">
        <v>1.4200000000000001E-2</v>
      </c>
      <c r="AF79" s="62">
        <f t="shared" si="8"/>
        <v>8.5196980486907704E-4</v>
      </c>
    </row>
    <row r="80" spans="1:32">
      <c r="A80" s="63">
        <v>75</v>
      </c>
      <c r="B80" s="78">
        <v>4.6417731599999998E-2</v>
      </c>
      <c r="C80" s="123">
        <v>2.6290000000000001E-2</v>
      </c>
      <c r="D80" s="62">
        <f t="shared" si="10"/>
        <v>4.0512557936163847E-4</v>
      </c>
      <c r="E80" s="67">
        <v>8.8639999999999997E-2</v>
      </c>
      <c r="F80" s="62">
        <f t="shared" si="15"/>
        <v>1.7827199488416384E-3</v>
      </c>
      <c r="G80" s="106">
        <v>5.0999999999999997E-2</v>
      </c>
      <c r="H80" s="62">
        <f t="shared" si="15"/>
        <v>2.0997183689638548E-5</v>
      </c>
      <c r="I80">
        <v>3.8240000000000003E-2</v>
      </c>
      <c r="J80" s="62">
        <f t="shared" si="13"/>
        <v>6.6875294121638475E-5</v>
      </c>
      <c r="K80" s="113">
        <v>2.92E-2</v>
      </c>
      <c r="L80" s="114">
        <f t="shared" si="16"/>
        <v>2.9645028144963847E-4</v>
      </c>
      <c r="M80" s="102">
        <v>9.2668009699999998E-2</v>
      </c>
      <c r="N80" s="62">
        <f t="shared" si="17"/>
        <v>2.1390882243273396E-3</v>
      </c>
      <c r="O80" s="102">
        <v>2.6706000000000001E-2</v>
      </c>
      <c r="P80" s="62">
        <f t="shared" si="17"/>
        <v>3.8855236267043846E-4</v>
      </c>
      <c r="Q80" s="97">
        <v>0.114413</v>
      </c>
      <c r="R80" s="62">
        <f t="shared" si="17"/>
        <v>4.6233565247880389E-3</v>
      </c>
      <c r="S80" s="97">
        <v>3.3770000000000001E-2</v>
      </c>
      <c r="T80" s="62">
        <f t="shared" si="17"/>
        <v>1.5996511462563847E-4</v>
      </c>
      <c r="U80" s="97">
        <v>4.3529999999999999E-2</v>
      </c>
      <c r="V80" s="62">
        <f t="shared" si="17"/>
        <v>8.3389937936385518E-6</v>
      </c>
      <c r="W80" s="97">
        <v>3.1699999999999999E-2</v>
      </c>
      <c r="X80" s="62">
        <f t="shared" si="17"/>
        <v>2.1661162344963853E-4</v>
      </c>
      <c r="Y80" s="97">
        <v>1.6990000000000002E-2</v>
      </c>
      <c r="Z80" s="62">
        <f t="shared" si="18"/>
        <v>8.6599138712163833E-4</v>
      </c>
      <c r="AA80" s="97">
        <v>2.9658400000000001E-2</v>
      </c>
      <c r="AB80" s="62">
        <f t="shared" si="14"/>
        <v>2.8087519567875844E-4</v>
      </c>
      <c r="AC80" s="97">
        <v>3.4751999999999998E-2</v>
      </c>
      <c r="AD80" s="62">
        <f t="shared" si="7"/>
        <v>1.3608929376323855E-4</v>
      </c>
      <c r="AE80">
        <v>1.5970000000000002E-2</v>
      </c>
      <c r="AF80" s="62">
        <f t="shared" si="8"/>
        <v>9.270643595856383E-4</v>
      </c>
    </row>
    <row r="81" spans="1:32">
      <c r="A81" s="63">
        <v>76</v>
      </c>
      <c r="B81" s="78">
        <v>4.9607972800000011E-2</v>
      </c>
      <c r="C81" s="123">
        <v>2.8579999999999998E-2</v>
      </c>
      <c r="D81" s="62">
        <f t="shared" si="10"/>
        <v>4.421756400775404E-4</v>
      </c>
      <c r="E81" s="67">
        <v>9.6019999999999994E-2</v>
      </c>
      <c r="F81" s="62">
        <f t="shared" si="15"/>
        <v>2.1540762688135383E-3</v>
      </c>
      <c r="G81" s="106">
        <v>5.5010000000000003E-2</v>
      </c>
      <c r="H81" s="62">
        <f t="shared" si="15"/>
        <v>2.9181897869539759E-5</v>
      </c>
      <c r="I81">
        <v>4.2970000000000001E-2</v>
      </c>
      <c r="J81" s="62">
        <f t="shared" si="13"/>
        <v>4.4062682893539967E-5</v>
      </c>
      <c r="K81" s="113">
        <v>3.1949999999999999E-2</v>
      </c>
      <c r="L81" s="114">
        <f t="shared" si="16"/>
        <v>3.1180400340554023E-4</v>
      </c>
      <c r="M81" s="102">
        <v>0.1004249111</v>
      </c>
      <c r="N81" s="62">
        <f t="shared" si="17"/>
        <v>2.5823612181860058E-3</v>
      </c>
      <c r="O81" s="102">
        <v>2.9603000000000001E-2</v>
      </c>
      <c r="P81" s="62">
        <f t="shared" si="17"/>
        <v>4.0019893672874025E-4</v>
      </c>
      <c r="Q81" s="97">
        <v>0.12442</v>
      </c>
      <c r="R81" s="62">
        <f t="shared" si="17"/>
        <v>5.596839413773539E-3</v>
      </c>
      <c r="S81" s="97">
        <v>3.8481000000000001E-2</v>
      </c>
      <c r="T81" s="62">
        <f t="shared" si="17"/>
        <v>1.2380952369194005E-4</v>
      </c>
      <c r="U81" s="97">
        <v>4.8390000000000002E-2</v>
      </c>
      <c r="V81" s="62">
        <f t="shared" si="17"/>
        <v>1.4834577415398605E-6</v>
      </c>
      <c r="W81" s="97">
        <v>3.483E-2</v>
      </c>
      <c r="X81" s="62">
        <f t="shared" si="17"/>
        <v>2.1838848007754016E-4</v>
      </c>
      <c r="Y81" s="97">
        <v>1.856E-2</v>
      </c>
      <c r="Z81" s="62">
        <f t="shared" si="18"/>
        <v>9.6397661498954048E-4</v>
      </c>
      <c r="AA81" s="97">
        <v>3.284405E-2</v>
      </c>
      <c r="AB81" s="62">
        <f t="shared" si="14"/>
        <v>2.8102910764436019E-4</v>
      </c>
      <c r="AC81" s="97">
        <v>3.7836000000000002E-2</v>
      </c>
      <c r="AD81" s="62">
        <f t="shared" si="7"/>
        <v>1.3857934360394006E-4</v>
      </c>
      <c r="AE81">
        <v>1.7999999999999999E-2</v>
      </c>
      <c r="AF81" s="62">
        <f t="shared" si="8"/>
        <v>9.9906394452554037E-4</v>
      </c>
    </row>
    <row r="82" spans="1:32">
      <c r="A82" s="63">
        <v>77</v>
      </c>
      <c r="B82" s="78">
        <v>5.2964874599999989E-2</v>
      </c>
      <c r="C82" s="123">
        <v>3.107E-2</v>
      </c>
      <c r="D82" s="62">
        <f t="shared" si="10"/>
        <v>4.7938553374972468E-4</v>
      </c>
      <c r="E82" s="67">
        <v>0.10399</v>
      </c>
      <c r="F82" s="62">
        <f t="shared" si="15"/>
        <v>2.6035634220857263E-3</v>
      </c>
      <c r="G82" s="106">
        <v>5.9229999999999998E-2</v>
      </c>
      <c r="H82" s="62">
        <f t="shared" si="15"/>
        <v>3.9251796277725269E-5</v>
      </c>
      <c r="I82">
        <v>4.8039999999999999E-2</v>
      </c>
      <c r="J82" s="62">
        <f t="shared" si="13"/>
        <v>2.425438982572506E-5</v>
      </c>
      <c r="K82" s="113">
        <v>3.4970000000000001E-2</v>
      </c>
      <c r="L82" s="114">
        <f t="shared" si="16"/>
        <v>3.2381551186972475E-4</v>
      </c>
      <c r="M82" s="102">
        <v>0.1088549336</v>
      </c>
      <c r="N82" s="62">
        <f t="shared" si="17"/>
        <v>3.1236986950234817E-3</v>
      </c>
      <c r="O82" s="102">
        <v>3.2717999999999997E-2</v>
      </c>
      <c r="P82" s="62">
        <f t="shared" si="17"/>
        <v>4.0993593106812483E-4</v>
      </c>
      <c r="Q82" s="97">
        <v>0.134994</v>
      </c>
      <c r="R82" s="62">
        <f t="shared" si="17"/>
        <v>6.7287774138889275E-3</v>
      </c>
      <c r="S82" s="97">
        <v>4.3943000000000003E-2</v>
      </c>
      <c r="T82" s="62">
        <f t="shared" si="17"/>
        <v>8.1394221298124913E-5</v>
      </c>
      <c r="U82" s="97">
        <v>5.3740000000000003E-2</v>
      </c>
      <c r="V82" s="62">
        <f t="shared" si="17"/>
        <v>6.0081938572518138E-7</v>
      </c>
      <c r="W82" s="97">
        <v>3.8260000000000002E-2</v>
      </c>
      <c r="X82" s="62">
        <f t="shared" si="17"/>
        <v>2.1623333700172479E-4</v>
      </c>
      <c r="Y82" s="97">
        <v>2.0299999999999999E-2</v>
      </c>
      <c r="Z82" s="62">
        <f t="shared" si="18"/>
        <v>1.0669940326337246E-3</v>
      </c>
      <c r="AA82" s="97">
        <v>3.638011E-2</v>
      </c>
      <c r="AB82" s="62">
        <f t="shared" si="14"/>
        <v>2.7505441683741278E-4</v>
      </c>
      <c r="AC82" s="97">
        <v>4.2005000000000001E-2</v>
      </c>
      <c r="AD82" s="62">
        <f t="shared" si="7"/>
        <v>1.2011885124772491E-4</v>
      </c>
      <c r="AE82">
        <v>2.0330000000000001E-2</v>
      </c>
      <c r="AF82" s="62">
        <f t="shared" si="8"/>
        <v>1.0650350401577244E-3</v>
      </c>
    </row>
    <row r="83" spans="1:32">
      <c r="A83" s="63">
        <v>78</v>
      </c>
      <c r="B83" s="78">
        <v>5.6494162199999996E-2</v>
      </c>
      <c r="C83" s="123">
        <v>3.3770000000000001E-2</v>
      </c>
      <c r="D83" s="62">
        <f t="shared" si="10"/>
        <v>5.1638754769190863E-4</v>
      </c>
      <c r="E83" s="67">
        <v>0.11259</v>
      </c>
      <c r="F83" s="62">
        <f t="shared" si="15"/>
        <v>3.1467430184839089E-3</v>
      </c>
      <c r="G83" s="106">
        <v>6.3799999999999996E-2</v>
      </c>
      <c r="H83" s="62">
        <f t="shared" si="15"/>
        <v>5.337526595990883E-5</v>
      </c>
      <c r="I83">
        <v>5.3449999999999998E-2</v>
      </c>
      <c r="J83" s="62">
        <f t="shared" si="13"/>
        <v>9.2669234999088324E-6</v>
      </c>
      <c r="K83" s="113">
        <v>3.8280000000000002E-2</v>
      </c>
      <c r="L83" s="114">
        <f t="shared" si="16"/>
        <v>3.3175570464790864E-4</v>
      </c>
      <c r="M83" s="102">
        <v>0.1179413327</v>
      </c>
      <c r="N83" s="62">
        <f t="shared" si="17"/>
        <v>3.7757547624560706E-3</v>
      </c>
      <c r="O83" s="102">
        <v>3.6033999999999997E-2</v>
      </c>
      <c r="P83" s="62">
        <f t="shared" si="17"/>
        <v>4.186182372503088E-4</v>
      </c>
      <c r="Q83" s="97">
        <v>0.146171</v>
      </c>
      <c r="R83" s="62">
        <f t="shared" si="17"/>
        <v>8.0419352378075081E-3</v>
      </c>
      <c r="S83" s="97">
        <v>5.0279999999999998E-2</v>
      </c>
      <c r="T83" s="62">
        <f t="shared" si="17"/>
        <v>3.8615811847908814E-5</v>
      </c>
      <c r="U83" s="97">
        <v>5.9619999999999999E-2</v>
      </c>
      <c r="V83" s="62">
        <f t="shared" si="17"/>
        <v>9.7708619519088601E-6</v>
      </c>
      <c r="W83" s="97">
        <v>4.197E-2</v>
      </c>
      <c r="X83" s="62">
        <f t="shared" si="17"/>
        <v>2.1095128761190873E-4</v>
      </c>
      <c r="Y83" s="97">
        <v>2.2210000000000001E-2</v>
      </c>
      <c r="Z83" s="62">
        <f t="shared" si="18"/>
        <v>1.1754037777559085E-3</v>
      </c>
      <c r="AA83" s="97">
        <v>4.0303569999999997E-2</v>
      </c>
      <c r="AB83" s="62">
        <f t="shared" si="14"/>
        <v>2.6213527578670081E-4</v>
      </c>
      <c r="AC83" s="97">
        <v>4.7502000000000003E-2</v>
      </c>
      <c r="AD83" s="62">
        <f t="shared" si="7"/>
        <v>8.0858981031108729E-5</v>
      </c>
      <c r="AE83">
        <v>2.3009999999999999E-2</v>
      </c>
      <c r="AF83" s="62">
        <f t="shared" si="8"/>
        <v>1.1211891182359088E-3</v>
      </c>
    </row>
    <row r="84" spans="1:32">
      <c r="A84" s="63">
        <v>79</v>
      </c>
      <c r="B84" s="78">
        <v>6.0201656799999989E-2</v>
      </c>
      <c r="C84" s="123">
        <v>3.6700000000000003E-2</v>
      </c>
      <c r="D84" s="62">
        <f t="shared" si="10"/>
        <v>5.5232787234498555E-4</v>
      </c>
      <c r="E84" s="67">
        <v>0.12186</v>
      </c>
      <c r="F84" s="62">
        <f t="shared" si="15"/>
        <v>3.8017512861689873E-3</v>
      </c>
      <c r="G84" s="106">
        <v>6.8849999999999995E-2</v>
      </c>
      <c r="H84" s="62">
        <f t="shared" si="15"/>
        <v>7.4793840104986337E-5</v>
      </c>
      <c r="I84">
        <v>5.935E-2</v>
      </c>
      <c r="J84" s="62">
        <f t="shared" si="13"/>
        <v>7.2531930498622143E-7</v>
      </c>
      <c r="K84" s="113">
        <v>4.1919999999999999E-2</v>
      </c>
      <c r="L84" s="114">
        <f t="shared" si="16"/>
        <v>3.3421897535298588E-4</v>
      </c>
      <c r="M84" s="102">
        <v>0.12781489679999999</v>
      </c>
      <c r="N84" s="62">
        <f t="shared" si="17"/>
        <v>4.5715502232976006E-3</v>
      </c>
      <c r="O84" s="102">
        <v>3.9683000000000003E-2</v>
      </c>
      <c r="P84" s="62">
        <f t="shared" si="17"/>
        <v>4.2101527687618567E-4</v>
      </c>
      <c r="Q84" s="97">
        <v>0.157781</v>
      </c>
      <c r="R84" s="62">
        <f t="shared" si="17"/>
        <v>9.5217282193433891E-3</v>
      </c>
      <c r="S84" s="97">
        <v>5.7634999999999999E-2</v>
      </c>
      <c r="T84" s="62">
        <f t="shared" si="17"/>
        <v>6.5877271289861909E-6</v>
      </c>
      <c r="U84" s="97">
        <v>6.608E-2</v>
      </c>
      <c r="V84" s="62">
        <f t="shared" si="17"/>
        <v>3.4554918776986364E-5</v>
      </c>
      <c r="W84" s="97">
        <v>4.607E-2</v>
      </c>
      <c r="X84" s="62">
        <f t="shared" si="17"/>
        <v>1.9970372391298595E-4</v>
      </c>
      <c r="Y84" s="97">
        <v>2.4309999999999998E-2</v>
      </c>
      <c r="Z84" s="62">
        <f t="shared" si="18"/>
        <v>1.2882110278489855E-3</v>
      </c>
      <c r="AA84" s="97">
        <v>4.465496E-2</v>
      </c>
      <c r="AB84" s="62">
        <f t="shared" si="14"/>
        <v>2.4169978139112989E-4</v>
      </c>
      <c r="AC84" s="97">
        <v>5.2915999999999998E-2</v>
      </c>
      <c r="AD84" s="62">
        <f t="shared" si="7"/>
        <v>5.3080795007386115E-5</v>
      </c>
      <c r="AE84">
        <v>2.6079999999999999E-2</v>
      </c>
      <c r="AF84" s="62">
        <f t="shared" si="8"/>
        <v>1.1642874627769855E-3</v>
      </c>
    </row>
    <row r="85" spans="1:32">
      <c r="A85" s="63">
        <v>80</v>
      </c>
      <c r="B85" s="78">
        <v>6.4093275599999985E-2</v>
      </c>
      <c r="C85" s="123">
        <v>3.9890000000000002E-2</v>
      </c>
      <c r="D85" s="62">
        <f t="shared" si="10"/>
        <v>5.8579854976955454E-4</v>
      </c>
      <c r="E85" s="67">
        <v>0.13184999999999999</v>
      </c>
      <c r="F85" s="62">
        <f t="shared" si="15"/>
        <v>4.5909737014175568E-3</v>
      </c>
      <c r="G85" s="106">
        <v>7.4520000000000003E-2</v>
      </c>
      <c r="H85" s="62">
        <f t="shared" si="15"/>
        <v>1.0871658171355572E-4</v>
      </c>
      <c r="I85">
        <v>6.5989999999999993E-2</v>
      </c>
      <c r="J85" s="62">
        <f t="shared" si="13"/>
        <v>3.5975634495553893E-6</v>
      </c>
      <c r="K85" s="113">
        <v>4.6429999999999999E-2</v>
      </c>
      <c r="L85" s="114">
        <f t="shared" si="16"/>
        <v>3.1199130492155487E-4</v>
      </c>
      <c r="M85" s="102">
        <v>0.13849721849999999</v>
      </c>
      <c r="N85" s="62">
        <f t="shared" si="17"/>
        <v>5.5359467190664617E-3</v>
      </c>
      <c r="O85" s="102">
        <v>4.3899000000000001E-2</v>
      </c>
      <c r="P85" s="62">
        <f t="shared" si="17"/>
        <v>4.0780876700875475E-4</v>
      </c>
      <c r="Q85" s="97">
        <v>0.170045</v>
      </c>
      <c r="R85" s="62">
        <f t="shared" si="17"/>
        <v>1.1225767903333558E-2</v>
      </c>
      <c r="S85" s="97">
        <v>6.6171999999999995E-2</v>
      </c>
      <c r="T85" s="62">
        <f t="shared" si="17"/>
        <v>4.3210951311553986E-6</v>
      </c>
      <c r="U85" s="97">
        <v>7.3160000000000003E-2</v>
      </c>
      <c r="V85" s="62">
        <f t="shared" si="17"/>
        <v>8.2205491345555676E-5</v>
      </c>
      <c r="W85" s="97">
        <v>5.0720000000000001E-2</v>
      </c>
      <c r="X85" s="62">
        <f t="shared" si="17"/>
        <v>1.7884450027355495E-4</v>
      </c>
      <c r="Y85" s="97">
        <v>2.674E-2</v>
      </c>
      <c r="Z85" s="62">
        <f t="shared" si="18"/>
        <v>1.3952671980495544E-3</v>
      </c>
      <c r="AA85" s="97">
        <v>4.9478569999999999E-2</v>
      </c>
      <c r="AB85" s="62">
        <f t="shared" si="14"/>
        <v>2.1358961977467093E-4</v>
      </c>
      <c r="AC85" s="97">
        <v>5.9013999999999997E-2</v>
      </c>
      <c r="AD85" s="62">
        <f t="shared" si="7"/>
        <v>2.5799040620755242E-5</v>
      </c>
      <c r="AE85">
        <v>2.9600000000000001E-2</v>
      </c>
      <c r="AF85" s="62">
        <f t="shared" si="8"/>
        <v>1.1897860616175543E-3</v>
      </c>
    </row>
    <row r="86" spans="1:32">
      <c r="A86" s="63">
        <v>81</v>
      </c>
      <c r="B86" s="78">
        <v>6.8175031800000008E-2</v>
      </c>
      <c r="C86" s="123">
        <v>4.3340000000000004E-2</v>
      </c>
      <c r="D86" s="62">
        <f t="shared" si="10"/>
        <v>6.1677880450701147E-4</v>
      </c>
      <c r="E86" s="67">
        <v>0.1426</v>
      </c>
      <c r="F86" s="62">
        <f t="shared" si="15"/>
        <v>5.5390758915710107E-3</v>
      </c>
      <c r="G86" s="106">
        <v>8.0920000000000006E-2</v>
      </c>
      <c r="H86" s="62">
        <f t="shared" si="15"/>
        <v>1.624342144190112E-4</v>
      </c>
      <c r="I86">
        <v>7.3599999999999999E-2</v>
      </c>
      <c r="J86" s="62">
        <f t="shared" si="13"/>
        <v>2.9430279971011141E-5</v>
      </c>
      <c r="K86" s="113">
        <v>5.1959999999999999E-2</v>
      </c>
      <c r="L86" s="114">
        <f t="shared" si="16"/>
        <v>2.6292725627501151E-4</v>
      </c>
      <c r="M86" s="102">
        <v>0.15000005459999999</v>
      </c>
      <c r="N86" s="62">
        <f t="shared" si="17"/>
        <v>6.6953343562205165E-3</v>
      </c>
      <c r="O86" s="102">
        <v>4.8807000000000003E-2</v>
      </c>
      <c r="P86" s="62">
        <f t="shared" si="17"/>
        <v>3.751206558058114E-4</v>
      </c>
      <c r="Q86" s="97">
        <v>0.18288399999999999</v>
      </c>
      <c r="R86" s="62">
        <f t="shared" si="17"/>
        <v>1.3158147385508608E-2</v>
      </c>
      <c r="S86" s="97">
        <v>7.4699000000000002E-2</v>
      </c>
      <c r="T86" s="62">
        <f t="shared" si="17"/>
        <v>4.2562161074611159E-5</v>
      </c>
      <c r="U86" s="97">
        <v>8.09E-2</v>
      </c>
      <c r="V86" s="62">
        <f t="shared" si="17"/>
        <v>1.6192481569101102E-4</v>
      </c>
      <c r="W86" s="97">
        <v>5.5989999999999998E-2</v>
      </c>
      <c r="X86" s="62">
        <f t="shared" si="17"/>
        <v>1.4847499996701149E-4</v>
      </c>
      <c r="Y86" s="97">
        <v>2.962E-2</v>
      </c>
      <c r="Z86" s="62">
        <f t="shared" si="18"/>
        <v>1.4864904770990118E-3</v>
      </c>
      <c r="AA86" s="97">
        <v>5.482273E-2</v>
      </c>
      <c r="AB86" s="62">
        <f t="shared" si="14"/>
        <v>1.7828396335828345E-4</v>
      </c>
      <c r="AC86" s="97">
        <v>6.5208000000000002E-2</v>
      </c>
      <c r="AD86" s="62">
        <f t="shared" ref="AD86:AD105" si="19">+(AC86-$B86)^2</f>
        <v>8.8032777022112736E-6</v>
      </c>
      <c r="AE86">
        <v>3.3640000000000003E-2</v>
      </c>
      <c r="AF86" s="62">
        <f t="shared" ref="AF86:AF115" si="20">+(AE86-$B86)^2</f>
        <v>1.1926684214270116E-3</v>
      </c>
    </row>
    <row r="87" spans="1:32">
      <c r="A87" s="63">
        <v>82</v>
      </c>
      <c r="B87" s="78">
        <v>7.2453034600000008E-2</v>
      </c>
      <c r="C87" s="123">
        <v>4.7079999999999997E-2</v>
      </c>
      <c r="D87" s="62">
        <f t="shared" si="10"/>
        <v>6.4379088481279767E-4</v>
      </c>
      <c r="E87" s="67">
        <v>0.15415999999999999</v>
      </c>
      <c r="F87" s="62">
        <f t="shared" si="15"/>
        <v>6.6760281948767949E-3</v>
      </c>
      <c r="G87" s="106">
        <v>8.7989999999999999E-2</v>
      </c>
      <c r="H87" s="62">
        <f t="shared" si="15"/>
        <v>2.413972938407969E-4</v>
      </c>
      <c r="I87">
        <v>8.2400000000000001E-2</v>
      </c>
      <c r="J87" s="62">
        <f t="shared" si="13"/>
        <v>9.8942120668797033E-5</v>
      </c>
      <c r="K87" s="113">
        <v>5.7799999999999997E-2</v>
      </c>
      <c r="L87" s="114">
        <f t="shared" si="16"/>
        <v>2.1471142298879747E-4</v>
      </c>
      <c r="M87" s="102">
        <v>0.1624021235</v>
      </c>
      <c r="N87" s="62">
        <f t="shared" ref="N87:X102" si="21">+(M87-$B87)^2</f>
        <v>8.0908385939401015E-3</v>
      </c>
      <c r="O87" s="102">
        <v>5.4373999999999999E-2</v>
      </c>
      <c r="P87" s="62">
        <f t="shared" si="21"/>
        <v>3.2685149206799748E-4</v>
      </c>
      <c r="Q87" s="97">
        <v>0.19618099999999999</v>
      </c>
      <c r="R87" s="62">
        <f t="shared" si="21"/>
        <v>1.5308609422023594E-2</v>
      </c>
      <c r="S87" s="97">
        <v>8.3183000000000007E-2</v>
      </c>
      <c r="T87" s="62">
        <f t="shared" si="21"/>
        <v>1.1513215748519715E-4</v>
      </c>
      <c r="U87" s="97">
        <v>8.9359999999999995E-2</v>
      </c>
      <c r="V87" s="62">
        <f t="shared" si="21"/>
        <v>2.8584547903679673E-4</v>
      </c>
      <c r="W87" s="97">
        <v>6.1850000000000002E-2</v>
      </c>
      <c r="X87" s="62">
        <f t="shared" si="21"/>
        <v>1.1242434272879727E-4</v>
      </c>
      <c r="Y87" s="97">
        <v>3.3070000000000002E-2</v>
      </c>
      <c r="Z87" s="62">
        <f t="shared" si="18"/>
        <v>1.5510234143047976E-3</v>
      </c>
      <c r="AA87" s="97">
        <v>6.0740019999999999E-2</v>
      </c>
      <c r="AB87" s="62">
        <f t="shared" si="14"/>
        <v>1.3719471101981335E-4</v>
      </c>
      <c r="AC87" s="97">
        <v>7.2844999999999993E-2</v>
      </c>
      <c r="AD87" s="62">
        <f t="shared" si="19"/>
        <v>1.536368747971487E-7</v>
      </c>
      <c r="AE87">
        <v>3.8269999999999998E-2</v>
      </c>
      <c r="AF87" s="62">
        <f t="shared" si="20"/>
        <v>1.1684798544647978E-3</v>
      </c>
    </row>
    <row r="88" spans="1:32">
      <c r="A88" s="63">
        <v>83</v>
      </c>
      <c r="B88" s="78">
        <v>7.693348920000001E-2</v>
      </c>
      <c r="C88" s="123">
        <v>5.1139999999999998E-2</v>
      </c>
      <c r="D88" s="62">
        <f t="shared" si="10"/>
        <v>6.6530408511051729E-4</v>
      </c>
      <c r="E88" s="67">
        <v>0.16657</v>
      </c>
      <c r="F88" s="62">
        <f t="shared" si="15"/>
        <v>8.0347040683985144E-3</v>
      </c>
      <c r="G88" s="106">
        <v>9.5640000000000003E-2</v>
      </c>
      <c r="H88" s="62">
        <f t="shared" si="15"/>
        <v>3.4993354631051638E-4</v>
      </c>
      <c r="I88">
        <v>9.2530000000000001E-2</v>
      </c>
      <c r="J88" s="62">
        <f t="shared" si="13"/>
        <v>2.4325114913451636E-4</v>
      </c>
      <c r="K88" s="113">
        <v>6.3939999999999997E-2</v>
      </c>
      <c r="L88" s="114">
        <f t="shared" si="16"/>
        <v>1.6883076159051699E-4</v>
      </c>
      <c r="M88" s="102">
        <v>0.17572957289999999</v>
      </c>
      <c r="N88" s="62">
        <f t="shared" si="21"/>
        <v>9.7606661544574012E-3</v>
      </c>
      <c r="O88" s="102">
        <v>6.0661E-2</v>
      </c>
      <c r="P88" s="62">
        <f t="shared" si="21"/>
        <v>2.6479390476411696E-4</v>
      </c>
      <c r="Q88" s="97">
        <v>0.20997499999999999</v>
      </c>
      <c r="R88" s="62">
        <f t="shared" si="21"/>
        <v>1.7700043595946513E-2</v>
      </c>
      <c r="S88" s="97">
        <v>9.3543000000000001E-2</v>
      </c>
      <c r="T88" s="62">
        <f t="shared" si="21"/>
        <v>2.7587584901531635E-4</v>
      </c>
      <c r="U88" s="97">
        <v>9.8570000000000005E-2</v>
      </c>
      <c r="V88" s="62">
        <f t="shared" si="21"/>
        <v>4.681385995985164E-4</v>
      </c>
      <c r="W88" s="97">
        <v>6.8330000000000002E-2</v>
      </c>
      <c r="X88" s="62">
        <f t="shared" si="21"/>
        <v>7.4020026414516786E-5</v>
      </c>
      <c r="Y88" s="97">
        <v>3.7109999999999997E-2</v>
      </c>
      <c r="Z88" s="62">
        <f t="shared" si="18"/>
        <v>1.5859102920625177E-3</v>
      </c>
      <c r="AA88" s="97">
        <v>6.7287459999999993E-2</v>
      </c>
      <c r="AB88" s="62">
        <f t="shared" si="14"/>
        <v>9.3045879327252967E-5</v>
      </c>
      <c r="AC88" s="97">
        <v>8.3968000000000001E-2</v>
      </c>
      <c r="AD88" s="62">
        <f t="shared" si="19"/>
        <v>4.9484342195316505E-5</v>
      </c>
      <c r="AE88">
        <v>4.3569999999999998E-2</v>
      </c>
      <c r="AF88" s="62">
        <f t="shared" si="20"/>
        <v>1.1131224115985174E-3</v>
      </c>
    </row>
    <row r="89" spans="1:32">
      <c r="A89" s="63">
        <v>84</v>
      </c>
      <c r="B89" s="78">
        <v>8.1622696799999991E-2</v>
      </c>
      <c r="C89" s="123">
        <v>5.5530000000000003E-2</v>
      </c>
      <c r="D89" s="62">
        <f t="shared" ref="D89:D103" si="22">+(C89-$B89)^2</f>
        <v>6.8082882629672968E-4</v>
      </c>
      <c r="E89" s="67">
        <v>0.17988000000000001</v>
      </c>
      <c r="F89" s="62">
        <f t="shared" si="15"/>
        <v>9.654497632136735E-3</v>
      </c>
      <c r="G89" s="106">
        <v>0.10378</v>
      </c>
      <c r="H89" s="62">
        <f t="shared" si="15"/>
        <v>4.9094608509673047E-4</v>
      </c>
      <c r="I89">
        <v>0.10381</v>
      </c>
      <c r="J89" s="62">
        <f t="shared" si="13"/>
        <v>4.9227642328873061E-4</v>
      </c>
      <c r="K89" s="113">
        <v>7.0739999999999997E-2</v>
      </c>
      <c r="L89" s="114">
        <f t="shared" si="16"/>
        <v>1.1843308964073011E-4</v>
      </c>
      <c r="M89" s="102">
        <v>0.1901425957</v>
      </c>
      <c r="N89" s="62">
        <f t="shared" si="21"/>
        <v>1.1776568457266223E-2</v>
      </c>
      <c r="O89" s="102">
        <v>6.7751000000000006E-2</v>
      </c>
      <c r="P89" s="62">
        <f t="shared" si="21"/>
        <v>1.9242397211112984E-4</v>
      </c>
      <c r="Q89" s="97">
        <v>0.22450500000000001</v>
      </c>
      <c r="R89" s="62">
        <f t="shared" si="21"/>
        <v>2.041535256773673E-2</v>
      </c>
      <c r="S89" s="97">
        <v>0.105463</v>
      </c>
      <c r="T89" s="62">
        <f t="shared" si="21"/>
        <v>5.6836005666793072E-4</v>
      </c>
      <c r="U89" s="97">
        <v>0.10857</v>
      </c>
      <c r="V89" s="62">
        <f t="shared" si="21"/>
        <v>7.2615714975273068E-4</v>
      </c>
      <c r="W89" s="97">
        <v>7.5509999999999994E-2</v>
      </c>
      <c r="X89" s="62">
        <f t="shared" si="21"/>
        <v>3.7365062168730212E-5</v>
      </c>
      <c r="Y89" s="97">
        <v>4.1849999999999998E-2</v>
      </c>
      <c r="Z89" s="62">
        <f t="shared" si="18"/>
        <v>1.5818674107447297E-3</v>
      </c>
      <c r="AA89" s="97">
        <v>7.4526659999999995E-2</v>
      </c>
      <c r="AB89" s="62">
        <f t="shared" si="14"/>
        <v>5.0353738266954193E-5</v>
      </c>
      <c r="AC89" s="97">
        <v>9.3826000000000007E-2</v>
      </c>
      <c r="AD89" s="62">
        <f t="shared" si="19"/>
        <v>1.4892060899113061E-4</v>
      </c>
      <c r="AE89">
        <v>4.9639999999999997E-2</v>
      </c>
      <c r="AF89" s="62">
        <f t="shared" si="20"/>
        <v>1.0228928946007299E-3</v>
      </c>
    </row>
    <row r="90" spans="1:32">
      <c r="A90" s="63">
        <v>85</v>
      </c>
      <c r="B90" s="78">
        <v>8.65270546E-2</v>
      </c>
      <c r="C90" s="123">
        <v>6.0289999999999996E-2</v>
      </c>
      <c r="D90" s="62">
        <f t="shared" si="22"/>
        <v>6.8838303408338139E-4</v>
      </c>
      <c r="E90" s="67">
        <v>0.19413</v>
      </c>
      <c r="F90" s="62">
        <f t="shared" si="15"/>
        <v>1.157839385875538E-2</v>
      </c>
      <c r="G90" s="106">
        <v>0.11232</v>
      </c>
      <c r="H90" s="62">
        <f t="shared" si="15"/>
        <v>6.6527603240738127E-4</v>
      </c>
      <c r="I90">
        <v>0.11609999999999999</v>
      </c>
      <c r="J90" s="62">
        <f t="shared" si="13"/>
        <v>8.7455909963138085E-4</v>
      </c>
      <c r="K90" s="113">
        <v>7.7590000000000006E-2</v>
      </c>
      <c r="L90" s="114">
        <f t="shared" si="16"/>
        <v>7.9870944923381056E-5</v>
      </c>
      <c r="M90" s="102">
        <v>0.2056927767</v>
      </c>
      <c r="N90" s="62">
        <f t="shared" si="21"/>
        <v>1.4200469323614427E-2</v>
      </c>
      <c r="O90" s="102">
        <v>7.5729000000000005E-2</v>
      </c>
      <c r="P90" s="62">
        <f t="shared" si="21"/>
        <v>1.1659798314458107E-4</v>
      </c>
      <c r="Q90" s="97">
        <v>0.239403</v>
      </c>
      <c r="R90" s="62">
        <f t="shared" si="21"/>
        <v>2.3371054681943778E-2</v>
      </c>
      <c r="S90" s="97">
        <v>0.11733399999999999</v>
      </c>
      <c r="T90" s="62">
        <f t="shared" si="21"/>
        <v>9.4906788487858073E-4</v>
      </c>
      <c r="U90" s="97">
        <v>0.11942999999999999</v>
      </c>
      <c r="V90" s="62">
        <f t="shared" si="21"/>
        <v>1.0826038159953808E-3</v>
      </c>
      <c r="W90" s="97">
        <v>8.3479999999999999E-2</v>
      </c>
      <c r="X90" s="62">
        <f t="shared" si="21"/>
        <v>9.2845417353811683E-6</v>
      </c>
      <c r="Y90" s="97">
        <v>4.7489999999999997E-2</v>
      </c>
      <c r="Z90" s="62">
        <f t="shared" si="18"/>
        <v>1.5238916318433813E-3</v>
      </c>
      <c r="AA90" s="97">
        <v>8.2524009999999995E-2</v>
      </c>
      <c r="AB90" s="62">
        <f t="shared" si="14"/>
        <v>1.6024366069589204E-5</v>
      </c>
      <c r="AC90" s="97">
        <v>0.10449799999999999</v>
      </c>
      <c r="AD90" s="62">
        <f t="shared" si="19"/>
        <v>3.2295487856978092E-4</v>
      </c>
      <c r="AE90">
        <v>5.6570000000000002E-2</v>
      </c>
      <c r="AF90" s="62">
        <f t="shared" si="20"/>
        <v>8.9742512030738101E-4</v>
      </c>
    </row>
    <row r="91" spans="1:32">
      <c r="A91" s="63">
        <v>86</v>
      </c>
      <c r="B91" s="78">
        <v>9.1653055800000036E-2</v>
      </c>
      <c r="C91" s="123">
        <v>6.5439999999999998E-2</v>
      </c>
      <c r="D91" s="62">
        <f t="shared" si="22"/>
        <v>6.8712429437391565E-4</v>
      </c>
      <c r="E91" s="67">
        <v>0.20937</v>
      </c>
      <c r="F91" s="62">
        <f t="shared" si="15"/>
        <v>1.3857278951785906E-2</v>
      </c>
      <c r="G91" s="106">
        <v>0.1212</v>
      </c>
      <c r="H91" s="62">
        <f t="shared" si="15"/>
        <v>8.730219115579117E-4</v>
      </c>
      <c r="I91">
        <v>0.12928999999999999</v>
      </c>
      <c r="J91" s="62">
        <f t="shared" si="13"/>
        <v>1.41653956871391E-3</v>
      </c>
      <c r="K91" s="113">
        <v>8.5680000000000006E-2</v>
      </c>
      <c r="L91" s="114">
        <f t="shared" si="16"/>
        <v>3.5677395589913993E-5</v>
      </c>
      <c r="M91" s="102">
        <v>0.22213436910000001</v>
      </c>
      <c r="N91" s="62">
        <f t="shared" si="21"/>
        <v>1.7025373120492744E-2</v>
      </c>
      <c r="O91" s="102">
        <v>8.4672999999999998E-2</v>
      </c>
      <c r="P91" s="62">
        <f t="shared" si="21"/>
        <v>4.8721178971114163E-5</v>
      </c>
      <c r="Q91" s="97">
        <v>0.25490800000000002</v>
      </c>
      <c r="R91" s="62">
        <f t="shared" si="21"/>
        <v>2.6652176805745106E-2</v>
      </c>
      <c r="S91" s="97">
        <v>0.129139</v>
      </c>
      <c r="T91" s="62">
        <f t="shared" si="21"/>
        <v>1.4051960125655112E-3</v>
      </c>
      <c r="U91" s="97">
        <v>0.13116</v>
      </c>
      <c r="V91" s="62">
        <f t="shared" si="21"/>
        <v>1.5607986400219106E-3</v>
      </c>
      <c r="W91" s="97">
        <v>9.2310000000000003E-2</v>
      </c>
      <c r="X91" s="62">
        <f t="shared" si="21"/>
        <v>4.3157568191359736E-7</v>
      </c>
      <c r="Y91" s="97">
        <v>5.4129999999999998E-2</v>
      </c>
      <c r="Z91" s="62">
        <f t="shared" si="18"/>
        <v>1.4079797165699164E-3</v>
      </c>
      <c r="AA91" s="97">
        <v>9.1350600000000004E-2</v>
      </c>
      <c r="AB91" s="62">
        <f t="shared" si="14"/>
        <v>9.1479510953659101E-8</v>
      </c>
      <c r="AC91" s="97">
        <v>0.11604200000000001</v>
      </c>
      <c r="AD91" s="62">
        <f t="shared" si="19"/>
        <v>5.9482059919071216E-4</v>
      </c>
      <c r="AE91">
        <v>6.4490000000000006E-2</v>
      </c>
      <c r="AF91" s="62">
        <f t="shared" si="20"/>
        <v>7.3783160039391524E-4</v>
      </c>
    </row>
    <row r="92" spans="1:32">
      <c r="A92" s="63">
        <v>87</v>
      </c>
      <c r="B92" s="78">
        <v>9.7007289599999991E-2</v>
      </c>
      <c r="C92" s="123">
        <v>7.102E-2</v>
      </c>
      <c r="D92" s="62">
        <f t="shared" si="22"/>
        <v>6.7533922075426768E-4</v>
      </c>
      <c r="E92" s="67">
        <v>0.22563</v>
      </c>
      <c r="F92" s="62">
        <f t="shared" si="15"/>
        <v>1.6543801630642271E-2</v>
      </c>
      <c r="G92" s="106">
        <v>0.13045000000000001</v>
      </c>
      <c r="H92" s="62">
        <f t="shared" si="15"/>
        <v>1.1184148788982696E-3</v>
      </c>
      <c r="I92">
        <v>0.14332</v>
      </c>
      <c r="J92" s="62">
        <f t="shared" si="13"/>
        <v>2.1448671445942692E-3</v>
      </c>
      <c r="K92" s="113">
        <v>9.5689999999999997E-2</v>
      </c>
      <c r="L92" s="114">
        <f t="shared" si="16"/>
        <v>1.7352518902681426E-6</v>
      </c>
      <c r="M92" s="102">
        <v>0.2400098095</v>
      </c>
      <c r="N92" s="62">
        <f t="shared" si="21"/>
        <v>2.0449720697749901E-2</v>
      </c>
      <c r="O92" s="102">
        <v>9.4645000000000007E-2</v>
      </c>
      <c r="P92" s="62">
        <f t="shared" si="21"/>
        <v>5.5804121542680832E-6</v>
      </c>
      <c r="Q92" s="97">
        <v>0.27156799999999998</v>
      </c>
      <c r="R92" s="62">
        <f t="shared" si="21"/>
        <v>3.0471441615352663E-2</v>
      </c>
      <c r="S92" s="97">
        <v>0.14086099999999999</v>
      </c>
      <c r="T92" s="62">
        <f t="shared" si="21"/>
        <v>1.9231479158470677E-3</v>
      </c>
      <c r="U92" s="97">
        <v>0.14382</v>
      </c>
      <c r="V92" s="62">
        <f t="shared" si="21"/>
        <v>2.1914298549942693E-3</v>
      </c>
      <c r="W92" s="97">
        <v>0.10206999999999999</v>
      </c>
      <c r="X92" s="62">
        <f t="shared" si="21"/>
        <v>2.5631036594268193E-5</v>
      </c>
      <c r="Y92" s="97">
        <v>6.1699999999999998E-2</v>
      </c>
      <c r="Z92" s="62">
        <f t="shared" si="18"/>
        <v>1.2466046988982677E-3</v>
      </c>
      <c r="AA92" s="97">
        <v>0.10108225</v>
      </c>
      <c r="AB92" s="62">
        <f t="shared" si="14"/>
        <v>1.6605302261568223E-5</v>
      </c>
      <c r="AC92" s="97">
        <v>0.12832099999999999</v>
      </c>
      <c r="AD92" s="62">
        <f t="shared" si="19"/>
        <v>9.8054845901506807E-4</v>
      </c>
      <c r="AE92">
        <v>7.3520000000000002E-2</v>
      </c>
      <c r="AF92" s="62">
        <f t="shared" si="20"/>
        <v>5.5165277275426761E-4</v>
      </c>
    </row>
    <row r="93" spans="1:32">
      <c r="A93" s="63">
        <v>88</v>
      </c>
      <c r="B93" s="78">
        <v>0.1025964412</v>
      </c>
      <c r="C93" s="123">
        <v>7.7049999999999993E-2</v>
      </c>
      <c r="D93" s="62">
        <f t="shared" si="22"/>
        <v>6.5262065798505774E-4</v>
      </c>
      <c r="E93" s="67">
        <v>0.24299999999999999</v>
      </c>
      <c r="F93" s="62">
        <f t="shared" si="15"/>
        <v>1.9713159323705057E-2</v>
      </c>
      <c r="G93" s="106">
        <v>0.14011999999999999</v>
      </c>
      <c r="H93" s="62">
        <f t="shared" si="15"/>
        <v>1.4080174650170571E-3</v>
      </c>
      <c r="I93">
        <v>0.15817999999999999</v>
      </c>
      <c r="J93" s="62">
        <f t="shared" si="13"/>
        <v>3.0895320088730562E-3</v>
      </c>
      <c r="K93" s="113">
        <v>0.10625</v>
      </c>
      <c r="L93" s="114">
        <f t="shared" si="16"/>
        <v>1.3348491905057425E-5</v>
      </c>
      <c r="M93" s="102">
        <v>0.25887517980000002</v>
      </c>
      <c r="N93" s="62">
        <f t="shared" si="21"/>
        <v>2.4423044138407138E-2</v>
      </c>
      <c r="O93" s="102">
        <v>0.105694</v>
      </c>
      <c r="P93" s="62">
        <f t="shared" si="21"/>
        <v>9.5948705194574221E-6</v>
      </c>
      <c r="Q93" s="97">
        <v>0.28938199999999997</v>
      </c>
      <c r="R93" s="62">
        <f t="shared" si="21"/>
        <v>3.4888844976228246E-2</v>
      </c>
      <c r="S93" s="97">
        <v>0.15248400000000001</v>
      </c>
      <c r="T93" s="62">
        <f t="shared" si="21"/>
        <v>2.4887685230234585E-3</v>
      </c>
      <c r="U93" s="97">
        <v>0.15742999999999999</v>
      </c>
      <c r="V93" s="62">
        <f t="shared" si="21"/>
        <v>3.0067191706730561E-3</v>
      </c>
      <c r="W93" s="97">
        <v>0.11278000000000001</v>
      </c>
      <c r="X93" s="62">
        <f t="shared" si="21"/>
        <v>1.0370486983305756E-4</v>
      </c>
      <c r="Y93" s="97">
        <v>7.0400000000000004E-2</v>
      </c>
      <c r="Z93" s="62">
        <f t="shared" si="18"/>
        <v>1.036610825945057E-3</v>
      </c>
      <c r="AA93" s="97">
        <v>0.11179931</v>
      </c>
      <c r="AB93" s="62">
        <f t="shared" si="14"/>
        <v>8.4692794150013432E-5</v>
      </c>
      <c r="AC93" s="97">
        <v>0.14099900000000001</v>
      </c>
      <c r="AD93" s="62">
        <f t="shared" si="19"/>
        <v>1.4747565223874586E-3</v>
      </c>
      <c r="AE93">
        <v>8.3799999999999999E-2</v>
      </c>
      <c r="AF93" s="62">
        <f t="shared" si="20"/>
        <v>3.5330620178505742E-4</v>
      </c>
    </row>
    <row r="94" spans="1:32">
      <c r="A94" s="63">
        <v>89</v>
      </c>
      <c r="B94" s="78">
        <v>0.10842729180000001</v>
      </c>
      <c r="C94" s="123">
        <v>8.3569999999999992E-2</v>
      </c>
      <c r="D94" s="62">
        <f t="shared" si="22"/>
        <v>6.1788495563034793E-4</v>
      </c>
      <c r="E94" s="67">
        <v>0.26144000000000001</v>
      </c>
      <c r="F94" s="62">
        <f t="shared" si="15"/>
        <v>2.341288887069835E-2</v>
      </c>
      <c r="G94" s="106">
        <v>0.15026999999999999</v>
      </c>
      <c r="H94" s="62">
        <f t="shared" si="15"/>
        <v>1.7508122295103457E-3</v>
      </c>
      <c r="I94">
        <v>0.17394000000000001</v>
      </c>
      <c r="J94" s="62">
        <f t="shared" si="13"/>
        <v>4.2919149356983478E-3</v>
      </c>
      <c r="K94" s="113">
        <v>0.11668000000000001</v>
      </c>
      <c r="L94" s="114">
        <f t="shared" si="16"/>
        <v>6.8107192634347239E-5</v>
      </c>
      <c r="M94" s="102">
        <v>0.27880713509999999</v>
      </c>
      <c r="N94" s="62">
        <f t="shared" si="21"/>
        <v>2.9029291002932556E-2</v>
      </c>
      <c r="O94" s="102">
        <v>0.117853</v>
      </c>
      <c r="P94" s="62">
        <f t="shared" si="21"/>
        <v>8.8843975071547121E-5</v>
      </c>
      <c r="Q94" s="97">
        <v>0.30870300000000001</v>
      </c>
      <c r="R94" s="62">
        <f t="shared" si="21"/>
        <v>4.0110359295011555E-2</v>
      </c>
      <c r="S94" s="97">
        <v>0.16399</v>
      </c>
      <c r="T94" s="62">
        <f t="shared" si="21"/>
        <v>3.0872145425183462E-3</v>
      </c>
      <c r="U94" s="97">
        <v>0.17202000000000001</v>
      </c>
      <c r="V94" s="62">
        <f t="shared" si="21"/>
        <v>4.0440325362103473E-3</v>
      </c>
      <c r="W94" s="97">
        <v>0.12447999999999999</v>
      </c>
      <c r="X94" s="62">
        <f t="shared" si="21"/>
        <v>2.5768944055434682E-4</v>
      </c>
      <c r="Y94" s="97">
        <v>8.0960000000000004E-2</v>
      </c>
      <c r="Z94" s="62">
        <f t="shared" si="18"/>
        <v>7.5445211882634727E-4</v>
      </c>
      <c r="AA94" s="97">
        <v>0.12358626</v>
      </c>
      <c r="AB94" s="62">
        <f t="shared" si="14"/>
        <v>2.2979431688861118E-4</v>
      </c>
      <c r="AC94" s="97">
        <v>0.155553</v>
      </c>
      <c r="AD94" s="62">
        <f t="shared" si="19"/>
        <v>2.2208323733515466E-3</v>
      </c>
      <c r="AE94">
        <v>9.5500000000000002E-2</v>
      </c>
      <c r="AF94" s="62">
        <f t="shared" si="20"/>
        <v>1.6711487328234734E-4</v>
      </c>
    </row>
    <row r="95" spans="1:32">
      <c r="A95" s="63">
        <v>90</v>
      </c>
      <c r="B95" s="78">
        <v>0.11450671859999996</v>
      </c>
      <c r="C95" s="123">
        <v>9.0609999999999996E-2</v>
      </c>
      <c r="D95" s="62">
        <f t="shared" si="22"/>
        <v>5.7105315984758425E-4</v>
      </c>
      <c r="E95" s="67">
        <v>0.28099000000000002</v>
      </c>
      <c r="F95" s="62">
        <f t="shared" si="15"/>
        <v>2.7716682985711609E-2</v>
      </c>
      <c r="G95" s="106">
        <v>0.16098000000000001</v>
      </c>
      <c r="H95" s="62">
        <f t="shared" si="15"/>
        <v>2.1597658840835907E-3</v>
      </c>
      <c r="I95">
        <v>0.19075</v>
      </c>
      <c r="J95" s="62">
        <f t="shared" si="13"/>
        <v>5.8130379586395923E-3</v>
      </c>
      <c r="K95" s="113">
        <v>0.12422</v>
      </c>
      <c r="L95" s="114">
        <f t="shared" si="16"/>
        <v>9.4347835555586685E-5</v>
      </c>
      <c r="M95" s="102">
        <v>0.30075186970000001</v>
      </c>
      <c r="N95" s="62">
        <f t="shared" si="21"/>
        <v>3.4687256308261853E-2</v>
      </c>
      <c r="O95" s="102">
        <v>0.13114600000000001</v>
      </c>
      <c r="P95" s="62">
        <f t="shared" si="21"/>
        <v>2.7686568550838774E-4</v>
      </c>
      <c r="Q95" s="97">
        <v>0.33016600000000002</v>
      </c>
      <c r="R95" s="62">
        <f t="shared" si="21"/>
        <v>4.6508925653964417E-2</v>
      </c>
      <c r="S95" s="97">
        <v>0.17536299999999999</v>
      </c>
      <c r="T95" s="62">
        <f t="shared" si="21"/>
        <v>3.7034869858359899E-3</v>
      </c>
      <c r="U95" s="97">
        <v>0.18759999999999999</v>
      </c>
      <c r="V95" s="62">
        <f t="shared" si="21"/>
        <v>5.3426277858195899E-3</v>
      </c>
      <c r="W95" s="97">
        <v>0.13718</v>
      </c>
      <c r="X95" s="62">
        <f t="shared" si="21"/>
        <v>5.1407768944358766E-4</v>
      </c>
      <c r="Y95" s="97">
        <v>9.3100000000000002E-2</v>
      </c>
      <c r="Z95" s="62">
        <f t="shared" si="18"/>
        <v>4.5824760121958416E-4</v>
      </c>
      <c r="AA95" s="97">
        <v>0.13653123</v>
      </c>
      <c r="AB95" s="62">
        <f t="shared" si="14"/>
        <v>4.8507910240873185E-4</v>
      </c>
      <c r="AC95" s="97">
        <v>0.16983300000000001</v>
      </c>
      <c r="AD95" s="62">
        <f t="shared" si="19"/>
        <v>3.0609974135519919E-3</v>
      </c>
      <c r="AE95">
        <v>0.10878</v>
      </c>
      <c r="AF95" s="62">
        <f t="shared" si="20"/>
        <v>3.2795305923585482E-5</v>
      </c>
    </row>
    <row r="96" spans="1:32">
      <c r="A96" s="63">
        <v>91</v>
      </c>
      <c r="B96" s="78">
        <v>0.12084169480000001</v>
      </c>
      <c r="C96" s="123">
        <v>0.10070999999999999</v>
      </c>
      <c r="D96" s="62">
        <f t="shared" si="22"/>
        <v>4.0528513552034768E-4</v>
      </c>
      <c r="E96" s="67">
        <v>0.30173</v>
      </c>
      <c r="F96" s="62">
        <f t="shared" si="15"/>
        <v>3.2720578958128341E-2</v>
      </c>
      <c r="G96" s="106">
        <v>0.17238999999999999</v>
      </c>
      <c r="H96" s="62">
        <f t="shared" si="15"/>
        <v>2.6572277689923449E-3</v>
      </c>
      <c r="I96">
        <v>0.20887</v>
      </c>
      <c r="J96" s="62">
        <f t="shared" si="13"/>
        <v>7.7489825163843456E-3</v>
      </c>
      <c r="K96" s="113">
        <v>0.13153000000000001</v>
      </c>
      <c r="L96" s="114">
        <f t="shared" si="16"/>
        <v>1.1423986804834699E-4</v>
      </c>
      <c r="M96" s="102">
        <v>0.32258007059999999</v>
      </c>
      <c r="N96" s="62">
        <f t="shared" si="21"/>
        <v>4.0698372270422015E-2</v>
      </c>
      <c r="O96" s="102">
        <v>0.14558499999999999</v>
      </c>
      <c r="P96" s="62">
        <f t="shared" si="21"/>
        <v>6.1223115222034611E-4</v>
      </c>
      <c r="Q96" s="97">
        <v>0.35106399999999999</v>
      </c>
      <c r="R96" s="62">
        <f t="shared" si="21"/>
        <v>5.3002309811601936E-2</v>
      </c>
      <c r="S96" s="97">
        <v>0.186586</v>
      </c>
      <c r="T96" s="62">
        <f t="shared" si="21"/>
        <v>4.3223136662307463E-3</v>
      </c>
      <c r="U96" s="97">
        <v>0.20419999999999999</v>
      </c>
      <c r="V96" s="62">
        <f t="shared" si="21"/>
        <v>6.9486070458163445E-3</v>
      </c>
      <c r="W96" s="97">
        <v>0.15087</v>
      </c>
      <c r="X96" s="62">
        <f t="shared" si="21"/>
        <v>9.0169911318434672E-4</v>
      </c>
      <c r="Y96" s="97">
        <v>0.10647</v>
      </c>
      <c r="Z96" s="62">
        <f t="shared" si="18"/>
        <v>2.0654561142434747E-4</v>
      </c>
      <c r="AA96" s="97">
        <v>0.15072514000000001</v>
      </c>
      <c r="AB96" s="62">
        <f t="shared" si="14"/>
        <v>8.9302029702140293E-4</v>
      </c>
      <c r="AC96" s="97">
        <v>0.18499099999999999</v>
      </c>
      <c r="AD96" s="62">
        <f t="shared" si="19"/>
        <v>4.1151333576427444E-3</v>
      </c>
      <c r="AE96">
        <v>0.12382</v>
      </c>
      <c r="AF96" s="62">
        <f t="shared" si="20"/>
        <v>8.8703018643469765E-6</v>
      </c>
    </row>
    <row r="97" spans="1:32">
      <c r="A97" s="63">
        <v>92</v>
      </c>
      <c r="B97" s="78">
        <v>0.12743928960000001</v>
      </c>
      <c r="C97" s="123">
        <v>0.11328000000000001</v>
      </c>
      <c r="D97" s="62">
        <f t="shared" si="22"/>
        <v>2.0048548197666816E-4</v>
      </c>
      <c r="E97" s="67">
        <v>0.32363999999999998</v>
      </c>
      <c r="F97" s="62">
        <f t="shared" si="15"/>
        <v>3.8494718761464659E-2</v>
      </c>
      <c r="G97" s="106">
        <v>0.18475</v>
      </c>
      <c r="H97" s="62">
        <f t="shared" si="15"/>
        <v>3.2845175265526672E-3</v>
      </c>
      <c r="I97">
        <v>0.22881000000000001</v>
      </c>
      <c r="J97" s="62">
        <f t="shared" si="13"/>
        <v>1.0276020927000669E-2</v>
      </c>
      <c r="K97" s="113">
        <v>0.14371999999999999</v>
      </c>
      <c r="L97" s="114">
        <f t="shared" si="16"/>
        <v>2.6506153112866755E-4</v>
      </c>
      <c r="M97" s="102">
        <v>0.34788329400000001</v>
      </c>
      <c r="N97" s="62">
        <f t="shared" si="21"/>
        <v>4.8595559075907221E-2</v>
      </c>
      <c r="O97" s="102">
        <v>0.16117500000000001</v>
      </c>
      <c r="P97" s="62">
        <f t="shared" si="21"/>
        <v>1.1380981561926688E-3</v>
      </c>
      <c r="Q97" s="97">
        <v>0.37431700000000001</v>
      </c>
      <c r="R97" s="62">
        <f t="shared" si="21"/>
        <v>6.094860389234627E-2</v>
      </c>
      <c r="S97" s="97">
        <v>0.19764200000000001</v>
      </c>
      <c r="T97" s="62">
        <f t="shared" si="21"/>
        <v>4.9284205475062688E-3</v>
      </c>
      <c r="U97" s="97">
        <v>0.2218</v>
      </c>
      <c r="V97" s="62">
        <f t="shared" si="21"/>
        <v>8.9039436671926667E-3</v>
      </c>
      <c r="W97" s="97">
        <v>0.16556000000000001</v>
      </c>
      <c r="X97" s="62">
        <f t="shared" si="21"/>
        <v>1.4531885614006688E-3</v>
      </c>
      <c r="Y97" s="97">
        <v>0.1211</v>
      </c>
      <c r="Z97" s="62">
        <f t="shared" si="18"/>
        <v>4.0186592632668238E-5</v>
      </c>
      <c r="AA97" s="97">
        <v>0.16626067</v>
      </c>
      <c r="AB97" s="62">
        <f t="shared" si="14"/>
        <v>1.5070995761615037E-3</v>
      </c>
      <c r="AC97" s="97">
        <v>0.20145399999999999</v>
      </c>
      <c r="AD97" s="62">
        <f t="shared" si="19"/>
        <v>5.4781773555958669E-3</v>
      </c>
      <c r="AE97">
        <v>0.14082</v>
      </c>
      <c r="AF97" s="62">
        <f t="shared" si="20"/>
        <v>1.7904341080866805E-4</v>
      </c>
    </row>
    <row r="98" spans="1:32">
      <c r="A98" s="63">
        <v>93</v>
      </c>
      <c r="B98" s="78">
        <v>0.13430666819999998</v>
      </c>
      <c r="C98" s="123">
        <v>0.12937000000000001</v>
      </c>
      <c r="D98" s="62">
        <f t="shared" si="22"/>
        <v>2.4370692916890907E-5</v>
      </c>
      <c r="E98" s="67">
        <v>0.34666000000000002</v>
      </c>
      <c r="F98" s="62">
        <f t="shared" si="15"/>
        <v>4.5093937526560914E-2</v>
      </c>
      <c r="G98" s="106">
        <v>0.19838</v>
      </c>
      <c r="H98" s="62">
        <f t="shared" si="15"/>
        <v>4.1053918479528944E-3</v>
      </c>
      <c r="I98">
        <v>0.25151000000000001</v>
      </c>
      <c r="J98" s="62">
        <f t="shared" si="13"/>
        <v>1.37366209850209E-2</v>
      </c>
      <c r="K98" s="113">
        <v>0.16021000000000002</v>
      </c>
      <c r="L98" s="114">
        <f t="shared" si="16"/>
        <v>6.7098259834089331E-4</v>
      </c>
      <c r="M98" s="102">
        <v>0.37119833209999997</v>
      </c>
      <c r="N98" s="62">
        <f t="shared" si="21"/>
        <v>5.6117660425310557E-2</v>
      </c>
      <c r="O98" s="102">
        <v>0.17791000000000001</v>
      </c>
      <c r="P98" s="62">
        <f t="shared" si="21"/>
        <v>1.9012505440608942E-3</v>
      </c>
      <c r="Q98" s="97">
        <v>0.40174700000000002</v>
      </c>
      <c r="R98" s="62">
        <f t="shared" si="21"/>
        <v>7.1524331073294117E-2</v>
      </c>
      <c r="S98" s="97">
        <v>0.208514</v>
      </c>
      <c r="T98" s="62">
        <f t="shared" si="21"/>
        <v>5.5067280928752949E-3</v>
      </c>
      <c r="U98" s="97">
        <v>0.2404</v>
      </c>
      <c r="V98" s="62">
        <f t="shared" si="21"/>
        <v>1.1255795052424897E-2</v>
      </c>
      <c r="W98" s="97">
        <v>0.18121999999999999</v>
      </c>
      <c r="X98" s="62">
        <f t="shared" si="21"/>
        <v>2.2008607005768923E-3</v>
      </c>
      <c r="Y98" s="97">
        <v>0.13857</v>
      </c>
      <c r="Z98" s="62">
        <f t="shared" si="18"/>
        <v>1.817599803689141E-5</v>
      </c>
      <c r="AA98" s="97">
        <v>0.18323075999999999</v>
      </c>
      <c r="AB98" s="62">
        <f t="shared" si="14"/>
        <v>2.3935667584548286E-3</v>
      </c>
      <c r="AC98" s="97">
        <v>0.22010299999999999</v>
      </c>
      <c r="AD98" s="62">
        <f t="shared" si="19"/>
        <v>7.361010550335694E-3</v>
      </c>
      <c r="AE98">
        <v>0.15997</v>
      </c>
      <c r="AF98" s="62">
        <f t="shared" si="20"/>
        <v>6.5860659907689243E-4</v>
      </c>
    </row>
    <row r="99" spans="1:32">
      <c r="A99" s="63">
        <v>94</v>
      </c>
      <c r="B99" s="78">
        <v>0.14145109180000001</v>
      </c>
      <c r="C99" s="123">
        <v>0.15062999999999999</v>
      </c>
      <c r="D99" s="62">
        <f t="shared" si="22"/>
        <v>8.4252355744026772E-5</v>
      </c>
      <c r="E99" s="67">
        <v>0.371</v>
      </c>
      <c r="F99" s="62">
        <f t="shared" si="15"/>
        <v>5.2692701255812019E-2</v>
      </c>
      <c r="G99" s="106">
        <v>0.21371000000000001</v>
      </c>
      <c r="H99" s="62">
        <f t="shared" si="15"/>
        <v>5.2213498142560273E-3</v>
      </c>
      <c r="I99">
        <v>0.27931</v>
      </c>
      <c r="J99" s="62">
        <f t="shared" si="13"/>
        <v>1.9005078570096024E-2</v>
      </c>
      <c r="K99" s="113">
        <v>0.18090000000000001</v>
      </c>
      <c r="L99" s="114">
        <f t="shared" si="16"/>
        <v>1.5562163581720268E-3</v>
      </c>
      <c r="M99" s="102">
        <v>0.39999803550000002</v>
      </c>
      <c r="N99" s="62">
        <f t="shared" si="21"/>
        <v>6.6846522096610961E-2</v>
      </c>
      <c r="O99" s="102">
        <v>0.195774</v>
      </c>
      <c r="P99" s="62">
        <f t="shared" si="21"/>
        <v>2.9509783553056264E-3</v>
      </c>
      <c r="Q99" s="97">
        <v>0.43065700000000001</v>
      </c>
      <c r="R99" s="62">
        <f t="shared" si="21"/>
        <v>8.3640057337786844E-2</v>
      </c>
      <c r="S99" s="97">
        <v>0.21918499999999999</v>
      </c>
      <c r="T99" s="62">
        <f t="shared" si="21"/>
        <v>6.0425604840460244E-3</v>
      </c>
      <c r="U99" s="97">
        <v>0.25996999999999998</v>
      </c>
      <c r="V99" s="62">
        <f t="shared" si="21"/>
        <v>1.404673160092002E-2</v>
      </c>
      <c r="W99" s="97">
        <v>0.19785</v>
      </c>
      <c r="X99" s="62">
        <f t="shared" si="21"/>
        <v>3.1808368461520259E-3</v>
      </c>
      <c r="Y99" s="97">
        <v>0.15795000000000001</v>
      </c>
      <c r="Z99" s="62">
        <f t="shared" si="18"/>
        <v>2.722139717920271E-4</v>
      </c>
      <c r="AA99" s="97">
        <v>0.20172672999999999</v>
      </c>
      <c r="AB99" s="62">
        <f t="shared" si="14"/>
        <v>3.6331525604172969E-3</v>
      </c>
      <c r="AC99" s="97">
        <v>0.24121200000000001</v>
      </c>
      <c r="AD99" s="62">
        <f t="shared" si="19"/>
        <v>9.9522388048888261E-3</v>
      </c>
      <c r="AE99">
        <v>0.18149000000000001</v>
      </c>
      <c r="AF99" s="62">
        <f t="shared" si="20"/>
        <v>1.6031141698480272E-3</v>
      </c>
    </row>
    <row r="100" spans="1:32">
      <c r="A100" s="63">
        <v>95</v>
      </c>
      <c r="B100" s="78">
        <v>0.73432124160000001</v>
      </c>
      <c r="C100" s="123">
        <v>0.17993000000000001</v>
      </c>
      <c r="D100" s="62">
        <f t="shared" si="22"/>
        <v>0.30734964876278953</v>
      </c>
      <c r="E100" s="67">
        <v>0.39621000000000001</v>
      </c>
      <c r="F100" s="62">
        <f t="shared" si="15"/>
        <v>0.11431921169629357</v>
      </c>
      <c r="G100" s="106">
        <v>0.23124</v>
      </c>
      <c r="H100" s="62">
        <f t="shared" si="15"/>
        <v>0.25309073564979756</v>
      </c>
      <c r="I100">
        <v>0.31731999999999999</v>
      </c>
      <c r="J100" s="62">
        <f t="shared" si="13"/>
        <v>0.17389003549594159</v>
      </c>
      <c r="K100" s="113">
        <v>0.20347999999999999</v>
      </c>
      <c r="L100" s="114">
        <f t="shared" si="16"/>
        <v>0.28179242378342956</v>
      </c>
      <c r="M100" s="102">
        <v>0.42473208229999998</v>
      </c>
      <c r="N100" s="62">
        <f t="shared" si="21"/>
        <v>9.5845447556080793E-2</v>
      </c>
      <c r="O100" s="102">
        <v>0.21384900000000001</v>
      </c>
      <c r="P100" s="62">
        <f t="shared" si="21"/>
        <v>0.27089135427612882</v>
      </c>
      <c r="Q100" s="97">
        <v>0.48717899999999997</v>
      </c>
      <c r="R100" s="62">
        <f t="shared" si="21"/>
        <v>6.1079287583072787E-2</v>
      </c>
      <c r="S100" s="97">
        <v>0.22963900000000001</v>
      </c>
      <c r="T100" s="62">
        <f t="shared" si="21"/>
        <v>0.25470416498640075</v>
      </c>
      <c r="U100" s="97">
        <v>0.28048000000000001</v>
      </c>
      <c r="V100" s="62">
        <f t="shared" si="21"/>
        <v>0.20597187257702956</v>
      </c>
      <c r="W100" s="97">
        <v>0.21475</v>
      </c>
      <c r="X100" s="62">
        <f t="shared" si="21"/>
        <v>0.26995427509776559</v>
      </c>
      <c r="Y100" s="97">
        <v>0.17998</v>
      </c>
      <c r="Z100" s="62">
        <f t="shared" si="18"/>
        <v>0.30729421213862956</v>
      </c>
      <c r="AA100" s="97">
        <v>0.22183600000000001</v>
      </c>
      <c r="AB100" s="62">
        <f t="shared" si="14"/>
        <v>0.26264112285781033</v>
      </c>
      <c r="AC100" s="97">
        <v>0.26856799999999997</v>
      </c>
      <c r="AD100" s="62">
        <f t="shared" si="19"/>
        <v>0.21692608206090799</v>
      </c>
      <c r="AE100">
        <v>0.20558000000000001</v>
      </c>
      <c r="AF100" s="62">
        <f t="shared" si="20"/>
        <v>0.2795673005687096</v>
      </c>
    </row>
    <row r="101" spans="1:32">
      <c r="A101" s="63">
        <v>96</v>
      </c>
      <c r="B101" s="78">
        <v>0.76000844680000001</v>
      </c>
      <c r="C101" s="123">
        <v>0.22255</v>
      </c>
      <c r="D101" s="62">
        <f t="shared" si="22"/>
        <v>0.2888615820366684</v>
      </c>
      <c r="E101" s="67">
        <v>0.44718999999999998</v>
      </c>
      <c r="F101" s="62">
        <f t="shared" si="15"/>
        <v>9.7855380658364452E-2</v>
      </c>
      <c r="G101" s="106">
        <v>0.25147000000000003</v>
      </c>
      <c r="H101" s="62">
        <f t="shared" si="15"/>
        <v>0.2586113518737565</v>
      </c>
      <c r="I101">
        <v>0.37574000000000002</v>
      </c>
      <c r="J101" s="62">
        <f t="shared" si="13"/>
        <v>0.14766223920608443</v>
      </c>
      <c r="K101" s="113">
        <v>0.22569</v>
      </c>
      <c r="L101" s="114">
        <f t="shared" si="16"/>
        <v>0.28549620259076436</v>
      </c>
      <c r="M101" s="102">
        <v>0.45795605230000003</v>
      </c>
      <c r="N101" s="62">
        <f t="shared" si="21"/>
        <v>9.1235649023183624E-2</v>
      </c>
      <c r="O101" s="102">
        <v>0.23186499999999999</v>
      </c>
      <c r="P101" s="62">
        <f t="shared" si="21"/>
        <v>0.27893550039778447</v>
      </c>
      <c r="Q101" s="97">
        <v>0.55000000000000004</v>
      </c>
      <c r="R101" s="62">
        <f t="shared" si="21"/>
        <v>4.4103547727348417E-2</v>
      </c>
      <c r="S101" s="97">
        <v>0.24251200000000001</v>
      </c>
      <c r="T101" s="62">
        <f t="shared" si="21"/>
        <v>0.26780257245062528</v>
      </c>
      <c r="U101" s="97">
        <v>0.30187999999999998</v>
      </c>
      <c r="V101" s="62">
        <f t="shared" si="21"/>
        <v>0.20988167376738046</v>
      </c>
      <c r="W101" s="97">
        <v>0.23172000000000001</v>
      </c>
      <c r="X101" s="62">
        <f t="shared" si="21"/>
        <v>0.2790886830223564</v>
      </c>
      <c r="Y101" s="97">
        <v>0.20594000000000001</v>
      </c>
      <c r="Z101" s="62">
        <f t="shared" si="18"/>
        <v>0.30699184373936445</v>
      </c>
      <c r="AA101" s="97">
        <v>0.24363910999999999</v>
      </c>
      <c r="AB101" s="62">
        <f t="shared" si="14"/>
        <v>0.26663729198727182</v>
      </c>
      <c r="AC101" s="97">
        <v>0.30542399999999997</v>
      </c>
      <c r="AD101" s="62">
        <f t="shared" si="19"/>
        <v>0.20664701927246207</v>
      </c>
      <c r="AE101">
        <v>0.23243</v>
      </c>
      <c r="AF101" s="62">
        <f t="shared" si="20"/>
        <v>0.27833901752790041</v>
      </c>
    </row>
    <row r="102" spans="1:32">
      <c r="A102" s="63">
        <v>97</v>
      </c>
      <c r="B102" s="78">
        <v>0.78636124019999998</v>
      </c>
      <c r="C102" s="123">
        <v>0.28908</v>
      </c>
      <c r="D102" s="62">
        <f t="shared" si="22"/>
        <v>0.24728863185485006</v>
      </c>
      <c r="E102" s="67">
        <v>0.54825999999999997</v>
      </c>
      <c r="F102" s="62">
        <f t="shared" si="15"/>
        <v>5.6692200584778099E-2</v>
      </c>
      <c r="G102" s="106">
        <v>0.27489999999999998</v>
      </c>
      <c r="H102" s="62">
        <f t="shared" si="15"/>
        <v>0.26159260022692216</v>
      </c>
      <c r="I102">
        <v>0.47497</v>
      </c>
      <c r="J102" s="62">
        <f t="shared" si="13"/>
        <v>9.6964504473294078E-2</v>
      </c>
      <c r="K102" s="113">
        <v>0.24007000000000001</v>
      </c>
      <c r="L102" s="114">
        <f t="shared" si="16"/>
        <v>0.29843411911925405</v>
      </c>
      <c r="M102" s="102">
        <v>0.48275101860000003</v>
      </c>
      <c r="N102" s="62">
        <f t="shared" si="21"/>
        <v>9.2179166660001075E-2</v>
      </c>
      <c r="O102" s="102">
        <v>0.249525</v>
      </c>
      <c r="P102" s="62">
        <f t="shared" si="21"/>
        <v>0.28819314879207208</v>
      </c>
      <c r="Q102" s="97">
        <v>0.66666700000000001</v>
      </c>
      <c r="R102" s="62">
        <f t="shared" si="21"/>
        <v>1.4326711137055288E-2</v>
      </c>
      <c r="S102" s="97">
        <v>0.26045400000000002</v>
      </c>
      <c r="T102" s="62">
        <f t="shared" si="21"/>
        <v>0.27657842529478049</v>
      </c>
      <c r="U102" s="97">
        <v>0.32411000000000001</v>
      </c>
      <c r="V102" s="62">
        <f t="shared" si="21"/>
        <v>0.21367620906643806</v>
      </c>
      <c r="W102" s="97">
        <v>0.24857000000000001</v>
      </c>
      <c r="X102" s="62">
        <f t="shared" si="21"/>
        <v>0.2892194180358541</v>
      </c>
      <c r="Y102" s="97">
        <v>0.23014999999999999</v>
      </c>
      <c r="Z102" s="62">
        <f t="shared" si="18"/>
        <v>0.3093709437248221</v>
      </c>
      <c r="AA102" s="97">
        <v>0.26720632999999999</v>
      </c>
      <c r="AB102" s="62">
        <f t="shared" si="14"/>
        <v>0.26952182078476999</v>
      </c>
      <c r="AC102" s="97">
        <v>0.36327999999999999</v>
      </c>
      <c r="AD102" s="62">
        <f t="shared" si="19"/>
        <v>0.17899773580917008</v>
      </c>
      <c r="AE102">
        <v>0.26221</v>
      </c>
      <c r="AF102" s="62">
        <f t="shared" si="20"/>
        <v>0.27473452260319803</v>
      </c>
    </row>
    <row r="103" spans="1:32">
      <c r="A103" s="63">
        <v>98</v>
      </c>
      <c r="B103" s="78">
        <v>0.81339098459999992</v>
      </c>
      <c r="C103" s="123">
        <v>0.40256000000000003</v>
      </c>
      <c r="D103" s="62">
        <f t="shared" si="22"/>
        <v>0.16878209790740534</v>
      </c>
      <c r="E103" s="67">
        <v>0.72467000000000004</v>
      </c>
      <c r="F103" s="62">
        <f t="shared" si="15"/>
        <v>7.8714131083934165E-3</v>
      </c>
      <c r="G103" s="106">
        <v>0.30303000000000002</v>
      </c>
      <c r="H103" s="62">
        <f t="shared" si="15"/>
        <v>0.26046833460188135</v>
      </c>
      <c r="I103">
        <v>0.65585000000000004</v>
      </c>
      <c r="J103" s="62">
        <f t="shared" si="13"/>
        <v>2.4819161828737397E-2</v>
      </c>
      <c r="K103" s="113">
        <v>0.24778999999999998</v>
      </c>
      <c r="L103" s="114">
        <f t="shared" si="16"/>
        <v>0.31990447378048942</v>
      </c>
      <c r="M103" s="102">
        <v>0.50002960299999999</v>
      </c>
      <c r="N103" s="62">
        <f t="shared" ref="N103:X103" si="23">+(M103-$B103)^2</f>
        <v>9.8195355478260776E-2</v>
      </c>
      <c r="O103" s="102">
        <v>0.26651399999999997</v>
      </c>
      <c r="P103" s="62">
        <f t="shared" si="23"/>
        <v>0.29907443628518854</v>
      </c>
      <c r="Q103" s="97">
        <v>0.83333299999999999</v>
      </c>
      <c r="R103" s="62">
        <f t="shared" si="23"/>
        <v>3.9768397821383987E-4</v>
      </c>
      <c r="S103" s="97">
        <v>0.28346399999999999</v>
      </c>
      <c r="T103" s="62">
        <f t="shared" si="23"/>
        <v>0.28082260900724848</v>
      </c>
      <c r="U103" s="97">
        <v>0.34708</v>
      </c>
      <c r="V103" s="62">
        <f t="shared" si="23"/>
        <v>0.21744593435862136</v>
      </c>
      <c r="W103" s="97">
        <v>0.26506000000000002</v>
      </c>
      <c r="X103" s="62">
        <f t="shared" si="23"/>
        <v>0.30066686867240539</v>
      </c>
      <c r="Y103" s="97">
        <v>0.25194</v>
      </c>
      <c r="Z103" s="62">
        <f t="shared" si="18"/>
        <v>0.3152272081083094</v>
      </c>
      <c r="AA103" s="97">
        <v>0.29259343999999998</v>
      </c>
      <c r="AB103" s="62">
        <f t="shared" si="14"/>
        <v>0.27123008246138891</v>
      </c>
      <c r="AC103" s="97">
        <v>0.46623399999999998</v>
      </c>
      <c r="AD103" s="62">
        <f t="shared" si="19"/>
        <v>0.12051797195656459</v>
      </c>
      <c r="AE103">
        <v>0.29504999999999998</v>
      </c>
      <c r="AF103" s="62">
        <f t="shared" si="20"/>
        <v>0.26867737631609745</v>
      </c>
    </row>
    <row r="104" spans="1:32" ht="15.75" thickBot="1">
      <c r="A104" s="64">
        <v>99</v>
      </c>
      <c r="B104" s="78">
        <v>0.84110913880000004</v>
      </c>
      <c r="C104" s="123">
        <v>0.61309000000000002</v>
      </c>
      <c r="D104" s="62"/>
      <c r="E104" s="67">
        <v>1</v>
      </c>
      <c r="F104" s="62"/>
      <c r="G104" s="106">
        <v>0.34336</v>
      </c>
      <c r="H104" s="62">
        <f t="shared" si="15"/>
        <v>0.24775420517614172</v>
      </c>
      <c r="I104">
        <v>1</v>
      </c>
      <c r="J104" s="62">
        <f t="shared" si="13"/>
        <v>2.5246305772877651E-2</v>
      </c>
      <c r="K104" s="113">
        <v>0.26397999999999999</v>
      </c>
      <c r="L104" s="114"/>
      <c r="M104" s="102">
        <v>0.53334538880000004</v>
      </c>
      <c r="N104" s="62"/>
      <c r="O104" s="102">
        <v>0.28250399999999998</v>
      </c>
      <c r="P104" s="62"/>
      <c r="Q104" s="97">
        <v>1</v>
      </c>
      <c r="R104" s="62"/>
      <c r="S104" s="97">
        <v>0.31154199999999999</v>
      </c>
      <c r="T104" s="62"/>
      <c r="U104" s="97">
        <v>0.37071999999999999</v>
      </c>
      <c r="V104" s="62"/>
      <c r="W104" s="97">
        <v>0.28097</v>
      </c>
      <c r="X104" s="62"/>
      <c r="Y104" s="97">
        <v>0.27911999999999998</v>
      </c>
      <c r="Z104" s="62">
        <f t="shared" si="18"/>
        <v>0.31583179212916568</v>
      </c>
      <c r="AA104" s="97">
        <v>0.31983708999999999</v>
      </c>
      <c r="AB104" s="62">
        <f t="shared" si="14"/>
        <v>0.27172454886014957</v>
      </c>
      <c r="AC104" s="97">
        <v>0.65074299999999996</v>
      </c>
      <c r="AD104" s="62">
        <f t="shared" si="19"/>
        <v>3.6239266801620901E-2</v>
      </c>
      <c r="AE104">
        <v>0.33105000000000001</v>
      </c>
      <c r="AF104" s="62">
        <f t="shared" si="20"/>
        <v>0.26016032507339765</v>
      </c>
    </row>
    <row r="105" spans="1:32">
      <c r="A105" s="63">
        <v>100</v>
      </c>
      <c r="C105" s="123">
        <v>1</v>
      </c>
      <c r="D105" s="65"/>
      <c r="E105" s="67"/>
      <c r="F105" s="65"/>
      <c r="G105" s="106">
        <v>0.40978999999999999</v>
      </c>
      <c r="H105" s="62">
        <f t="shared" si="15"/>
        <v>0.1679278441</v>
      </c>
      <c r="I105" s="102"/>
      <c r="J105" s="103"/>
      <c r="K105" s="113">
        <v>0.28502</v>
      </c>
      <c r="L105" s="116"/>
      <c r="M105" s="102"/>
      <c r="N105" s="103"/>
      <c r="O105" s="102">
        <v>0.29945500000000003</v>
      </c>
      <c r="P105" s="103"/>
      <c r="R105" s="103"/>
      <c r="S105" s="97">
        <v>0.34468799999999999</v>
      </c>
      <c r="T105" s="103"/>
      <c r="U105" s="97">
        <v>0.39491999999999999</v>
      </c>
      <c r="V105" s="103"/>
      <c r="W105" s="97">
        <v>0.29781999999999997</v>
      </c>
      <c r="X105" s="103"/>
      <c r="Y105" s="97">
        <v>0.31072</v>
      </c>
      <c r="Z105" s="62">
        <f t="shared" si="18"/>
        <v>9.6546918400000001E-2</v>
      </c>
      <c r="AA105" s="97">
        <v>0.34894933</v>
      </c>
      <c r="AB105" s="62">
        <f t="shared" si="14"/>
        <v>0.12176563490744891</v>
      </c>
      <c r="AC105" s="97">
        <v>1</v>
      </c>
      <c r="AD105" s="62">
        <f t="shared" si="19"/>
        <v>1</v>
      </c>
      <c r="AE105">
        <v>0.37021999999999999</v>
      </c>
      <c r="AF105" s="62">
        <f t="shared" si="20"/>
        <v>0.13706284839999999</v>
      </c>
    </row>
    <row r="106" spans="1:32">
      <c r="A106" s="63">
        <v>101</v>
      </c>
      <c r="E106" s="67"/>
      <c r="G106" s="106">
        <v>0.52261999999999997</v>
      </c>
      <c r="H106" s="62">
        <f t="shared" si="15"/>
        <v>0.27313166439999997</v>
      </c>
      <c r="I106" s="102"/>
      <c r="K106" s="113">
        <v>0.30789</v>
      </c>
      <c r="M106" s="102"/>
      <c r="O106" s="102">
        <v>0.31742199999999998</v>
      </c>
      <c r="S106" s="97">
        <v>0.38290299999999999</v>
      </c>
      <c r="W106" s="97">
        <v>0.31569000000000003</v>
      </c>
      <c r="Y106" s="97">
        <v>0.34117999999999998</v>
      </c>
      <c r="Z106" s="62">
        <f t="shared" si="18"/>
        <v>0.11640379239999998</v>
      </c>
      <c r="AA106" s="97">
        <v>0.37991175999999999</v>
      </c>
      <c r="AB106" s="62">
        <f t="shared" si="14"/>
        <v>0.1443329453862976</v>
      </c>
      <c r="AE106">
        <v>0.41245999999999999</v>
      </c>
      <c r="AF106" s="62">
        <f t="shared" si="20"/>
        <v>0.1701232516</v>
      </c>
    </row>
    <row r="107" spans="1:32" ht="15.75" thickBot="1">
      <c r="A107" s="64">
        <v>102</v>
      </c>
      <c r="E107" s="67"/>
      <c r="G107" s="106">
        <v>0.70855000000000001</v>
      </c>
      <c r="H107" s="62">
        <f t="shared" si="15"/>
        <v>0.50204310250000006</v>
      </c>
      <c r="I107" s="102"/>
      <c r="K107" s="113">
        <v>0.33306000000000002</v>
      </c>
      <c r="M107" s="102"/>
      <c r="O107" s="102">
        <v>0.33646700000000002</v>
      </c>
      <c r="S107" s="97">
        <v>0.42618600000000001</v>
      </c>
      <c r="W107" s="97">
        <v>0.33462999999999998</v>
      </c>
      <c r="Y107" s="97">
        <v>0.37357000000000001</v>
      </c>
      <c r="Z107" s="62">
        <f t="shared" si="18"/>
        <v>0.13955454490000002</v>
      </c>
      <c r="AA107" s="97">
        <v>0.41266922</v>
      </c>
      <c r="AB107" s="62">
        <f t="shared" si="14"/>
        <v>0.17029588513540841</v>
      </c>
      <c r="AE107">
        <v>0.45759</v>
      </c>
      <c r="AF107" s="62">
        <f t="shared" si="20"/>
        <v>0.20938860809999998</v>
      </c>
    </row>
    <row r="108" spans="1:32">
      <c r="A108" s="63">
        <v>103</v>
      </c>
      <c r="E108" s="67"/>
      <c r="G108" s="106">
        <v>1</v>
      </c>
      <c r="H108" s="62">
        <f t="shared" si="15"/>
        <v>1</v>
      </c>
      <c r="I108" s="102"/>
      <c r="K108" s="113">
        <v>0.36070999999999998</v>
      </c>
      <c r="M108" s="102"/>
      <c r="O108" s="102">
        <v>0.356655</v>
      </c>
      <c r="S108" s="97">
        <v>0.47453699999999999</v>
      </c>
      <c r="W108" s="97">
        <v>0.35471000000000003</v>
      </c>
      <c r="Y108" s="97">
        <v>0.40904000000000001</v>
      </c>
      <c r="Z108" s="62">
        <f t="shared" si="18"/>
        <v>0.16731372160000002</v>
      </c>
      <c r="AA108" s="97">
        <v>0.44712334999999997</v>
      </c>
      <c r="AB108" s="62">
        <f t="shared" si="14"/>
        <v>0.19991929011522247</v>
      </c>
      <c r="AE108">
        <v>0.50526000000000004</v>
      </c>
      <c r="AF108" s="62">
        <f t="shared" si="20"/>
        <v>0.25528766760000005</v>
      </c>
    </row>
    <row r="109" spans="1:32">
      <c r="A109" s="63">
        <v>104</v>
      </c>
      <c r="E109" s="67"/>
      <c r="G109" s="117"/>
      <c r="I109" s="102"/>
      <c r="K109" s="113">
        <v>0.39086000000000004</v>
      </c>
      <c r="M109" s="102"/>
      <c r="O109" s="102">
        <v>0.37805499999999997</v>
      </c>
      <c r="S109" s="97">
        <v>0.52795599999999998</v>
      </c>
      <c r="W109" s="97">
        <v>0.37598999999999999</v>
      </c>
      <c r="Y109" s="97">
        <v>0.44788</v>
      </c>
      <c r="Z109" s="62">
        <f t="shared" si="18"/>
        <v>0.20059649439999999</v>
      </c>
      <c r="AA109" s="97">
        <v>0.48312634999999998</v>
      </c>
      <c r="AB109" s="62">
        <f t="shared" si="14"/>
        <v>0.23341107006432249</v>
      </c>
      <c r="AE109">
        <v>0.55496000000000001</v>
      </c>
      <c r="AF109" s="62">
        <f t="shared" si="20"/>
        <v>0.30798060160000001</v>
      </c>
    </row>
    <row r="110" spans="1:32" ht="15.75" thickBot="1">
      <c r="A110" s="64">
        <v>105</v>
      </c>
      <c r="E110" s="67"/>
      <c r="G110" s="117"/>
      <c r="I110" s="102"/>
      <c r="K110" s="113">
        <v>0.42272000000000004</v>
      </c>
      <c r="M110" s="102"/>
      <c r="O110" s="102">
        <v>0.40073799999999998</v>
      </c>
      <c r="S110" s="97">
        <v>0.58644399999999997</v>
      </c>
      <c r="W110" s="97">
        <v>0.39855000000000002</v>
      </c>
      <c r="Y110" s="97">
        <v>0.49042000000000002</v>
      </c>
      <c r="Z110" s="62">
        <f t="shared" si="18"/>
        <v>0.24051177640000002</v>
      </c>
      <c r="AA110" s="97">
        <v>0.52047549000000004</v>
      </c>
      <c r="AB110" s="62">
        <f t="shared" si="14"/>
        <v>0.27089473569074013</v>
      </c>
      <c r="AE110">
        <v>0.60601000000000005</v>
      </c>
      <c r="AF110" s="62">
        <f t="shared" si="20"/>
        <v>0.36724812010000008</v>
      </c>
    </row>
    <row r="111" spans="1:32">
      <c r="A111" s="63">
        <v>106</v>
      </c>
      <c r="E111" s="67"/>
      <c r="G111" s="117"/>
      <c r="I111" s="102"/>
      <c r="K111" s="113">
        <v>0.45532999999999996</v>
      </c>
      <c r="M111" s="102"/>
      <c r="O111" s="102">
        <v>0.42478199999999999</v>
      </c>
      <c r="S111" s="97">
        <v>0.65</v>
      </c>
      <c r="W111" s="97">
        <v>0.42247000000000001</v>
      </c>
      <c r="Y111" s="97">
        <v>0.53700000000000003</v>
      </c>
      <c r="Z111" s="62">
        <f t="shared" si="18"/>
        <v>0.28836900000000004</v>
      </c>
      <c r="AA111" s="97">
        <v>0.55890881000000003</v>
      </c>
      <c r="AB111" s="62">
        <f t="shared" si="14"/>
        <v>0.31237905789561615</v>
      </c>
      <c r="AE111">
        <v>0.65756999999999999</v>
      </c>
      <c r="AF111" s="62">
        <f t="shared" si="20"/>
        <v>0.43239830489999997</v>
      </c>
    </row>
    <row r="112" spans="1:32">
      <c r="A112" s="63">
        <v>107</v>
      </c>
      <c r="E112" s="67"/>
      <c r="G112" s="117"/>
      <c r="I112" s="102"/>
      <c r="K112" s="113">
        <v>0.48848000000000003</v>
      </c>
      <c r="M112" s="102"/>
      <c r="O112" s="102">
        <v>0.45026899999999997</v>
      </c>
      <c r="S112" s="97">
        <v>0.71862400000000004</v>
      </c>
      <c r="W112" s="97">
        <v>0.44782</v>
      </c>
      <c r="Y112" s="97">
        <v>0.58801000000000003</v>
      </c>
      <c r="Z112" s="62">
        <f t="shared" si="18"/>
        <v>0.34575576010000003</v>
      </c>
      <c r="AA112" s="97">
        <v>0.59810295000000002</v>
      </c>
      <c r="AB112" s="62">
        <f t="shared" si="14"/>
        <v>0.35772713879870255</v>
      </c>
      <c r="AE112">
        <v>0.70860999999999996</v>
      </c>
      <c r="AF112" s="62">
        <f t="shared" si="20"/>
        <v>0.50212813209999996</v>
      </c>
    </row>
    <row r="113" spans="1:32" ht="15.75" thickBot="1">
      <c r="A113" s="64">
        <v>108</v>
      </c>
      <c r="E113" s="67"/>
      <c r="G113" s="117"/>
      <c r="I113" s="102"/>
      <c r="K113" s="113">
        <v>0.5222</v>
      </c>
      <c r="M113" s="102"/>
      <c r="O113" s="102">
        <v>0.47728500000000001</v>
      </c>
      <c r="S113" s="97">
        <v>0.79231700000000005</v>
      </c>
      <c r="W113" s="97">
        <v>0.47467999999999999</v>
      </c>
      <c r="Y113" s="97">
        <v>0.64387000000000005</v>
      </c>
      <c r="Z113" s="62">
        <f t="shared" si="18"/>
        <v>0.4145685769000001</v>
      </c>
      <c r="AA113" s="97">
        <v>1</v>
      </c>
      <c r="AB113" s="62">
        <f t="shared" si="14"/>
        <v>1</v>
      </c>
      <c r="AE113">
        <v>0.75802000000000003</v>
      </c>
      <c r="AF113" s="62">
        <f t="shared" si="20"/>
        <v>0.57459432040000002</v>
      </c>
    </row>
    <row r="114" spans="1:32">
      <c r="A114" s="63">
        <v>109</v>
      </c>
      <c r="E114" s="67"/>
      <c r="G114" s="117"/>
      <c r="I114" s="102"/>
      <c r="K114" s="113">
        <v>0.55703999999999998</v>
      </c>
      <c r="M114" s="102"/>
      <c r="O114" s="102">
        <v>0.50592199999999998</v>
      </c>
      <c r="S114" s="97">
        <v>0.87107699999999999</v>
      </c>
      <c r="W114" s="97">
        <v>0.50317000000000001</v>
      </c>
      <c r="Y114" s="97">
        <v>0.70504999999999995</v>
      </c>
      <c r="Z114" s="62">
        <f t="shared" si="18"/>
        <v>0.49709550249999995</v>
      </c>
      <c r="AE114">
        <v>0.80459999999999998</v>
      </c>
      <c r="AF114" s="62">
        <f t="shared" si="20"/>
        <v>0.64738116000000001</v>
      </c>
    </row>
    <row r="115" spans="1:32">
      <c r="A115" s="63">
        <v>110</v>
      </c>
      <c r="E115" s="67"/>
      <c r="G115" s="117"/>
      <c r="I115" s="102"/>
      <c r="K115" s="113">
        <v>0.59196000000000004</v>
      </c>
      <c r="M115" s="102"/>
      <c r="O115" s="102">
        <v>0.53627800000000003</v>
      </c>
      <c r="S115" s="97">
        <v>0.95490699999999995</v>
      </c>
      <c r="W115" s="97">
        <v>0.53335999999999995</v>
      </c>
      <c r="Y115" s="97">
        <v>0.77203999999999995</v>
      </c>
      <c r="Z115" s="62">
        <f t="shared" si="18"/>
        <v>0.59604576159999989</v>
      </c>
      <c r="AE115" t="s">
        <v>102</v>
      </c>
      <c r="AF115" s="62">
        <f t="shared" si="20"/>
        <v>1</v>
      </c>
    </row>
    <row r="116" spans="1:32" ht="15.75" thickBot="1">
      <c r="A116" s="64">
        <v>111</v>
      </c>
      <c r="E116" s="67"/>
      <c r="G116" s="117"/>
      <c r="I116" s="102"/>
      <c r="K116" s="113">
        <v>0.62561999999999995</v>
      </c>
      <c r="M116" s="102"/>
      <c r="O116" s="102">
        <v>0.56845400000000001</v>
      </c>
      <c r="W116" s="97">
        <v>0.56535999999999997</v>
      </c>
      <c r="Y116" s="97">
        <v>0.84540000000000004</v>
      </c>
      <c r="Z116" s="62">
        <f t="shared" si="18"/>
        <v>0.71470116000000006</v>
      </c>
    </row>
    <row r="117" spans="1:32">
      <c r="A117" s="63">
        <v>112</v>
      </c>
      <c r="E117" s="67"/>
      <c r="G117" s="117"/>
      <c r="I117" s="102"/>
      <c r="K117" s="113">
        <v>0.65776999999999997</v>
      </c>
      <c r="M117" s="102"/>
      <c r="O117" s="102">
        <v>0.60256100000000001</v>
      </c>
      <c r="W117" s="97">
        <v>0.59928000000000003</v>
      </c>
      <c r="Y117" s="97">
        <v>0.92574999999999996</v>
      </c>
      <c r="Z117" s="62">
        <f t="shared" si="18"/>
        <v>0.85701306249999998</v>
      </c>
    </row>
    <row r="118" spans="1:32">
      <c r="A118" s="63">
        <v>113</v>
      </c>
      <c r="E118" s="67"/>
      <c r="G118" s="117"/>
      <c r="I118" s="102"/>
      <c r="K118" s="113">
        <v>0.69079000000000002</v>
      </c>
      <c r="M118" s="102"/>
      <c r="O118" s="102">
        <v>0.63871500000000003</v>
      </c>
      <c r="W118" s="97">
        <v>0.63522999999999996</v>
      </c>
      <c r="Y118" s="97">
        <v>1</v>
      </c>
      <c r="Z118" s="62">
        <f t="shared" si="18"/>
        <v>1</v>
      </c>
    </row>
    <row r="119" spans="1:32" ht="15.75" thickBot="1">
      <c r="A119" s="64">
        <v>114</v>
      </c>
      <c r="E119" s="67"/>
      <c r="G119" s="117"/>
      <c r="I119" s="102"/>
      <c r="K119" s="113">
        <v>0.73205999999999993</v>
      </c>
      <c r="M119" s="102"/>
      <c r="O119" s="102">
        <v>0.67703800000000003</v>
      </c>
      <c r="W119" s="97">
        <v>0.67335</v>
      </c>
    </row>
    <row r="120" spans="1:32">
      <c r="A120" s="63">
        <v>115</v>
      </c>
      <c r="E120" s="67"/>
      <c r="G120" s="117"/>
      <c r="I120" s="102"/>
      <c r="K120" s="113">
        <v>0.77134999999999998</v>
      </c>
      <c r="M120" s="102"/>
      <c r="O120" s="102">
        <v>0.71765999999999996</v>
      </c>
      <c r="W120" s="97">
        <v>0.71375</v>
      </c>
    </row>
    <row r="121" spans="1:32">
      <c r="A121" s="63">
        <v>116</v>
      </c>
      <c r="E121" s="67"/>
      <c r="G121" s="117"/>
      <c r="I121" s="102"/>
      <c r="K121" s="113">
        <v>0.81235999999999997</v>
      </c>
      <c r="M121" s="102"/>
      <c r="O121" s="102">
        <v>0.76071999999999995</v>
      </c>
      <c r="W121" s="97">
        <v>0.75344999999999995</v>
      </c>
    </row>
    <row r="122" spans="1:32" ht="15.75" thickBot="1">
      <c r="A122" s="64">
        <v>117</v>
      </c>
      <c r="E122" s="67"/>
      <c r="G122" s="117"/>
      <c r="I122" s="102"/>
      <c r="K122" s="113">
        <v>0.85589999999999999</v>
      </c>
      <c r="M122" s="102"/>
      <c r="O122" s="102">
        <v>0.80636300000000005</v>
      </c>
      <c r="W122" s="97">
        <v>0.79112000000000005</v>
      </c>
    </row>
    <row r="123" spans="1:32">
      <c r="E123" s="67"/>
      <c r="G123" s="117"/>
      <c r="I123" s="102"/>
      <c r="K123" s="113">
        <v>0.89658000000000004</v>
      </c>
      <c r="M123" s="102"/>
      <c r="O123" s="102">
        <v>0.85137799999999997</v>
      </c>
      <c r="W123" s="97">
        <v>0.83067000000000002</v>
      </c>
    </row>
    <row r="124" spans="1:32">
      <c r="E124" s="67"/>
      <c r="G124" s="117"/>
      <c r="I124" s="102"/>
      <c r="K124" s="113">
        <v>0.93905999999999989</v>
      </c>
      <c r="M124" s="102"/>
      <c r="O124" s="102">
        <v>0.89394700000000005</v>
      </c>
      <c r="W124" s="97">
        <v>0.87221000000000004</v>
      </c>
    </row>
    <row r="125" spans="1:32">
      <c r="E125" s="67"/>
      <c r="G125" s="117"/>
      <c r="I125" s="102"/>
      <c r="K125" s="113"/>
      <c r="M125" s="102"/>
      <c r="O125" s="102"/>
    </row>
  </sheetData>
  <pageMargins left="0.7" right="0.7" top="0.75" bottom="0.75" header="0.3" footer="0.3"/>
  <pageSetup orientation="portrait" horizontalDpi="300" verticalDpi="300" r:id="rId1"/>
  <legacyDrawing r:id="rId2"/>
</worksheet>
</file>

<file path=xl/worksheets/sheet17.xml><?xml version="1.0" encoding="utf-8"?>
<worksheet xmlns="http://schemas.openxmlformats.org/spreadsheetml/2006/main" xmlns:r="http://schemas.openxmlformats.org/officeDocument/2006/relationships">
  <sheetPr>
    <tabColor rgb="FFFF0000"/>
  </sheetPr>
  <dimension ref="A1:AF125"/>
  <sheetViews>
    <sheetView workbookViewId="0">
      <pane xSplit="2" ySplit="4" topLeftCell="C5" activePane="bottomRight" state="frozen"/>
      <selection pane="topRight" activeCell="C1" sqref="C1"/>
      <selection pane="bottomLeft" activeCell="A5" sqref="A5"/>
      <selection pane="bottomRight" activeCell="B7" sqref="B7"/>
    </sheetView>
  </sheetViews>
  <sheetFormatPr baseColWidth="10" defaultRowHeight="15"/>
  <cols>
    <col min="1" max="1" width="4" customWidth="1"/>
    <col min="2" max="2" width="10.5703125" style="75" bestFit="1" customWidth="1"/>
    <col min="3" max="3" width="13.5703125" customWidth="1"/>
    <col min="4" max="4" width="14.28515625" customWidth="1"/>
    <col min="5" max="5" width="8.5703125" bestFit="1" customWidth="1"/>
    <col min="6" max="6" width="10.85546875" bestFit="1" customWidth="1"/>
    <col min="7" max="7" width="8.5703125" style="106" bestFit="1" customWidth="1"/>
    <col min="8" max="8" width="10.85546875" bestFit="1" customWidth="1"/>
    <col min="9" max="9" width="8.5703125" style="97" bestFit="1" customWidth="1"/>
    <col min="10" max="10" width="10.85546875" style="97" bestFit="1" customWidth="1"/>
    <col min="11" max="11" width="11.28515625" style="108" bestFit="1" customWidth="1"/>
    <col min="12" max="12" width="10.85546875" style="108" bestFit="1" customWidth="1"/>
    <col min="13" max="13" width="8.5703125" style="97" bestFit="1" customWidth="1"/>
    <col min="14" max="14" width="10.85546875" style="97" bestFit="1" customWidth="1"/>
    <col min="15" max="15" width="11.28515625" style="97" bestFit="1" customWidth="1"/>
    <col min="16" max="16" width="10.85546875" style="97" bestFit="1" customWidth="1"/>
    <col min="17" max="17" width="11.42578125" style="97"/>
    <col min="18" max="18" width="10.85546875" style="97" bestFit="1" customWidth="1"/>
    <col min="19" max="19" width="11.42578125" style="97"/>
    <col min="20" max="20" width="10.85546875" style="97" bestFit="1" customWidth="1"/>
    <col min="21" max="21" width="17.85546875" style="97" customWidth="1"/>
    <col min="22" max="22" width="37.42578125" style="97" customWidth="1"/>
    <col min="23" max="23" width="16.42578125" style="97" customWidth="1"/>
    <col min="24" max="24" width="28.28515625" style="97" customWidth="1"/>
    <col min="25" max="25" width="11.42578125" style="97"/>
    <col min="26" max="26" width="26.5703125" style="97" customWidth="1"/>
    <col min="27" max="27" width="11.42578125" style="97"/>
    <col min="28" max="28" width="22.42578125" style="97" customWidth="1"/>
    <col min="29" max="30" width="11.42578125" style="97"/>
    <col min="32" max="32" width="23.28515625" customWidth="1"/>
  </cols>
  <sheetData>
    <row r="1" spans="1:32">
      <c r="B1" s="75" t="s">
        <v>149</v>
      </c>
      <c r="K1" s="107"/>
    </row>
    <row r="2" spans="1:32" ht="75">
      <c r="D2" s="68" t="s">
        <v>126</v>
      </c>
      <c r="F2" s="71" t="s">
        <v>99</v>
      </c>
      <c r="H2" s="109" t="s">
        <v>142</v>
      </c>
      <c r="J2" s="109" t="s">
        <v>144</v>
      </c>
      <c r="L2" s="110" t="s">
        <v>136</v>
      </c>
      <c r="N2" s="71" t="s">
        <v>100</v>
      </c>
      <c r="P2" s="71" t="s">
        <v>137</v>
      </c>
      <c r="R2" s="100" t="s">
        <v>103</v>
      </c>
      <c r="T2" s="100" t="s">
        <v>141</v>
      </c>
      <c r="V2" s="100" t="s">
        <v>105</v>
      </c>
      <c r="X2" s="100" t="s">
        <v>139</v>
      </c>
      <c r="Z2" s="100" t="s">
        <v>135</v>
      </c>
      <c r="AB2" s="100" t="s">
        <v>140</v>
      </c>
      <c r="AD2" s="100" t="s">
        <v>143</v>
      </c>
      <c r="AF2" s="100" t="s">
        <v>138</v>
      </c>
    </row>
    <row r="3" spans="1:32" s="68" customFormat="1" ht="15.75" thickBot="1">
      <c r="B3" s="76" t="s">
        <v>101</v>
      </c>
      <c r="D3" s="68">
        <f>+SUM(D25:D84)</f>
        <v>5.9422166137151379E-4</v>
      </c>
      <c r="E3" s="71"/>
      <c r="F3" s="68">
        <f>+SUM(F25:F84)</f>
        <v>4.1704708310101042E-2</v>
      </c>
      <c r="G3" s="109"/>
      <c r="H3" s="68">
        <f>+SUM(H25:H84)</f>
        <v>4.2307732381128768E-3</v>
      </c>
      <c r="I3" s="109"/>
      <c r="J3" s="68">
        <f>+SUM(J25:J84)</f>
        <v>9.4383449383340858E-4</v>
      </c>
      <c r="K3" s="110"/>
      <c r="L3" s="68">
        <f>+SUM(L25:L84)</f>
        <v>3.0340743273836332E-4</v>
      </c>
      <c r="M3" s="71"/>
      <c r="N3" s="68">
        <f>+SUM(N25:N84)</f>
        <v>5.012634273395071E-2</v>
      </c>
      <c r="O3" s="71"/>
      <c r="P3" s="68">
        <f>+SUM(P25:P84)</f>
        <v>6.1717502722257833E-4</v>
      </c>
      <c r="Q3" s="100"/>
      <c r="R3" s="68">
        <f>+SUM(R25:R84)</f>
        <v>7.98698109135762E-2</v>
      </c>
      <c r="S3" s="100"/>
      <c r="T3" s="68">
        <f>+SUM(T25:T84)</f>
        <v>8.4760612789482634E-4</v>
      </c>
      <c r="U3" s="100"/>
      <c r="V3" s="68">
        <f>+SUM(V25:V84)</f>
        <v>1.9742352205223482E-3</v>
      </c>
      <c r="W3" s="100"/>
      <c r="X3" s="68">
        <f>+SUM(X25:X84)</f>
        <v>2.1893950680675165E-4</v>
      </c>
      <c r="Y3" s="100"/>
      <c r="Z3" s="68">
        <f>+SUM(Z25:Z84)</f>
        <v>3.0294569808602305E-3</v>
      </c>
      <c r="AA3" s="100"/>
      <c r="AB3" s="68">
        <f>+SUM(AB25:AB84)</f>
        <v>3.9358203233673931E-4</v>
      </c>
      <c r="AC3" s="100"/>
      <c r="AD3" s="68">
        <f>+SUM(AD25:AD84)</f>
        <v>4.8413939153511056E-4</v>
      </c>
      <c r="AE3" s="100"/>
      <c r="AF3" s="68">
        <f>+SUM(AF25:AF84)</f>
        <v>3.4534899738008253E-3</v>
      </c>
    </row>
    <row r="4" spans="1:32">
      <c r="A4" s="59" t="s">
        <v>97</v>
      </c>
      <c r="B4" s="77"/>
      <c r="C4" s="82" t="s">
        <v>147</v>
      </c>
      <c r="D4" s="60"/>
      <c r="E4" s="66" t="s">
        <v>98</v>
      </c>
      <c r="F4" s="60"/>
      <c r="G4" s="94" t="s">
        <v>98</v>
      </c>
      <c r="H4" s="60"/>
      <c r="I4" s="66" t="s">
        <v>98</v>
      </c>
      <c r="J4" s="60"/>
      <c r="K4" s="111"/>
      <c r="L4" s="112"/>
      <c r="M4" s="66" t="s">
        <v>98</v>
      </c>
      <c r="N4" s="60"/>
      <c r="O4" s="66" t="s">
        <v>98</v>
      </c>
      <c r="P4" s="60"/>
      <c r="Q4" s="66" t="s">
        <v>98</v>
      </c>
      <c r="R4" s="60"/>
      <c r="S4" s="66" t="s">
        <v>98</v>
      </c>
      <c r="T4" s="60"/>
      <c r="U4" s="66" t="s">
        <v>98</v>
      </c>
      <c r="V4" s="60"/>
      <c r="W4" s="66" t="s">
        <v>98</v>
      </c>
      <c r="X4" s="60"/>
    </row>
    <row r="5" spans="1:32">
      <c r="A5" s="61">
        <v>0</v>
      </c>
      <c r="B5" s="78">
        <f>+QxF!G2/1000</f>
        <v>1.6527711760467353E-2</v>
      </c>
      <c r="D5" s="62"/>
      <c r="E5" s="67">
        <v>2.2579999999999999E-2</v>
      </c>
      <c r="F5" s="62"/>
      <c r="G5" s="106">
        <v>5.4799999999999996E-3</v>
      </c>
      <c r="H5" s="62"/>
      <c r="I5">
        <v>2.8900000000000002E-3</v>
      </c>
      <c r="J5" s="62"/>
      <c r="K5" s="113">
        <v>4.1999999999999996E-4</v>
      </c>
      <c r="L5" s="114"/>
      <c r="M5" s="102">
        <v>0</v>
      </c>
      <c r="N5" s="62"/>
      <c r="O5" s="102">
        <v>5.7279999999999996E-3</v>
      </c>
      <c r="P5" s="62"/>
      <c r="Q5" s="97">
        <v>4.0980000000000003E-2</v>
      </c>
      <c r="R5" s="62"/>
      <c r="S5" s="97">
        <v>1.014E-2</v>
      </c>
      <c r="T5" s="62"/>
      <c r="U5" s="97">
        <v>4.8000000000000001E-4</v>
      </c>
      <c r="V5" s="62"/>
      <c r="W5" s="97">
        <v>8.1499999999999993E-3</v>
      </c>
      <c r="X5" s="62"/>
      <c r="Y5" s="97">
        <v>1.2800000000000001E-3</v>
      </c>
      <c r="AA5" s="97">
        <v>3.0411000000000001E-4</v>
      </c>
      <c r="AC5" s="97">
        <v>7.8309999999999994E-3</v>
      </c>
      <c r="AE5">
        <v>9.6000000000000002E-4</v>
      </c>
    </row>
    <row r="6" spans="1:32">
      <c r="A6" s="61">
        <v>1</v>
      </c>
      <c r="B6" s="78">
        <f>+QxF!G3/1000</f>
        <v>2.3232723800909526E-3</v>
      </c>
      <c r="D6" s="62"/>
      <c r="E6" s="67">
        <v>5.77E-3</v>
      </c>
      <c r="F6" s="62">
        <f>+(E6-$B6)^2</f>
        <v>1.1879931285843886E-5</v>
      </c>
      <c r="G6" s="106">
        <v>9.3999999999999997E-4</v>
      </c>
      <c r="H6" s="62">
        <f>+(G6-$B6)^2</f>
        <v>1.9134424775224893E-6</v>
      </c>
      <c r="I6">
        <v>8.7000000000000001E-4</v>
      </c>
      <c r="J6" s="62">
        <f t="shared" ref="J6:J69" si="0">+(I6-$B6)^2</f>
        <v>2.1120006107352218E-6</v>
      </c>
      <c r="K6" s="113">
        <v>3.1E-4</v>
      </c>
      <c r="L6" s="114">
        <f>+(K6-$B6)^2</f>
        <v>4.0532656764370896E-6</v>
      </c>
      <c r="M6" s="102">
        <v>0</v>
      </c>
      <c r="N6" s="62">
        <f>+(M6-$B6)^2</f>
        <v>5.3975945520934798E-6</v>
      </c>
      <c r="O6" s="102">
        <v>3.7300000000000001E-4</v>
      </c>
      <c r="P6" s="62">
        <f>+(O6-$B6)^2</f>
        <v>3.8035623565456287E-6</v>
      </c>
      <c r="Q6" s="97">
        <v>2.8872999999999999E-2</v>
      </c>
      <c r="R6" s="62">
        <f>+(Q6-$B6)^2</f>
        <v>7.048880366913613E-4</v>
      </c>
      <c r="S6" s="97">
        <v>8.3900000000000001E-4</v>
      </c>
      <c r="T6" s="62">
        <f>+(S6-$B6)^2</f>
        <v>2.2030644983008613E-6</v>
      </c>
      <c r="U6" s="97">
        <v>4.0000000000000002E-4</v>
      </c>
      <c r="V6" s="62">
        <f>+(U6-$B6)^2</f>
        <v>3.6989766480207176E-6</v>
      </c>
      <c r="W6" s="97">
        <v>6.4999999999999997E-4</v>
      </c>
      <c r="X6" s="62">
        <f>+(W6-$B6)^2</f>
        <v>2.7998404579752415E-6</v>
      </c>
      <c r="Y6" s="97">
        <v>4.6000000000000001E-4</v>
      </c>
      <c r="Z6" s="62">
        <f>+(Y6-$B6)^2</f>
        <v>3.4717839624098034E-6</v>
      </c>
      <c r="AA6" s="97">
        <v>3.1040000000000001E-4</v>
      </c>
      <c r="AB6" s="62">
        <f t="shared" ref="AB6:AB69" si="1">+(AA6-$B6)^2</f>
        <v>4.0516552185330155E-6</v>
      </c>
      <c r="AC6" s="97">
        <v>3.3E-4</v>
      </c>
      <c r="AD6" s="62">
        <f t="shared" ref="AD6:AF21" si="2">+(AC6-$B6)^2</f>
        <v>3.9731347812334507E-6</v>
      </c>
      <c r="AE6">
        <v>6.6E-4</v>
      </c>
      <c r="AF6" s="62">
        <f t="shared" si="2"/>
        <v>2.766475010373422E-6</v>
      </c>
    </row>
    <row r="7" spans="1:32">
      <c r="A7" s="61">
        <v>2</v>
      </c>
      <c r="B7" s="78">
        <f>+QxF!G4/1000</f>
        <v>9.0064575514138339E-4</v>
      </c>
      <c r="D7" s="62"/>
      <c r="E7" s="67">
        <v>4.1399999999999996E-3</v>
      </c>
      <c r="F7" s="62">
        <f t="shared" ref="F7:H70" si="3">+(E7-$B7)^2</f>
        <v>1.0493415923683537E-5</v>
      </c>
      <c r="G7" s="106">
        <v>6.7000000000000002E-4</v>
      </c>
      <c r="H7" s="62">
        <f t="shared" si="3"/>
        <v>5.319746436473897E-8</v>
      </c>
      <c r="I7">
        <v>8.0999999999999996E-4</v>
      </c>
      <c r="J7" s="62">
        <f t="shared" si="0"/>
        <v>8.2166529251516411E-9</v>
      </c>
      <c r="K7" s="113">
        <v>2.3000000000000001E-4</v>
      </c>
      <c r="L7" s="114">
        <f t="shared" ref="L7:L70" si="4">+(K7-$B7)^2</f>
        <v>4.4976572888915626E-7</v>
      </c>
      <c r="M7" s="102">
        <v>0</v>
      </c>
      <c r="N7" s="62">
        <f t="shared" ref="N7:X22" si="5">+(M7-$B7)^2</f>
        <v>8.1116277625419271E-7</v>
      </c>
      <c r="O7" s="102">
        <v>2.41E-4</v>
      </c>
      <c r="P7" s="62">
        <f t="shared" si="5"/>
        <v>4.3513252227604592E-7</v>
      </c>
      <c r="Q7" s="97">
        <v>1.9359000000000001E-2</v>
      </c>
      <c r="R7" s="62">
        <f t="shared" si="5"/>
        <v>3.4071084142869021E-4</v>
      </c>
      <c r="S7" s="97">
        <v>5.0500000000000002E-4</v>
      </c>
      <c r="T7" s="62">
        <f t="shared" si="5"/>
        <v>1.5653556356139549E-7</v>
      </c>
      <c r="U7" s="97">
        <v>3.8000000000000002E-4</v>
      </c>
      <c r="V7" s="62">
        <f t="shared" si="5"/>
        <v>2.7107200234674132E-7</v>
      </c>
      <c r="W7" s="97">
        <v>3.8000000000000002E-4</v>
      </c>
      <c r="X7" s="62">
        <f t="shared" si="5"/>
        <v>2.7107200234674132E-7</v>
      </c>
      <c r="Y7" s="97">
        <v>2.5000000000000001E-4</v>
      </c>
      <c r="Z7" s="62">
        <f t="shared" ref="Z7:Z70" si="6">+(Y7-$B7)^2</f>
        <v>4.2333989868350104E-7</v>
      </c>
      <c r="AA7" s="97">
        <v>3.1714999999999998E-4</v>
      </c>
      <c r="AB7" s="62">
        <f t="shared" si="1"/>
        <v>3.4046729626801326E-7</v>
      </c>
      <c r="AC7" s="97">
        <v>3.3199999999999999E-4</v>
      </c>
      <c r="AD7" s="62">
        <f t="shared" si="2"/>
        <v>3.2335799484031421E-7</v>
      </c>
      <c r="AE7">
        <v>4.2000000000000002E-4</v>
      </c>
      <c r="AF7" s="62">
        <f t="shared" si="2"/>
        <v>2.3102034193543066E-7</v>
      </c>
    </row>
    <row r="8" spans="1:32">
      <c r="A8" s="63">
        <v>3</v>
      </c>
      <c r="B8" s="78">
        <f>+QxF!G5/1000</f>
        <v>5.9176548959333729E-4</v>
      </c>
      <c r="D8" s="62"/>
      <c r="E8" s="67">
        <v>3.3800000000000002E-3</v>
      </c>
      <c r="F8" s="62">
        <f t="shared" si="3"/>
        <v>7.7742516850226821E-6</v>
      </c>
      <c r="G8" s="106">
        <v>5.9999999999999995E-4</v>
      </c>
      <c r="H8" s="62">
        <f t="shared" si="3"/>
        <v>6.7807161637435596E-11</v>
      </c>
      <c r="I8">
        <v>7.9000000000000001E-4</v>
      </c>
      <c r="J8" s="62">
        <f t="shared" si="0"/>
        <v>3.9296921116169274E-8</v>
      </c>
      <c r="K8" s="113">
        <v>2.0000000000000001E-4</v>
      </c>
      <c r="L8" s="114">
        <f t="shared" si="4"/>
        <v>1.5348019883630729E-7</v>
      </c>
      <c r="M8" s="102">
        <v>0</v>
      </c>
      <c r="N8" s="62">
        <f t="shared" si="5"/>
        <v>3.5018639467364216E-7</v>
      </c>
      <c r="O8" s="102">
        <v>1.8599999999999999E-4</v>
      </c>
      <c r="P8" s="62">
        <f t="shared" si="5"/>
        <v>1.6464563254492075E-7</v>
      </c>
      <c r="Q8" s="97">
        <v>1.1989E-2</v>
      </c>
      <c r="R8" s="62">
        <f t="shared" si="5"/>
        <v>1.2989695448520458E-4</v>
      </c>
      <c r="S8" s="97">
        <v>3.6900000000000002E-4</v>
      </c>
      <c r="T8" s="62">
        <f t="shared" si="5"/>
        <v>4.9624463353759254E-8</v>
      </c>
      <c r="U8" s="97">
        <v>3.6999999999999999E-4</v>
      </c>
      <c r="V8" s="62">
        <f t="shared" si="5"/>
        <v>4.9179932374572593E-8</v>
      </c>
      <c r="W8" s="97">
        <v>2.9999999999999997E-4</v>
      </c>
      <c r="X8" s="62">
        <f t="shared" si="5"/>
        <v>8.5127100917639824E-8</v>
      </c>
      <c r="Y8" s="97">
        <v>1.6000000000000001E-4</v>
      </c>
      <c r="Z8" s="62">
        <f t="shared" si="6"/>
        <v>1.8642143800377427E-7</v>
      </c>
      <c r="AA8" s="97">
        <v>3.2440000000000002E-4</v>
      </c>
      <c r="AB8" s="62">
        <f t="shared" si="1"/>
        <v>7.1484305025484933E-8</v>
      </c>
      <c r="AC8" s="97">
        <v>3.3399999999999999E-4</v>
      </c>
      <c r="AD8" s="62">
        <f t="shared" si="2"/>
        <v>6.6443047625292884E-8</v>
      </c>
      <c r="AE8">
        <v>2.5999999999999998E-4</v>
      </c>
      <c r="AF8" s="62">
        <f t="shared" si="2"/>
        <v>1.1006834008510681E-7</v>
      </c>
    </row>
    <row r="9" spans="1:32">
      <c r="A9" s="63">
        <v>4</v>
      </c>
      <c r="B9" s="78">
        <f>+QxF!G6/1000</f>
        <v>4.214497725378352E-4</v>
      </c>
      <c r="D9" s="62"/>
      <c r="E9" s="67">
        <v>2.99E-3</v>
      </c>
      <c r="F9" s="62">
        <f t="shared" si="3"/>
        <v>6.5974502709959381E-6</v>
      </c>
      <c r="G9" s="106">
        <v>5.2999999999999998E-4</v>
      </c>
      <c r="H9" s="62">
        <f t="shared" si="3"/>
        <v>1.1783151882087712E-8</v>
      </c>
      <c r="I9">
        <v>7.6999999999999996E-4</v>
      </c>
      <c r="J9" s="62">
        <f t="shared" si="0"/>
        <v>1.214872610639268E-7</v>
      </c>
      <c r="K9" s="113">
        <v>1.9000000000000001E-4</v>
      </c>
      <c r="L9" s="114">
        <f t="shared" si="4"/>
        <v>5.3568997207815646E-8</v>
      </c>
      <c r="M9" s="102">
        <v>0</v>
      </c>
      <c r="N9" s="62">
        <f t="shared" si="5"/>
        <v>1.7761991077219302E-7</v>
      </c>
      <c r="O9" s="102">
        <v>1.4999999999999999E-4</v>
      </c>
      <c r="P9" s="62">
        <f t="shared" si="5"/>
        <v>7.3684979010842489E-8</v>
      </c>
      <c r="Q9" s="97">
        <v>6.417E-3</v>
      </c>
      <c r="R9" s="62">
        <f t="shared" si="5"/>
        <v>3.5946622530021616E-5</v>
      </c>
      <c r="S9" s="97">
        <v>2.92E-4</v>
      </c>
      <c r="T9" s="62">
        <f t="shared" si="5"/>
        <v>1.6757243610097272E-8</v>
      </c>
      <c r="U9" s="97">
        <v>3.6000000000000002E-4</v>
      </c>
      <c r="V9" s="62">
        <f t="shared" si="5"/>
        <v>3.776074544951682E-9</v>
      </c>
      <c r="W9" s="97">
        <v>2.5000000000000001E-4</v>
      </c>
      <c r="X9" s="62">
        <f t="shared" si="5"/>
        <v>2.9395024503275426E-8</v>
      </c>
      <c r="Y9" s="97">
        <v>1.2E-4</v>
      </c>
      <c r="Z9" s="62">
        <f t="shared" si="6"/>
        <v>9.0871965363112582E-8</v>
      </c>
      <c r="AA9" s="97">
        <v>3.3218000000000001E-4</v>
      </c>
      <c r="AB9" s="62">
        <f t="shared" si="1"/>
        <v>7.9690922889568342E-9</v>
      </c>
      <c r="AC9" s="97">
        <v>3.3599999999999998E-4</v>
      </c>
      <c r="AD9" s="62">
        <f t="shared" si="2"/>
        <v>7.3016636267677781E-9</v>
      </c>
      <c r="AE9">
        <v>1.6000000000000001E-4</v>
      </c>
      <c r="AF9" s="62">
        <f t="shared" si="2"/>
        <v>6.8355983560085777E-8</v>
      </c>
    </row>
    <row r="10" spans="1:32">
      <c r="A10" s="63">
        <v>5</v>
      </c>
      <c r="B10" s="78">
        <f>+QxF!G7/1000</f>
        <v>3.0388325599129518E-4</v>
      </c>
      <c r="D10" s="62"/>
      <c r="E10" s="67">
        <v>2.7599999999999999E-3</v>
      </c>
      <c r="F10" s="62">
        <f t="shared" si="3"/>
        <v>6.0325094601999221E-6</v>
      </c>
      <c r="G10" s="106">
        <v>4.6999999999999999E-4</v>
      </c>
      <c r="H10" s="62">
        <f t="shared" si="3"/>
        <v>2.7594772640053564E-8</v>
      </c>
      <c r="I10">
        <v>7.6000000000000004E-4</v>
      </c>
      <c r="J10" s="62">
        <f t="shared" si="0"/>
        <v>2.080424841651024E-7</v>
      </c>
      <c r="K10" s="113">
        <v>1.7999999999999998E-4</v>
      </c>
      <c r="L10" s="114">
        <f t="shared" si="4"/>
        <v>1.5347061115004778E-8</v>
      </c>
      <c r="M10" s="102">
        <v>0</v>
      </c>
      <c r="N10" s="62">
        <f t="shared" si="5"/>
        <v>9.2345033271871038E-8</v>
      </c>
      <c r="O10" s="102">
        <v>1.3300000000000001E-4</v>
      </c>
      <c r="P10" s="62">
        <f t="shared" si="5"/>
        <v>2.9201087178186519E-8</v>
      </c>
      <c r="Q10" s="97">
        <v>5.2420000000000001E-3</v>
      </c>
      <c r="R10" s="62">
        <f t="shared" si="5"/>
        <v>2.4384996977459131E-5</v>
      </c>
      <c r="S10" s="97">
        <v>2.5599999999999999E-4</v>
      </c>
      <c r="T10" s="62">
        <f t="shared" si="5"/>
        <v>2.2928062043279071E-9</v>
      </c>
      <c r="U10" s="97">
        <v>3.5E-4</v>
      </c>
      <c r="V10" s="62">
        <f t="shared" si="5"/>
        <v>2.1267540779644114E-9</v>
      </c>
      <c r="W10" s="97">
        <v>2.2000000000000001E-4</v>
      </c>
      <c r="X10" s="62">
        <f t="shared" si="5"/>
        <v>7.0364006357011578E-9</v>
      </c>
      <c r="Y10" s="115">
        <v>1E-4</v>
      </c>
      <c r="Z10" s="62">
        <f t="shared" si="6"/>
        <v>4.1568382073612008E-8</v>
      </c>
      <c r="AA10" s="97">
        <v>3.4053000000000002E-4</v>
      </c>
      <c r="AB10" s="62">
        <f t="shared" si="1"/>
        <v>1.342983846439544E-9</v>
      </c>
      <c r="AC10" s="97">
        <v>3.3799999999999998E-4</v>
      </c>
      <c r="AD10" s="62">
        <f t="shared" si="2"/>
        <v>1.1639522217554945E-9</v>
      </c>
      <c r="AE10">
        <v>1.2E-4</v>
      </c>
      <c r="AF10" s="62">
        <f t="shared" si="2"/>
        <v>3.3813051833960198E-8</v>
      </c>
    </row>
    <row r="11" spans="1:32">
      <c r="A11" s="63">
        <v>6</v>
      </c>
      <c r="B11" s="78">
        <f>+QxF!G8/1000</f>
        <v>3.0388325599129518E-4</v>
      </c>
      <c r="D11" s="62"/>
      <c r="E11" s="67">
        <v>2.6099999999999999E-3</v>
      </c>
      <c r="F11" s="62">
        <f t="shared" si="3"/>
        <v>5.3181744369973103E-6</v>
      </c>
      <c r="G11" s="106">
        <v>4.0999999999999999E-4</v>
      </c>
      <c r="H11" s="62">
        <f t="shared" si="3"/>
        <v>1.1260763359008988E-8</v>
      </c>
      <c r="I11">
        <v>7.2999999999999996E-4</v>
      </c>
      <c r="J11" s="62">
        <f t="shared" si="0"/>
        <v>1.8157547952458005E-7</v>
      </c>
      <c r="K11" s="113">
        <v>1.9000000000000001E-4</v>
      </c>
      <c r="L11" s="114">
        <f t="shared" si="4"/>
        <v>1.2969395995178868E-8</v>
      </c>
      <c r="M11" s="102">
        <v>0</v>
      </c>
      <c r="N11" s="62">
        <f t="shared" si="5"/>
        <v>9.2345033271871038E-8</v>
      </c>
      <c r="O11" s="102">
        <v>1.21E-4</v>
      </c>
      <c r="P11" s="62">
        <f t="shared" si="5"/>
        <v>3.34462853219776E-8</v>
      </c>
      <c r="Q11" s="97">
        <v>4.2940000000000001E-3</v>
      </c>
      <c r="R11" s="62">
        <f t="shared" si="5"/>
        <v>1.5921031630818626E-5</v>
      </c>
      <c r="S11" s="97">
        <v>2.42E-4</v>
      </c>
      <c r="T11" s="62">
        <f t="shared" si="5"/>
        <v>3.8295373720841714E-9</v>
      </c>
      <c r="U11" s="97">
        <v>3.5E-4</v>
      </c>
      <c r="V11" s="62">
        <f t="shared" si="5"/>
        <v>2.1267540779644114E-9</v>
      </c>
      <c r="W11" s="97">
        <v>2.0000000000000001E-4</v>
      </c>
      <c r="X11" s="62">
        <f t="shared" si="5"/>
        <v>1.0791730875352964E-8</v>
      </c>
      <c r="Y11" s="115" t="s">
        <v>148</v>
      </c>
      <c r="Z11" s="62">
        <f t="shared" si="6"/>
        <v>4.5746047193437897E-8</v>
      </c>
      <c r="AA11" s="97">
        <v>3.4948999999999999E-4</v>
      </c>
      <c r="AB11" s="62">
        <f t="shared" si="1"/>
        <v>2.079975099075532E-9</v>
      </c>
      <c r="AC11" s="97">
        <v>3.4099999999999999E-4</v>
      </c>
      <c r="AD11" s="62">
        <f t="shared" si="2"/>
        <v>1.3776526858077247E-9</v>
      </c>
      <c r="AE11">
        <v>1.2E-4</v>
      </c>
      <c r="AF11" s="62">
        <f t="shared" si="2"/>
        <v>3.3813051833960198E-8</v>
      </c>
    </row>
    <row r="12" spans="1:32">
      <c r="A12" s="63">
        <v>7</v>
      </c>
      <c r="B12" s="78">
        <f>+QxF!G9/1000</f>
        <v>3.0388325599129518E-4</v>
      </c>
      <c r="D12" s="62"/>
      <c r="E12" s="67">
        <v>2.47E-3</v>
      </c>
      <c r="F12" s="62">
        <f t="shared" si="3"/>
        <v>4.6920617486748736E-6</v>
      </c>
      <c r="G12" s="106">
        <v>3.6000000000000002E-4</v>
      </c>
      <c r="H12" s="62">
        <f t="shared" si="3"/>
        <v>3.1490889581385105E-9</v>
      </c>
      <c r="I12">
        <v>7.2000000000000005E-4</v>
      </c>
      <c r="J12" s="62">
        <f t="shared" si="0"/>
        <v>1.7315314464440603E-7</v>
      </c>
      <c r="K12" s="113">
        <v>2.0999999999999998E-4</v>
      </c>
      <c r="L12" s="114">
        <f t="shared" si="4"/>
        <v>8.814065755527066E-9</v>
      </c>
      <c r="M12" s="102">
        <v>0</v>
      </c>
      <c r="N12" s="62">
        <f t="shared" si="5"/>
        <v>9.2345033271871038E-8</v>
      </c>
      <c r="O12" s="102">
        <v>1.12E-4</v>
      </c>
      <c r="P12" s="62">
        <f t="shared" si="5"/>
        <v>3.6819183929820911E-8</v>
      </c>
      <c r="Q12" s="97">
        <v>3.5360000000000001E-3</v>
      </c>
      <c r="R12" s="62">
        <f t="shared" si="5"/>
        <v>1.0446578646901433E-5</v>
      </c>
      <c r="S12" s="97">
        <v>2.33E-4</v>
      </c>
      <c r="T12" s="62">
        <f t="shared" si="5"/>
        <v>5.0244359799274847E-9</v>
      </c>
      <c r="U12" s="97">
        <v>3.5E-4</v>
      </c>
      <c r="V12" s="62">
        <f t="shared" si="5"/>
        <v>2.1267540779644114E-9</v>
      </c>
      <c r="W12" s="97">
        <v>1.8000000000000001E-4</v>
      </c>
      <c r="X12" s="62">
        <f t="shared" si="5"/>
        <v>1.5347061115004771E-8</v>
      </c>
      <c r="Y12" s="115" t="s">
        <v>148</v>
      </c>
      <c r="Z12" s="62">
        <f t="shared" si="6"/>
        <v>4.5746047193437897E-8</v>
      </c>
      <c r="AA12" s="97">
        <v>3.5911E-4</v>
      </c>
      <c r="AB12" s="62">
        <f t="shared" si="1"/>
        <v>3.0499932538030128E-9</v>
      </c>
      <c r="AC12" s="97">
        <v>3.4400000000000001E-4</v>
      </c>
      <c r="AD12" s="62">
        <f t="shared" si="2"/>
        <v>1.609353149859955E-9</v>
      </c>
      <c r="AE12">
        <v>1.2E-4</v>
      </c>
      <c r="AF12" s="62">
        <f t="shared" si="2"/>
        <v>3.3813051833960198E-8</v>
      </c>
    </row>
    <row r="13" spans="1:32">
      <c r="A13" s="63">
        <v>8</v>
      </c>
      <c r="B13" s="78">
        <f>+QxF!G10/1000</f>
        <v>3.0388325599129518E-4</v>
      </c>
      <c r="D13" s="62"/>
      <c r="E13" s="67">
        <v>2.31E-3</v>
      </c>
      <c r="F13" s="62">
        <f t="shared" si="3"/>
        <v>4.0245043905920881E-6</v>
      </c>
      <c r="G13" s="106">
        <v>3.2000000000000003E-4</v>
      </c>
      <c r="H13" s="62">
        <f t="shared" si="3"/>
        <v>2.597494374421235E-10</v>
      </c>
      <c r="I13">
        <v>6.9999999999999999E-4</v>
      </c>
      <c r="J13" s="62">
        <f t="shared" si="0"/>
        <v>1.5690847488405778E-7</v>
      </c>
      <c r="K13" s="113">
        <v>2.0999999999999998E-4</v>
      </c>
      <c r="L13" s="114">
        <f t="shared" si="4"/>
        <v>8.814065755527066E-9</v>
      </c>
      <c r="M13" s="102">
        <v>0</v>
      </c>
      <c r="N13" s="62">
        <f t="shared" si="5"/>
        <v>9.2345033271871038E-8</v>
      </c>
      <c r="O13" s="102">
        <v>1.0399999999999999E-4</v>
      </c>
      <c r="P13" s="62">
        <f t="shared" si="5"/>
        <v>3.995331602568165E-8</v>
      </c>
      <c r="Q13" s="97">
        <v>2.983E-3</v>
      </c>
      <c r="R13" s="62">
        <f t="shared" si="5"/>
        <v>7.1776665280278043E-6</v>
      </c>
      <c r="S13" s="97">
        <v>2.14E-4</v>
      </c>
      <c r="T13" s="62">
        <f t="shared" si="5"/>
        <v>8.0789997075967017E-9</v>
      </c>
      <c r="U13" s="97">
        <v>3.4000000000000002E-4</v>
      </c>
      <c r="V13" s="62">
        <f t="shared" si="5"/>
        <v>1.3044191977903172E-9</v>
      </c>
      <c r="W13" s="97">
        <v>1.7000000000000001E-4</v>
      </c>
      <c r="X13" s="62">
        <f t="shared" si="5"/>
        <v>1.7924726234830675E-8</v>
      </c>
      <c r="Y13" s="115" t="s">
        <v>148</v>
      </c>
      <c r="Z13" s="62">
        <f t="shared" si="6"/>
        <v>4.5746047193437897E-8</v>
      </c>
      <c r="AA13" s="97">
        <v>3.6944000000000001E-4</v>
      </c>
      <c r="AB13" s="62">
        <f t="shared" si="1"/>
        <v>4.297686685022857E-9</v>
      </c>
      <c r="AC13" s="97">
        <v>3.48E-4</v>
      </c>
      <c r="AD13" s="62">
        <f t="shared" si="2"/>
        <v>1.9462871019295926E-9</v>
      </c>
      <c r="AE13">
        <v>1.1E-4</v>
      </c>
      <c r="AF13" s="62">
        <f t="shared" si="2"/>
        <v>3.7590716953786096E-8</v>
      </c>
    </row>
    <row r="14" spans="1:32">
      <c r="A14" s="63">
        <v>9</v>
      </c>
      <c r="B14" s="78">
        <f>+QxF!G11/1000</f>
        <v>3.0388325599129513E-4</v>
      </c>
      <c r="D14" s="62"/>
      <c r="E14" s="67">
        <v>2.1199999999999999E-3</v>
      </c>
      <c r="F14" s="62">
        <f t="shared" si="3"/>
        <v>3.2982800278687796E-6</v>
      </c>
      <c r="G14" s="106">
        <v>2.9999999999999997E-4</v>
      </c>
      <c r="H14" s="62">
        <f t="shared" si="3"/>
        <v>1.5079677093929711E-11</v>
      </c>
      <c r="I14">
        <v>6.8999999999999997E-4</v>
      </c>
      <c r="J14" s="62">
        <f t="shared" si="0"/>
        <v>1.4908614000388369E-7</v>
      </c>
      <c r="K14" s="113">
        <v>2.0999999999999998E-4</v>
      </c>
      <c r="L14" s="114">
        <f t="shared" si="4"/>
        <v>8.8140657555270561E-9</v>
      </c>
      <c r="M14" s="102">
        <v>0</v>
      </c>
      <c r="N14" s="62">
        <f t="shared" si="5"/>
        <v>9.2345033271871012E-8</v>
      </c>
      <c r="O14" s="102">
        <v>9.7999999999999997E-5</v>
      </c>
      <c r="P14" s="62">
        <f t="shared" si="5"/>
        <v>4.2387915097577161E-8</v>
      </c>
      <c r="Q14" s="97">
        <v>2.539E-3</v>
      </c>
      <c r="R14" s="62">
        <f t="shared" si="5"/>
        <v>4.9957468593480748E-6</v>
      </c>
      <c r="S14" s="97">
        <v>1.9900000000000001E-4</v>
      </c>
      <c r="T14" s="62">
        <f t="shared" si="5"/>
        <v>1.1000497387335543E-8</v>
      </c>
      <c r="U14" s="97">
        <v>3.4000000000000002E-4</v>
      </c>
      <c r="V14" s="62">
        <f t="shared" si="5"/>
        <v>1.3044191977903211E-9</v>
      </c>
      <c r="W14" s="97">
        <v>1.6000000000000001E-4</v>
      </c>
      <c r="X14" s="62">
        <f t="shared" si="5"/>
        <v>2.0702391354656561E-8</v>
      </c>
      <c r="Y14" s="115">
        <v>1.1E-4</v>
      </c>
      <c r="Z14" s="62">
        <f t="shared" si="6"/>
        <v>3.7590716953786069E-8</v>
      </c>
      <c r="AA14" s="97">
        <v>3.8052000000000002E-4</v>
      </c>
      <c r="AB14" s="62">
        <f t="shared" si="1"/>
        <v>5.8731905322557659E-9</v>
      </c>
      <c r="AC14" s="97">
        <v>3.5100000000000002E-4</v>
      </c>
      <c r="AD14" s="62">
        <f t="shared" si="2"/>
        <v>2.2199875659818283E-9</v>
      </c>
      <c r="AE14">
        <v>1E-4</v>
      </c>
      <c r="AF14" s="62">
        <f t="shared" si="2"/>
        <v>4.1568382073611982E-8</v>
      </c>
    </row>
    <row r="15" spans="1:32">
      <c r="A15" s="63">
        <v>10</v>
      </c>
      <c r="B15" s="78">
        <f>+QxF!G12/1000</f>
        <v>2.9114403047200943E-4</v>
      </c>
      <c r="D15" s="62"/>
      <c r="E15" s="67">
        <v>1.97E-3</v>
      </c>
      <c r="F15" s="62">
        <f t="shared" si="3"/>
        <v>2.8185573664197693E-6</v>
      </c>
      <c r="G15" s="106">
        <v>2.9E-4</v>
      </c>
      <c r="H15" s="62">
        <f t="shared" si="3"/>
        <v>1.3088057208861076E-12</v>
      </c>
      <c r="I15">
        <v>6.8000000000000005E-4</v>
      </c>
      <c r="J15" s="62">
        <f t="shared" si="0"/>
        <v>1.5120896503755357E-7</v>
      </c>
      <c r="K15" s="113">
        <v>2.2000000000000001E-4</v>
      </c>
      <c r="L15" s="114">
        <f t="shared" si="4"/>
        <v>5.0614730718022046E-9</v>
      </c>
      <c r="M15" s="102">
        <v>6.1309683999999998E-3</v>
      </c>
      <c r="N15" s="62">
        <f t="shared" si="5"/>
        <v>3.4103548666932988E-5</v>
      </c>
      <c r="O15" s="102">
        <v>9.3999999999999994E-5</v>
      </c>
      <c r="P15" s="62">
        <f t="shared" si="5"/>
        <v>3.8865768750748579E-8</v>
      </c>
      <c r="Q15" s="97">
        <v>2.2390000000000001E-3</v>
      </c>
      <c r="R15" s="62">
        <f t="shared" si="5"/>
        <v>3.7941428780258287E-6</v>
      </c>
      <c r="S15" s="97">
        <v>1.95E-4</v>
      </c>
      <c r="T15" s="62">
        <f t="shared" si="5"/>
        <v>9.2436745954026778E-9</v>
      </c>
      <c r="U15" s="97">
        <v>3.5E-4</v>
      </c>
      <c r="V15" s="62">
        <f t="shared" si="5"/>
        <v>3.4640251490797543E-9</v>
      </c>
      <c r="W15" s="97">
        <v>1.4999999999999999E-4</v>
      </c>
      <c r="X15" s="62">
        <f t="shared" si="5"/>
        <v>1.9921637337883529E-8</v>
      </c>
      <c r="Y15" s="97">
        <v>1.3999999999999999E-4</v>
      </c>
      <c r="Z15" s="62">
        <f t="shared" si="6"/>
        <v>2.2844517947323718E-8</v>
      </c>
      <c r="AA15" s="97">
        <v>3.9241999999999999E-4</v>
      </c>
      <c r="AB15" s="62">
        <f t="shared" si="1"/>
        <v>1.0256822003834472E-8</v>
      </c>
      <c r="AC15" s="97">
        <v>3.5500000000000001E-4</v>
      </c>
      <c r="AD15" s="62">
        <f t="shared" si="2"/>
        <v>4.0775848443596616E-9</v>
      </c>
      <c r="AE15">
        <v>1E-4</v>
      </c>
      <c r="AF15" s="62">
        <f t="shared" si="2"/>
        <v>3.6536040385084474E-8</v>
      </c>
    </row>
    <row r="16" spans="1:32">
      <c r="A16" s="63">
        <v>11</v>
      </c>
      <c r="B16" s="78">
        <f>+QxF!G13/1000</f>
        <v>2.9114403047200943E-4</v>
      </c>
      <c r="D16" s="62"/>
      <c r="E16" s="67">
        <v>1.91E-3</v>
      </c>
      <c r="F16" s="62">
        <f t="shared" si="3"/>
        <v>2.6206946500764104E-6</v>
      </c>
      <c r="G16" s="106">
        <v>2.9E-4</v>
      </c>
      <c r="H16" s="62">
        <f t="shared" si="3"/>
        <v>1.3088057208861076E-12</v>
      </c>
      <c r="I16">
        <v>6.8999999999999997E-4</v>
      </c>
      <c r="J16" s="62">
        <f t="shared" si="0"/>
        <v>1.5908608442811331E-7</v>
      </c>
      <c r="K16" s="113">
        <v>2.5000000000000001E-4</v>
      </c>
      <c r="L16" s="114">
        <f t="shared" si="4"/>
        <v>1.6928312434816398E-9</v>
      </c>
      <c r="M16" s="102">
        <v>6.1687883000000002E-3</v>
      </c>
      <c r="N16" s="62">
        <f t="shared" si="5"/>
        <v>3.4546702159115225E-5</v>
      </c>
      <c r="O16" s="102">
        <v>9.7999999999999997E-5</v>
      </c>
      <c r="P16" s="62">
        <f t="shared" si="5"/>
        <v>3.7304616506972505E-8</v>
      </c>
      <c r="Q16" s="97">
        <v>2.0960000000000002E-3</v>
      </c>
      <c r="R16" s="62">
        <f t="shared" si="5"/>
        <v>3.2575050707408236E-6</v>
      </c>
      <c r="S16" s="97">
        <v>2.0000000000000001E-4</v>
      </c>
      <c r="T16" s="62">
        <f t="shared" si="5"/>
        <v>8.3072342906825811E-9</v>
      </c>
      <c r="U16" s="97">
        <v>3.6999999999999999E-4</v>
      </c>
      <c r="V16" s="62">
        <f t="shared" si="5"/>
        <v>6.2182639301993769E-9</v>
      </c>
      <c r="W16" s="97">
        <v>1.6000000000000001E-4</v>
      </c>
      <c r="X16" s="62">
        <f t="shared" si="5"/>
        <v>1.7198756728443334E-8</v>
      </c>
      <c r="Y16" s="97">
        <v>1.8000000000000001E-4</v>
      </c>
      <c r="Z16" s="62">
        <f t="shared" si="6"/>
        <v>1.2352995509562957E-8</v>
      </c>
      <c r="AA16" s="97">
        <v>4.0518999999999999E-4</v>
      </c>
      <c r="AB16" s="62">
        <f t="shared" si="1"/>
        <v>1.3006483165579351E-8</v>
      </c>
      <c r="AC16" s="97">
        <v>3.6000000000000002E-4</v>
      </c>
      <c r="AD16" s="62">
        <f t="shared" si="2"/>
        <v>4.7411445396395693E-9</v>
      </c>
      <c r="AE16" t="s">
        <v>148</v>
      </c>
      <c r="AF16" s="62">
        <f t="shared" si="2"/>
        <v>4.045892099452465E-8</v>
      </c>
    </row>
    <row r="17" spans="1:32">
      <c r="A17" s="63">
        <v>12</v>
      </c>
      <c r="B17" s="78">
        <f>+QxF!G14/1000</f>
        <v>2.9114403047200937E-4</v>
      </c>
      <c r="D17" s="62"/>
      <c r="E17" s="67">
        <v>1.92E-3</v>
      </c>
      <c r="F17" s="62">
        <f t="shared" si="3"/>
        <v>2.6531717694669704E-6</v>
      </c>
      <c r="G17" s="106">
        <v>2.9999999999999997E-4</v>
      </c>
      <c r="H17" s="62">
        <f t="shared" si="3"/>
        <v>7.842819628069808E-11</v>
      </c>
      <c r="I17">
        <v>7.2000000000000005E-4</v>
      </c>
      <c r="J17" s="62">
        <f t="shared" si="0"/>
        <v>1.8391744259979288E-7</v>
      </c>
      <c r="K17" s="113">
        <v>2.7E-4</v>
      </c>
      <c r="L17" s="114">
        <f t="shared" si="4"/>
        <v>4.4707002460126073E-10</v>
      </c>
      <c r="M17" s="102">
        <v>6.1882127E-3</v>
      </c>
      <c r="N17" s="62">
        <f t="shared" si="5"/>
        <v>3.4775418893128624E-5</v>
      </c>
      <c r="O17" s="102">
        <v>1.1400000000000001E-4</v>
      </c>
      <c r="P17" s="62">
        <f t="shared" si="5"/>
        <v>3.138000753186818E-8</v>
      </c>
      <c r="Q17" s="97">
        <v>2.0309999999999998E-3</v>
      </c>
      <c r="R17" s="62">
        <f t="shared" si="5"/>
        <v>3.0270987947021838E-6</v>
      </c>
      <c r="S17" s="97">
        <v>2.1100000000000001E-4</v>
      </c>
      <c r="T17" s="62">
        <f t="shared" si="5"/>
        <v>6.4230656202983663E-9</v>
      </c>
      <c r="U17" s="97">
        <v>4.0999999999999999E-4</v>
      </c>
      <c r="V17" s="62">
        <f t="shared" si="5"/>
        <v>1.4126741492438635E-8</v>
      </c>
      <c r="W17" s="97">
        <v>1.8000000000000001E-4</v>
      </c>
      <c r="X17" s="62">
        <f t="shared" si="5"/>
        <v>1.2352995509562946E-8</v>
      </c>
      <c r="Y17" s="97">
        <v>2.2000000000000001E-4</v>
      </c>
      <c r="Z17" s="62">
        <f t="shared" si="6"/>
        <v>5.0614730718021971E-9</v>
      </c>
      <c r="AA17" s="97">
        <v>4.1889E-4</v>
      </c>
      <c r="AB17" s="62">
        <f t="shared" si="1"/>
        <v>1.6319032730646308E-8</v>
      </c>
      <c r="AC17" s="97">
        <v>3.6499999999999998E-4</v>
      </c>
      <c r="AD17" s="62">
        <f t="shared" si="2"/>
        <v>5.4547042349194774E-9</v>
      </c>
      <c r="AE17" t="s">
        <v>148</v>
      </c>
      <c r="AF17" s="62">
        <f t="shared" si="2"/>
        <v>4.045892099452463E-8</v>
      </c>
    </row>
    <row r="18" spans="1:32">
      <c r="A18" s="63">
        <v>13</v>
      </c>
      <c r="B18" s="78">
        <f>+QxF!G15/1000</f>
        <v>2.9114403047200943E-4</v>
      </c>
      <c r="D18" s="62"/>
      <c r="E18" s="67">
        <v>1.98E-3</v>
      </c>
      <c r="F18" s="62">
        <f t="shared" si="3"/>
        <v>2.8522344858103293E-6</v>
      </c>
      <c r="G18" s="106">
        <v>3.2000000000000003E-4</v>
      </c>
      <c r="H18" s="62">
        <f t="shared" si="3"/>
        <v>8.3266697740032206E-10</v>
      </c>
      <c r="I18">
        <v>7.5000000000000002E-4</v>
      </c>
      <c r="J18" s="62">
        <f t="shared" si="0"/>
        <v>2.1054880077147224E-7</v>
      </c>
      <c r="K18" s="113">
        <v>3.1E-4</v>
      </c>
      <c r="L18" s="114">
        <f t="shared" si="4"/>
        <v>3.5554758684050904E-10</v>
      </c>
      <c r="M18" s="102">
        <v>6.2172523E-3</v>
      </c>
      <c r="N18" s="62">
        <f t="shared" si="5"/>
        <v>3.5118759222168036E-5</v>
      </c>
      <c r="O18" s="102">
        <v>1.4300000000000001E-4</v>
      </c>
      <c r="P18" s="62">
        <f t="shared" si="5"/>
        <v>2.1946653764491654E-8</v>
      </c>
      <c r="Q18" s="97">
        <v>2.013E-3</v>
      </c>
      <c r="R18" s="62">
        <f t="shared" si="5"/>
        <v>2.9647879797991765E-6</v>
      </c>
      <c r="S18" s="97">
        <v>2.2800000000000001E-4</v>
      </c>
      <c r="T18" s="62">
        <f t="shared" si="5"/>
        <v>3.987168584250053E-9</v>
      </c>
      <c r="U18" s="97">
        <v>4.6999999999999999E-4</v>
      </c>
      <c r="V18" s="62">
        <f t="shared" si="5"/>
        <v>3.1989457835797485E-8</v>
      </c>
      <c r="W18" s="97">
        <v>2.3000000000000001E-4</v>
      </c>
      <c r="X18" s="62">
        <f t="shared" si="5"/>
        <v>3.7385924623620161E-9</v>
      </c>
      <c r="Y18" s="97">
        <v>2.5999999999999998E-4</v>
      </c>
      <c r="Z18" s="62">
        <f t="shared" si="6"/>
        <v>9.6995063404145316E-10</v>
      </c>
      <c r="AA18" s="97">
        <v>4.3360000000000002E-4</v>
      </c>
      <c r="AB18" s="62">
        <f t="shared" si="1"/>
        <v>2.0293703254159784E-8</v>
      </c>
      <c r="AC18" s="97">
        <v>3.7100000000000002E-4</v>
      </c>
      <c r="AD18" s="62">
        <f t="shared" si="2"/>
        <v>6.3769758692553621E-9</v>
      </c>
      <c r="AE18">
        <v>1E-4</v>
      </c>
      <c r="AF18" s="62">
        <f t="shared" si="2"/>
        <v>3.6536040385084474E-8</v>
      </c>
    </row>
    <row r="19" spans="1:32">
      <c r="A19" s="63">
        <v>14</v>
      </c>
      <c r="B19" s="78">
        <f>+QxF!G16/1000</f>
        <v>2.9114403047200943E-4</v>
      </c>
      <c r="D19" s="62"/>
      <c r="E19" s="67">
        <v>2.0699999999999998E-3</v>
      </c>
      <c r="F19" s="62">
        <f t="shared" si="3"/>
        <v>3.1643285603253667E-6</v>
      </c>
      <c r="G19" s="106">
        <v>3.5E-4</v>
      </c>
      <c r="H19" s="62">
        <f t="shared" si="3"/>
        <v>3.4640251490797543E-9</v>
      </c>
      <c r="I19">
        <v>8.0000000000000004E-4</v>
      </c>
      <c r="J19" s="62">
        <f t="shared" si="0"/>
        <v>2.5893439772427126E-7</v>
      </c>
      <c r="K19" s="113">
        <v>3.4000000000000002E-4</v>
      </c>
      <c r="L19" s="114">
        <f t="shared" si="4"/>
        <v>2.3869057585199457E-9</v>
      </c>
      <c r="M19" s="102">
        <v>6.2465979000000003E-3</v>
      </c>
      <c r="N19" s="62">
        <f t="shared" si="5"/>
        <v>3.5467430792075919E-5</v>
      </c>
      <c r="O19" s="102">
        <v>1.83E-4</v>
      </c>
      <c r="P19" s="62">
        <f t="shared" si="5"/>
        <v>1.1695131326730903E-8</v>
      </c>
      <c r="Q19" s="97">
        <v>2.0400000000000001E-3</v>
      </c>
      <c r="R19" s="62">
        <f t="shared" si="5"/>
        <v>3.0584972021536884E-6</v>
      </c>
      <c r="S19" s="97">
        <v>2.5000000000000001E-4</v>
      </c>
      <c r="T19" s="62">
        <f t="shared" si="5"/>
        <v>1.6928312434816398E-9</v>
      </c>
      <c r="U19" s="97">
        <v>5.5000000000000003E-4</v>
      </c>
      <c r="V19" s="62">
        <f t="shared" si="5"/>
        <v>6.7006412960275995E-8</v>
      </c>
      <c r="W19" s="97">
        <v>2.9E-4</v>
      </c>
      <c r="X19" s="62">
        <f t="shared" si="5"/>
        <v>1.3088057208861076E-12</v>
      </c>
      <c r="Y19" s="97">
        <v>2.9999999999999997E-4</v>
      </c>
      <c r="Z19" s="62">
        <f t="shared" si="6"/>
        <v>7.842819628069711E-11</v>
      </c>
      <c r="AA19" s="97">
        <v>4.4938999999999998E-4</v>
      </c>
      <c r="AB19" s="62">
        <f t="shared" si="1"/>
        <v>2.5041786871853714E-8</v>
      </c>
      <c r="AC19" s="97">
        <v>3.77E-4</v>
      </c>
      <c r="AD19" s="62">
        <f t="shared" si="2"/>
        <v>7.3712475035912466E-9</v>
      </c>
      <c r="AE19">
        <v>1.2E-4</v>
      </c>
      <c r="AF19" s="62">
        <f t="shared" si="2"/>
        <v>2.9290279166204096E-8</v>
      </c>
    </row>
    <row r="20" spans="1:32">
      <c r="A20" s="63">
        <v>15</v>
      </c>
      <c r="B20" s="78">
        <f>+QxF!G17/1000</f>
        <v>5.7513198190843552E-4</v>
      </c>
      <c r="D20" s="62"/>
      <c r="E20" s="67">
        <v>2.15E-3</v>
      </c>
      <c r="F20" s="62">
        <f t="shared" si="3"/>
        <v>2.4802092744076519E-6</v>
      </c>
      <c r="G20" s="106">
        <v>3.8999999999999999E-4</v>
      </c>
      <c r="H20" s="62">
        <f t="shared" si="3"/>
        <v>3.42738507253453E-8</v>
      </c>
      <c r="I20">
        <v>8.4999999999999995E-4</v>
      </c>
      <c r="J20" s="62">
        <f t="shared" si="0"/>
        <v>7.555242736958459E-8</v>
      </c>
      <c r="K20" s="113">
        <v>3.5999999999999997E-4</v>
      </c>
      <c r="L20" s="114">
        <f t="shared" si="4"/>
        <v>4.6281769639851441E-8</v>
      </c>
      <c r="M20" s="102">
        <v>6.2858621000000002E-3</v>
      </c>
      <c r="N20" s="62">
        <f t="shared" si="5"/>
        <v>3.2612438481678096E-5</v>
      </c>
      <c r="O20" s="102">
        <v>2.2900000000000001E-4</v>
      </c>
      <c r="P20" s="62">
        <f t="shared" si="5"/>
        <v>1.1980734889986152E-7</v>
      </c>
      <c r="Q20" s="97">
        <v>2.124E-3</v>
      </c>
      <c r="R20" s="62">
        <f t="shared" si="5"/>
        <v>2.3989921374668905E-6</v>
      </c>
      <c r="S20" s="97">
        <v>2.7399999999999999E-4</v>
      </c>
      <c r="T20" s="62">
        <f t="shared" si="5"/>
        <v>9.0680470528102344E-8</v>
      </c>
      <c r="U20" s="97">
        <v>6.4000000000000005E-4</v>
      </c>
      <c r="V20" s="62">
        <f t="shared" si="5"/>
        <v>4.2078597711275431E-9</v>
      </c>
      <c r="W20" s="97">
        <v>3.6999999999999999E-4</v>
      </c>
      <c r="X20" s="62">
        <f t="shared" si="5"/>
        <v>4.2079130001682721E-8</v>
      </c>
      <c r="Y20" s="97">
        <v>3.3E-4</v>
      </c>
      <c r="Z20" s="62">
        <f t="shared" si="6"/>
        <v>6.0089688554357558E-8</v>
      </c>
      <c r="AA20" s="97">
        <v>4.6633999999999998E-4</v>
      </c>
      <c r="AB20" s="62">
        <f t="shared" si="1"/>
        <v>1.1835695327565365E-8</v>
      </c>
      <c r="AC20" s="97">
        <v>3.8499999999999998E-4</v>
      </c>
      <c r="AD20" s="62">
        <f t="shared" si="2"/>
        <v>3.6150170544429657E-8</v>
      </c>
      <c r="AE20">
        <v>1.6000000000000001E-4</v>
      </c>
      <c r="AF20" s="62">
        <f t="shared" si="2"/>
        <v>1.7233456240322565E-7</v>
      </c>
    </row>
    <row r="21" spans="1:32">
      <c r="A21" s="63">
        <v>16</v>
      </c>
      <c r="B21" s="78">
        <f>+QxF!G18/1000</f>
        <v>5.7513198190843552E-4</v>
      </c>
      <c r="D21" s="62"/>
      <c r="E21" s="67">
        <v>2.1900000000000001E-3</v>
      </c>
      <c r="F21" s="62">
        <f t="shared" si="3"/>
        <v>2.6077987158549772E-6</v>
      </c>
      <c r="G21" s="106">
        <v>4.4000000000000002E-4</v>
      </c>
      <c r="H21" s="62">
        <f t="shared" si="3"/>
        <v>1.826065253450174E-8</v>
      </c>
      <c r="I21">
        <v>8.9999999999999998E-4</v>
      </c>
      <c r="J21" s="62">
        <f t="shared" si="0"/>
        <v>1.0553922917874105E-7</v>
      </c>
      <c r="K21" s="113">
        <v>3.8999999999999999E-4</v>
      </c>
      <c r="L21" s="114">
        <f t="shared" si="4"/>
        <v>3.42738507253453E-8</v>
      </c>
      <c r="M21" s="102">
        <v>6.3256240999999998E-3</v>
      </c>
      <c r="N21" s="62">
        <f t="shared" si="5"/>
        <v>3.3068159600233206E-5</v>
      </c>
      <c r="O21" s="102">
        <v>2.7399999999999999E-4</v>
      </c>
      <c r="P21" s="62">
        <f t="shared" si="5"/>
        <v>9.0680470528102344E-8</v>
      </c>
      <c r="Q21" s="97">
        <v>2.1979999999999999E-3</v>
      </c>
      <c r="R21" s="62">
        <f t="shared" si="5"/>
        <v>2.6337006041444415E-6</v>
      </c>
      <c r="S21" s="97">
        <v>2.99E-4</v>
      </c>
      <c r="T21" s="62">
        <f t="shared" si="5"/>
        <v>7.6248871432680555E-8</v>
      </c>
      <c r="U21" s="97">
        <v>7.3999999999999999E-4</v>
      </c>
      <c r="V21" s="62">
        <f t="shared" si="5"/>
        <v>2.718146338944043E-8</v>
      </c>
      <c r="W21" s="97">
        <v>4.4000000000000002E-4</v>
      </c>
      <c r="X21" s="62">
        <f t="shared" si="5"/>
        <v>1.826065253450174E-8</v>
      </c>
      <c r="Y21" s="97">
        <v>3.5E-4</v>
      </c>
      <c r="Z21" s="62">
        <f t="shared" si="6"/>
        <v>5.0684409278020142E-8</v>
      </c>
      <c r="AA21" s="97">
        <v>4.8453E-4</v>
      </c>
      <c r="AB21" s="62">
        <f t="shared" si="1"/>
        <v>8.2087191257364781E-9</v>
      </c>
      <c r="AC21" s="97">
        <v>3.9199999999999999E-4</v>
      </c>
      <c r="AD21" s="62">
        <f t="shared" si="2"/>
        <v>3.3537322797711557E-8</v>
      </c>
      <c r="AE21">
        <v>2.0000000000000001E-4</v>
      </c>
      <c r="AF21" s="62">
        <f t="shared" si="2"/>
        <v>1.407240038505508E-7</v>
      </c>
    </row>
    <row r="22" spans="1:32">
      <c r="A22" s="63">
        <v>17</v>
      </c>
      <c r="B22" s="78">
        <f>+QxF!G19/1000</f>
        <v>5.7513198190843552E-4</v>
      </c>
      <c r="D22" s="62"/>
      <c r="E22" s="67">
        <v>2.2499999999999998E-3</v>
      </c>
      <c r="F22" s="62">
        <f t="shared" si="3"/>
        <v>2.8051828780259643E-6</v>
      </c>
      <c r="G22" s="106">
        <v>5.0000000000000001E-4</v>
      </c>
      <c r="H22" s="62">
        <f t="shared" si="3"/>
        <v>5.6448147054894807E-9</v>
      </c>
      <c r="I22">
        <v>9.5E-4</v>
      </c>
      <c r="J22" s="62">
        <f t="shared" si="0"/>
        <v>1.4052603098789752E-7</v>
      </c>
      <c r="K22" s="113">
        <v>4.0999999999999999E-4</v>
      </c>
      <c r="L22" s="114">
        <f t="shared" si="4"/>
        <v>2.726857144900788E-8</v>
      </c>
      <c r="M22" s="102">
        <v>6.3756274000000002E-3</v>
      </c>
      <c r="N22" s="62">
        <f t="shared" si="5"/>
        <v>3.3645747095301239E-5</v>
      </c>
      <c r="O22" s="102">
        <v>3.1399999999999999E-4</v>
      </c>
      <c r="P22" s="62">
        <f t="shared" si="5"/>
        <v>6.8189911975427497E-8</v>
      </c>
      <c r="Q22" s="97">
        <v>2.3059999999999999E-3</v>
      </c>
      <c r="R22" s="62">
        <f t="shared" si="5"/>
        <v>2.9959040960522196E-6</v>
      </c>
      <c r="S22" s="97">
        <v>3.2400000000000001E-4</v>
      </c>
      <c r="T22" s="62">
        <f t="shared" si="5"/>
        <v>6.306727233725878E-8</v>
      </c>
      <c r="U22" s="97">
        <v>8.3000000000000001E-4</v>
      </c>
      <c r="V22" s="62">
        <f t="shared" si="5"/>
        <v>6.4957706645922044E-8</v>
      </c>
      <c r="W22" s="97">
        <v>4.8999999999999998E-4</v>
      </c>
      <c r="X22" s="62">
        <f t="shared" si="5"/>
        <v>7.2474543436581952E-9</v>
      </c>
      <c r="Y22" s="97">
        <v>3.6999999999999999E-4</v>
      </c>
      <c r="Z22" s="62">
        <f t="shared" si="6"/>
        <v>4.2079130001682721E-8</v>
      </c>
      <c r="AA22" s="97">
        <v>5.0405999999999997E-4</v>
      </c>
      <c r="AB22" s="62">
        <f t="shared" si="1"/>
        <v>5.0512266123929906E-9</v>
      </c>
      <c r="AC22" s="97">
        <v>4.0099999999999999E-4</v>
      </c>
      <c r="AD22" s="62">
        <f t="shared" ref="AD22:AD85" si="7">+(AC22-$B22)^2</f>
        <v>3.0321947123359719E-8</v>
      </c>
      <c r="AE22">
        <v>2.4000000000000001E-4</v>
      </c>
      <c r="AF22" s="62">
        <f t="shared" ref="AF22:AF85" si="8">+(AE22-$B22)^2</f>
        <v>1.1231344529787596E-7</v>
      </c>
    </row>
    <row r="23" spans="1:32">
      <c r="A23" s="63">
        <v>18</v>
      </c>
      <c r="B23" s="78">
        <f>+QxF!G20/1000</f>
        <v>5.7513198190843552E-4</v>
      </c>
      <c r="D23" s="62"/>
      <c r="E23" s="67">
        <v>2.3E-3</v>
      </c>
      <c r="F23" s="62">
        <f t="shared" si="3"/>
        <v>2.9751696798351213E-6</v>
      </c>
      <c r="G23" s="106">
        <v>5.5999999999999995E-4</v>
      </c>
      <c r="H23" s="62">
        <f t="shared" si="3"/>
        <v>2.2897687647722138E-10</v>
      </c>
      <c r="I23">
        <v>9.7999999999999997E-4</v>
      </c>
      <c r="J23" s="62">
        <f t="shared" si="0"/>
        <v>1.6391811207339136E-7</v>
      </c>
      <c r="K23" s="113">
        <v>4.4000000000000002E-4</v>
      </c>
      <c r="L23" s="114">
        <f t="shared" si="4"/>
        <v>1.826065253450174E-8</v>
      </c>
      <c r="M23" s="102">
        <v>6.4165354999999999E-3</v>
      </c>
      <c r="N23" s="62">
        <f t="shared" ref="N23:X38" si="9">+(M23-$B23)^2</f>
        <v>3.4121995061172505E-5</v>
      </c>
      <c r="O23" s="102">
        <v>3.4699999999999998E-4</v>
      </c>
      <c r="P23" s="62">
        <f t="shared" si="9"/>
        <v>5.2044201169470759E-8</v>
      </c>
      <c r="Q23" s="97">
        <v>2.4620000000000002E-3</v>
      </c>
      <c r="R23" s="62">
        <f t="shared" si="9"/>
        <v>3.5602709176967891E-6</v>
      </c>
      <c r="S23" s="97">
        <v>3.4699999999999998E-4</v>
      </c>
      <c r="T23" s="62">
        <f t="shared" si="9"/>
        <v>5.2044201169470759E-8</v>
      </c>
      <c r="U23" s="97">
        <v>9.2000000000000003E-4</v>
      </c>
      <c r="V23" s="62">
        <f t="shared" si="9"/>
        <v>1.1893394990240366E-7</v>
      </c>
      <c r="W23" s="97">
        <v>5.1000000000000004E-4</v>
      </c>
      <c r="X23" s="62">
        <f t="shared" si="9"/>
        <v>4.242175067320767E-9</v>
      </c>
      <c r="Y23" s="97">
        <v>3.6999999999999999E-4</v>
      </c>
      <c r="Z23" s="62">
        <f t="shared" si="6"/>
        <v>4.2079130001682721E-8</v>
      </c>
      <c r="AA23" s="97">
        <v>5.2501999999999996E-4</v>
      </c>
      <c r="AB23" s="62">
        <f t="shared" si="1"/>
        <v>2.5112107307913734E-9</v>
      </c>
      <c r="AC23" s="97">
        <v>4.1100000000000002E-4</v>
      </c>
      <c r="AD23" s="62">
        <f t="shared" si="7"/>
        <v>2.6939307485191E-8</v>
      </c>
      <c r="AE23">
        <v>2.7999999999999998E-4</v>
      </c>
      <c r="AF23" s="62">
        <f t="shared" si="8"/>
        <v>8.710288674520113E-8</v>
      </c>
    </row>
    <row r="24" spans="1:32">
      <c r="A24" s="63">
        <v>19</v>
      </c>
      <c r="B24" s="78">
        <f>+QxF!G21/1000</f>
        <v>5.7513198190843552E-4</v>
      </c>
      <c r="D24" s="62"/>
      <c r="E24" s="67">
        <v>2.3700000000000001E-3</v>
      </c>
      <c r="F24" s="62">
        <f t="shared" si="3"/>
        <v>3.221551202367941E-6</v>
      </c>
      <c r="G24" s="106">
        <v>6.3000000000000003E-4</v>
      </c>
      <c r="H24" s="62">
        <f t="shared" si="3"/>
        <v>3.01049940929625E-9</v>
      </c>
      <c r="I24">
        <v>1.0200000000000001E-3</v>
      </c>
      <c r="J24" s="62">
        <f t="shared" si="0"/>
        <v>1.979075535207166E-7</v>
      </c>
      <c r="K24" s="113">
        <v>4.6000000000000001E-4</v>
      </c>
      <c r="L24" s="114">
        <f t="shared" si="4"/>
        <v>1.3255373258164322E-8</v>
      </c>
      <c r="M24" s="102">
        <v>6.4579733999999998E-3</v>
      </c>
      <c r="N24" s="62">
        <f t="shared" si="9"/>
        <v>3.460782315041357E-5</v>
      </c>
      <c r="O24" s="102">
        <v>3.7399999999999998E-4</v>
      </c>
      <c r="P24" s="62">
        <f t="shared" si="9"/>
        <v>4.045407414641524E-8</v>
      </c>
      <c r="Q24" s="97">
        <v>2.6189999999999998E-3</v>
      </c>
      <c r="R24" s="62">
        <f t="shared" si="9"/>
        <v>4.1773964753775387E-6</v>
      </c>
      <c r="S24" s="97">
        <v>3.6600000000000001E-4</v>
      </c>
      <c r="T24" s="62">
        <f t="shared" si="9"/>
        <v>4.3736185856950199E-8</v>
      </c>
      <c r="U24" s="97">
        <v>9.7999999999999997E-4</v>
      </c>
      <c r="V24" s="62">
        <f t="shared" si="9"/>
        <v>1.6391811207339136E-7</v>
      </c>
      <c r="W24" s="97">
        <v>5.1000000000000004E-4</v>
      </c>
      <c r="X24" s="62">
        <f t="shared" si="9"/>
        <v>4.242175067320767E-9</v>
      </c>
      <c r="Y24" s="97">
        <v>3.6999999999999999E-4</v>
      </c>
      <c r="Z24" s="62">
        <f t="shared" si="6"/>
        <v>4.2079130001682721E-8</v>
      </c>
      <c r="AA24" s="97">
        <v>5.4750999999999997E-4</v>
      </c>
      <c r="AB24" s="62">
        <f t="shared" si="1"/>
        <v>7.62973884549941E-10</v>
      </c>
      <c r="AC24" s="97">
        <v>4.2200000000000001E-4</v>
      </c>
      <c r="AD24" s="62">
        <f t="shared" si="7"/>
        <v>2.344940388320542E-8</v>
      </c>
      <c r="AE24">
        <v>2.9999999999999997E-4</v>
      </c>
      <c r="AF24" s="62">
        <f t="shared" si="8"/>
        <v>7.5697607468863704E-8</v>
      </c>
    </row>
    <row r="25" spans="1:32">
      <c r="A25" s="63">
        <v>20</v>
      </c>
      <c r="B25" s="78">
        <f>+QxF!G22/1000</f>
        <v>6.4603392670631885E-4</v>
      </c>
      <c r="C25" s="124">
        <v>2.0999999999999998E-4</v>
      </c>
      <c r="D25" s="62">
        <f t="shared" ref="D25:D88" si="10">+(C25-$B25)^2</f>
        <v>1.9012558523893142E-7</v>
      </c>
      <c r="E25" s="67">
        <v>2.4299999999999999E-3</v>
      </c>
      <c r="F25" s="62">
        <f t="shared" si="3"/>
        <v>3.1825349506628757E-6</v>
      </c>
      <c r="G25" s="106">
        <v>6.9999999999999999E-4</v>
      </c>
      <c r="H25" s="62">
        <f t="shared" si="3"/>
        <v>2.9123370667389656E-9</v>
      </c>
      <c r="I25">
        <v>1.0499999999999999E-3</v>
      </c>
      <c r="J25" s="62">
        <f t="shared" si="0"/>
        <v>1.6318858837231572E-7</v>
      </c>
      <c r="K25" s="113">
        <v>4.6999999999999999E-4</v>
      </c>
      <c r="L25" s="114">
        <f t="shared" si="4"/>
        <v>3.098794335164564E-8</v>
      </c>
      <c r="M25" s="102">
        <v>6.5197980000000003E-3</v>
      </c>
      <c r="N25" s="62">
        <f t="shared" si="9"/>
        <v>3.4501104388715574E-5</v>
      </c>
      <c r="O25" s="102">
        <v>4.0200000000000001E-4</v>
      </c>
      <c r="P25" s="62">
        <f t="shared" si="9"/>
        <v>5.955255738370499E-8</v>
      </c>
      <c r="Q25" s="97">
        <v>2.7650000000000001E-3</v>
      </c>
      <c r="R25" s="62">
        <f t="shared" si="9"/>
        <v>4.490017219769643E-6</v>
      </c>
      <c r="S25" s="97">
        <v>3.8099999999999999E-4</v>
      </c>
      <c r="T25" s="62">
        <f t="shared" si="9"/>
        <v>7.0242982305370389E-8</v>
      </c>
      <c r="U25" s="97">
        <v>1.0200000000000001E-3</v>
      </c>
      <c r="V25" s="62">
        <f t="shared" si="9"/>
        <v>1.3985062397469496E-7</v>
      </c>
      <c r="W25" s="97">
        <v>5.0000000000000001E-4</v>
      </c>
      <c r="X25" s="62">
        <f t="shared" si="9"/>
        <v>2.1325907749266501E-8</v>
      </c>
      <c r="Y25" s="97">
        <v>3.6999999999999999E-4</v>
      </c>
      <c r="Z25" s="62">
        <f t="shared" si="6"/>
        <v>7.6194728692909407E-8</v>
      </c>
      <c r="AA25" s="97">
        <v>5.7165999999999998E-4</v>
      </c>
      <c r="AB25" s="62">
        <f t="shared" si="1"/>
        <v>5.5314809737168897E-9</v>
      </c>
      <c r="AC25" s="97">
        <v>4.3399999999999998E-4</v>
      </c>
      <c r="AD25" s="62">
        <f t="shared" si="7"/>
        <v>4.49583860745006E-8</v>
      </c>
      <c r="AE25">
        <v>3.1E-4</v>
      </c>
      <c r="AF25" s="62">
        <f t="shared" si="8"/>
        <v>1.1291879989766767E-7</v>
      </c>
    </row>
    <row r="26" spans="1:32">
      <c r="A26" s="63">
        <v>21</v>
      </c>
      <c r="B26" s="78">
        <f>+QxF!G23/1000</f>
        <v>6.4603392670631874E-4</v>
      </c>
      <c r="C26" s="124">
        <v>2.3000000000000001E-4</v>
      </c>
      <c r="D26" s="62">
        <f t="shared" si="10"/>
        <v>1.7308422817067859E-7</v>
      </c>
      <c r="E26" s="67">
        <v>2.5100000000000001E-3</v>
      </c>
      <c r="F26" s="62">
        <f t="shared" si="3"/>
        <v>3.4743695223898655E-6</v>
      </c>
      <c r="G26" s="106">
        <v>7.6000000000000004E-4</v>
      </c>
      <c r="H26" s="62">
        <f t="shared" si="3"/>
        <v>1.298826586198074E-8</v>
      </c>
      <c r="I26">
        <v>1.07E-3</v>
      </c>
      <c r="J26" s="62">
        <f t="shared" si="0"/>
        <v>1.7974723130406309E-7</v>
      </c>
      <c r="K26" s="113">
        <v>4.8999999999999998E-4</v>
      </c>
      <c r="L26" s="114">
        <f t="shared" si="4"/>
        <v>2.4346586283392852E-8</v>
      </c>
      <c r="M26" s="102">
        <v>6.5925500999999996E-3</v>
      </c>
      <c r="N26" s="62">
        <f t="shared" si="9"/>
        <v>3.5361054599243315E-5</v>
      </c>
      <c r="O26" s="102">
        <v>4.3100000000000001E-4</v>
      </c>
      <c r="P26" s="62">
        <f t="shared" si="9"/>
        <v>4.6239589634738453E-8</v>
      </c>
      <c r="Q26" s="97">
        <v>2.8890000000000001E-3</v>
      </c>
      <c r="R26" s="62">
        <f t="shared" si="9"/>
        <v>5.030896805946476E-6</v>
      </c>
      <c r="S26" s="97">
        <v>3.8900000000000002E-4</v>
      </c>
      <c r="T26" s="62">
        <f t="shared" si="9"/>
        <v>6.6066439478069215E-8</v>
      </c>
      <c r="U26" s="97">
        <v>1.0399999999999999E-3</v>
      </c>
      <c r="V26" s="62">
        <f t="shared" si="9"/>
        <v>1.5520926690644215E-7</v>
      </c>
      <c r="W26" s="97">
        <v>5.0000000000000001E-4</v>
      </c>
      <c r="X26" s="62">
        <f t="shared" si="9"/>
        <v>2.1325907749266471E-8</v>
      </c>
      <c r="Y26" s="97">
        <v>3.6000000000000002E-4</v>
      </c>
      <c r="Z26" s="62">
        <f t="shared" si="6"/>
        <v>8.1815407227035709E-8</v>
      </c>
      <c r="AA26" s="97">
        <v>5.9758000000000001E-4</v>
      </c>
      <c r="AB26" s="62">
        <f t="shared" si="1"/>
        <v>2.3477830132613075E-9</v>
      </c>
      <c r="AC26" s="97">
        <v>4.4799999999999999E-4</v>
      </c>
      <c r="AD26" s="62">
        <f t="shared" si="7"/>
        <v>3.9217436126723626E-8</v>
      </c>
      <c r="AE26">
        <v>3.1E-4</v>
      </c>
      <c r="AF26" s="62">
        <f t="shared" si="8"/>
        <v>1.1291879989766759E-7</v>
      </c>
    </row>
    <row r="27" spans="1:32">
      <c r="A27" s="63">
        <v>22</v>
      </c>
      <c r="B27" s="78">
        <f>+QxF!G24/1000</f>
        <v>6.4603392670631885E-4</v>
      </c>
      <c r="C27" s="124">
        <v>2.5000000000000001E-4</v>
      </c>
      <c r="D27" s="62">
        <f t="shared" si="10"/>
        <v>1.5684287110242593E-7</v>
      </c>
      <c r="E27" s="67">
        <v>2.5899999999999999E-3</v>
      </c>
      <c r="F27" s="62">
        <f t="shared" si="3"/>
        <v>3.7790040941168537E-6</v>
      </c>
      <c r="G27" s="106">
        <v>8.0000000000000004E-4</v>
      </c>
      <c r="H27" s="62">
        <f t="shared" si="3"/>
        <v>2.3705551725475209E-8</v>
      </c>
      <c r="I27">
        <v>1.09E-3</v>
      </c>
      <c r="J27" s="62">
        <f t="shared" si="0"/>
        <v>1.971058742358103E-7</v>
      </c>
      <c r="K27" s="113">
        <v>5.0000000000000001E-4</v>
      </c>
      <c r="L27" s="114">
        <f t="shared" si="4"/>
        <v>2.1325907749266501E-8</v>
      </c>
      <c r="M27" s="102">
        <v>6.6463562999999996E-3</v>
      </c>
      <c r="N27" s="62">
        <f t="shared" si="9"/>
        <v>3.6003868583448703E-5</v>
      </c>
      <c r="O27" s="102">
        <v>4.5800000000000002E-4</v>
      </c>
      <c r="P27" s="62">
        <f t="shared" si="9"/>
        <v>3.5356757592597282E-8</v>
      </c>
      <c r="Q27" s="97">
        <v>2.9910000000000002E-3</v>
      </c>
      <c r="R27" s="62">
        <f t="shared" si="9"/>
        <v>5.4988658848983872E-6</v>
      </c>
      <c r="S27" s="97">
        <v>3.8900000000000002E-4</v>
      </c>
      <c r="T27" s="62">
        <f t="shared" si="9"/>
        <v>6.6066439478069282E-8</v>
      </c>
      <c r="U27" s="97">
        <v>1.0399999999999999E-3</v>
      </c>
      <c r="V27" s="62">
        <f t="shared" si="9"/>
        <v>1.5520926690644207E-7</v>
      </c>
      <c r="W27" s="97">
        <v>5.0000000000000001E-4</v>
      </c>
      <c r="X27" s="62">
        <f t="shared" si="9"/>
        <v>2.1325907749266501E-8</v>
      </c>
      <c r="Y27" s="97">
        <v>3.6000000000000002E-4</v>
      </c>
      <c r="Z27" s="62">
        <f t="shared" si="6"/>
        <v>8.1815407227035762E-8</v>
      </c>
      <c r="AA27" s="97">
        <v>6.2538999999999997E-4</v>
      </c>
      <c r="AB27" s="62">
        <f t="shared" si="1"/>
        <v>4.2617170985586554E-10</v>
      </c>
      <c r="AC27" s="97">
        <v>4.6299999999999998E-4</v>
      </c>
      <c r="AD27" s="62">
        <f t="shared" si="7"/>
        <v>3.3501418325534109E-8</v>
      </c>
      <c r="AE27">
        <v>3.2000000000000003E-4</v>
      </c>
      <c r="AF27" s="62">
        <f t="shared" si="8"/>
        <v>1.0629812136354127E-7</v>
      </c>
    </row>
    <row r="28" spans="1:32">
      <c r="A28" s="63">
        <v>23</v>
      </c>
      <c r="B28" s="78">
        <f>+QxF!G25/1000</f>
        <v>6.4603392670631885E-4</v>
      </c>
      <c r="C28" s="124">
        <v>2.8000000000000003E-4</v>
      </c>
      <c r="D28" s="62">
        <f t="shared" si="10"/>
        <v>1.3398083550004677E-7</v>
      </c>
      <c r="E28" s="67">
        <v>2.6800000000000001E-3</v>
      </c>
      <c r="F28" s="62">
        <f t="shared" si="3"/>
        <v>4.1370179873097173E-6</v>
      </c>
      <c r="G28" s="106">
        <v>8.4000000000000003E-4</v>
      </c>
      <c r="H28" s="62">
        <f t="shared" si="3"/>
        <v>3.7622837588969705E-8</v>
      </c>
      <c r="I28">
        <v>1.1100000000000001E-3</v>
      </c>
      <c r="J28" s="62">
        <f t="shared" si="0"/>
        <v>2.1526451716755761E-7</v>
      </c>
      <c r="K28" s="113">
        <v>5.1000000000000004E-4</v>
      </c>
      <c r="L28" s="114">
        <f t="shared" si="4"/>
        <v>1.8505229215140118E-8</v>
      </c>
      <c r="M28" s="102">
        <v>6.7211924999999997E-3</v>
      </c>
      <c r="N28" s="62">
        <f t="shared" si="9"/>
        <v>3.6907551690663711E-5</v>
      </c>
      <c r="O28" s="102">
        <v>4.8200000000000001E-4</v>
      </c>
      <c r="P28" s="62">
        <f t="shared" si="9"/>
        <v>2.690712911069398E-8</v>
      </c>
      <c r="Q28" s="97">
        <v>3.0699999999999998E-3</v>
      </c>
      <c r="R28" s="62">
        <f t="shared" si="9"/>
        <v>5.8756115244787871E-6</v>
      </c>
      <c r="S28" s="97">
        <v>3.8699999999999997E-4</v>
      </c>
      <c r="T28" s="62">
        <f t="shared" si="9"/>
        <v>6.7098575184894578E-8</v>
      </c>
      <c r="U28" s="97">
        <v>1.0200000000000001E-3</v>
      </c>
      <c r="V28" s="62">
        <f t="shared" si="9"/>
        <v>1.3985062397469496E-7</v>
      </c>
      <c r="W28" s="97">
        <v>5.1999999999999995E-4</v>
      </c>
      <c r="X28" s="62">
        <f t="shared" si="9"/>
        <v>1.5884550681013763E-8</v>
      </c>
      <c r="Y28" s="97">
        <v>3.5E-4</v>
      </c>
      <c r="Z28" s="62">
        <f t="shared" si="6"/>
        <v>8.7636085761162159E-8</v>
      </c>
      <c r="AA28" s="97">
        <v>6.5525000000000002E-4</v>
      </c>
      <c r="AB28" s="62">
        <f t="shared" si="1"/>
        <v>8.4936006954503304E-11</v>
      </c>
      <c r="AC28" s="97">
        <v>4.7899999999999999E-4</v>
      </c>
      <c r="AD28" s="62">
        <f t="shared" si="7"/>
        <v>2.7900332670931901E-8</v>
      </c>
      <c r="AE28">
        <v>3.4000000000000002E-4</v>
      </c>
      <c r="AF28" s="62">
        <f t="shared" si="8"/>
        <v>9.3656764295288517E-8</v>
      </c>
    </row>
    <row r="29" spans="1:32">
      <c r="A29" s="63">
        <v>24</v>
      </c>
      <c r="B29" s="78">
        <f>+QxF!G26/1000</f>
        <v>6.4603392670631885E-4</v>
      </c>
      <c r="C29" s="124">
        <v>3.1E-4</v>
      </c>
      <c r="D29" s="62">
        <f t="shared" si="10"/>
        <v>1.1291879989766767E-7</v>
      </c>
      <c r="E29" s="67">
        <v>2.7699999999999999E-3</v>
      </c>
      <c r="F29" s="62">
        <f t="shared" si="3"/>
        <v>4.5112318805025791E-6</v>
      </c>
      <c r="G29" s="106">
        <v>8.7000000000000001E-4</v>
      </c>
      <c r="H29" s="62">
        <f t="shared" si="3"/>
        <v>5.016080198659056E-8</v>
      </c>
      <c r="I29">
        <v>1.14E-3</v>
      </c>
      <c r="J29" s="62">
        <f t="shared" si="0"/>
        <v>2.4400248156517835E-7</v>
      </c>
      <c r="K29" s="113">
        <v>5.2999999999999998E-4</v>
      </c>
      <c r="L29" s="114">
        <f t="shared" si="4"/>
        <v>1.3463872146887378E-8</v>
      </c>
      <c r="M29" s="102">
        <v>6.7972440999999996E-3</v>
      </c>
      <c r="N29" s="62">
        <f t="shared" si="9"/>
        <v>3.7837386596031674E-5</v>
      </c>
      <c r="O29" s="102">
        <v>5.04E-4</v>
      </c>
      <c r="P29" s="62">
        <f t="shared" si="9"/>
        <v>2.0173636335615953E-8</v>
      </c>
      <c r="Q29" s="97">
        <v>3.1150000000000001E-3</v>
      </c>
      <c r="R29" s="62">
        <f t="shared" si="9"/>
        <v>6.0957934710752206E-6</v>
      </c>
      <c r="S29" s="97">
        <v>3.8900000000000002E-4</v>
      </c>
      <c r="T29" s="62">
        <f t="shared" si="9"/>
        <v>6.6066439478069282E-8</v>
      </c>
      <c r="U29" s="97">
        <v>9.7999999999999997E-4</v>
      </c>
      <c r="V29" s="62">
        <f t="shared" si="9"/>
        <v>1.115333381112004E-7</v>
      </c>
      <c r="W29" s="97">
        <v>5.5000000000000003E-4</v>
      </c>
      <c r="X29" s="62">
        <f t="shared" si="9"/>
        <v>9.2225150786346132E-9</v>
      </c>
      <c r="Y29" s="97">
        <v>3.5E-4</v>
      </c>
      <c r="Z29" s="62">
        <f t="shared" si="6"/>
        <v>8.7636085761162159E-8</v>
      </c>
      <c r="AA29" s="97">
        <v>6.8729999999999996E-4</v>
      </c>
      <c r="AB29" s="62">
        <f t="shared" si="1"/>
        <v>1.7028888050794613E-9</v>
      </c>
      <c r="AC29" s="97">
        <v>4.9799999999999996E-4</v>
      </c>
      <c r="AD29" s="62">
        <f t="shared" si="7"/>
        <v>2.191404345609179E-8</v>
      </c>
      <c r="AE29">
        <v>3.5E-4</v>
      </c>
      <c r="AF29" s="62">
        <f t="shared" si="8"/>
        <v>8.7636085761162159E-8</v>
      </c>
    </row>
    <row r="30" spans="1:32">
      <c r="A30" s="63">
        <v>25</v>
      </c>
      <c r="B30" s="78">
        <f>+QxF!G27/1000</f>
        <v>7.8425330072374089E-4</v>
      </c>
      <c r="C30" s="124">
        <v>3.4000000000000002E-4</v>
      </c>
      <c r="D30" s="62">
        <f t="shared" si="10"/>
        <v>1.9736099520393853E-7</v>
      </c>
      <c r="E30" s="67">
        <v>2.8800000000000002E-3</v>
      </c>
      <c r="F30" s="62">
        <f t="shared" si="3"/>
        <v>4.3921542275273349E-6</v>
      </c>
      <c r="G30" s="106">
        <v>8.8999999999999995E-4</v>
      </c>
      <c r="H30" s="62">
        <f t="shared" si="3"/>
        <v>1.1182364407823569E-8</v>
      </c>
      <c r="I30">
        <v>1.16E-3</v>
      </c>
      <c r="J30" s="62">
        <f t="shared" si="0"/>
        <v>1.411855820170035E-7</v>
      </c>
      <c r="K30" s="113">
        <v>5.5000000000000003E-4</v>
      </c>
      <c r="L30" s="114">
        <f t="shared" si="4"/>
        <v>5.4874608899967366E-8</v>
      </c>
      <c r="M30" s="102">
        <v>6.8950657000000004E-3</v>
      </c>
      <c r="N30" s="62">
        <f t="shared" si="9"/>
        <v>3.7342028179148477E-5</v>
      </c>
      <c r="O30" s="102">
        <v>5.2700000000000002E-4</v>
      </c>
      <c r="P30" s="62">
        <f t="shared" si="9"/>
        <v>6.6179260733259459E-8</v>
      </c>
      <c r="Q30" s="97">
        <v>3.137E-3</v>
      </c>
      <c r="R30" s="62">
        <f t="shared" si="9"/>
        <v>5.5354170309553317E-6</v>
      </c>
      <c r="S30" s="97">
        <v>3.9500000000000001E-4</v>
      </c>
      <c r="T30" s="62">
        <f t="shared" si="9"/>
        <v>1.5151813212432704E-7</v>
      </c>
      <c r="U30" s="97">
        <v>9.3999999999999997E-4</v>
      </c>
      <c r="V30" s="62">
        <f t="shared" si="9"/>
        <v>2.4257034335449483E-8</v>
      </c>
      <c r="W30" s="97">
        <v>5.8E-4</v>
      </c>
      <c r="X30" s="62">
        <f t="shared" si="9"/>
        <v>4.1719410856542927E-8</v>
      </c>
      <c r="Y30" s="97">
        <v>3.5E-4</v>
      </c>
      <c r="Z30" s="62">
        <f t="shared" si="6"/>
        <v>1.8857592918946374E-7</v>
      </c>
      <c r="AA30" s="97">
        <v>7.2168999999999998E-4</v>
      </c>
      <c r="AB30" s="62">
        <f t="shared" si="1"/>
        <v>3.9141665974492394E-9</v>
      </c>
      <c r="AC30" s="97">
        <v>5.1900000000000004E-4</v>
      </c>
      <c r="AD30" s="62">
        <f t="shared" si="7"/>
        <v>7.0359313544839291E-8</v>
      </c>
      <c r="AE30">
        <v>3.6000000000000002E-4</v>
      </c>
      <c r="AF30" s="62">
        <f t="shared" si="8"/>
        <v>1.799908631749889E-7</v>
      </c>
    </row>
    <row r="31" spans="1:32">
      <c r="A31" s="63">
        <v>26</v>
      </c>
      <c r="B31" s="78">
        <f>+QxF!G28/1000</f>
        <v>7.842533007237411E-4</v>
      </c>
      <c r="C31" s="124">
        <v>3.8000000000000002E-4</v>
      </c>
      <c r="D31" s="62">
        <f t="shared" si="10"/>
        <v>1.6342073114603943E-7</v>
      </c>
      <c r="E31" s="67">
        <v>2.99E-3</v>
      </c>
      <c r="F31" s="62">
        <f t="shared" si="3"/>
        <v>4.865318501368112E-6</v>
      </c>
      <c r="G31" s="106">
        <v>9.1E-4</v>
      </c>
      <c r="H31" s="62">
        <f t="shared" si="3"/>
        <v>1.5812232378873891E-8</v>
      </c>
      <c r="I31">
        <v>1.1900000000000001E-3</v>
      </c>
      <c r="J31" s="62">
        <f t="shared" si="0"/>
        <v>1.6463038397357895E-7</v>
      </c>
      <c r="K31" s="113">
        <v>5.8E-4</v>
      </c>
      <c r="L31" s="114">
        <f t="shared" si="4"/>
        <v>4.1719410856543019E-8</v>
      </c>
      <c r="M31" s="102">
        <v>6.9842654999999997E-3</v>
      </c>
      <c r="N31" s="62">
        <f t="shared" si="9"/>
        <v>3.8440151271174424E-5</v>
      </c>
      <c r="O31" s="102">
        <v>5.5099999999999995E-4</v>
      </c>
      <c r="P31" s="62">
        <f t="shared" si="9"/>
        <v>5.4407102298520025E-8</v>
      </c>
      <c r="Q31" s="97">
        <v>3.1470000000000001E-3</v>
      </c>
      <c r="R31" s="62">
        <f t="shared" si="9"/>
        <v>5.5825719649408572E-6</v>
      </c>
      <c r="S31" s="97">
        <v>4.0499999999999998E-4</v>
      </c>
      <c r="T31" s="62">
        <f t="shared" si="9"/>
        <v>1.4383306610985243E-7</v>
      </c>
      <c r="U31" s="97">
        <v>8.9999999999999998E-4</v>
      </c>
      <c r="V31" s="62">
        <f t="shared" si="9"/>
        <v>1.3397298393348707E-8</v>
      </c>
      <c r="W31" s="97">
        <v>6.0999999999999997E-4</v>
      </c>
      <c r="X31" s="62">
        <f t="shared" si="9"/>
        <v>3.0364212813118563E-8</v>
      </c>
      <c r="Y31" s="97">
        <v>3.6000000000000002E-4</v>
      </c>
      <c r="Z31" s="62">
        <f t="shared" si="6"/>
        <v>1.7999086317498909E-7</v>
      </c>
      <c r="AA31" s="97">
        <v>7.5860999999999995E-4</v>
      </c>
      <c r="AB31" s="62">
        <f t="shared" si="1"/>
        <v>6.5757887200822366E-10</v>
      </c>
      <c r="AC31" s="97">
        <v>5.4199999999999995E-4</v>
      </c>
      <c r="AD31" s="62">
        <f t="shared" si="7"/>
        <v>5.868666171154737E-8</v>
      </c>
      <c r="AE31">
        <v>3.8000000000000002E-4</v>
      </c>
      <c r="AF31" s="62">
        <f t="shared" si="8"/>
        <v>1.6342073114603943E-7</v>
      </c>
    </row>
    <row r="32" spans="1:32">
      <c r="A32" s="63">
        <v>27</v>
      </c>
      <c r="B32" s="78">
        <f>+QxF!G29/1000</f>
        <v>7.8425330072374099E-4</v>
      </c>
      <c r="C32" s="124">
        <v>4.0999999999999999E-4</v>
      </c>
      <c r="D32" s="62">
        <f t="shared" si="10"/>
        <v>1.4006553310261492E-7</v>
      </c>
      <c r="E32" s="67">
        <v>3.1099999999999999E-3</v>
      </c>
      <c r="F32" s="62">
        <f t="shared" si="3"/>
        <v>5.4090977091944132E-6</v>
      </c>
      <c r="G32" s="106">
        <v>9.2000000000000003E-4</v>
      </c>
      <c r="H32" s="62">
        <f t="shared" si="3"/>
        <v>1.8427166364399106E-8</v>
      </c>
      <c r="I32">
        <v>1.2199999999999999E-3</v>
      </c>
      <c r="J32" s="62">
        <f t="shared" si="0"/>
        <v>1.8987518593015444E-7</v>
      </c>
      <c r="K32" s="113">
        <v>6.0999999999999997E-4</v>
      </c>
      <c r="L32" s="114">
        <f t="shared" si="4"/>
        <v>3.0364212813118523E-8</v>
      </c>
      <c r="M32" s="102">
        <v>7.085409E-3</v>
      </c>
      <c r="N32" s="62">
        <f t="shared" si="9"/>
        <v>3.9704563146521689E-5</v>
      </c>
      <c r="O32" s="102">
        <v>5.7499999999999999E-4</v>
      </c>
      <c r="P32" s="62">
        <f t="shared" si="9"/>
        <v>4.3786943863780389E-8</v>
      </c>
      <c r="Q32" s="97">
        <v>3.287E-3</v>
      </c>
      <c r="R32" s="62">
        <f t="shared" si="9"/>
        <v>6.2637410407382092E-6</v>
      </c>
      <c r="S32" s="97">
        <v>4.2000000000000002E-4</v>
      </c>
      <c r="T32" s="62">
        <f t="shared" si="9"/>
        <v>1.3268046708814007E-7</v>
      </c>
      <c r="U32" s="97">
        <v>8.4999999999999995E-4</v>
      </c>
      <c r="V32" s="62">
        <f t="shared" si="9"/>
        <v>4.3226284657228298E-9</v>
      </c>
      <c r="W32" s="97">
        <v>6.4000000000000005E-4</v>
      </c>
      <c r="X32" s="62">
        <f t="shared" si="9"/>
        <v>2.0809014769694041E-8</v>
      </c>
      <c r="Y32" s="97">
        <v>3.6999999999999999E-4</v>
      </c>
      <c r="Z32" s="62">
        <f t="shared" si="6"/>
        <v>1.7160579716051419E-7</v>
      </c>
      <c r="AA32" s="97">
        <v>7.9823999999999997E-4</v>
      </c>
      <c r="AB32" s="62">
        <f t="shared" si="1"/>
        <v>1.9562775664450346E-10</v>
      </c>
      <c r="AC32" s="97">
        <v>5.6800000000000004E-4</v>
      </c>
      <c r="AD32" s="62">
        <f t="shared" si="7"/>
        <v>4.6765490073912743E-8</v>
      </c>
      <c r="AE32">
        <v>4.0000000000000002E-4</v>
      </c>
      <c r="AF32" s="62">
        <f t="shared" si="8"/>
        <v>1.4765059911708971E-7</v>
      </c>
    </row>
    <row r="33" spans="1:32">
      <c r="A33" s="63">
        <v>28</v>
      </c>
      <c r="B33" s="78">
        <f>+QxF!G30/1000</f>
        <v>7.8425330072374089E-4</v>
      </c>
      <c r="C33" s="124">
        <v>4.4999999999999999E-4</v>
      </c>
      <c r="D33" s="62">
        <f t="shared" si="10"/>
        <v>1.1172526904471557E-7</v>
      </c>
      <c r="E33" s="67">
        <v>3.2499999999999999E-3</v>
      </c>
      <c r="F33" s="62">
        <f t="shared" si="3"/>
        <v>6.0799067849917655E-6</v>
      </c>
      <c r="G33" s="106">
        <v>9.3000000000000005E-4</v>
      </c>
      <c r="H33" s="62">
        <f t="shared" si="3"/>
        <v>2.1242100349924324E-8</v>
      </c>
      <c r="I33">
        <v>1.2600000000000001E-3</v>
      </c>
      <c r="J33" s="62">
        <f t="shared" si="0"/>
        <v>2.2633492187225536E-7</v>
      </c>
      <c r="K33" s="113">
        <v>6.4000000000000005E-4</v>
      </c>
      <c r="L33" s="114">
        <f t="shared" si="4"/>
        <v>2.0809014769694008E-8</v>
      </c>
      <c r="M33" s="102">
        <v>7.2093213E-3</v>
      </c>
      <c r="N33" s="62">
        <f t="shared" si="9"/>
        <v>4.1281498795323838E-5</v>
      </c>
      <c r="O33" s="102">
        <v>6.02E-4</v>
      </c>
      <c r="P33" s="62">
        <f t="shared" si="9"/>
        <v>3.3216265624698332E-8</v>
      </c>
      <c r="Q33" s="97">
        <v>3.4169999999999999E-3</v>
      </c>
      <c r="R33" s="62">
        <f t="shared" si="9"/>
        <v>6.9313551825500358E-6</v>
      </c>
      <c r="S33" s="97">
        <v>4.3899999999999999E-4</v>
      </c>
      <c r="T33" s="62">
        <f t="shared" si="9"/>
        <v>1.1919984166063787E-7</v>
      </c>
      <c r="U33" s="97">
        <v>8.0999999999999996E-4</v>
      </c>
      <c r="V33" s="62">
        <f t="shared" si="9"/>
        <v>6.628925236221193E-10</v>
      </c>
      <c r="W33" s="97">
        <v>6.7000000000000002E-4</v>
      </c>
      <c r="X33" s="62">
        <f t="shared" si="9"/>
        <v>1.3053816726269564E-8</v>
      </c>
      <c r="Y33" s="97">
        <v>3.8999999999999999E-4</v>
      </c>
      <c r="Z33" s="62">
        <f t="shared" si="6"/>
        <v>1.5543566513156448E-7</v>
      </c>
      <c r="AA33" s="97">
        <v>8.4077000000000002E-4</v>
      </c>
      <c r="AB33" s="62">
        <f t="shared" si="1"/>
        <v>3.1941372970831091E-9</v>
      </c>
      <c r="AC33" s="97">
        <v>5.9599999999999996E-4</v>
      </c>
      <c r="AD33" s="62">
        <f t="shared" si="7"/>
        <v>3.5439305233383238E-8</v>
      </c>
      <c r="AE33">
        <v>4.2000000000000002E-4</v>
      </c>
      <c r="AF33" s="62">
        <f t="shared" si="8"/>
        <v>1.3268046708813999E-7</v>
      </c>
    </row>
    <row r="34" spans="1:32">
      <c r="A34" s="63">
        <v>29</v>
      </c>
      <c r="B34" s="78">
        <f>+QxF!G31/1000</f>
        <v>7.8425330072374099E-4</v>
      </c>
      <c r="C34" s="124">
        <v>5.0000000000000001E-4</v>
      </c>
      <c r="D34" s="62">
        <f t="shared" si="10"/>
        <v>8.0799938972341528E-8</v>
      </c>
      <c r="E34" s="67">
        <v>3.3999999999999998E-3</v>
      </c>
      <c r="F34" s="62">
        <f t="shared" si="3"/>
        <v>6.8421307947746428E-6</v>
      </c>
      <c r="G34" s="106">
        <v>9.5E-4</v>
      </c>
      <c r="H34" s="62">
        <f t="shared" si="3"/>
        <v>2.7471968320974638E-8</v>
      </c>
      <c r="I34">
        <v>1.2999999999999999E-3</v>
      </c>
      <c r="J34" s="62">
        <f t="shared" si="0"/>
        <v>2.6599465781435587E-7</v>
      </c>
      <c r="K34" s="113">
        <v>6.7000000000000002E-4</v>
      </c>
      <c r="L34" s="114">
        <f t="shared" si="4"/>
        <v>1.3053816726269589E-8</v>
      </c>
      <c r="M34" s="102">
        <v>7.3250028E-3</v>
      </c>
      <c r="N34" s="62">
        <f t="shared" si="9"/>
        <v>4.2781404012282636E-5</v>
      </c>
      <c r="O34" s="102">
        <v>6.3000000000000003E-4</v>
      </c>
      <c r="P34" s="62">
        <f t="shared" si="9"/>
        <v>2.3794080784168865E-8</v>
      </c>
      <c r="Q34" s="97">
        <v>3.5479999999999999E-3</v>
      </c>
      <c r="R34" s="62">
        <f t="shared" si="9"/>
        <v>7.638295817760416E-6</v>
      </c>
      <c r="S34" s="97">
        <v>4.6200000000000001E-4</v>
      </c>
      <c r="T34" s="62">
        <f t="shared" si="9"/>
        <v>1.0384718982734584E-7</v>
      </c>
      <c r="U34" s="97">
        <v>7.6999999999999996E-4</v>
      </c>
      <c r="V34" s="62">
        <f t="shared" si="9"/>
        <v>2.0315658152139671E-10</v>
      </c>
      <c r="W34" s="97">
        <v>7.1000000000000002E-4</v>
      </c>
      <c r="X34" s="62">
        <f t="shared" si="9"/>
        <v>5.5135526683703119E-9</v>
      </c>
      <c r="Y34" s="97">
        <v>4.0999999999999999E-4</v>
      </c>
      <c r="Z34" s="62">
        <f t="shared" si="6"/>
        <v>1.4006553310261492E-7</v>
      </c>
      <c r="AA34" s="97">
        <v>8.8643000000000001E-4</v>
      </c>
      <c r="AB34" s="62">
        <f t="shared" si="1"/>
        <v>1.0440077874991069E-8</v>
      </c>
      <c r="AC34" s="97">
        <v>6.2799999999999998E-4</v>
      </c>
      <c r="AD34" s="62">
        <f t="shared" si="7"/>
        <v>2.4415093987063846E-8</v>
      </c>
      <c r="AE34">
        <v>4.4999999999999999E-4</v>
      </c>
      <c r="AF34" s="62">
        <f t="shared" si="8"/>
        <v>1.1172526904471564E-7</v>
      </c>
    </row>
    <row r="35" spans="1:32">
      <c r="A35" s="63">
        <v>30</v>
      </c>
      <c r="B35" s="78">
        <f>+QxF!G32/1000</f>
        <v>9.8220646656237229E-4</v>
      </c>
      <c r="C35" s="124">
        <v>5.5000000000000003E-4</v>
      </c>
      <c r="D35" s="62">
        <f t="shared" si="10"/>
        <v>1.8680242973833101E-7</v>
      </c>
      <c r="E35" s="67">
        <v>3.5599999999999998E-3</v>
      </c>
      <c r="F35" s="62">
        <f t="shared" si="3"/>
        <v>6.645019501032849E-6</v>
      </c>
      <c r="G35" s="106">
        <v>9.7000000000000005E-4</v>
      </c>
      <c r="H35" s="62">
        <f t="shared" si="3"/>
        <v>1.4899782593831166E-10</v>
      </c>
      <c r="I35">
        <v>1.3500000000000001E-3</v>
      </c>
      <c r="J35" s="62">
        <f t="shared" si="0"/>
        <v>1.3527208323853542E-7</v>
      </c>
      <c r="K35" s="113">
        <v>6.9999999999999999E-4</v>
      </c>
      <c r="L35" s="114">
        <f t="shared" si="4"/>
        <v>7.9640489769619355E-8</v>
      </c>
      <c r="M35" s="102">
        <v>7.4747479999999998E-3</v>
      </c>
      <c r="N35" s="62">
        <f t="shared" si="9"/>
        <v>4.2153095563412619E-5</v>
      </c>
      <c r="O35" s="102">
        <v>6.6200000000000005E-4</v>
      </c>
      <c r="P35" s="62">
        <f t="shared" si="9"/>
        <v>1.0253218122835962E-7</v>
      </c>
      <c r="Q35" s="97">
        <v>3.669E-3</v>
      </c>
      <c r="R35" s="62">
        <f t="shared" si="9"/>
        <v>7.2188594913222521E-6</v>
      </c>
      <c r="S35" s="97">
        <v>4.8999999999999998E-4</v>
      </c>
      <c r="T35" s="62">
        <f t="shared" si="9"/>
        <v>2.4226720572581574E-7</v>
      </c>
      <c r="U35" s="97">
        <v>7.3999999999999999E-4</v>
      </c>
      <c r="V35" s="62">
        <f t="shared" si="9"/>
        <v>5.8663972444629577E-8</v>
      </c>
      <c r="W35" s="97">
        <v>7.5000000000000002E-4</v>
      </c>
      <c r="X35" s="62">
        <f t="shared" si="9"/>
        <v>5.3919843113382118E-8</v>
      </c>
      <c r="Y35" s="97">
        <v>4.4000000000000002E-4</v>
      </c>
      <c r="Z35" s="62">
        <f t="shared" si="6"/>
        <v>2.9398785238205288E-7</v>
      </c>
      <c r="AA35" s="97">
        <v>9.3543000000000001E-4</v>
      </c>
      <c r="AB35" s="62">
        <f t="shared" si="1"/>
        <v>2.1880378240607326E-9</v>
      </c>
      <c r="AC35" s="97">
        <v>6.6299999999999996E-4</v>
      </c>
      <c r="AD35" s="62">
        <f t="shared" si="7"/>
        <v>1.0189276829523493E-7</v>
      </c>
      <c r="AE35">
        <v>4.8999999999999998E-4</v>
      </c>
      <c r="AF35" s="62">
        <f t="shared" si="8"/>
        <v>2.4226720572581574E-7</v>
      </c>
    </row>
    <row r="36" spans="1:32">
      <c r="A36" s="63">
        <v>31</v>
      </c>
      <c r="B36" s="78">
        <f>+QxF!G33/1000</f>
        <v>9.8220646656237229E-4</v>
      </c>
      <c r="C36" s="124">
        <v>5.9999999999999995E-4</v>
      </c>
      <c r="D36" s="62">
        <f t="shared" si="10"/>
        <v>1.4608178308209386E-7</v>
      </c>
      <c r="E36" s="67">
        <v>3.7299999999999998E-3</v>
      </c>
      <c r="F36" s="62">
        <f t="shared" si="3"/>
        <v>7.5503693024016423E-6</v>
      </c>
      <c r="G36" s="106">
        <v>1E-3</v>
      </c>
      <c r="H36" s="62">
        <f t="shared" si="3"/>
        <v>3.1660983219597595E-10</v>
      </c>
      <c r="I36">
        <v>1.4E-3</v>
      </c>
      <c r="J36" s="62">
        <f t="shared" si="0"/>
        <v>1.7455143658229813E-7</v>
      </c>
      <c r="K36" s="113">
        <v>7.5000000000000002E-4</v>
      </c>
      <c r="L36" s="114">
        <f t="shared" si="4"/>
        <v>5.3919843113382118E-8</v>
      </c>
      <c r="M36" s="102">
        <v>7.6167422999999998E-3</v>
      </c>
      <c r="N36" s="62">
        <f t="shared" si="9"/>
        <v>4.4017065725167912E-5</v>
      </c>
      <c r="O36" s="102">
        <v>6.9899999999999997E-4</v>
      </c>
      <c r="P36" s="62">
        <f t="shared" si="9"/>
        <v>8.0205902702744113E-8</v>
      </c>
      <c r="Q36" s="97">
        <v>3.7780000000000001E-3</v>
      </c>
      <c r="R36" s="62">
        <f t="shared" si="9"/>
        <v>7.8164614816116569E-6</v>
      </c>
      <c r="S36" s="97">
        <v>5.2300000000000003E-4</v>
      </c>
      <c r="T36" s="62">
        <f t="shared" si="9"/>
        <v>2.1087057893269912E-7</v>
      </c>
      <c r="U36" s="97">
        <v>7.2000000000000005E-4</v>
      </c>
      <c r="V36" s="62">
        <f t="shared" si="9"/>
        <v>6.8752231107124439E-8</v>
      </c>
      <c r="W36" s="97">
        <v>7.9000000000000001E-4</v>
      </c>
      <c r="X36" s="62">
        <f t="shared" si="9"/>
        <v>3.6943325788392337E-8</v>
      </c>
      <c r="Y36" s="97">
        <v>4.6999999999999999E-4</v>
      </c>
      <c r="Z36" s="62">
        <f t="shared" si="6"/>
        <v>2.623554643883107E-7</v>
      </c>
      <c r="AA36" s="97">
        <v>9.8802000000000004E-4</v>
      </c>
      <c r="AB36" s="62">
        <f t="shared" si="1"/>
        <v>3.3797171030415913E-11</v>
      </c>
      <c r="AC36" s="97">
        <v>7.0299999999999996E-4</v>
      </c>
      <c r="AD36" s="62">
        <f t="shared" si="7"/>
        <v>7.7956250970245146E-8</v>
      </c>
      <c r="AE36">
        <v>5.2999999999999998E-4</v>
      </c>
      <c r="AF36" s="62">
        <f t="shared" si="8"/>
        <v>2.0449068840082595E-7</v>
      </c>
    </row>
    <row r="37" spans="1:32">
      <c r="A37" s="63">
        <v>32</v>
      </c>
      <c r="B37" s="78">
        <f>+QxF!G34/1000</f>
        <v>9.8220646656237229E-4</v>
      </c>
      <c r="C37" s="124">
        <v>6.4999999999999997E-4</v>
      </c>
      <c r="D37" s="62">
        <f t="shared" si="10"/>
        <v>1.103611364258566E-7</v>
      </c>
      <c r="E37" s="67">
        <v>3.9199999999999999E-3</v>
      </c>
      <c r="F37" s="62">
        <f t="shared" si="3"/>
        <v>8.6306308451079416E-6</v>
      </c>
      <c r="G37" s="106">
        <v>1.0399999999999999E-3</v>
      </c>
      <c r="H37" s="62">
        <f t="shared" si="3"/>
        <v>3.3400925072061809E-9</v>
      </c>
      <c r="I37">
        <v>1.4499999999999999E-3</v>
      </c>
      <c r="J37" s="62">
        <f t="shared" si="0"/>
        <v>2.1883078992606081E-7</v>
      </c>
      <c r="K37" s="113">
        <v>7.9000000000000001E-4</v>
      </c>
      <c r="L37" s="114">
        <f t="shared" si="4"/>
        <v>3.6943325788392337E-8</v>
      </c>
      <c r="M37" s="102">
        <v>7.7723536999999999E-3</v>
      </c>
      <c r="N37" s="62">
        <f t="shared" si="9"/>
        <v>4.6106099451760665E-5</v>
      </c>
      <c r="O37" s="102">
        <v>7.3899999999999997E-4</v>
      </c>
      <c r="P37" s="62">
        <f t="shared" si="9"/>
        <v>5.914938537775433E-8</v>
      </c>
      <c r="Q37" s="97">
        <v>3.901E-3</v>
      </c>
      <c r="R37" s="62">
        <f t="shared" si="9"/>
        <v>8.5193556908373108E-6</v>
      </c>
      <c r="S37" s="97">
        <v>5.6099999999999998E-4</v>
      </c>
      <c r="T37" s="62">
        <f t="shared" si="9"/>
        <v>1.7741488747395887E-7</v>
      </c>
      <c r="U37" s="97">
        <v>7.1000000000000002E-4</v>
      </c>
      <c r="V37" s="62">
        <f t="shared" si="9"/>
        <v>7.4096360438371896E-8</v>
      </c>
      <c r="W37" s="97">
        <v>8.4000000000000003E-4</v>
      </c>
      <c r="X37" s="62">
        <f t="shared" si="9"/>
        <v>2.0222679132155098E-8</v>
      </c>
      <c r="Y37" s="97">
        <v>5.0000000000000001E-4</v>
      </c>
      <c r="Z37" s="62">
        <f t="shared" si="6"/>
        <v>2.3252307639456826E-7</v>
      </c>
      <c r="AA37" s="97">
        <v>1.0444600000000001E-3</v>
      </c>
      <c r="AB37" s="62">
        <f t="shared" si="1"/>
        <v>3.875502425469842E-9</v>
      </c>
      <c r="AC37" s="97">
        <v>7.4700000000000005E-4</v>
      </c>
      <c r="AD37" s="62">
        <f t="shared" si="7"/>
        <v>5.5322081912756331E-8</v>
      </c>
      <c r="AE37">
        <v>5.5999999999999995E-4</v>
      </c>
      <c r="AF37" s="62">
        <f t="shared" si="8"/>
        <v>1.7825830040708365E-7</v>
      </c>
    </row>
    <row r="38" spans="1:32">
      <c r="A38" s="63">
        <v>33</v>
      </c>
      <c r="B38" s="78">
        <f>+QxF!G35/1000</f>
        <v>9.8220646656237229E-4</v>
      </c>
      <c r="C38" s="124">
        <v>7.1999999999999994E-4</v>
      </c>
      <c r="D38" s="62">
        <f t="shared" si="10"/>
        <v>6.8752231107124492E-8</v>
      </c>
      <c r="E38" s="67">
        <v>4.1200000000000004E-3</v>
      </c>
      <c r="F38" s="62">
        <f t="shared" si="3"/>
        <v>9.8457482584829959E-6</v>
      </c>
      <c r="G38" s="106">
        <v>1.08E-3</v>
      </c>
      <c r="H38" s="62">
        <f t="shared" si="3"/>
        <v>9.56357518221641E-9</v>
      </c>
      <c r="I38">
        <v>1.5E-3</v>
      </c>
      <c r="J38" s="62">
        <f t="shared" si="0"/>
        <v>2.6811014326982369E-7</v>
      </c>
      <c r="K38" s="113">
        <v>8.4999999999999995E-4</v>
      </c>
      <c r="L38" s="114">
        <f t="shared" si="4"/>
        <v>1.7478549800907678E-8</v>
      </c>
      <c r="M38" s="102">
        <v>7.9637944999999995E-3</v>
      </c>
      <c r="N38" s="62">
        <f t="shared" si="9"/>
        <v>4.8742571468639474E-5</v>
      </c>
      <c r="O38" s="102">
        <v>7.7999999999999999E-4</v>
      </c>
      <c r="P38" s="62">
        <f t="shared" si="9"/>
        <v>4.0887455119639788E-8</v>
      </c>
      <c r="Q38" s="97">
        <v>4.0020000000000003E-3</v>
      </c>
      <c r="R38" s="62">
        <f t="shared" si="9"/>
        <v>9.1191529845917156E-6</v>
      </c>
      <c r="S38" s="97">
        <v>6.0400000000000004E-4</v>
      </c>
      <c r="T38" s="62">
        <f t="shared" si="9"/>
        <v>1.4304013134959481E-7</v>
      </c>
      <c r="U38" s="97">
        <v>7.1000000000000002E-4</v>
      </c>
      <c r="V38" s="62">
        <f t="shared" si="9"/>
        <v>7.4096360438371896E-8</v>
      </c>
      <c r="W38" s="97">
        <v>8.8999999999999995E-4</v>
      </c>
      <c r="X38" s="62">
        <f t="shared" si="9"/>
        <v>8.5020324759178899E-9</v>
      </c>
      <c r="Y38" s="97">
        <v>5.4000000000000001E-4</v>
      </c>
      <c r="Z38" s="62">
        <f t="shared" si="6"/>
        <v>1.9554655906957847E-7</v>
      </c>
      <c r="AA38" s="97">
        <v>1.10505E-3</v>
      </c>
      <c r="AB38" s="62">
        <f t="shared" si="1"/>
        <v>1.5090533707441556E-8</v>
      </c>
      <c r="AC38" s="97">
        <v>7.9500000000000003E-4</v>
      </c>
      <c r="AD38" s="62">
        <f t="shared" si="7"/>
        <v>3.5046261122768607E-8</v>
      </c>
      <c r="AE38">
        <v>5.9999999999999995E-4</v>
      </c>
      <c r="AF38" s="62">
        <f t="shared" si="8"/>
        <v>1.4608178308209386E-7</v>
      </c>
    </row>
    <row r="39" spans="1:32">
      <c r="A39" s="63">
        <v>34</v>
      </c>
      <c r="B39" s="78">
        <f>+QxF!G36/1000</f>
        <v>9.8220646656237229E-4</v>
      </c>
      <c r="C39" s="124">
        <v>7.7999999999999999E-4</v>
      </c>
      <c r="D39" s="62">
        <f t="shared" si="10"/>
        <v>4.0887455119639788E-8</v>
      </c>
      <c r="E39" s="67">
        <v>4.3499999999999997E-3</v>
      </c>
      <c r="F39" s="62">
        <f t="shared" si="3"/>
        <v>1.1342033283864299E-5</v>
      </c>
      <c r="G39" s="106">
        <v>1.1299999999999999E-3</v>
      </c>
      <c r="H39" s="62">
        <f t="shared" si="3"/>
        <v>2.1842928525979157E-8</v>
      </c>
      <c r="I39">
        <v>1.58E-3</v>
      </c>
      <c r="J39" s="62">
        <f t="shared" si="0"/>
        <v>3.5735710861984416E-7</v>
      </c>
      <c r="K39" s="113">
        <v>9.2000000000000003E-4</v>
      </c>
      <c r="L39" s="114">
        <f t="shared" si="4"/>
        <v>3.8696444821755392E-9</v>
      </c>
      <c r="M39" s="102">
        <v>8.1593246999999997E-3</v>
      </c>
      <c r="N39" s="62">
        <f t="shared" ref="N39:X54" si="11">+(M39-$B39)^2</f>
        <v>5.1511026136742851E-5</v>
      </c>
      <c r="O39" s="102">
        <v>8.2700000000000004E-4</v>
      </c>
      <c r="P39" s="62">
        <f t="shared" si="11"/>
        <v>2.4089047262776775E-8</v>
      </c>
      <c r="Q39" s="97">
        <v>4.1269999999999996E-3</v>
      </c>
      <c r="R39" s="62">
        <f t="shared" si="11"/>
        <v>9.8897263679511163E-6</v>
      </c>
      <c r="S39" s="97">
        <v>6.5300000000000004E-4</v>
      </c>
      <c r="T39" s="62">
        <f t="shared" si="11"/>
        <v>1.0837689762648233E-7</v>
      </c>
      <c r="U39" s="97">
        <v>7.1000000000000002E-4</v>
      </c>
      <c r="V39" s="62">
        <f t="shared" si="11"/>
        <v>7.4096360438371896E-8</v>
      </c>
      <c r="W39" s="97">
        <v>9.3999999999999997E-4</v>
      </c>
      <c r="X39" s="62">
        <f t="shared" si="11"/>
        <v>1.781385819680653E-9</v>
      </c>
      <c r="Y39" s="97">
        <v>5.6999999999999998E-4</v>
      </c>
      <c r="Z39" s="62">
        <f t="shared" si="6"/>
        <v>1.6991417107583616E-7</v>
      </c>
      <c r="AA39" s="97">
        <v>1.17008E-3</v>
      </c>
      <c r="AB39" s="62">
        <f t="shared" si="1"/>
        <v>3.5296464566339413E-8</v>
      </c>
      <c r="AC39" s="97">
        <v>8.4999999999999995E-4</v>
      </c>
      <c r="AD39" s="62">
        <f t="shared" si="7"/>
        <v>1.7478549800907678E-8</v>
      </c>
      <c r="AE39">
        <v>6.4000000000000005E-4</v>
      </c>
      <c r="AF39" s="62">
        <f t="shared" si="8"/>
        <v>1.1710526575710399E-7</v>
      </c>
    </row>
    <row r="40" spans="1:32">
      <c r="A40" s="63">
        <v>35</v>
      </c>
      <c r="B40" s="78">
        <f>+QxF!G37/1000</f>
        <v>1.3483058126433183E-3</v>
      </c>
      <c r="C40" s="124">
        <v>8.5999999999999998E-4</v>
      </c>
      <c r="D40" s="62">
        <f t="shared" si="10"/>
        <v>2.3844256666125146E-7</v>
      </c>
      <c r="E40" s="67">
        <v>4.5900000000000003E-3</v>
      </c>
      <c r="F40" s="62">
        <f t="shared" si="3"/>
        <v>1.05085812043421E-5</v>
      </c>
      <c r="G40" s="106">
        <v>1.1800000000000001E-3</v>
      </c>
      <c r="H40" s="62">
        <f t="shared" si="3"/>
        <v>2.8326846569527725E-8</v>
      </c>
      <c r="I40">
        <v>1.65E-3</v>
      </c>
      <c r="J40" s="62">
        <f t="shared" si="0"/>
        <v>9.1019382684808587E-8</v>
      </c>
      <c r="K40" s="113">
        <v>1E-3</v>
      </c>
      <c r="L40" s="114">
        <f t="shared" si="4"/>
        <v>1.2131693912112231E-7</v>
      </c>
      <c r="M40" s="102">
        <v>8.3701920999999999E-3</v>
      </c>
      <c r="N40" s="62">
        <f t="shared" si="11"/>
        <v>4.9306887032567798E-5</v>
      </c>
      <c r="O40" s="102">
        <v>8.7900000000000001E-4</v>
      </c>
      <c r="P40" s="62">
        <f t="shared" si="11"/>
        <v>2.2024794578080533E-7</v>
      </c>
      <c r="Q40" s="97">
        <v>4.2420000000000001E-3</v>
      </c>
      <c r="R40" s="62">
        <f t="shared" si="11"/>
        <v>8.3734660499418476E-6</v>
      </c>
      <c r="S40" s="97">
        <v>7.0699999999999995E-4</v>
      </c>
      <c r="T40" s="62">
        <f t="shared" si="11"/>
        <v>4.1127314533010687E-7</v>
      </c>
      <c r="U40" s="97">
        <v>7.2999999999999996E-4</v>
      </c>
      <c r="V40" s="62">
        <f t="shared" si="11"/>
        <v>3.8230207794851421E-7</v>
      </c>
      <c r="W40" s="97">
        <v>1E-3</v>
      </c>
      <c r="X40" s="62">
        <f t="shared" si="11"/>
        <v>1.2131693912112231E-7</v>
      </c>
      <c r="Y40" s="97">
        <v>6.2E-4</v>
      </c>
      <c r="Z40" s="62">
        <f t="shared" si="6"/>
        <v>5.3042935673004416E-7</v>
      </c>
      <c r="AA40" s="97">
        <v>1.2398699999999999E-3</v>
      </c>
      <c r="AB40" s="62">
        <f t="shared" si="1"/>
        <v>1.1758325463616839E-8</v>
      </c>
      <c r="AC40" s="97">
        <v>9.1E-4</v>
      </c>
      <c r="AD40" s="62">
        <f t="shared" si="7"/>
        <v>1.921119853969196E-7</v>
      </c>
      <c r="AE40">
        <v>6.8999999999999997E-4</v>
      </c>
      <c r="AF40" s="62">
        <f t="shared" si="8"/>
        <v>4.3336654295997968E-7</v>
      </c>
    </row>
    <row r="41" spans="1:32">
      <c r="A41" s="63">
        <v>36</v>
      </c>
      <c r="B41" s="78">
        <f>+QxF!G38/1000</f>
        <v>1.3483058126433183E-3</v>
      </c>
      <c r="C41" s="124">
        <v>9.3999999999999997E-4</v>
      </c>
      <c r="D41" s="62">
        <f t="shared" si="10"/>
        <v>1.6671363663832053E-7</v>
      </c>
      <c r="E41" s="67">
        <v>4.8599999999999997E-3</v>
      </c>
      <c r="F41" s="62">
        <f t="shared" si="3"/>
        <v>1.2331996065514704E-5</v>
      </c>
      <c r="G41" s="106">
        <v>1.24E-3</v>
      </c>
      <c r="H41" s="62">
        <f t="shared" si="3"/>
        <v>1.1730149052329556E-8</v>
      </c>
      <c r="I41">
        <v>1.7600000000000001E-3</v>
      </c>
      <c r="J41" s="62">
        <f t="shared" si="0"/>
        <v>1.6949210390327863E-7</v>
      </c>
      <c r="K41" s="113">
        <v>1.07E-3</v>
      </c>
      <c r="L41" s="114">
        <f t="shared" si="4"/>
        <v>7.7454125351057771E-8</v>
      </c>
      <c r="M41" s="102">
        <v>8.5969472999999994E-3</v>
      </c>
      <c r="N41" s="62">
        <f t="shared" si="11"/>
        <v>5.2542803412228482E-5</v>
      </c>
      <c r="O41" s="102">
        <v>9.4300000000000004E-4</v>
      </c>
      <c r="P41" s="62">
        <f t="shared" si="11"/>
        <v>1.6427280176246057E-7</v>
      </c>
      <c r="Q41" s="97">
        <v>4.3829999999999997E-3</v>
      </c>
      <c r="R41" s="62">
        <f t="shared" si="11"/>
        <v>9.2093688107764298E-6</v>
      </c>
      <c r="S41" s="97">
        <v>7.6800000000000002E-4</v>
      </c>
      <c r="T41" s="62">
        <f t="shared" si="11"/>
        <v>3.3675483618762194E-7</v>
      </c>
      <c r="U41" s="97">
        <v>7.6000000000000004E-4</v>
      </c>
      <c r="V41" s="62">
        <f t="shared" si="11"/>
        <v>3.4610372918991504E-7</v>
      </c>
      <c r="W41" s="97">
        <v>1.07E-3</v>
      </c>
      <c r="X41" s="62">
        <f t="shared" si="11"/>
        <v>7.7454125351057771E-8</v>
      </c>
      <c r="Y41" s="97">
        <v>6.6E-4</v>
      </c>
      <c r="Z41" s="62">
        <f t="shared" si="6"/>
        <v>4.7376489171857874E-7</v>
      </c>
      <c r="AA41" s="97">
        <v>1.31478E-3</v>
      </c>
      <c r="AB41" s="62">
        <f t="shared" si="1"/>
        <v>1.1239801133948791E-9</v>
      </c>
      <c r="AC41" s="97">
        <v>9.77E-4</v>
      </c>
      <c r="AD41" s="62">
        <f t="shared" si="7"/>
        <v>1.3786800650271495E-7</v>
      </c>
      <c r="AE41">
        <v>7.5000000000000002E-4</v>
      </c>
      <c r="AF41" s="62">
        <f t="shared" si="8"/>
        <v>3.5796984544278143E-7</v>
      </c>
    </row>
    <row r="42" spans="1:32">
      <c r="A42" s="63">
        <v>37</v>
      </c>
      <c r="B42" s="78">
        <f>+QxF!G39/1000</f>
        <v>1.348305812643318E-3</v>
      </c>
      <c r="C42" s="124">
        <v>1.0200000000000001E-3</v>
      </c>
      <c r="D42" s="62">
        <f t="shared" si="10"/>
        <v>1.077847066153894E-7</v>
      </c>
      <c r="E42" s="67">
        <v>5.1500000000000001E-3</v>
      </c>
      <c r="F42" s="62">
        <f t="shared" si="3"/>
        <v>1.4452878694181581E-5</v>
      </c>
      <c r="G42" s="106">
        <v>1.31E-3</v>
      </c>
      <c r="H42" s="62">
        <f t="shared" si="3"/>
        <v>1.4673352822649865E-9</v>
      </c>
      <c r="I42">
        <v>1.89E-3</v>
      </c>
      <c r="J42" s="62">
        <f t="shared" si="0"/>
        <v>2.9343259261601602E-7</v>
      </c>
      <c r="K42" s="113">
        <v>1.14E-3</v>
      </c>
      <c r="L42" s="114">
        <f t="shared" si="4"/>
        <v>4.3391311580993138E-8</v>
      </c>
      <c r="M42" s="102">
        <v>8.8626945000000006E-3</v>
      </c>
      <c r="N42" s="62">
        <f t="shared" si="11"/>
        <v>5.6466037344674083E-5</v>
      </c>
      <c r="O42" s="102">
        <v>1.0200000000000001E-3</v>
      </c>
      <c r="P42" s="62">
        <f t="shared" si="11"/>
        <v>1.077847066153894E-7</v>
      </c>
      <c r="Q42" s="97">
        <v>4.5380000000000004E-3</v>
      </c>
      <c r="R42" s="62">
        <f t="shared" si="11"/>
        <v>1.0174149008857006E-5</v>
      </c>
      <c r="S42" s="97">
        <v>8.34E-4</v>
      </c>
      <c r="T42" s="62">
        <f t="shared" si="11"/>
        <v>2.6451046891870377E-7</v>
      </c>
      <c r="U42" s="97">
        <v>7.9000000000000001E-4</v>
      </c>
      <c r="V42" s="62">
        <f t="shared" si="11"/>
        <v>3.1170538043131574E-7</v>
      </c>
      <c r="W42" s="97">
        <v>1.14E-3</v>
      </c>
      <c r="X42" s="62">
        <f t="shared" si="11"/>
        <v>4.3391311580993138E-8</v>
      </c>
      <c r="Y42" s="97">
        <v>7.1000000000000002E-4</v>
      </c>
      <c r="Z42" s="62">
        <f t="shared" si="6"/>
        <v>4.0743431045424662E-7</v>
      </c>
      <c r="AA42" s="97">
        <v>1.39517E-3</v>
      </c>
      <c r="AB42" s="62">
        <f t="shared" si="1"/>
        <v>2.1962520566021941E-9</v>
      </c>
      <c r="AC42" s="97">
        <v>1.052E-3</v>
      </c>
      <c r="AD42" s="62">
        <f t="shared" si="7"/>
        <v>8.7797134606217098E-8</v>
      </c>
      <c r="AE42">
        <v>8.1999999999999998E-4</v>
      </c>
      <c r="AF42" s="62">
        <f t="shared" si="8"/>
        <v>2.7910703167271668E-7</v>
      </c>
    </row>
    <row r="43" spans="1:32">
      <c r="A43" s="63">
        <v>38</v>
      </c>
      <c r="B43" s="78">
        <f>+QxF!G40/1000</f>
        <v>1.3483058126433183E-3</v>
      </c>
      <c r="C43" s="124">
        <v>1.1200000000000001E-3</v>
      </c>
      <c r="D43" s="62">
        <f t="shared" si="10"/>
        <v>5.2123544086725881E-8</v>
      </c>
      <c r="E43" s="67">
        <v>5.4599999999999996E-3</v>
      </c>
      <c r="F43" s="62">
        <f t="shared" si="3"/>
        <v>1.6906029090342721E-5</v>
      </c>
      <c r="G43" s="106">
        <v>1.41E-3</v>
      </c>
      <c r="H43" s="62">
        <f t="shared" si="3"/>
        <v>3.8061727536013516E-9</v>
      </c>
      <c r="I43">
        <v>2.0400000000000001E-3</v>
      </c>
      <c r="J43" s="62">
        <f t="shared" si="0"/>
        <v>4.7844084882302051E-7</v>
      </c>
      <c r="K43" s="113">
        <v>1.1999999999999999E-3</v>
      </c>
      <c r="L43" s="114">
        <f t="shared" si="4"/>
        <v>2.1994614063795046E-8</v>
      </c>
      <c r="M43" s="102">
        <v>9.1462021000000004E-3</v>
      </c>
      <c r="N43" s="62">
        <f t="shared" si="11"/>
        <v>6.0807186508371128E-5</v>
      </c>
      <c r="O43" s="102">
        <v>1.114E-3</v>
      </c>
      <c r="P43" s="62">
        <f t="shared" si="11"/>
        <v>5.4899213838445766E-8</v>
      </c>
      <c r="Q43" s="97">
        <v>4.7200000000000002E-3</v>
      </c>
      <c r="R43" s="62">
        <f t="shared" si="11"/>
        <v>1.1368321693054836E-5</v>
      </c>
      <c r="S43" s="97">
        <v>9.0700000000000004E-4</v>
      </c>
      <c r="T43" s="62">
        <f t="shared" si="11"/>
        <v>1.9475082027277947E-7</v>
      </c>
      <c r="U43" s="97">
        <v>8.4000000000000003E-4</v>
      </c>
      <c r="V43" s="62">
        <f t="shared" si="11"/>
        <v>2.5837479916698412E-7</v>
      </c>
      <c r="W43" s="97">
        <v>1.2199999999999999E-3</v>
      </c>
      <c r="X43" s="62">
        <f t="shared" si="11"/>
        <v>1.6462381558062298E-8</v>
      </c>
      <c r="Y43" s="97">
        <v>7.6000000000000004E-4</v>
      </c>
      <c r="Z43" s="62">
        <f t="shared" si="6"/>
        <v>3.4610372918991504E-7</v>
      </c>
      <c r="AA43" s="97">
        <v>1.48146E-3</v>
      </c>
      <c r="AB43" s="62">
        <f t="shared" si="1"/>
        <v>1.7730037610618302E-8</v>
      </c>
      <c r="AC43" s="97">
        <v>1.1360000000000001E-3</v>
      </c>
      <c r="AD43" s="62">
        <f t="shared" si="7"/>
        <v>4.5073758082139722E-8</v>
      </c>
      <c r="AE43">
        <v>8.8000000000000003E-4</v>
      </c>
      <c r="AF43" s="62">
        <f t="shared" si="8"/>
        <v>2.1931033415551868E-7</v>
      </c>
    </row>
    <row r="44" spans="1:32">
      <c r="A44" s="63">
        <v>39</v>
      </c>
      <c r="B44" s="78">
        <f>+QxF!G41/1000</f>
        <v>1.348305812643318E-3</v>
      </c>
      <c r="C44" s="124">
        <v>1.2199999999999999E-3</v>
      </c>
      <c r="D44" s="62">
        <f t="shared" si="10"/>
        <v>1.6462381558062245E-8</v>
      </c>
      <c r="E44" s="67">
        <v>5.8100000000000001E-3</v>
      </c>
      <c r="F44" s="62">
        <f t="shared" si="3"/>
        <v>1.9906715021492402E-5</v>
      </c>
      <c r="G44" s="106">
        <v>1.5299999999999999E-3</v>
      </c>
      <c r="H44" s="62">
        <f t="shared" si="3"/>
        <v>3.3012777719205012E-8</v>
      </c>
      <c r="I44">
        <v>2.2200000000000002E-3</v>
      </c>
      <c r="J44" s="62">
        <f t="shared" si="0"/>
        <v>7.5985075627142653E-7</v>
      </c>
      <c r="K44" s="113">
        <v>1.2600000000000001E-3</v>
      </c>
      <c r="L44" s="114">
        <f t="shared" si="4"/>
        <v>7.7979165465967776E-9</v>
      </c>
      <c r="M44" s="102">
        <v>9.4482244E-3</v>
      </c>
      <c r="N44" s="62">
        <f t="shared" si="11"/>
        <v>6.5608681121806267E-5</v>
      </c>
      <c r="O44" s="102">
        <v>1.224E-3</v>
      </c>
      <c r="P44" s="62">
        <f t="shared" si="11"/>
        <v>1.5451935056915675E-8</v>
      </c>
      <c r="Q44" s="97">
        <v>4.9160000000000002E-3</v>
      </c>
      <c r="R44" s="62">
        <f t="shared" si="11"/>
        <v>1.2728441814498656E-5</v>
      </c>
      <c r="S44" s="97">
        <v>9.8799999999999995E-4</v>
      </c>
      <c r="T44" s="62">
        <f t="shared" si="11"/>
        <v>1.2982027862456184E-7</v>
      </c>
      <c r="U44" s="97">
        <v>8.9999999999999998E-4</v>
      </c>
      <c r="V44" s="62">
        <f t="shared" si="11"/>
        <v>2.009781016497858E-7</v>
      </c>
      <c r="W44" s="97">
        <v>1.2899999999999999E-3</v>
      </c>
      <c r="X44" s="62">
        <f t="shared" si="11"/>
        <v>3.3995677879977154E-9</v>
      </c>
      <c r="Y44" s="97">
        <v>8.1999999999999998E-4</v>
      </c>
      <c r="Z44" s="62">
        <f t="shared" si="6"/>
        <v>2.7910703167271668E-7</v>
      </c>
      <c r="AA44" s="97">
        <v>1.5740800000000001E-3</v>
      </c>
      <c r="AB44" s="62">
        <f t="shared" si="1"/>
        <v>5.0973983676570156E-8</v>
      </c>
      <c r="AC44" s="97">
        <v>1.2279999999999999E-3</v>
      </c>
      <c r="AD44" s="62">
        <f t="shared" si="7"/>
        <v>1.4473488555769159E-8</v>
      </c>
      <c r="AE44">
        <v>9.3000000000000005E-4</v>
      </c>
      <c r="AF44" s="62">
        <f t="shared" si="8"/>
        <v>1.7497975289118665E-7</v>
      </c>
    </row>
    <row r="45" spans="1:32">
      <c r="A45" s="63">
        <v>40</v>
      </c>
      <c r="B45" s="78">
        <f>+QxF!G42/1000</f>
        <v>1.9284274501393066E-3</v>
      </c>
      <c r="C45" s="124">
        <v>1.33E-3</v>
      </c>
      <c r="D45" s="62">
        <f t="shared" si="10"/>
        <v>3.5811541308023225E-7</v>
      </c>
      <c r="E45" s="67">
        <v>6.1799999999999997E-3</v>
      </c>
      <c r="F45" s="62">
        <f t="shared" si="3"/>
        <v>1.8075869146728955E-5</v>
      </c>
      <c r="G45" s="106">
        <v>1.6800000000000001E-3</v>
      </c>
      <c r="H45" s="62">
        <f t="shared" si="3"/>
        <v>6.1716197982717641E-8</v>
      </c>
      <c r="I45">
        <v>2.4199999999999998E-3</v>
      </c>
      <c r="J45" s="62">
        <f t="shared" si="0"/>
        <v>2.4164357177654373E-7</v>
      </c>
      <c r="K45" s="113">
        <v>1.34E-3</v>
      </c>
      <c r="L45" s="114">
        <f t="shared" si="4"/>
        <v>3.462468640774461E-7</v>
      </c>
      <c r="M45" s="102">
        <v>9.7811371999999997E-3</v>
      </c>
      <c r="N45" s="62">
        <f t="shared" si="11"/>
        <v>6.16650504155572E-5</v>
      </c>
      <c r="O45" s="102">
        <v>1.3450000000000001E-3</v>
      </c>
      <c r="P45" s="62">
        <f t="shared" si="11"/>
        <v>3.4038758957605301E-7</v>
      </c>
      <c r="Q45" s="97">
        <v>5.1279999999999997E-3</v>
      </c>
      <c r="R45" s="62">
        <f t="shared" si="11"/>
        <v>1.0237264501822057E-5</v>
      </c>
      <c r="S45" s="97">
        <v>1.0759999999999999E-3</v>
      </c>
      <c r="T45" s="62">
        <f t="shared" si="11"/>
        <v>7.2663255775100016E-7</v>
      </c>
      <c r="U45" s="97">
        <v>9.7000000000000005E-4</v>
      </c>
      <c r="V45" s="62">
        <f t="shared" si="11"/>
        <v>9.1858317718053294E-7</v>
      </c>
      <c r="W45" s="97">
        <v>1.3799999999999999E-3</v>
      </c>
      <c r="X45" s="62">
        <f t="shared" si="11"/>
        <v>3.0077266806630172E-7</v>
      </c>
      <c r="Y45" s="97">
        <v>8.8000000000000003E-4</v>
      </c>
      <c r="Z45" s="62">
        <f t="shared" si="6"/>
        <v>1.0992001182056084E-6</v>
      </c>
      <c r="AA45" s="97">
        <v>1.67348E-3</v>
      </c>
      <c r="AB45" s="62">
        <f t="shared" si="1"/>
        <v>6.4998202332534245E-8</v>
      </c>
      <c r="AC45" s="97">
        <v>1.3309999999999999E-3</v>
      </c>
      <c r="AD45" s="62">
        <f t="shared" si="7"/>
        <v>3.5691955817995377E-7</v>
      </c>
      <c r="AE45">
        <v>9.7999999999999997E-4</v>
      </c>
      <c r="AF45" s="62">
        <f t="shared" si="8"/>
        <v>8.9951462817774694E-7</v>
      </c>
    </row>
    <row r="46" spans="1:32">
      <c r="A46" s="63">
        <v>41</v>
      </c>
      <c r="B46" s="78">
        <f>+QxF!G43/1000</f>
        <v>1.9284274501393066E-3</v>
      </c>
      <c r="C46" s="124">
        <v>1.4499999999999999E-3</v>
      </c>
      <c r="D46" s="62">
        <f t="shared" si="10"/>
        <v>2.2889282504679879E-7</v>
      </c>
      <c r="E46" s="67">
        <v>6.5900000000000004E-3</v>
      </c>
      <c r="F46" s="62">
        <f t="shared" si="3"/>
        <v>2.173025863761473E-5</v>
      </c>
      <c r="G46" s="106">
        <v>1.8799999999999999E-3</v>
      </c>
      <c r="H46" s="62">
        <f t="shared" si="3"/>
        <v>2.3452179269950331E-9</v>
      </c>
      <c r="I46">
        <v>2.64E-3</v>
      </c>
      <c r="J46" s="62">
        <f t="shared" si="0"/>
        <v>5.0633549371524894E-7</v>
      </c>
      <c r="K46" s="113">
        <v>1.4299999999999998E-3</v>
      </c>
      <c r="L46" s="114">
        <f t="shared" si="4"/>
        <v>2.4842992305237114E-7</v>
      </c>
      <c r="M46" s="102">
        <v>1.01462989E-2</v>
      </c>
      <c r="N46" s="62">
        <f t="shared" si="11"/>
        <v>6.7533411166435499E-5</v>
      </c>
      <c r="O46" s="102">
        <v>1.477E-3</v>
      </c>
      <c r="P46" s="62">
        <f t="shared" si="11"/>
        <v>2.0378674273927613E-7</v>
      </c>
      <c r="Q46" s="97">
        <v>5.3810000000000004E-3</v>
      </c>
      <c r="R46" s="62">
        <f t="shared" si="11"/>
        <v>1.1920257212051572E-5</v>
      </c>
      <c r="S46" s="97">
        <v>1.1720000000000001E-3</v>
      </c>
      <c r="T46" s="62">
        <f t="shared" si="11"/>
        <v>5.7218248732425311E-7</v>
      </c>
      <c r="U46" s="97">
        <v>1.0499999999999999E-3</v>
      </c>
      <c r="V46" s="62">
        <f t="shared" si="11"/>
        <v>7.716347851582441E-7</v>
      </c>
      <c r="W46" s="97">
        <v>1.48E-3</v>
      </c>
      <c r="X46" s="62">
        <f t="shared" si="11"/>
        <v>2.0108717803844033E-7</v>
      </c>
      <c r="Y46" s="97">
        <v>9.5E-4</v>
      </c>
      <c r="Z46" s="62">
        <f t="shared" si="6"/>
        <v>9.5732027518610509E-7</v>
      </c>
      <c r="AA46" s="97">
        <v>1.78016E-3</v>
      </c>
      <c r="AB46" s="62">
        <f t="shared" si="1"/>
        <v>2.1983236770811763E-8</v>
      </c>
      <c r="AC46" s="97">
        <v>1.446E-3</v>
      </c>
      <c r="AD46" s="62">
        <f t="shared" si="7"/>
        <v>2.3273624464791314E-7</v>
      </c>
      <c r="AE46">
        <v>1.0399999999999999E-3</v>
      </c>
      <c r="AF46" s="62">
        <f t="shared" si="8"/>
        <v>7.8930333416103031E-7</v>
      </c>
    </row>
    <row r="47" spans="1:32">
      <c r="A47" s="63">
        <v>42</v>
      </c>
      <c r="B47" s="78">
        <f>+QxF!G44/1000</f>
        <v>1.9284274501393068E-3</v>
      </c>
      <c r="C47" s="124">
        <v>1.5900000000000001E-3</v>
      </c>
      <c r="D47" s="62">
        <f t="shared" si="10"/>
        <v>1.1453313900779297E-7</v>
      </c>
      <c r="E47" s="67">
        <v>7.0299999999999998E-3</v>
      </c>
      <c r="F47" s="62">
        <f t="shared" si="3"/>
        <v>2.6026042481492131E-5</v>
      </c>
      <c r="G47" s="106">
        <v>2.0999999999999999E-3</v>
      </c>
      <c r="H47" s="62">
        <f t="shared" si="3"/>
        <v>2.94371398657E-8</v>
      </c>
      <c r="I47">
        <v>2.8700000000000002E-3</v>
      </c>
      <c r="J47" s="62">
        <f t="shared" si="0"/>
        <v>8.8655886665116778E-7</v>
      </c>
      <c r="K47" s="113">
        <v>1.5300000000000001E-3</v>
      </c>
      <c r="L47" s="114">
        <f t="shared" si="4"/>
        <v>1.5874443302450974E-7</v>
      </c>
      <c r="M47" s="102">
        <v>1.0556986000000001E-2</v>
      </c>
      <c r="N47" s="62">
        <f t="shared" si="11"/>
        <v>7.4452022648374073E-5</v>
      </c>
      <c r="O47" s="102">
        <v>1.624E-3</v>
      </c>
      <c r="P47" s="62">
        <f t="shared" si="11"/>
        <v>9.2676072398320141E-8</v>
      </c>
      <c r="Q47" s="97">
        <v>5.7130000000000002E-3</v>
      </c>
      <c r="R47" s="62">
        <f t="shared" si="11"/>
        <v>1.4322989385159071E-5</v>
      </c>
      <c r="S47" s="97">
        <v>1.2769999999999999E-3</v>
      </c>
      <c r="T47" s="62">
        <f t="shared" si="11"/>
        <v>4.243577227949992E-7</v>
      </c>
      <c r="U47" s="97">
        <v>1.15E-3</v>
      </c>
      <c r="V47" s="62">
        <f t="shared" si="11"/>
        <v>6.0594929513038302E-7</v>
      </c>
      <c r="W47" s="97">
        <v>1.6100000000000001E-3</v>
      </c>
      <c r="X47" s="62">
        <f t="shared" si="11"/>
        <v>1.0139604100222066E-7</v>
      </c>
      <c r="Y47" s="97">
        <v>1.0300000000000001E-3</v>
      </c>
      <c r="Z47" s="62">
        <f t="shared" si="6"/>
        <v>8.0717188316381643E-7</v>
      </c>
      <c r="AA47" s="97">
        <v>1.8946499999999999E-3</v>
      </c>
      <c r="AB47" s="62">
        <f t="shared" si="1"/>
        <v>1.1409161379133658E-9</v>
      </c>
      <c r="AC47" s="97">
        <v>1.5740000000000001E-3</v>
      </c>
      <c r="AD47" s="62">
        <f t="shared" si="7"/>
        <v>1.2561881741225076E-7</v>
      </c>
      <c r="AE47">
        <v>1.1100000000000001E-3</v>
      </c>
      <c r="AF47" s="62">
        <f t="shared" si="8"/>
        <v>6.6982349114152736E-7</v>
      </c>
    </row>
    <row r="48" spans="1:32">
      <c r="A48" s="63">
        <v>43</v>
      </c>
      <c r="B48" s="78">
        <f>+QxF!G45/1000</f>
        <v>1.9284274501393064E-3</v>
      </c>
      <c r="C48" s="124">
        <v>1.73E-3</v>
      </c>
      <c r="D48" s="62">
        <f t="shared" si="10"/>
        <v>3.9373452968786929E-8</v>
      </c>
      <c r="E48" s="67">
        <v>7.5100000000000002E-3</v>
      </c>
      <c r="F48" s="62">
        <f t="shared" si="3"/>
        <v>3.11539521293584E-5</v>
      </c>
      <c r="G48" s="106">
        <v>2.3600000000000001E-3</v>
      </c>
      <c r="H48" s="62">
        <f t="shared" si="3"/>
        <v>1.8625486579326098E-7</v>
      </c>
      <c r="I48">
        <v>3.0899999999999999E-3</v>
      </c>
      <c r="J48" s="62">
        <f t="shared" si="0"/>
        <v>1.3492507885898733E-6</v>
      </c>
      <c r="K48" s="113">
        <v>1.65E-3</v>
      </c>
      <c r="L48" s="114">
        <f t="shared" si="4"/>
        <v>7.7521844991075956E-8</v>
      </c>
      <c r="M48" s="102">
        <v>1.09914991E-2</v>
      </c>
      <c r="N48" s="62">
        <f t="shared" si="11"/>
        <v>8.2139267730508642E-5</v>
      </c>
      <c r="O48" s="102">
        <v>1.789E-3</v>
      </c>
      <c r="P48" s="62">
        <f t="shared" si="11"/>
        <v>1.9440013852348769E-8</v>
      </c>
      <c r="Q48" s="97">
        <v>6.1019999999999998E-3</v>
      </c>
      <c r="R48" s="62">
        <f t="shared" si="11"/>
        <v>1.7418707828950693E-5</v>
      </c>
      <c r="S48" s="97">
        <v>1.392E-3</v>
      </c>
      <c r="T48" s="62">
        <f t="shared" si="11"/>
        <v>2.8775440926295802E-7</v>
      </c>
      <c r="U48" s="97">
        <v>1.2600000000000001E-3</v>
      </c>
      <c r="V48" s="62">
        <f t="shared" si="11"/>
        <v>4.4679525609973485E-7</v>
      </c>
      <c r="W48" s="97">
        <v>1.7700000000000001E-3</v>
      </c>
      <c r="X48" s="62">
        <f t="shared" si="11"/>
        <v>2.5099256957642385E-8</v>
      </c>
      <c r="Y48" s="97">
        <v>1.1100000000000001E-3</v>
      </c>
      <c r="Z48" s="62">
        <f t="shared" si="6"/>
        <v>6.6982349114152672E-7</v>
      </c>
      <c r="AA48" s="97">
        <v>2.01753E-3</v>
      </c>
      <c r="AB48" s="62">
        <f t="shared" si="1"/>
        <v>7.9392643916773941E-9</v>
      </c>
      <c r="AC48" s="97">
        <v>1.7160000000000001E-3</v>
      </c>
      <c r="AD48" s="62">
        <f t="shared" si="7"/>
        <v>4.5125421572687473E-8</v>
      </c>
      <c r="AE48">
        <v>1.1999999999999999E-3</v>
      </c>
      <c r="AF48" s="62">
        <f t="shared" si="8"/>
        <v>5.3060655011645188E-7</v>
      </c>
    </row>
    <row r="49" spans="1:32">
      <c r="A49" s="63">
        <v>44</v>
      </c>
      <c r="B49" s="78">
        <f>+QxF!G46/1000</f>
        <v>1.9284274501393068E-3</v>
      </c>
      <c r="C49" s="124">
        <v>1.89E-3</v>
      </c>
      <c r="D49" s="62">
        <f t="shared" si="10"/>
        <v>1.4766689242089143E-9</v>
      </c>
      <c r="E49" s="67">
        <v>8.0400000000000003E-3</v>
      </c>
      <c r="F49" s="62">
        <f t="shared" si="3"/>
        <v>3.735131903221074E-5</v>
      </c>
      <c r="G49" s="106">
        <v>2.65E-3</v>
      </c>
      <c r="H49" s="62">
        <f t="shared" si="3"/>
        <v>5.2066694471246259E-7</v>
      </c>
      <c r="I49">
        <v>3.32E-3</v>
      </c>
      <c r="J49" s="62">
        <f t="shared" si="0"/>
        <v>1.9364741615257917E-6</v>
      </c>
      <c r="K49" s="113">
        <v>1.7900000000000001E-3</v>
      </c>
      <c r="L49" s="114">
        <f t="shared" si="4"/>
        <v>1.9162158952070238E-8</v>
      </c>
      <c r="M49" s="102">
        <v>1.14632203E-2</v>
      </c>
      <c r="N49" s="62">
        <f t="shared" si="11"/>
        <v>9.0912274689754585E-5</v>
      </c>
      <c r="O49" s="102">
        <v>1.9680000000000001E-3</v>
      </c>
      <c r="P49" s="62">
        <f t="shared" si="11"/>
        <v>1.5659867024770578E-9</v>
      </c>
      <c r="Q49" s="97">
        <v>6.5360000000000001E-3</v>
      </c>
      <c r="R49" s="62">
        <f t="shared" si="11"/>
        <v>2.122972480222977E-5</v>
      </c>
      <c r="S49" s="97">
        <v>1.516E-3</v>
      </c>
      <c r="T49" s="62">
        <f t="shared" si="11"/>
        <v>1.7009640162841042E-7</v>
      </c>
      <c r="U49" s="97">
        <v>1.39E-3</v>
      </c>
      <c r="V49" s="62">
        <f t="shared" si="11"/>
        <v>2.8990411906351581E-7</v>
      </c>
      <c r="W49" s="97">
        <v>1.9599999999999999E-3</v>
      </c>
      <c r="X49" s="62">
        <f t="shared" si="11"/>
        <v>9.9682590470595261E-10</v>
      </c>
      <c r="Y49" s="97">
        <v>1.1999999999999999E-3</v>
      </c>
      <c r="Z49" s="62">
        <f t="shared" si="6"/>
        <v>5.3060655011645251E-7</v>
      </c>
      <c r="AA49" s="97">
        <v>2.14941E-3</v>
      </c>
      <c r="AB49" s="62">
        <f t="shared" si="1"/>
        <v>4.8833287342933763E-8</v>
      </c>
      <c r="AC49" s="97">
        <v>1.874E-3</v>
      </c>
      <c r="AD49" s="62">
        <f t="shared" si="7"/>
        <v>2.9623473286667289E-9</v>
      </c>
      <c r="AE49">
        <v>1.2899999999999999E-3</v>
      </c>
      <c r="AF49" s="62">
        <f t="shared" si="8"/>
        <v>4.075896090913772E-7</v>
      </c>
    </row>
    <row r="50" spans="1:32">
      <c r="A50" s="63">
        <v>45</v>
      </c>
      <c r="B50" s="78">
        <f>+QxF!G47/1000</f>
        <v>2.9449170764495607E-3</v>
      </c>
      <c r="C50" s="124">
        <v>2.0600000000000002E-3</v>
      </c>
      <c r="D50" s="62">
        <f t="shared" si="10"/>
        <v>7.8307823219203729E-7</v>
      </c>
      <c r="E50" s="67">
        <v>8.6099999999999996E-3</v>
      </c>
      <c r="F50" s="62">
        <f t="shared" si="3"/>
        <v>3.2093164530702795E-5</v>
      </c>
      <c r="G50" s="106">
        <v>2.9499999999999999E-3</v>
      </c>
      <c r="H50" s="62">
        <f t="shared" si="3"/>
        <v>2.583611181960998E-11</v>
      </c>
      <c r="I50">
        <v>3.5599999999999998E-3</v>
      </c>
      <c r="J50" s="62">
        <f t="shared" si="0"/>
        <v>3.7832700284335535E-7</v>
      </c>
      <c r="K50" s="113">
        <v>1.9599999999999999E-3</v>
      </c>
      <c r="L50" s="114">
        <f t="shared" si="4"/>
        <v>9.7006164748194982E-7</v>
      </c>
      <c r="M50" s="102">
        <v>1.1998532900000001E-2</v>
      </c>
      <c r="N50" s="62">
        <f t="shared" si="11"/>
        <v>8.1967959480442929E-5</v>
      </c>
      <c r="O50" s="102">
        <v>2.1610000000000002E-3</v>
      </c>
      <c r="P50" s="62">
        <f t="shared" si="11"/>
        <v>6.1452598274922607E-7</v>
      </c>
      <c r="Q50" s="97">
        <v>7.0169999999999998E-3</v>
      </c>
      <c r="R50" s="62">
        <f t="shared" si="11"/>
        <v>1.6581859336271086E-5</v>
      </c>
      <c r="S50" s="97">
        <v>1.652E-3</v>
      </c>
      <c r="T50" s="62">
        <f t="shared" si="11"/>
        <v>1.671634566574879E-6</v>
      </c>
      <c r="U50" s="97">
        <v>1.5299999999999999E-3</v>
      </c>
      <c r="V50" s="62">
        <f t="shared" si="11"/>
        <v>2.0019903332285723E-6</v>
      </c>
      <c r="W50" s="97">
        <v>2.1800000000000001E-3</v>
      </c>
      <c r="X50" s="62">
        <f t="shared" si="11"/>
        <v>5.8509813384414289E-7</v>
      </c>
      <c r="Y50" s="97">
        <v>1.2999999999999999E-3</v>
      </c>
      <c r="Z50" s="62">
        <f t="shared" si="6"/>
        <v>2.7057521883953702E-6</v>
      </c>
      <c r="AA50" s="97">
        <v>2.2909499999999999E-3</v>
      </c>
      <c r="AB50" s="62">
        <f t="shared" si="1"/>
        <v>4.2767293707998562E-7</v>
      </c>
      <c r="AC50" s="97">
        <v>2.0500000000000002E-3</v>
      </c>
      <c r="AD50" s="62">
        <f t="shared" si="7"/>
        <v>8.008765737210285E-7</v>
      </c>
      <c r="AE50">
        <v>1.4E-3</v>
      </c>
      <c r="AF50" s="62">
        <f t="shared" si="8"/>
        <v>2.3867687731054576E-6</v>
      </c>
    </row>
    <row r="51" spans="1:32">
      <c r="A51" s="63">
        <v>46</v>
      </c>
      <c r="B51" s="78">
        <f>+QxF!G48/1000</f>
        <v>2.9449170764495607E-3</v>
      </c>
      <c r="C51" s="124">
        <v>2.2400000000000002E-3</v>
      </c>
      <c r="D51" s="62">
        <f t="shared" si="10"/>
        <v>4.969080846701954E-7</v>
      </c>
      <c r="E51" s="67">
        <v>9.2300000000000004E-3</v>
      </c>
      <c r="F51" s="62">
        <f t="shared" si="3"/>
        <v>3.9502267355905348E-5</v>
      </c>
      <c r="G51" s="106">
        <v>3.2799999999999999E-3</v>
      </c>
      <c r="H51" s="62">
        <f t="shared" si="3"/>
        <v>1.1228056565510952E-7</v>
      </c>
      <c r="I51">
        <v>3.8E-3</v>
      </c>
      <c r="J51" s="62">
        <f t="shared" si="0"/>
        <v>7.3116680614756644E-7</v>
      </c>
      <c r="K51" s="113">
        <v>2.16E-3</v>
      </c>
      <c r="L51" s="114">
        <f t="shared" si="4"/>
        <v>6.1609481690212541E-7</v>
      </c>
      <c r="M51" s="102">
        <v>1.25638703E-2</v>
      </c>
      <c r="N51" s="62">
        <f t="shared" si="11"/>
        <v>9.2524261116851391E-5</v>
      </c>
      <c r="O51" s="102">
        <v>2.3640000000000002E-3</v>
      </c>
      <c r="P51" s="62">
        <f t="shared" si="11"/>
        <v>3.3746464971070446E-7</v>
      </c>
      <c r="Q51" s="97">
        <v>7.5459999999999998E-3</v>
      </c>
      <c r="R51" s="62">
        <f t="shared" si="11"/>
        <v>2.1169964069387452E-5</v>
      </c>
      <c r="S51" s="97">
        <v>1.8E-3</v>
      </c>
      <c r="T51" s="62">
        <f t="shared" si="11"/>
        <v>1.3108351119458093E-6</v>
      </c>
      <c r="U51" s="97">
        <v>1.6999999999999999E-3</v>
      </c>
      <c r="V51" s="62">
        <f t="shared" si="11"/>
        <v>1.5498185272357216E-6</v>
      </c>
      <c r="W51" s="97">
        <v>2.4099999999999998E-3</v>
      </c>
      <c r="X51" s="62">
        <f t="shared" si="11"/>
        <v>2.8613627867734535E-7</v>
      </c>
      <c r="Y51" s="97">
        <v>1.4E-3</v>
      </c>
      <c r="Z51" s="62">
        <f t="shared" si="6"/>
        <v>2.3867687731054576E-6</v>
      </c>
      <c r="AA51" s="97">
        <v>2.4428499999999999E-3</v>
      </c>
      <c r="AB51" s="62">
        <f t="shared" si="1"/>
        <v>2.5207134925460913E-7</v>
      </c>
      <c r="AC51" s="97">
        <v>2.2460000000000002E-3</v>
      </c>
      <c r="AD51" s="62">
        <f t="shared" si="7"/>
        <v>4.8848507975280079E-7</v>
      </c>
      <c r="AE51">
        <v>1.5299999999999999E-3</v>
      </c>
      <c r="AF51" s="62">
        <f t="shared" si="8"/>
        <v>2.0019903332285723E-6</v>
      </c>
    </row>
    <row r="52" spans="1:32">
      <c r="A52" s="63">
        <v>47</v>
      </c>
      <c r="B52" s="78">
        <f>+QxF!G49/1000</f>
        <v>2.9449170764495611E-3</v>
      </c>
      <c r="C52" s="124">
        <v>2.4399999999999999E-3</v>
      </c>
      <c r="D52" s="62">
        <f t="shared" si="10"/>
        <v>2.5494125409037204E-7</v>
      </c>
      <c r="E52" s="67">
        <v>9.9100000000000004E-3</v>
      </c>
      <c r="F52" s="62">
        <f t="shared" si="3"/>
        <v>4.8512380131933932E-5</v>
      </c>
      <c r="G52" s="106">
        <v>3.64E-3</v>
      </c>
      <c r="H52" s="62">
        <f t="shared" si="3"/>
        <v>4.8314027061142528E-7</v>
      </c>
      <c r="I52">
        <v>4.0499999999999998E-3</v>
      </c>
      <c r="J52" s="62">
        <f t="shared" si="0"/>
        <v>1.2212082679227847E-6</v>
      </c>
      <c r="K52" s="113">
        <v>2.3799999999999997E-3</v>
      </c>
      <c r="L52" s="114">
        <f t="shared" si="4"/>
        <v>3.1913130326431958E-7</v>
      </c>
      <c r="M52" s="102">
        <v>1.31986814E-2</v>
      </c>
      <c r="N52" s="62">
        <f t="shared" si="11"/>
        <v>1.0513968280291578E-4</v>
      </c>
      <c r="O52" s="102">
        <v>2.578E-3</v>
      </c>
      <c r="P52" s="62">
        <f t="shared" si="11"/>
        <v>1.3462814099029307E-7</v>
      </c>
      <c r="Q52" s="97">
        <v>8.0999999999999996E-3</v>
      </c>
      <c r="R52" s="62">
        <f t="shared" si="11"/>
        <v>2.6574879948681337E-5</v>
      </c>
      <c r="S52" s="97">
        <v>1.9620000000000002E-3</v>
      </c>
      <c r="T52" s="62">
        <f t="shared" si="11"/>
        <v>9.66125979176152E-7</v>
      </c>
      <c r="U52" s="97">
        <v>1.89E-3</v>
      </c>
      <c r="V52" s="62">
        <f t="shared" si="11"/>
        <v>1.1128500381848893E-6</v>
      </c>
      <c r="W52" s="97">
        <v>2.66E-3</v>
      </c>
      <c r="X52" s="62">
        <f t="shared" si="11"/>
        <v>8.1177740452565029E-8</v>
      </c>
      <c r="Y52" s="97">
        <v>1.5200000000000001E-3</v>
      </c>
      <c r="Z52" s="62">
        <f t="shared" si="6"/>
        <v>2.0303886747575641E-6</v>
      </c>
      <c r="AA52" s="97">
        <v>2.6058700000000001E-3</v>
      </c>
      <c r="AB52" s="62">
        <f t="shared" si="1"/>
        <v>1.1495292004899444E-7</v>
      </c>
      <c r="AC52" s="97">
        <v>2.4629999999999999E-3</v>
      </c>
      <c r="AD52" s="62">
        <f t="shared" si="7"/>
        <v>2.3224406857369222E-7</v>
      </c>
      <c r="AE52">
        <v>1.67E-3</v>
      </c>
      <c r="AF52" s="62">
        <f t="shared" si="8"/>
        <v>1.6254135518226958E-6</v>
      </c>
    </row>
    <row r="53" spans="1:32">
      <c r="A53" s="63">
        <v>48</v>
      </c>
      <c r="B53" s="78">
        <f>+QxF!G50/1000</f>
        <v>2.9449170764495611E-3</v>
      </c>
      <c r="C53" s="124">
        <v>2.66E-3</v>
      </c>
      <c r="D53" s="62">
        <f t="shared" si="10"/>
        <v>8.1177740452565029E-8</v>
      </c>
      <c r="E53" s="67">
        <v>1.064E-2</v>
      </c>
      <c r="F53" s="62">
        <f t="shared" si="3"/>
        <v>5.9214301200317569E-5</v>
      </c>
      <c r="G53" s="106">
        <v>4.0299999999999997E-3</v>
      </c>
      <c r="H53" s="62">
        <f t="shared" si="3"/>
        <v>1.1774049509807671E-6</v>
      </c>
      <c r="I53">
        <v>4.3299999999999996E-3</v>
      </c>
      <c r="J53" s="62">
        <f t="shared" si="0"/>
        <v>1.9184547051110298E-6</v>
      </c>
      <c r="K53" s="113">
        <v>2.64E-3</v>
      </c>
      <c r="L53" s="114">
        <f t="shared" si="4"/>
        <v>9.2974423510547503E-8</v>
      </c>
      <c r="M53" s="102">
        <v>1.38818511E-2</v>
      </c>
      <c r="N53" s="62">
        <f t="shared" si="11"/>
        <v>1.1961652583549518E-4</v>
      </c>
      <c r="O53" s="102">
        <v>2.8E-3</v>
      </c>
      <c r="P53" s="62">
        <f t="shared" si="11"/>
        <v>2.1000959046687947E-8</v>
      </c>
      <c r="Q53" s="97">
        <v>8.6669999999999994E-3</v>
      </c>
      <c r="R53" s="62">
        <f t="shared" si="11"/>
        <v>3.274223298398753E-5</v>
      </c>
      <c r="S53" s="97">
        <v>2.1380000000000001E-3</v>
      </c>
      <c r="T53" s="62">
        <f t="shared" si="11"/>
        <v>6.5111516826590658E-7</v>
      </c>
      <c r="U53" s="97">
        <v>2.1099999999999999E-3</v>
      </c>
      <c r="V53" s="62">
        <f t="shared" si="11"/>
        <v>6.9708652454708248E-7</v>
      </c>
      <c r="W53" s="97">
        <v>2.9399999999999999E-3</v>
      </c>
      <c r="X53" s="62">
        <f t="shared" si="11"/>
        <v>2.4177640810829445E-11</v>
      </c>
      <c r="Y53" s="97">
        <v>1.64E-3</v>
      </c>
      <c r="Z53" s="62">
        <f t="shared" si="6"/>
        <v>1.7028085764096698E-6</v>
      </c>
      <c r="AA53" s="97">
        <v>2.7808199999999998E-3</v>
      </c>
      <c r="AB53" s="62">
        <f t="shared" si="1"/>
        <v>2.6927850499293163E-8</v>
      </c>
      <c r="AC53" s="97">
        <v>2.7060000000000001E-3</v>
      </c>
      <c r="AD53" s="62">
        <f t="shared" si="7"/>
        <v>5.7081369419205395E-8</v>
      </c>
      <c r="AE53">
        <v>1.82E-3</v>
      </c>
      <c r="AF53" s="62">
        <f t="shared" si="8"/>
        <v>1.2654384288878278E-6</v>
      </c>
    </row>
    <row r="54" spans="1:32">
      <c r="A54" s="63">
        <v>49</v>
      </c>
      <c r="B54" s="78">
        <f>+QxF!G51/1000</f>
        <v>2.9449170764495611E-3</v>
      </c>
      <c r="C54" s="124">
        <v>2.8999999999999998E-3</v>
      </c>
      <c r="D54" s="62">
        <f t="shared" si="10"/>
        <v>2.0175437567757354E-9</v>
      </c>
      <c r="E54" s="67">
        <v>1.145E-2</v>
      </c>
      <c r="F54" s="62">
        <f t="shared" si="3"/>
        <v>7.2336435536469269E-5</v>
      </c>
      <c r="G54" s="106">
        <v>4.4600000000000004E-3</v>
      </c>
      <c r="H54" s="62">
        <f t="shared" si="3"/>
        <v>2.2954762652341462E-6</v>
      </c>
      <c r="I54">
        <v>4.6299999999999996E-3</v>
      </c>
      <c r="J54" s="62">
        <f t="shared" si="0"/>
        <v>2.8395044592412929E-6</v>
      </c>
      <c r="K54" s="113">
        <v>2.9300000000000003E-3</v>
      </c>
      <c r="L54" s="114">
        <f t="shared" si="4"/>
        <v>2.2251916980204143E-10</v>
      </c>
      <c r="M54" s="102">
        <v>1.46295742E-2</v>
      </c>
      <c r="N54" s="62">
        <f t="shared" si="11"/>
        <v>1.3653121209493801E-4</v>
      </c>
      <c r="O54" s="102">
        <v>3.032E-3</v>
      </c>
      <c r="P54" s="62">
        <f t="shared" si="11"/>
        <v>7.5834355740915789E-9</v>
      </c>
      <c r="Q54" s="97">
        <v>9.2069999999999999E-3</v>
      </c>
      <c r="R54" s="62">
        <f t="shared" si="11"/>
        <v>3.9213682541422007E-5</v>
      </c>
      <c r="S54" s="97">
        <v>2.33E-3</v>
      </c>
      <c r="T54" s="62">
        <f t="shared" si="11"/>
        <v>3.7812301090927532E-7</v>
      </c>
      <c r="U54" s="97">
        <v>2.3500000000000001E-3</v>
      </c>
      <c r="V54" s="62">
        <f t="shared" si="11"/>
        <v>3.5392632785129285E-7</v>
      </c>
      <c r="W54" s="97">
        <v>3.2299999999999998E-3</v>
      </c>
      <c r="X54" s="62">
        <f t="shared" si="11"/>
        <v>8.1272273300065272E-8</v>
      </c>
      <c r="Y54" s="97">
        <v>1.7799999999999999E-3</v>
      </c>
      <c r="Z54" s="62">
        <f t="shared" si="6"/>
        <v>1.3570317950037929E-6</v>
      </c>
      <c r="AA54" s="97">
        <v>2.9685699999999998E-3</v>
      </c>
      <c r="AB54" s="62">
        <f t="shared" si="1"/>
        <v>5.5946079248289723E-10</v>
      </c>
      <c r="AC54" s="97">
        <v>2.9750000000000002E-3</v>
      </c>
      <c r="AD54" s="62">
        <f t="shared" si="7"/>
        <v>9.0498228934156349E-10</v>
      </c>
      <c r="AE54">
        <v>1.99E-3</v>
      </c>
      <c r="AF54" s="62">
        <f t="shared" si="8"/>
        <v>9.1186662289497687E-7</v>
      </c>
    </row>
    <row r="55" spans="1:32">
      <c r="A55" s="63">
        <v>50</v>
      </c>
      <c r="B55" s="78">
        <f>+QxF!G52/1000</f>
        <v>4.2921157758907761E-3</v>
      </c>
      <c r="C55" s="124">
        <v>3.16E-3</v>
      </c>
      <c r="D55" s="62">
        <f t="shared" si="10"/>
        <v>1.2816861300207739E-6</v>
      </c>
      <c r="E55" s="67">
        <v>1.2319999999999999E-2</v>
      </c>
      <c r="F55" s="62">
        <f t="shared" si="3"/>
        <v>6.4446925115701749E-5</v>
      </c>
      <c r="G55" s="106">
        <v>4.9399999999999999E-3</v>
      </c>
      <c r="H55" s="62">
        <f t="shared" si="3"/>
        <v>4.1975396784961097E-7</v>
      </c>
      <c r="I55">
        <v>4.96E-3</v>
      </c>
      <c r="J55" s="62">
        <f t="shared" si="0"/>
        <v>4.4606933681398002E-7</v>
      </c>
      <c r="K55" s="113">
        <v>3.2400000000000003E-3</v>
      </c>
      <c r="L55" s="114">
        <f t="shared" si="4"/>
        <v>1.1069476058782492E-6</v>
      </c>
      <c r="M55" s="102">
        <v>1.54463767E-2</v>
      </c>
      <c r="N55" s="62">
        <f t="shared" ref="N55:X70" si="12">+(M55-$B55)^2</f>
        <v>1.2441753676310996E-4</v>
      </c>
      <c r="O55" s="102">
        <v>3.2889999999999998E-3</v>
      </c>
      <c r="P55" s="62">
        <f t="shared" si="12"/>
        <v>1.0062412598409541E-6</v>
      </c>
      <c r="Q55" s="97">
        <v>9.8160000000000001E-3</v>
      </c>
      <c r="R55" s="62">
        <f t="shared" si="12"/>
        <v>3.0513296921362762E-5</v>
      </c>
      <c r="S55" s="97">
        <v>2.5409999999999999E-3</v>
      </c>
      <c r="T55" s="62">
        <f t="shared" si="12"/>
        <v>3.0664064605735554E-6</v>
      </c>
      <c r="U55" s="97">
        <v>2.63E-3</v>
      </c>
      <c r="V55" s="62">
        <f t="shared" si="12"/>
        <v>2.7626288524649966E-6</v>
      </c>
      <c r="W55" s="97">
        <v>3.5599999999999998E-3</v>
      </c>
      <c r="X55" s="62">
        <f t="shared" si="12"/>
        <v>5.3599350930815344E-7</v>
      </c>
      <c r="Y55" s="97">
        <v>1.9300000000000001E-3</v>
      </c>
      <c r="Z55" s="62">
        <f t="shared" si="6"/>
        <v>5.5795909387120818E-6</v>
      </c>
      <c r="AA55" s="97">
        <v>3.1700600000000002E-3</v>
      </c>
      <c r="AB55" s="62">
        <f t="shared" si="1"/>
        <v>1.2590091642098513E-6</v>
      </c>
      <c r="AC55" s="97">
        <v>3.2750000000000001E-3</v>
      </c>
      <c r="AD55" s="62">
        <f t="shared" si="7"/>
        <v>1.0345245015658951E-6</v>
      </c>
      <c r="AE55">
        <v>2.16E-3</v>
      </c>
      <c r="AF55" s="62">
        <f t="shared" si="8"/>
        <v>4.5459176818023257E-6</v>
      </c>
    </row>
    <row r="56" spans="1:32">
      <c r="A56" s="63">
        <v>51</v>
      </c>
      <c r="B56" s="78">
        <f>+QxF!G53/1000</f>
        <v>4.292115775890777E-3</v>
      </c>
      <c r="C56" s="124">
        <v>3.4500000000000004E-3</v>
      </c>
      <c r="D56" s="62">
        <f t="shared" si="10"/>
        <v>7.0915898000412472E-7</v>
      </c>
      <c r="E56" s="67">
        <v>1.3270000000000001E-2</v>
      </c>
      <c r="F56" s="62">
        <f t="shared" si="3"/>
        <v>8.0602405141509261E-5</v>
      </c>
      <c r="G56" s="106">
        <v>5.47E-3</v>
      </c>
      <c r="H56" s="62">
        <f t="shared" si="3"/>
        <v>1.3874112454053864E-6</v>
      </c>
      <c r="I56">
        <v>5.3099999999999996E-3</v>
      </c>
      <c r="J56" s="62">
        <f t="shared" si="0"/>
        <v>1.0360882936904342E-6</v>
      </c>
      <c r="K56" s="113">
        <v>3.5999999999999999E-3</v>
      </c>
      <c r="L56" s="114">
        <f t="shared" si="4"/>
        <v>4.7902424723689231E-7</v>
      </c>
      <c r="M56" s="102">
        <v>1.6337449300000001E-2</v>
      </c>
      <c r="N56" s="62">
        <f t="shared" si="12"/>
        <v>1.450900597070295E-4</v>
      </c>
      <c r="O56" s="102">
        <v>3.5590000000000001E-3</v>
      </c>
      <c r="P56" s="62">
        <f t="shared" si="12"/>
        <v>5.3745874085993578E-7</v>
      </c>
      <c r="Q56" s="97">
        <v>1.055E-2</v>
      </c>
      <c r="R56" s="62">
        <f t="shared" si="12"/>
        <v>3.9161114962355099E-5</v>
      </c>
      <c r="S56" s="97">
        <v>2.771E-3</v>
      </c>
      <c r="T56" s="62">
        <f t="shared" si="12"/>
        <v>2.3137932036638004E-6</v>
      </c>
      <c r="U56" s="97">
        <v>2.9399999999999999E-3</v>
      </c>
      <c r="V56" s="62">
        <f t="shared" si="12"/>
        <v>1.828217071412718E-6</v>
      </c>
      <c r="W56" s="97">
        <v>3.9100000000000003E-3</v>
      </c>
      <c r="X56" s="62">
        <f t="shared" si="12"/>
        <v>1.4601246618461027E-7</v>
      </c>
      <c r="Y56" s="97">
        <v>2.0899999999999998E-3</v>
      </c>
      <c r="Z56" s="62">
        <f t="shared" si="6"/>
        <v>4.8493138904270389E-6</v>
      </c>
      <c r="AA56" s="97">
        <v>3.39127E-3</v>
      </c>
      <c r="AB56" s="62">
        <f t="shared" si="1"/>
        <v>8.1152311194025587E-7</v>
      </c>
      <c r="AC56" s="97">
        <v>3.6089999999999998E-3</v>
      </c>
      <c r="AD56" s="62">
        <f t="shared" si="7"/>
        <v>4.6664716327085852E-7</v>
      </c>
      <c r="AE56">
        <v>2.3400000000000001E-3</v>
      </c>
      <c r="AF56" s="62">
        <f t="shared" si="8"/>
        <v>3.8107560024816499E-6</v>
      </c>
    </row>
    <row r="57" spans="1:32">
      <c r="A57" s="63">
        <v>52</v>
      </c>
      <c r="B57" s="78">
        <f>+QxF!G54/1000</f>
        <v>4.2921157758907761E-3</v>
      </c>
      <c r="C57" s="124">
        <v>3.7499999999999999E-3</v>
      </c>
      <c r="D57" s="62">
        <f t="shared" si="10"/>
        <v>2.9388951446965831E-7</v>
      </c>
      <c r="E57" s="67">
        <v>1.43E-2</v>
      </c>
      <c r="F57" s="62">
        <f t="shared" si="3"/>
        <v>1.0015774664317429E-4</v>
      </c>
      <c r="G57" s="106">
        <v>6.0600000000000003E-3</v>
      </c>
      <c r="H57" s="62">
        <f t="shared" si="3"/>
        <v>3.1254146298542736E-6</v>
      </c>
      <c r="I57">
        <v>5.7000000000000002E-3</v>
      </c>
      <c r="J57" s="62">
        <f t="shared" si="0"/>
        <v>1.9821379884956318E-6</v>
      </c>
      <c r="K57" s="113">
        <v>3.9900000000000005E-3</v>
      </c>
      <c r="L57" s="114">
        <f t="shared" si="4"/>
        <v>9.127394204208535E-8</v>
      </c>
      <c r="M57" s="102">
        <v>1.7308671500000001E-2</v>
      </c>
      <c r="N57" s="62">
        <f t="shared" si="12"/>
        <v>1.6943072291884063E-4</v>
      </c>
      <c r="O57" s="102">
        <v>3.8189999999999999E-3</v>
      </c>
      <c r="P57" s="62">
        <f t="shared" si="12"/>
        <v>2.2383853739673116E-7</v>
      </c>
      <c r="Q57" s="97">
        <v>1.1455999999999999E-2</v>
      </c>
      <c r="R57" s="62">
        <f t="shared" si="12"/>
        <v>5.1321237176441002E-5</v>
      </c>
      <c r="S57" s="97">
        <v>3.0240000000000002E-3</v>
      </c>
      <c r="T57" s="62">
        <f t="shared" si="12"/>
        <v>1.6081176210630645E-6</v>
      </c>
      <c r="U57" s="97">
        <v>3.29E-3</v>
      </c>
      <c r="V57" s="62">
        <f t="shared" si="12"/>
        <v>1.0042360282891723E-6</v>
      </c>
      <c r="W57" s="97">
        <v>4.3E-3</v>
      </c>
      <c r="X57" s="62">
        <f t="shared" si="12"/>
        <v>6.2160989804467452E-11</v>
      </c>
      <c r="Y57" s="97">
        <v>2.2799999999999999E-3</v>
      </c>
      <c r="Z57" s="62">
        <f t="shared" si="6"/>
        <v>4.0486098955885402E-6</v>
      </c>
      <c r="AA57" s="97">
        <v>3.6375999999999999E-3</v>
      </c>
      <c r="AB57" s="62">
        <f t="shared" si="1"/>
        <v>4.2839090088990469E-7</v>
      </c>
      <c r="AC57" s="97">
        <v>4.0090000000000004E-3</v>
      </c>
      <c r="AD57" s="62">
        <f t="shared" si="7"/>
        <v>8.0154542558235924E-8</v>
      </c>
      <c r="AE57">
        <v>2.5100000000000001E-3</v>
      </c>
      <c r="AF57" s="62">
        <f t="shared" si="8"/>
        <v>3.1759366386787826E-6</v>
      </c>
    </row>
    <row r="58" spans="1:32">
      <c r="A58" s="63">
        <v>53</v>
      </c>
      <c r="B58" s="78">
        <f>+QxF!G55/1000</f>
        <v>4.2921157758907761E-3</v>
      </c>
      <c r="C58" s="124">
        <v>4.0899999999999999E-3</v>
      </c>
      <c r="D58" s="62">
        <f t="shared" si="10"/>
        <v>4.0850786863930478E-8</v>
      </c>
      <c r="E58" s="67">
        <v>1.5429999999999999E-2</v>
      </c>
      <c r="F58" s="62">
        <f t="shared" si="3"/>
        <v>1.2405246498966113E-4</v>
      </c>
      <c r="G58" s="106">
        <v>6.7099999999999998E-3</v>
      </c>
      <c r="H58" s="62">
        <f t="shared" si="3"/>
        <v>5.8461641211962624E-6</v>
      </c>
      <c r="I58">
        <v>6.1500000000000001E-3</v>
      </c>
      <c r="J58" s="62">
        <f t="shared" si="0"/>
        <v>3.4517337901939332E-6</v>
      </c>
      <c r="K58" s="113">
        <v>4.4099999999999999E-3</v>
      </c>
      <c r="L58" s="114">
        <f t="shared" si="4"/>
        <v>1.3896690293833692E-8</v>
      </c>
      <c r="M58" s="102">
        <v>1.8394237800000001E-2</v>
      </c>
      <c r="N58" s="62">
        <f t="shared" si="12"/>
        <v>1.9886984558286646E-4</v>
      </c>
      <c r="O58" s="102">
        <v>4.0590000000000001E-3</v>
      </c>
      <c r="P58" s="62">
        <f t="shared" si="12"/>
        <v>5.4342964969158496E-8</v>
      </c>
      <c r="Q58" s="97">
        <v>1.2461E-2</v>
      </c>
      <c r="R58" s="62">
        <f t="shared" si="12"/>
        <v>6.6730669466900556E-5</v>
      </c>
      <c r="S58" s="97">
        <v>3.3019999999999998E-3</v>
      </c>
      <c r="T58" s="62">
        <f t="shared" si="12"/>
        <v>9.8032924966779386E-7</v>
      </c>
      <c r="U58" s="97">
        <v>3.6800000000000001E-3</v>
      </c>
      <c r="V58" s="62">
        <f t="shared" si="12"/>
        <v>3.746857230943667E-7</v>
      </c>
      <c r="W58" s="97">
        <v>4.7099999999999998E-3</v>
      </c>
      <c r="X58" s="62">
        <f t="shared" si="12"/>
        <v>1.7462722475936788E-7</v>
      </c>
      <c r="Y58" s="97">
        <v>2.48E-3</v>
      </c>
      <c r="Z58" s="62">
        <f t="shared" si="6"/>
        <v>3.2837635852322295E-6</v>
      </c>
      <c r="AA58" s="97">
        <v>3.9119100000000002E-3</v>
      </c>
      <c r="AB58" s="62">
        <f t="shared" si="1"/>
        <v>1.445564320207069E-7</v>
      </c>
      <c r="AC58" s="97">
        <v>4.3899999999999998E-3</v>
      </c>
      <c r="AD58" s="62">
        <f t="shared" si="7"/>
        <v>9.5813213294647307E-9</v>
      </c>
      <c r="AE58">
        <v>2.6800000000000001E-3</v>
      </c>
      <c r="AF58" s="62">
        <f t="shared" si="8"/>
        <v>2.5989172748759189E-6</v>
      </c>
    </row>
    <row r="59" spans="1:32">
      <c r="A59" s="63">
        <v>54</v>
      </c>
      <c r="B59" s="78">
        <f>+QxF!G56/1000</f>
        <v>4.2921157758907761E-3</v>
      </c>
      <c r="C59" s="124">
        <v>4.45E-3</v>
      </c>
      <c r="D59" s="62">
        <f t="shared" si="10"/>
        <v>2.4927428222571624E-8</v>
      </c>
      <c r="E59" s="67">
        <v>1.6650000000000002E-2</v>
      </c>
      <c r="F59" s="62">
        <f t="shared" si="3"/>
        <v>1.5271730249648768E-4</v>
      </c>
      <c r="G59" s="106">
        <v>7.4200000000000004E-3</v>
      </c>
      <c r="H59" s="62">
        <f t="shared" si="3"/>
        <v>9.7836597194313644E-6</v>
      </c>
      <c r="I59">
        <v>6.6100000000000004E-3</v>
      </c>
      <c r="J59" s="62">
        <f t="shared" si="0"/>
        <v>5.3725872763744208E-6</v>
      </c>
      <c r="K59" s="113">
        <v>4.8600000000000006E-3</v>
      </c>
      <c r="L59" s="114">
        <f t="shared" si="4"/>
        <v>3.2249249199213595E-7</v>
      </c>
      <c r="M59" s="102">
        <v>1.9562155599999999E-2</v>
      </c>
      <c r="N59" s="62">
        <f t="shared" si="12"/>
        <v>2.3317411622988162E-4</v>
      </c>
      <c r="O59" s="102">
        <v>4.2960000000000003E-3</v>
      </c>
      <c r="P59" s="62">
        <f t="shared" si="12"/>
        <v>1.5087196930678837E-11</v>
      </c>
      <c r="Q59" s="97">
        <v>1.3516E-2</v>
      </c>
      <c r="R59" s="62">
        <f t="shared" si="12"/>
        <v>8.5080040179771028E-5</v>
      </c>
      <c r="S59" s="97">
        <v>3.6080000000000001E-3</v>
      </c>
      <c r="T59" s="62">
        <f t="shared" si="12"/>
        <v>4.6801439482263848E-7</v>
      </c>
      <c r="U59" s="97">
        <v>4.13E-3</v>
      </c>
      <c r="V59" s="62">
        <f t="shared" si="12"/>
        <v>2.6281524792668345E-8</v>
      </c>
      <c r="W59" s="97">
        <v>5.1399999999999996E-3</v>
      </c>
      <c r="X59" s="62">
        <f t="shared" si="12"/>
        <v>7.1890765749329997E-7</v>
      </c>
      <c r="Y59" s="97">
        <v>2.7000000000000001E-3</v>
      </c>
      <c r="Z59" s="62">
        <f t="shared" si="6"/>
        <v>2.5348326438402874E-6</v>
      </c>
      <c r="AA59" s="97">
        <v>4.2173599999999999E-3</v>
      </c>
      <c r="AB59" s="62">
        <f t="shared" si="1"/>
        <v>5.5884260290319619E-9</v>
      </c>
      <c r="AC59" s="97">
        <v>4.803E-3</v>
      </c>
      <c r="AD59" s="62">
        <f t="shared" si="7"/>
        <v>2.6100269044368368E-7</v>
      </c>
      <c r="AE59">
        <v>2.8400000000000001E-3</v>
      </c>
      <c r="AF59" s="62">
        <f t="shared" si="8"/>
        <v>2.1086402265908703E-6</v>
      </c>
    </row>
    <row r="60" spans="1:32">
      <c r="A60" s="63">
        <v>55</v>
      </c>
      <c r="B60" s="78">
        <f>+QxF!G57/1000</f>
        <v>6.7102926627526658E-3</v>
      </c>
      <c r="C60" s="124">
        <v>4.8499999999999993E-3</v>
      </c>
      <c r="D60" s="62">
        <f t="shared" si="10"/>
        <v>3.4606887910914061E-6</v>
      </c>
      <c r="E60" s="67">
        <v>1.7979999999999999E-2</v>
      </c>
      <c r="F60" s="62">
        <f t="shared" si="3"/>
        <v>1.270063034672064E-4</v>
      </c>
      <c r="G60" s="106">
        <v>8.1899999999999994E-3</v>
      </c>
      <c r="H60" s="62">
        <f t="shared" si="3"/>
        <v>2.1895338039035943E-6</v>
      </c>
      <c r="I60">
        <v>7.0899999999999999E-3</v>
      </c>
      <c r="J60" s="62">
        <f t="shared" si="0"/>
        <v>1.4417766195946079E-7</v>
      </c>
      <c r="K60" s="113">
        <v>5.3600000000000002E-3</v>
      </c>
      <c r="L60" s="114">
        <f t="shared" si="4"/>
        <v>1.8232902750836838E-6</v>
      </c>
      <c r="M60" s="102">
        <v>2.0834818500000001E-2</v>
      </c>
      <c r="N60" s="62">
        <f t="shared" si="12"/>
        <v>1.9950223012706758E-4</v>
      </c>
      <c r="O60" s="102">
        <v>4.5560000000000002E-3</v>
      </c>
      <c r="P60" s="62">
        <f t="shared" si="12"/>
        <v>4.6409768767899705E-6</v>
      </c>
      <c r="Q60" s="97">
        <v>1.4767000000000001E-2</v>
      </c>
      <c r="R60" s="62">
        <f t="shared" si="12"/>
        <v>6.4910533118055032E-5</v>
      </c>
      <c r="S60" s="97">
        <v>3.9459999999999999E-3</v>
      </c>
      <c r="T60" s="62">
        <f t="shared" si="12"/>
        <v>7.6413139253482242E-6</v>
      </c>
      <c r="U60" s="97">
        <v>4.6299999999999996E-3</v>
      </c>
      <c r="V60" s="62">
        <f t="shared" si="12"/>
        <v>4.3276175627025781E-6</v>
      </c>
      <c r="W60" s="97">
        <v>5.62E-3</v>
      </c>
      <c r="X60" s="62">
        <f t="shared" si="12"/>
        <v>1.1887380904522981E-6</v>
      </c>
      <c r="Y60" s="97">
        <v>2.9399999999999999E-3</v>
      </c>
      <c r="Z60" s="62">
        <f t="shared" si="6"/>
        <v>1.4215106762806587E-5</v>
      </c>
      <c r="AA60" s="97">
        <v>4.5574700000000001E-3</v>
      </c>
      <c r="AB60" s="62">
        <f t="shared" si="1"/>
        <v>4.6346454172614778E-6</v>
      </c>
      <c r="AC60" s="97">
        <v>5.2110000000000004E-3</v>
      </c>
      <c r="AD60" s="62">
        <f t="shared" si="7"/>
        <v>2.2478784885839776E-6</v>
      </c>
      <c r="AE60">
        <v>2.98E-3</v>
      </c>
      <c r="AF60" s="62">
        <f t="shared" si="8"/>
        <v>1.3915083349786374E-5</v>
      </c>
    </row>
    <row r="61" spans="1:32">
      <c r="A61" s="63">
        <v>56</v>
      </c>
      <c r="B61" s="78">
        <f>+QxF!G58/1000</f>
        <v>6.710292662752664E-3</v>
      </c>
      <c r="C61" s="124">
        <v>5.28E-3</v>
      </c>
      <c r="D61" s="62">
        <f t="shared" si="10"/>
        <v>2.045737101124106E-6</v>
      </c>
      <c r="E61" s="67">
        <v>1.9429999999999999E-2</v>
      </c>
      <c r="F61" s="62">
        <f t="shared" si="3"/>
        <v>1.6179095474522367E-4</v>
      </c>
      <c r="G61" s="106">
        <v>9.0299999999999998E-3</v>
      </c>
      <c r="H61" s="62">
        <f t="shared" si="3"/>
        <v>5.381042130479125E-6</v>
      </c>
      <c r="I61">
        <v>7.5700000000000003E-3</v>
      </c>
      <c r="J61" s="62">
        <f t="shared" si="0"/>
        <v>7.3909670571690524E-7</v>
      </c>
      <c r="K61" s="113">
        <v>5.9100000000000003E-3</v>
      </c>
      <c r="L61" s="114">
        <f t="shared" si="4"/>
        <v>6.4046834605574874E-7</v>
      </c>
      <c r="M61" s="102">
        <v>2.2222863200000002E-2</v>
      </c>
      <c r="N61" s="62">
        <f t="shared" si="12"/>
        <v>2.4063984467307412E-4</v>
      </c>
      <c r="O61" s="102">
        <v>4.862E-3</v>
      </c>
      <c r="P61" s="62">
        <f t="shared" si="12"/>
        <v>3.4161857671853331E-6</v>
      </c>
      <c r="Q61" s="97">
        <v>1.6286999999999999E-2</v>
      </c>
      <c r="R61" s="62">
        <f t="shared" si="12"/>
        <v>9.1713323423286926E-5</v>
      </c>
      <c r="S61" s="97">
        <v>4.3200000000000001E-3</v>
      </c>
      <c r="T61" s="62">
        <f t="shared" si="12"/>
        <v>5.713499013609221E-6</v>
      </c>
      <c r="U61" s="97">
        <v>5.1900000000000002E-3</v>
      </c>
      <c r="V61" s="62">
        <f t="shared" si="12"/>
        <v>2.311289780419585E-6</v>
      </c>
      <c r="W61" s="97">
        <v>6.1399999999999996E-3</v>
      </c>
      <c r="X61" s="62">
        <f t="shared" si="12"/>
        <v>3.2523372118952421E-7</v>
      </c>
      <c r="Y61" s="97">
        <v>3.2100000000000002E-3</v>
      </c>
      <c r="Z61" s="62">
        <f t="shared" si="6"/>
        <v>1.2252048724920134E-5</v>
      </c>
      <c r="AA61" s="97">
        <v>4.9361800000000001E-3</v>
      </c>
      <c r="AB61" s="62">
        <f t="shared" si="1"/>
        <v>3.1474757401393475E-6</v>
      </c>
      <c r="AC61" s="97">
        <v>5.6280000000000002E-3</v>
      </c>
      <c r="AD61" s="62">
        <f t="shared" si="7"/>
        <v>1.1713574078482513E-6</v>
      </c>
      <c r="AE61">
        <v>3.1099999999999999E-3</v>
      </c>
      <c r="AF61" s="62">
        <f t="shared" si="8"/>
        <v>1.2962107257470669E-5</v>
      </c>
    </row>
    <row r="62" spans="1:32">
      <c r="A62" s="63">
        <v>57</v>
      </c>
      <c r="B62" s="78">
        <f>+QxF!G59/1000</f>
        <v>6.7102926627526649E-3</v>
      </c>
      <c r="C62" s="124">
        <v>5.7499999999999999E-3</v>
      </c>
      <c r="D62" s="62">
        <f t="shared" si="10"/>
        <v>9.2216199813660359E-7</v>
      </c>
      <c r="E62" s="67">
        <v>2.1000000000000001E-2</v>
      </c>
      <c r="F62" s="62">
        <f t="shared" si="3"/>
        <v>2.0419573578418036E-4</v>
      </c>
      <c r="G62" s="106">
        <v>9.9399999999999992E-3</v>
      </c>
      <c r="H62" s="62">
        <f t="shared" si="3"/>
        <v>1.0431009484269267E-5</v>
      </c>
      <c r="I62">
        <v>8.0300000000000007E-3</v>
      </c>
      <c r="J62" s="62">
        <f t="shared" si="0"/>
        <v>1.7416274559844532E-6</v>
      </c>
      <c r="K62" s="113">
        <v>6.4900000000000001E-3</v>
      </c>
      <c r="L62" s="114">
        <f t="shared" si="4"/>
        <v>4.85288572626593E-8</v>
      </c>
      <c r="M62" s="102">
        <v>2.3753601999999999E-2</v>
      </c>
      <c r="N62" s="62">
        <f t="shared" si="12"/>
        <v>2.9047439316510213E-4</v>
      </c>
      <c r="O62" s="102">
        <v>5.2220000000000001E-3</v>
      </c>
      <c r="P62" s="62">
        <f t="shared" si="12"/>
        <v>2.2150150500034175E-6</v>
      </c>
      <c r="Q62" s="97">
        <v>1.8183999999999999E-2</v>
      </c>
      <c r="R62" s="62">
        <f t="shared" si="12"/>
        <v>1.3164596006080329E-4</v>
      </c>
      <c r="S62" s="97">
        <v>4.7340000000000004E-3</v>
      </c>
      <c r="T62" s="62">
        <f t="shared" si="12"/>
        <v>3.9057326888500168E-6</v>
      </c>
      <c r="U62" s="97">
        <v>5.8199999999999997E-3</v>
      </c>
      <c r="V62" s="62">
        <f t="shared" si="12"/>
        <v>7.9262102535123097E-7</v>
      </c>
      <c r="W62" s="97">
        <v>6.7299999999999999E-3</v>
      </c>
      <c r="X62" s="62">
        <f t="shared" si="12"/>
        <v>3.8837914138019656E-10</v>
      </c>
      <c r="Y62" s="97">
        <v>3.5100000000000001E-3</v>
      </c>
      <c r="Z62" s="62">
        <f t="shared" si="6"/>
        <v>1.0241873127268542E-5</v>
      </c>
      <c r="AA62" s="97">
        <v>5.35784E-3</v>
      </c>
      <c r="AB62" s="62">
        <f t="shared" si="1"/>
        <v>1.8291282049867735E-6</v>
      </c>
      <c r="AC62" s="97">
        <v>6.0039999999999998E-3</v>
      </c>
      <c r="AD62" s="62">
        <f t="shared" si="7"/>
        <v>4.9884932545824989E-7</v>
      </c>
      <c r="AE62">
        <v>3.2399999999999998E-3</v>
      </c>
      <c r="AF62" s="62">
        <f t="shared" si="8"/>
        <v>1.2042931165154983E-5</v>
      </c>
    </row>
    <row r="63" spans="1:32">
      <c r="A63" s="63">
        <v>58</v>
      </c>
      <c r="B63" s="78">
        <f>+QxF!G60/1000</f>
        <v>6.7102926627526649E-3</v>
      </c>
      <c r="C63" s="124">
        <v>6.2599999999999999E-3</v>
      </c>
      <c r="D63" s="62">
        <f t="shared" si="10"/>
        <v>2.0276348212888525E-7</v>
      </c>
      <c r="E63" s="67">
        <v>2.2710000000000001E-2</v>
      </c>
      <c r="F63" s="62">
        <f t="shared" si="3"/>
        <v>2.5599063487756626E-4</v>
      </c>
      <c r="G63" s="106">
        <v>1.093E-2</v>
      </c>
      <c r="H63" s="62">
        <f t="shared" si="3"/>
        <v>1.7805930012018998E-5</v>
      </c>
      <c r="I63">
        <v>8.4700000000000001E-3</v>
      </c>
      <c r="J63" s="62">
        <f t="shared" si="0"/>
        <v>3.0965699127621067E-6</v>
      </c>
      <c r="K63" s="113">
        <v>7.0899999999999999E-3</v>
      </c>
      <c r="L63" s="114">
        <f t="shared" si="4"/>
        <v>1.4417766195946143E-7</v>
      </c>
      <c r="M63" s="102">
        <v>2.5412632099999999E-2</v>
      </c>
      <c r="N63" s="62">
        <f t="shared" si="12"/>
        <v>3.4977750042601693E-4</v>
      </c>
      <c r="O63" s="102">
        <v>5.646E-3</v>
      </c>
      <c r="P63" s="62">
        <f t="shared" si="12"/>
        <v>1.1327188719891578E-6</v>
      </c>
      <c r="Q63" s="97">
        <v>2.0507000000000001E-2</v>
      </c>
      <c r="R63" s="62">
        <f t="shared" si="12"/>
        <v>1.9034913334965448E-4</v>
      </c>
      <c r="S63" s="97">
        <v>5.195E-3</v>
      </c>
      <c r="T63" s="62">
        <f t="shared" si="12"/>
        <v>2.2961118537920614E-6</v>
      </c>
      <c r="U63" s="97">
        <v>6.5300000000000002E-3</v>
      </c>
      <c r="V63" s="62">
        <f t="shared" si="12"/>
        <v>3.2505444242446083E-8</v>
      </c>
      <c r="W63" s="97">
        <v>7.3800000000000003E-3</v>
      </c>
      <c r="X63" s="62">
        <f t="shared" si="12"/>
        <v>4.4850791756291623E-7</v>
      </c>
      <c r="Y63" s="97">
        <v>3.8400000000000001E-3</v>
      </c>
      <c r="Z63" s="62">
        <f t="shared" si="6"/>
        <v>8.238579969851783E-6</v>
      </c>
      <c r="AA63" s="97">
        <v>5.8272999999999997E-3</v>
      </c>
      <c r="AB63" s="62">
        <f t="shared" si="1"/>
        <v>7.7967604247504196E-7</v>
      </c>
      <c r="AC63" s="97">
        <v>6.4609999999999997E-3</v>
      </c>
      <c r="AD63" s="62">
        <f t="shared" si="7"/>
        <v>6.2146831702314049E-8</v>
      </c>
      <c r="AE63">
        <v>3.3800000000000002E-3</v>
      </c>
      <c r="AF63" s="62">
        <f t="shared" si="8"/>
        <v>1.1090849219584233E-5</v>
      </c>
    </row>
    <row r="64" spans="1:32">
      <c r="A64" s="63">
        <v>59</v>
      </c>
      <c r="B64" s="78">
        <f>+QxF!G61/1000</f>
        <v>6.7102926627526649E-3</v>
      </c>
      <c r="C64" s="124">
        <v>6.8200000000000005E-3</v>
      </c>
      <c r="D64" s="62">
        <f t="shared" si="10"/>
        <v>1.2035699845900639E-8</v>
      </c>
      <c r="E64" s="67">
        <v>2.4570000000000002E-2</v>
      </c>
      <c r="F64" s="62">
        <f t="shared" si="3"/>
        <v>3.1896914617212638E-4</v>
      </c>
      <c r="G64" s="106">
        <v>1.2019999999999999E-2</v>
      </c>
      <c r="H64" s="62">
        <f t="shared" si="3"/>
        <v>2.8192992007218178E-5</v>
      </c>
      <c r="I64">
        <v>8.94E-3</v>
      </c>
      <c r="J64" s="62">
        <f t="shared" si="0"/>
        <v>4.9715948097746016E-6</v>
      </c>
      <c r="K64" s="113">
        <v>7.7000000000000002E-3</v>
      </c>
      <c r="L64" s="114">
        <f t="shared" si="4"/>
        <v>9.7952061340121073E-7</v>
      </c>
      <c r="M64" s="102">
        <v>2.7215772400000001E-2</v>
      </c>
      <c r="N64" s="62">
        <f t="shared" si="12"/>
        <v>4.2047469925466106E-4</v>
      </c>
      <c r="O64" s="102">
        <v>6.136E-3</v>
      </c>
      <c r="P64" s="62">
        <f t="shared" si="12"/>
        <v>3.2981206249154617E-7</v>
      </c>
      <c r="Q64" s="97">
        <v>2.3132E-2</v>
      </c>
      <c r="R64" s="62">
        <f t="shared" si="12"/>
        <v>2.6967247187020295E-4</v>
      </c>
      <c r="S64" s="97">
        <v>5.7080000000000004E-3</v>
      </c>
      <c r="T64" s="62">
        <f t="shared" si="12"/>
        <v>1.0045905818078265E-6</v>
      </c>
      <c r="U64" s="97">
        <v>7.3299999999999997E-3</v>
      </c>
      <c r="V64" s="62">
        <f t="shared" si="12"/>
        <v>3.8403718383818197E-7</v>
      </c>
      <c r="W64" s="97">
        <v>8.0999999999999996E-3</v>
      </c>
      <c r="X64" s="62">
        <f t="shared" si="12"/>
        <v>1.9312864831990771E-6</v>
      </c>
      <c r="Y64" s="97">
        <v>4.1999999999999997E-3</v>
      </c>
      <c r="Z64" s="62">
        <f t="shared" si="6"/>
        <v>6.3015692526698656E-6</v>
      </c>
      <c r="AA64" s="97">
        <v>6.34995E-3</v>
      </c>
      <c r="AB64" s="62">
        <f t="shared" si="1"/>
        <v>1.2984683459968076E-7</v>
      </c>
      <c r="AC64" s="97">
        <v>6.9319999999999998E-3</v>
      </c>
      <c r="AD64" s="62">
        <f t="shared" si="7"/>
        <v>4.915414338930349E-8</v>
      </c>
      <c r="AE64">
        <v>3.5599999999999998E-3</v>
      </c>
      <c r="AF64" s="62">
        <f t="shared" si="8"/>
        <v>9.9243438609932769E-6</v>
      </c>
    </row>
    <row r="65" spans="1:32">
      <c r="A65" s="63">
        <v>60</v>
      </c>
      <c r="B65" s="78">
        <f>+QxF!G62/1000</f>
        <v>1.1106805075646259E-2</v>
      </c>
      <c r="C65" s="124">
        <v>7.4199999999999995E-3</v>
      </c>
      <c r="D65" s="62">
        <f t="shared" si="10"/>
        <v>1.3592531665811023E-5</v>
      </c>
      <c r="E65" s="67">
        <v>2.6589999999999999E-2</v>
      </c>
      <c r="F65" s="62">
        <f t="shared" si="3"/>
        <v>2.397293250655334E-4</v>
      </c>
      <c r="G65" s="106">
        <v>1.3220000000000001E-2</v>
      </c>
      <c r="H65" s="62">
        <f t="shared" si="3"/>
        <v>4.4655927883144158E-6</v>
      </c>
      <c r="I65">
        <v>9.4699999999999993E-3</v>
      </c>
      <c r="J65" s="62">
        <f t="shared" si="0"/>
        <v>2.6791308556613588E-6</v>
      </c>
      <c r="K65" s="113">
        <v>8.3400000000000002E-3</v>
      </c>
      <c r="L65" s="114">
        <f t="shared" si="4"/>
        <v>7.6552103266219013E-6</v>
      </c>
      <c r="M65" s="102">
        <v>2.9213855699999999E-2</v>
      </c>
      <c r="N65" s="62">
        <f t="shared" si="12"/>
        <v>3.2786528231290921E-4</v>
      </c>
      <c r="O65" s="102">
        <v>6.6959999999999997E-3</v>
      </c>
      <c r="P65" s="62">
        <f t="shared" si="12"/>
        <v>1.9455201415346806E-5</v>
      </c>
      <c r="Q65" s="97">
        <v>2.6084E-2</v>
      </c>
      <c r="R65" s="62">
        <f t="shared" si="12"/>
        <v>2.2431636780208744E-4</v>
      </c>
      <c r="S65" s="97">
        <v>6.2810000000000001E-3</v>
      </c>
      <c r="T65" s="62">
        <f t="shared" si="12"/>
        <v>2.3288394628133195E-5</v>
      </c>
      <c r="U65" s="97">
        <v>8.2199999999999999E-3</v>
      </c>
      <c r="V65" s="62">
        <f t="shared" si="12"/>
        <v>8.3336435447770042E-6</v>
      </c>
      <c r="W65" s="97">
        <v>8.9099999999999995E-3</v>
      </c>
      <c r="X65" s="62">
        <f t="shared" si="12"/>
        <v>4.825952540385169E-6</v>
      </c>
      <c r="Y65" s="97">
        <v>4.5900000000000003E-3</v>
      </c>
      <c r="Z65" s="62">
        <f t="shared" si="6"/>
        <v>4.2468748393968841E-5</v>
      </c>
      <c r="AA65" s="97">
        <v>6.9317900000000002E-3</v>
      </c>
      <c r="AB65" s="62">
        <f t="shared" si="1"/>
        <v>1.7430750881873539E-5</v>
      </c>
      <c r="AC65" s="97">
        <v>7.3980000000000001E-3</v>
      </c>
      <c r="AD65" s="62">
        <f t="shared" si="7"/>
        <v>1.3755235089139454E-5</v>
      </c>
      <c r="AE65">
        <v>3.79E-3</v>
      </c>
      <c r="AF65" s="62">
        <f t="shared" si="8"/>
        <v>5.3535636515002864E-5</v>
      </c>
    </row>
    <row r="66" spans="1:32">
      <c r="A66" s="63">
        <v>61</v>
      </c>
      <c r="B66" s="78">
        <f>+QxF!G63/1000</f>
        <v>1.1106805075646259E-2</v>
      </c>
      <c r="C66" s="124">
        <v>8.0800000000000004E-3</v>
      </c>
      <c r="D66" s="62">
        <f t="shared" si="10"/>
        <v>9.1615489659579552E-6</v>
      </c>
      <c r="E66" s="67">
        <v>2.878E-2</v>
      </c>
      <c r="F66" s="62">
        <f t="shared" si="3"/>
        <v>3.1234181883420291E-4</v>
      </c>
      <c r="G66" s="106">
        <v>1.4540000000000001E-2</v>
      </c>
      <c r="H66" s="62">
        <f t="shared" si="3"/>
        <v>1.1786827388608294E-5</v>
      </c>
      <c r="I66">
        <v>1.013E-2</v>
      </c>
      <c r="J66" s="62">
        <f t="shared" si="0"/>
        <v>9.5414815580829388E-7</v>
      </c>
      <c r="K66" s="113">
        <v>9.0299999999999998E-3</v>
      </c>
      <c r="L66" s="114">
        <f t="shared" si="4"/>
        <v>4.313119322230065E-6</v>
      </c>
      <c r="M66" s="102">
        <v>3.1383377300000001E-2</v>
      </c>
      <c r="N66" s="62">
        <f t="shared" si="12"/>
        <v>4.1113938116943373E-4</v>
      </c>
      <c r="O66" s="102">
        <v>7.3150000000000003E-3</v>
      </c>
      <c r="P66" s="62">
        <f t="shared" si="12"/>
        <v>1.4377785731696732E-5</v>
      </c>
      <c r="Q66" s="97">
        <v>2.9267000000000001E-2</v>
      </c>
      <c r="R66" s="62">
        <f t="shared" si="12"/>
        <v>3.2979267969052346E-4</v>
      </c>
      <c r="S66" s="97">
        <v>6.9239999999999996E-3</v>
      </c>
      <c r="T66" s="62">
        <f t="shared" si="12"/>
        <v>1.7495858300852111E-5</v>
      </c>
      <c r="U66" s="97">
        <v>9.2099999999999994E-3</v>
      </c>
      <c r="V66" s="62">
        <f t="shared" si="12"/>
        <v>3.597869494997413E-6</v>
      </c>
      <c r="W66" s="97">
        <v>9.7699999999999992E-3</v>
      </c>
      <c r="X66" s="62">
        <f t="shared" si="12"/>
        <v>1.7870478102736031E-6</v>
      </c>
      <c r="Y66" s="97">
        <v>5.0099999999999997E-3</v>
      </c>
      <c r="Z66" s="62">
        <f t="shared" si="6"/>
        <v>3.7171032130425992E-5</v>
      </c>
      <c r="AA66" s="97">
        <v>7.5794699999999996E-3</v>
      </c>
      <c r="AB66" s="62">
        <f t="shared" si="1"/>
        <v>1.2442092735884403E-5</v>
      </c>
      <c r="AC66" s="97">
        <v>7.8879999999999992E-3</v>
      </c>
      <c r="AD66" s="62">
        <f t="shared" si="7"/>
        <v>1.0360706115006126E-5</v>
      </c>
      <c r="AE66">
        <v>4.0800000000000003E-3</v>
      </c>
      <c r="AF66" s="62">
        <f t="shared" si="8"/>
        <v>4.9375989571128024E-5</v>
      </c>
    </row>
    <row r="67" spans="1:32">
      <c r="A67" s="63">
        <v>62</v>
      </c>
      <c r="B67" s="78">
        <f>+QxF!G64/1000</f>
        <v>1.1106805075646261E-2</v>
      </c>
      <c r="C67" s="124">
        <v>8.7899999999999992E-3</v>
      </c>
      <c r="D67" s="62">
        <f t="shared" si="10"/>
        <v>5.3675857585402803E-6</v>
      </c>
      <c r="E67" s="67">
        <v>3.1179999999999999E-2</v>
      </c>
      <c r="F67" s="62">
        <f t="shared" si="3"/>
        <v>4.0293315447110069E-4</v>
      </c>
      <c r="G67" s="106">
        <v>1.5980000000000001E-2</v>
      </c>
      <c r="H67" s="62">
        <f t="shared" si="3"/>
        <v>2.3748028770747056E-5</v>
      </c>
      <c r="I67">
        <v>1.0959999999999999E-2</v>
      </c>
      <c r="J67" s="62">
        <f t="shared" si="0"/>
        <v>2.1551730235504614E-8</v>
      </c>
      <c r="K67" s="113">
        <v>9.7599999999999996E-3</v>
      </c>
      <c r="L67" s="114">
        <f t="shared" si="4"/>
        <v>1.8138839117865318E-6</v>
      </c>
      <c r="M67" s="102">
        <v>3.37324294E-2</v>
      </c>
      <c r="N67" s="62">
        <f t="shared" si="12"/>
        <v>5.1191887606678757E-4</v>
      </c>
      <c r="O67" s="102">
        <v>7.9760000000000005E-3</v>
      </c>
      <c r="P67" s="62">
        <f t="shared" si="12"/>
        <v>9.801940421692386E-6</v>
      </c>
      <c r="Q67" s="97">
        <v>3.2675999999999997E-2</v>
      </c>
      <c r="R67" s="62">
        <f t="shared" si="12"/>
        <v>4.6523016968476696E-4</v>
      </c>
      <c r="S67" s="97">
        <v>7.6449999999999999E-3</v>
      </c>
      <c r="T67" s="62">
        <f t="shared" si="12"/>
        <v>1.1984094381770216E-5</v>
      </c>
      <c r="U67" s="97">
        <v>1.0319999999999999E-2</v>
      </c>
      <c r="V67" s="62">
        <f t="shared" si="12"/>
        <v>6.1906222706271942E-7</v>
      </c>
      <c r="W67" s="97">
        <v>1.0630000000000001E-2</v>
      </c>
      <c r="X67" s="62">
        <f t="shared" si="12"/>
        <v>2.2734308016203608E-7</v>
      </c>
      <c r="Y67" s="97">
        <v>5.4799999999999996E-3</v>
      </c>
      <c r="Z67" s="62">
        <f t="shared" si="6"/>
        <v>3.1660935359318528E-5</v>
      </c>
      <c r="AA67" s="97">
        <v>8.3003999999999994E-3</v>
      </c>
      <c r="AB67" s="62">
        <f t="shared" si="1"/>
        <v>7.8759094486130992E-6</v>
      </c>
      <c r="AC67" s="97">
        <v>8.3689999999999997E-3</v>
      </c>
      <c r="AD67" s="62">
        <f t="shared" si="7"/>
        <v>7.4955766322344306E-6</v>
      </c>
      <c r="AE67">
        <v>4.4200000000000003E-3</v>
      </c>
      <c r="AF67" s="62">
        <f t="shared" si="8"/>
        <v>4.4713362119688595E-5</v>
      </c>
    </row>
    <row r="68" spans="1:32">
      <c r="A68" s="63">
        <v>63</v>
      </c>
      <c r="B68" s="78">
        <f>+QxF!G65/1000</f>
        <v>1.1106805075646259E-2</v>
      </c>
      <c r="C68" s="124">
        <v>9.5700000000000004E-3</v>
      </c>
      <c r="D68" s="62">
        <f t="shared" si="10"/>
        <v>2.3617698405321034E-6</v>
      </c>
      <c r="E68" s="67">
        <v>3.3759999999999998E-2</v>
      </c>
      <c r="F68" s="62">
        <f t="shared" si="3"/>
        <v>5.1316724028076612E-4</v>
      </c>
      <c r="G68" s="106">
        <v>1.7559999999999999E-2</v>
      </c>
      <c r="H68" s="62">
        <f t="shared" si="3"/>
        <v>4.1643724731704873E-5</v>
      </c>
      <c r="I68">
        <v>1.2019999999999999E-2</v>
      </c>
      <c r="J68" s="62">
        <f t="shared" si="0"/>
        <v>8.3392496986543338E-7</v>
      </c>
      <c r="K68" s="113">
        <v>1.055E-2</v>
      </c>
      <c r="L68" s="114">
        <f t="shared" si="4"/>
        <v>3.1003189226543605E-7</v>
      </c>
      <c r="M68" s="102">
        <v>3.6324111300000003E-2</v>
      </c>
      <c r="N68" s="62">
        <f t="shared" si="12"/>
        <v>6.3591253321283021E-4</v>
      </c>
      <c r="O68" s="102">
        <v>8.6759999999999997E-3</v>
      </c>
      <c r="P68" s="62">
        <f t="shared" si="12"/>
        <v>5.9088133157876172E-6</v>
      </c>
      <c r="Q68" s="97">
        <v>3.6323000000000001E-2</v>
      </c>
      <c r="R68" s="62">
        <f t="shared" si="12"/>
        <v>6.3585648646300352E-4</v>
      </c>
      <c r="S68" s="97">
        <v>8.456E-3</v>
      </c>
      <c r="T68" s="62">
        <f t="shared" si="12"/>
        <v>7.02676754907197E-6</v>
      </c>
      <c r="U68" s="97">
        <v>1.157E-2</v>
      </c>
      <c r="V68" s="62">
        <f t="shared" si="12"/>
        <v>2.1454953794706805E-7</v>
      </c>
      <c r="W68" s="97">
        <v>1.149E-2</v>
      </c>
      <c r="X68" s="62">
        <f t="shared" si="12"/>
        <v>1.468383500504693E-7</v>
      </c>
      <c r="Y68" s="97">
        <v>5.9899999999999997E-3</v>
      </c>
      <c r="Z68" s="62">
        <f t="shared" si="6"/>
        <v>2.6181694182159325E-5</v>
      </c>
      <c r="AA68" s="97">
        <v>9.1027999999999994E-3</v>
      </c>
      <c r="AB68" s="62">
        <f t="shared" si="1"/>
        <v>4.0160363432159709E-6</v>
      </c>
      <c r="AC68" s="97">
        <v>9.4450000000000003E-3</v>
      </c>
      <c r="AD68" s="62">
        <f t="shared" si="7"/>
        <v>2.7615961094436684E-6</v>
      </c>
      <c r="AE68">
        <v>4.8199999999999996E-3</v>
      </c>
      <c r="AF68" s="62">
        <f t="shared" si="8"/>
        <v>3.9523918059171572E-5</v>
      </c>
    </row>
    <row r="69" spans="1:32">
      <c r="A69" s="63">
        <v>64</v>
      </c>
      <c r="B69" s="78">
        <f>+QxF!G66/1000</f>
        <v>1.1106805075646261E-2</v>
      </c>
      <c r="C69" s="124">
        <v>1.0410000000000001E-2</v>
      </c>
      <c r="D69" s="62">
        <f t="shared" si="10"/>
        <v>4.8553731344639027E-7</v>
      </c>
      <c r="E69" s="67">
        <v>3.6580000000000001E-2</v>
      </c>
      <c r="F69" s="62">
        <f t="shared" si="3"/>
        <v>6.488836596541212E-4</v>
      </c>
      <c r="G69" s="106">
        <v>1.9259999999999999E-2</v>
      </c>
      <c r="H69" s="62">
        <f t="shared" si="3"/>
        <v>6.6474587474507559E-5</v>
      </c>
      <c r="I69">
        <v>1.325E-2</v>
      </c>
      <c r="J69" s="62">
        <f t="shared" si="0"/>
        <v>4.5932844837756275E-6</v>
      </c>
      <c r="K69" s="113">
        <v>1.14E-2</v>
      </c>
      <c r="L69" s="114">
        <f t="shared" si="4"/>
        <v>8.5963263666795018E-8</v>
      </c>
      <c r="M69" s="102">
        <v>3.9123968799999999E-2</v>
      </c>
      <c r="N69" s="62">
        <f t="shared" si="12"/>
        <v>7.8496146315724306E-4</v>
      </c>
      <c r="O69" s="102">
        <v>9.4350000000000007E-3</v>
      </c>
      <c r="P69" s="62">
        <f t="shared" si="12"/>
        <v>2.7949322109565978E-6</v>
      </c>
      <c r="Q69" s="97">
        <v>4.0294999999999997E-2</v>
      </c>
      <c r="R69" s="62">
        <f t="shared" si="12"/>
        <v>8.5195072294206925E-4</v>
      </c>
      <c r="S69" s="97">
        <v>9.3729999999999994E-3</v>
      </c>
      <c r="T69" s="62">
        <f t="shared" si="12"/>
        <v>3.0060800403367387E-6</v>
      </c>
      <c r="U69" s="97">
        <v>1.2959999999999999E-2</v>
      </c>
      <c r="V69" s="62">
        <f t="shared" si="12"/>
        <v>3.4343314276504583E-6</v>
      </c>
      <c r="W69" s="97">
        <v>1.238E-2</v>
      </c>
      <c r="X69" s="62">
        <f t="shared" si="12"/>
        <v>1.6210253154001242E-6</v>
      </c>
      <c r="Y69" s="97">
        <v>6.5399999999999998E-3</v>
      </c>
      <c r="Z69" s="62">
        <f t="shared" si="6"/>
        <v>2.0855708598948452E-5</v>
      </c>
      <c r="AA69" s="97">
        <v>9.9958000000000009E-3</v>
      </c>
      <c r="AB69" s="62">
        <f t="shared" si="1"/>
        <v>1.234332278111752E-6</v>
      </c>
      <c r="AC69" s="97">
        <v>1.0558E-2</v>
      </c>
      <c r="AD69" s="62">
        <f t="shared" si="7"/>
        <v>3.0118701105509856E-7</v>
      </c>
      <c r="AE69">
        <v>5.2700000000000004E-3</v>
      </c>
      <c r="AF69" s="62">
        <f t="shared" si="8"/>
        <v>3.4068293491089951E-5</v>
      </c>
    </row>
    <row r="70" spans="1:32">
      <c r="A70" s="63">
        <v>65</v>
      </c>
      <c r="B70" s="78">
        <f>+QxF!G67/1000</f>
        <v>1.6833342298948426E-2</v>
      </c>
      <c r="C70" s="124">
        <v>1.133E-2</v>
      </c>
      <c r="D70" s="62">
        <f t="shared" si="10"/>
        <v>3.028677645939495E-5</v>
      </c>
      <c r="E70" s="67">
        <v>3.9640000000000002E-2</v>
      </c>
      <c r="F70" s="62">
        <f t="shared" si="3"/>
        <v>5.2014363549293511E-4</v>
      </c>
      <c r="G70" s="106">
        <v>2.1100000000000001E-2</v>
      </c>
      <c r="H70" s="62">
        <f t="shared" si="3"/>
        <v>1.8204367937942708E-5</v>
      </c>
      <c r="I70">
        <v>1.4590000000000001E-2</v>
      </c>
      <c r="J70" s="62">
        <f t="shared" ref="J70:J104" si="13">+(I70-$B70)^2</f>
        <v>5.0325846702512075E-6</v>
      </c>
      <c r="K70" s="113">
        <v>1.2330000000000001E-2</v>
      </c>
      <c r="L70" s="114">
        <f t="shared" si="4"/>
        <v>2.0280091861498089E-5</v>
      </c>
      <c r="M70" s="102">
        <v>4.2205930599999997E-2</v>
      </c>
      <c r="N70" s="62">
        <f t="shared" si="12"/>
        <v>6.4376823709465898E-4</v>
      </c>
      <c r="O70" s="102">
        <v>1.0298E-2</v>
      </c>
      <c r="P70" s="62">
        <f t="shared" si="12"/>
        <v>4.2710698964424503E-5</v>
      </c>
      <c r="Q70" s="97">
        <v>4.4478999999999998E-2</v>
      </c>
      <c r="R70" s="62">
        <f t="shared" si="12"/>
        <v>7.6428238972371209E-4</v>
      </c>
      <c r="S70" s="97">
        <v>1.0410000000000001E-2</v>
      </c>
      <c r="T70" s="62">
        <f t="shared" si="12"/>
        <v>4.1259326289460043E-5</v>
      </c>
      <c r="U70" s="97">
        <v>1.451E-2</v>
      </c>
      <c r="V70" s="62">
        <f t="shared" si="12"/>
        <v>5.3979194380829567E-6</v>
      </c>
      <c r="W70" s="97">
        <v>1.336E-2</v>
      </c>
      <c r="X70" s="62">
        <f t="shared" si="12"/>
        <v>1.2064106725664336E-5</v>
      </c>
      <c r="Y70" s="97">
        <v>7.1399999999999996E-3</v>
      </c>
      <c r="Z70" s="62">
        <f t="shared" si="6"/>
        <v>9.396088492458275E-5</v>
      </c>
      <c r="AA70" s="97">
        <v>1.0989530000000001E-2</v>
      </c>
      <c r="AB70" s="62">
        <f t="shared" ref="AB70:AB113" si="14">+(AA70-$B70)^2</f>
        <v>3.4150142185340884E-5</v>
      </c>
      <c r="AC70" s="97">
        <v>1.1714E-2</v>
      </c>
      <c r="AD70" s="62">
        <f t="shared" si="7"/>
        <v>2.6207665573802552E-5</v>
      </c>
      <c r="AE70">
        <v>5.77E-3</v>
      </c>
      <c r="AF70" s="62">
        <f t="shared" si="8"/>
        <v>1.2239754282370143E-4</v>
      </c>
    </row>
    <row r="71" spans="1:32">
      <c r="A71" s="63">
        <v>66</v>
      </c>
      <c r="B71" s="78">
        <f>+QxF!G68/1000</f>
        <v>1.6833342298948426E-2</v>
      </c>
      <c r="C71" s="124">
        <v>1.2330000000000001E-2</v>
      </c>
      <c r="D71" s="62">
        <f t="shared" si="10"/>
        <v>2.0280091861498089E-5</v>
      </c>
      <c r="E71" s="67">
        <v>4.2959999999999998E-2</v>
      </c>
      <c r="F71" s="62">
        <f t="shared" ref="F71:H108" si="15">+(E71-$B71)^2</f>
        <v>6.8260224262791747E-4</v>
      </c>
      <c r="G71" s="106">
        <v>2.3089999999999999E-2</v>
      </c>
      <c r="H71" s="62">
        <f t="shared" si="15"/>
        <v>3.914576558812796E-5</v>
      </c>
      <c r="I71">
        <v>1.6E-2</v>
      </c>
      <c r="J71" s="62">
        <f t="shared" si="13"/>
        <v>6.9445938721664756E-7</v>
      </c>
      <c r="K71" s="113">
        <v>1.3349999999999999E-2</v>
      </c>
      <c r="L71" s="114">
        <f t="shared" ref="L71:L103" si="16">+(K71-$B71)^2</f>
        <v>1.2133673571643313E-5</v>
      </c>
      <c r="M71" s="102">
        <v>4.5540612100000002E-2</v>
      </c>
      <c r="N71" s="62">
        <f t="shared" ref="N71:X86" si="17">+(M71-$B71)^2</f>
        <v>8.2410733943036785E-4</v>
      </c>
      <c r="O71" s="102">
        <v>1.1280999999999999E-2</v>
      </c>
      <c r="P71" s="62">
        <f t="shared" si="17"/>
        <v>3.0828505004691904E-5</v>
      </c>
      <c r="Q71" s="97">
        <v>4.8982999999999999E-2</v>
      </c>
      <c r="R71" s="62">
        <f t="shared" si="17"/>
        <v>1.033600490294785E-3</v>
      </c>
      <c r="S71" s="97">
        <v>1.1587E-2</v>
      </c>
      <c r="T71" s="62">
        <f t="shared" si="17"/>
        <v>2.7524107517735457E-5</v>
      </c>
      <c r="U71" s="97">
        <v>1.6240000000000001E-2</v>
      </c>
      <c r="V71" s="62">
        <f t="shared" si="17"/>
        <v>3.5205508372140239E-7</v>
      </c>
      <c r="W71" s="97">
        <v>1.448E-2</v>
      </c>
      <c r="X71" s="62">
        <f t="shared" si="17"/>
        <v>5.5382199760198648E-6</v>
      </c>
      <c r="Y71" s="97">
        <v>7.7799999999999996E-3</v>
      </c>
      <c r="Z71" s="62">
        <f t="shared" ref="Z71:Z118" si="18">+(Y71-$B71)^2</f>
        <v>8.1963006781928793E-5</v>
      </c>
      <c r="AA71" s="97">
        <v>1.2095369999999999E-2</v>
      </c>
      <c r="AB71" s="62">
        <f t="shared" si="14"/>
        <v>2.2448381505602641E-5</v>
      </c>
      <c r="AC71" s="97">
        <v>1.2954E-2</v>
      </c>
      <c r="AD71" s="62">
        <f t="shared" si="7"/>
        <v>1.5049296672410458E-5</v>
      </c>
      <c r="AE71">
        <v>6.3299999999999997E-3</v>
      </c>
      <c r="AF71" s="62">
        <f t="shared" si="8"/>
        <v>1.1032019944887923E-4</v>
      </c>
    </row>
    <row r="72" spans="1:32">
      <c r="A72" s="63">
        <v>67</v>
      </c>
      <c r="B72" s="78">
        <f>+QxF!G69/1000</f>
        <v>1.683334229894843E-2</v>
      </c>
      <c r="C72" s="124">
        <v>1.342E-2</v>
      </c>
      <c r="D72" s="62">
        <f t="shared" si="10"/>
        <v>1.1650905649790554E-5</v>
      </c>
      <c r="E72" s="67">
        <v>4.6559999999999997E-2</v>
      </c>
      <c r="F72" s="62">
        <f t="shared" si="15"/>
        <v>8.8367417807548847E-4</v>
      </c>
      <c r="G72" s="106">
        <v>2.5250000000000002E-2</v>
      </c>
      <c r="H72" s="62">
        <f t="shared" si="15"/>
        <v>7.0840126856670736E-5</v>
      </c>
      <c r="I72">
        <v>1.7430000000000001E-2</v>
      </c>
      <c r="J72" s="62">
        <f t="shared" si="13"/>
        <v>3.5600041222414633E-7</v>
      </c>
      <c r="K72" s="113">
        <v>1.448E-2</v>
      </c>
      <c r="L72" s="114">
        <f t="shared" si="16"/>
        <v>5.5382199760198809E-6</v>
      </c>
      <c r="M72" s="102">
        <v>4.9175186500000002E-2</v>
      </c>
      <c r="N72" s="62">
        <f t="shared" si="17"/>
        <v>1.0459948863250931E-3</v>
      </c>
      <c r="O72" s="102">
        <v>1.2370000000000001E-2</v>
      </c>
      <c r="P72" s="62">
        <f t="shared" si="17"/>
        <v>1.9921424477582246E-5</v>
      </c>
      <c r="Q72" s="97">
        <v>5.4045000000000003E-2</v>
      </c>
      <c r="R72" s="62">
        <f t="shared" si="17"/>
        <v>1.3847074688602308E-3</v>
      </c>
      <c r="S72" s="97">
        <v>1.2926E-2</v>
      </c>
      <c r="T72" s="62">
        <f t="shared" si="17"/>
        <v>1.5267323841151599E-5</v>
      </c>
      <c r="U72" s="97">
        <v>1.8169999999999999E-2</v>
      </c>
      <c r="V72" s="62">
        <f t="shared" si="17"/>
        <v>1.7866538097804657E-6</v>
      </c>
      <c r="W72" s="97">
        <v>1.5709999999999998E-2</v>
      </c>
      <c r="X72" s="62">
        <f t="shared" si="17"/>
        <v>1.2618979206067469E-6</v>
      </c>
      <c r="Y72" s="97">
        <v>8.5000000000000006E-3</v>
      </c>
      <c r="Z72" s="62">
        <f t="shared" si="18"/>
        <v>6.9444593871443092E-5</v>
      </c>
      <c r="AA72" s="97">
        <v>1.33253E-2</v>
      </c>
      <c r="AB72" s="62">
        <f t="shared" si="14"/>
        <v>1.2306360771211383E-5</v>
      </c>
      <c r="AC72" s="97">
        <v>1.3901E-2</v>
      </c>
      <c r="AD72" s="62">
        <f t="shared" si="7"/>
        <v>8.5986313582021603E-6</v>
      </c>
      <c r="AE72">
        <v>6.9499999999999996E-3</v>
      </c>
      <c r="AF72" s="62">
        <f t="shared" si="8"/>
        <v>9.7680454998183241E-5</v>
      </c>
    </row>
    <row r="73" spans="1:32">
      <c r="A73" s="63">
        <v>68</v>
      </c>
      <c r="B73" s="78">
        <f>+QxF!G70/1000</f>
        <v>1.6833342298948426E-2</v>
      </c>
      <c r="C73" s="124">
        <v>1.46E-2</v>
      </c>
      <c r="D73" s="62">
        <f t="shared" si="10"/>
        <v>4.9878178242722408E-6</v>
      </c>
      <c r="E73" s="67">
        <v>5.0459999999999998E-2</v>
      </c>
      <c r="F73" s="62">
        <f t="shared" si="15"/>
        <v>1.1307521081436907E-3</v>
      </c>
      <c r="G73" s="106">
        <v>2.7609999999999999E-2</v>
      </c>
      <c r="H73" s="62">
        <f t="shared" si="15"/>
        <v>1.1613635120563417E-4</v>
      </c>
      <c r="I73">
        <v>1.8839999999999999E-2</v>
      </c>
      <c r="J73" s="62">
        <f t="shared" si="13"/>
        <v>4.0266751291895836E-6</v>
      </c>
      <c r="K73" s="113">
        <v>1.5710000000000002E-2</v>
      </c>
      <c r="L73" s="114">
        <f t="shared" si="16"/>
        <v>1.2618979206067314E-6</v>
      </c>
      <c r="M73" s="102">
        <v>5.3167904299999999E-2</v>
      </c>
      <c r="N73" s="62">
        <f t="shared" si="17"/>
        <v>1.3202003958082611E-3</v>
      </c>
      <c r="O73" s="102">
        <v>1.3572000000000001E-2</v>
      </c>
      <c r="P73" s="62">
        <f t="shared" si="17"/>
        <v>1.0636353590910201E-5</v>
      </c>
      <c r="Q73" s="97">
        <v>5.9665999999999997E-2</v>
      </c>
      <c r="R73" s="62">
        <f t="shared" si="17"/>
        <v>1.8346365657354528E-3</v>
      </c>
      <c r="S73" s="97">
        <v>1.4453000000000001E-2</v>
      </c>
      <c r="T73" s="62">
        <f t="shared" si="17"/>
        <v>5.6660294601630761E-6</v>
      </c>
      <c r="U73" s="97">
        <v>2.0310000000000002E-2</v>
      </c>
      <c r="V73" s="62">
        <f t="shared" si="17"/>
        <v>1.2087148770281226E-5</v>
      </c>
      <c r="W73" s="97">
        <v>1.7080000000000001E-2</v>
      </c>
      <c r="X73" s="62">
        <f t="shared" si="17"/>
        <v>6.0840021488048265E-8</v>
      </c>
      <c r="Y73" s="97">
        <v>9.2700000000000005E-3</v>
      </c>
      <c r="Z73" s="62">
        <f t="shared" si="18"/>
        <v>5.7204146731062457E-5</v>
      </c>
      <c r="AA73" s="97">
        <v>1.469377E-2</v>
      </c>
      <c r="AB73" s="62">
        <f t="shared" si="14"/>
        <v>4.5777696224274532E-6</v>
      </c>
      <c r="AC73" s="97">
        <v>1.6213999999999999E-2</v>
      </c>
      <c r="AD73" s="62">
        <f t="shared" si="7"/>
        <v>3.8358488326672266E-7</v>
      </c>
      <c r="AE73">
        <v>7.62E-3</v>
      </c>
      <c r="AF73" s="62">
        <f t="shared" si="8"/>
        <v>8.4885676317592273E-5</v>
      </c>
    </row>
    <row r="74" spans="1:32">
      <c r="A74" s="63">
        <v>69</v>
      </c>
      <c r="B74" s="78">
        <f>+QxF!G71/1000</f>
        <v>1.6833342298948426E-2</v>
      </c>
      <c r="C74" s="124">
        <v>1.5880000000000002E-2</v>
      </c>
      <c r="D74" s="62">
        <f t="shared" si="10"/>
        <v>9.0886153896426709E-7</v>
      </c>
      <c r="E74" s="67">
        <v>5.4699999999999999E-2</v>
      </c>
      <c r="F74" s="62">
        <f t="shared" si="15"/>
        <v>1.4338837654486085E-3</v>
      </c>
      <c r="G74" s="106">
        <v>3.0210000000000001E-2</v>
      </c>
      <c r="H74" s="62">
        <f t="shared" si="15"/>
        <v>1.7893497125110239E-4</v>
      </c>
      <c r="I74">
        <v>2.036E-2</v>
      </c>
      <c r="J74" s="62">
        <f t="shared" si="13"/>
        <v>1.243731454038637E-5</v>
      </c>
      <c r="K74" s="113">
        <v>1.7079999999999998E-2</v>
      </c>
      <c r="L74" s="114">
        <f t="shared" si="16"/>
        <v>6.0840021488046558E-8</v>
      </c>
      <c r="M74" s="102">
        <v>5.7475517400000002E-2</v>
      </c>
      <c r="N74" s="62">
        <f t="shared" si="17"/>
        <v>1.6517863969445364E-3</v>
      </c>
      <c r="O74" s="102">
        <v>1.4907999999999999E-2</v>
      </c>
      <c r="P74" s="62">
        <f t="shared" si="17"/>
        <v>3.7069429681200132E-6</v>
      </c>
      <c r="Q74" s="97">
        <v>6.5849000000000005E-2</v>
      </c>
      <c r="R74" s="62">
        <f t="shared" si="17"/>
        <v>2.4025346998666573E-3</v>
      </c>
      <c r="S74" s="97">
        <v>1.6199000000000002E-2</v>
      </c>
      <c r="T74" s="62">
        <f t="shared" si="17"/>
        <v>4.0239015223517246E-7</v>
      </c>
      <c r="U74" s="97">
        <v>2.2689999999999998E-2</v>
      </c>
      <c r="V74" s="62">
        <f t="shared" si="17"/>
        <v>3.4300439427286686E-5</v>
      </c>
      <c r="W74" s="97">
        <v>1.8599999999999998E-2</v>
      </c>
      <c r="X74" s="62">
        <f t="shared" si="17"/>
        <v>3.1210794326848266E-6</v>
      </c>
      <c r="Y74" s="97">
        <v>1.009E-2</v>
      </c>
      <c r="Z74" s="62">
        <f t="shared" si="18"/>
        <v>4.5472665360787043E-5</v>
      </c>
      <c r="AA74" s="97">
        <v>1.6215750000000001E-2</v>
      </c>
      <c r="AB74" s="62">
        <f t="shared" si="14"/>
        <v>3.8142024772040097E-7</v>
      </c>
      <c r="AC74" s="97">
        <v>1.8697999999999999E-2</v>
      </c>
      <c r="AD74" s="62">
        <f t="shared" si="7"/>
        <v>3.4769483420909378E-6</v>
      </c>
      <c r="AE74">
        <v>8.3499999999999998E-3</v>
      </c>
      <c r="AF74" s="62">
        <f t="shared" si="8"/>
        <v>7.1967096561127567E-5</v>
      </c>
    </row>
    <row r="75" spans="1:32">
      <c r="A75" s="63">
        <v>70</v>
      </c>
      <c r="B75" s="78">
        <f>+QxF!G72/1000</f>
        <v>2.5473183097984044E-2</v>
      </c>
      <c r="C75" s="124">
        <v>1.728E-2</v>
      </c>
      <c r="D75" s="62">
        <f t="shared" si="10"/>
        <v>6.7128249277091426E-5</v>
      </c>
      <c r="E75" s="67">
        <v>5.9299999999999999E-2</v>
      </c>
      <c r="F75" s="62">
        <f t="shared" si="15"/>
        <v>1.1442535417225126E-3</v>
      </c>
      <c r="G75" s="106">
        <v>3.3079999999999998E-2</v>
      </c>
      <c r="H75" s="62">
        <f t="shared" si="15"/>
        <v>5.7863663380795593E-5</v>
      </c>
      <c r="I75">
        <v>2.2110000000000001E-2</v>
      </c>
      <c r="J75" s="62">
        <f t="shared" si="13"/>
        <v>1.1311000550565546E-5</v>
      </c>
      <c r="K75" s="113">
        <v>1.8630000000000001E-2</v>
      </c>
      <c r="L75" s="114">
        <f t="shared" si="16"/>
        <v>4.6829154912534496E-5</v>
      </c>
      <c r="M75" s="102">
        <v>6.2186254599999997E-2</v>
      </c>
      <c r="N75" s="62">
        <f t="shared" si="17"/>
        <v>1.3478496191121363E-3</v>
      </c>
      <c r="O75" s="102">
        <v>1.644E-2</v>
      </c>
      <c r="P75" s="62">
        <f t="shared" si="17"/>
        <v>8.1598396881704625E-5</v>
      </c>
      <c r="Q75" s="97">
        <v>7.2543999999999997E-2</v>
      </c>
      <c r="R75" s="62">
        <f t="shared" si="17"/>
        <v>2.2156618038231103E-3</v>
      </c>
      <c r="S75" s="97">
        <v>1.8199E-2</v>
      </c>
      <c r="T75" s="62">
        <f t="shared" si="17"/>
        <v>5.291373974299675E-5</v>
      </c>
      <c r="U75" s="97">
        <v>2.5340000000000001E-2</v>
      </c>
      <c r="V75" s="62">
        <f t="shared" si="17"/>
        <v>1.7737737588627202E-8</v>
      </c>
      <c r="W75" s="97">
        <v>2.0320000000000001E-2</v>
      </c>
      <c r="X75" s="62">
        <f t="shared" si="17"/>
        <v>2.655529604134842E-5</v>
      </c>
      <c r="Y75" s="97">
        <v>1.0999999999999999E-2</v>
      </c>
      <c r="Z75" s="62">
        <f t="shared" si="18"/>
        <v>2.0947302898777104E-4</v>
      </c>
      <c r="AA75" s="97">
        <v>1.7908250000000001E-2</v>
      </c>
      <c r="AB75" s="62">
        <f t="shared" si="14"/>
        <v>5.7228212776974461E-5</v>
      </c>
      <c r="AC75" s="97">
        <v>2.1132000000000001E-2</v>
      </c>
      <c r="AD75" s="62">
        <f t="shared" si="7"/>
        <v>1.8845870690222334E-5</v>
      </c>
      <c r="AE75">
        <v>9.1400000000000006E-3</v>
      </c>
      <c r="AF75" s="62">
        <f t="shared" si="8"/>
        <v>2.667728701122717E-4</v>
      </c>
    </row>
    <row r="76" spans="1:32">
      <c r="A76" s="63">
        <v>71</v>
      </c>
      <c r="B76" s="78">
        <f>+QxF!G73/1000</f>
        <v>2.5473183097984044E-2</v>
      </c>
      <c r="C76" s="124">
        <v>1.8789999999999998E-2</v>
      </c>
      <c r="D76" s="62">
        <f t="shared" si="10"/>
        <v>4.4664936321179639E-5</v>
      </c>
      <c r="E76" s="67">
        <v>6.4269999999999994E-2</v>
      </c>
      <c r="F76" s="62">
        <f t="shared" si="15"/>
        <v>1.5051930017285502E-3</v>
      </c>
      <c r="G76" s="106">
        <v>3.6240000000000001E-2</v>
      </c>
      <c r="H76" s="62">
        <f t="shared" si="15"/>
        <v>1.1592434620153648E-4</v>
      </c>
      <c r="I76">
        <v>2.4230000000000002E-2</v>
      </c>
      <c r="J76" s="62">
        <f t="shared" si="13"/>
        <v>1.5455042151132024E-6</v>
      </c>
      <c r="K76" s="113">
        <v>2.0379999999999999E-2</v>
      </c>
      <c r="L76" s="114">
        <f t="shared" si="16"/>
        <v>2.5940514069590362E-5</v>
      </c>
      <c r="M76" s="102">
        <v>6.7306914300000006E-2</v>
      </c>
      <c r="N76" s="62">
        <f t="shared" si="17"/>
        <v>1.7500610662825235E-3</v>
      </c>
      <c r="O76" s="102">
        <v>1.8162000000000001E-2</v>
      </c>
      <c r="P76" s="62">
        <f t="shared" si="17"/>
        <v>5.3453398292247556E-5</v>
      </c>
      <c r="Q76" s="97">
        <v>7.9825999999999994E-2</v>
      </c>
      <c r="R76" s="62">
        <f t="shared" si="17"/>
        <v>2.9542287051840701E-3</v>
      </c>
      <c r="S76" s="97">
        <v>2.0494999999999999E-2</v>
      </c>
      <c r="T76" s="62">
        <f t="shared" si="17"/>
        <v>2.4782306957054024E-5</v>
      </c>
      <c r="U76" s="97">
        <v>2.828E-2</v>
      </c>
      <c r="V76" s="62">
        <f t="shared" si="17"/>
        <v>7.8782211214424435E-6</v>
      </c>
      <c r="W76" s="97">
        <v>2.2239999999999999E-2</v>
      </c>
      <c r="X76" s="62">
        <f t="shared" si="17"/>
        <v>1.0453472945089707E-5</v>
      </c>
      <c r="Y76" s="97">
        <v>1.2019999999999999E-2</v>
      </c>
      <c r="Z76" s="62">
        <f t="shared" si="18"/>
        <v>1.8098813546788358E-4</v>
      </c>
      <c r="AA76" s="97">
        <v>1.979003E-2</v>
      </c>
      <c r="AB76" s="62">
        <f t="shared" si="14"/>
        <v>3.2298229135125643E-5</v>
      </c>
      <c r="AC76" s="97">
        <v>2.3466000000000001E-2</v>
      </c>
      <c r="AD76" s="62">
        <f t="shared" si="7"/>
        <v>4.0287839888328233E-6</v>
      </c>
      <c r="AE76">
        <v>1.0160000000000001E-2</v>
      </c>
      <c r="AF76" s="62">
        <f t="shared" si="8"/>
        <v>2.344935765923842E-4</v>
      </c>
    </row>
    <row r="77" spans="1:32">
      <c r="A77" s="63">
        <v>72</v>
      </c>
      <c r="B77" s="78">
        <f>+QxF!G74/1000</f>
        <v>2.5473183097984044E-2</v>
      </c>
      <c r="C77" s="124">
        <v>2.044E-2</v>
      </c>
      <c r="D77" s="62">
        <f t="shared" si="10"/>
        <v>2.5332932097832265E-5</v>
      </c>
      <c r="E77" s="67">
        <v>6.966E-2</v>
      </c>
      <c r="F77" s="62">
        <f t="shared" si="15"/>
        <v>1.9524747879322826E-3</v>
      </c>
      <c r="G77" s="106">
        <v>3.9660000000000001E-2</v>
      </c>
      <c r="H77" s="62">
        <f t="shared" si="15"/>
        <v>2.0126577381132562E-4</v>
      </c>
      <c r="I77">
        <v>2.6870000000000002E-2</v>
      </c>
      <c r="J77" s="62">
        <f t="shared" si="13"/>
        <v>1.9510974577574561E-6</v>
      </c>
      <c r="K77" s="113">
        <v>2.2290000000000001E-2</v>
      </c>
      <c r="L77" s="114">
        <f t="shared" si="16"/>
        <v>1.0132654635291293E-5</v>
      </c>
      <c r="M77" s="102">
        <v>7.2895581000000001E-2</v>
      </c>
      <c r="N77" s="62">
        <f t="shared" si="17"/>
        <v>2.2488838227771269E-3</v>
      </c>
      <c r="O77" s="102">
        <v>2.0018999999999999E-2</v>
      </c>
      <c r="P77" s="62">
        <f t="shared" si="17"/>
        <v>2.9748113266334843E-5</v>
      </c>
      <c r="Q77" s="97">
        <v>8.7638999999999995E-2</v>
      </c>
      <c r="R77" s="62">
        <f t="shared" si="17"/>
        <v>3.8645887910949716E-3</v>
      </c>
      <c r="S77" s="97">
        <v>2.3137000000000001E-2</v>
      </c>
      <c r="T77" s="62">
        <f t="shared" si="17"/>
        <v>5.4577514673063209E-6</v>
      </c>
      <c r="U77" s="97">
        <v>3.1530000000000002E-2</v>
      </c>
      <c r="V77" s="62">
        <f t="shared" si="17"/>
        <v>3.6685030984546186E-5</v>
      </c>
      <c r="W77" s="97">
        <v>2.4309999999999998E-2</v>
      </c>
      <c r="X77" s="62">
        <f t="shared" si="17"/>
        <v>1.3529949194357632E-6</v>
      </c>
      <c r="Y77" s="97">
        <v>1.312E-2</v>
      </c>
      <c r="Z77" s="62">
        <f t="shared" si="18"/>
        <v>1.5260113265231869E-4</v>
      </c>
      <c r="AA77" s="97">
        <v>2.1881830000000001E-2</v>
      </c>
      <c r="AB77" s="62">
        <f t="shared" si="14"/>
        <v>1.2897817074399583E-5</v>
      </c>
      <c r="AC77" s="97">
        <v>2.5797E-2</v>
      </c>
      <c r="AD77" s="62">
        <f t="shared" si="7"/>
        <v>1.0485738603121129E-7</v>
      </c>
      <c r="AE77">
        <v>1.132E-2</v>
      </c>
      <c r="AF77" s="62">
        <f t="shared" si="8"/>
        <v>2.0031259180506122E-4</v>
      </c>
    </row>
    <row r="78" spans="1:32">
      <c r="A78" s="63">
        <v>73</v>
      </c>
      <c r="B78" s="78">
        <f>+QxF!G75/1000</f>
        <v>2.5473183097984041E-2</v>
      </c>
      <c r="C78" s="124">
        <v>2.223E-2</v>
      </c>
      <c r="D78" s="62">
        <f t="shared" si="10"/>
        <v>1.0518236607049362E-5</v>
      </c>
      <c r="E78" s="67">
        <v>7.5499999999999998E-2</v>
      </c>
      <c r="F78" s="62">
        <f t="shared" si="15"/>
        <v>2.5026824093478295E-3</v>
      </c>
      <c r="G78" s="106">
        <v>4.3299999999999998E-2</v>
      </c>
      <c r="H78" s="62">
        <f t="shared" si="15"/>
        <v>3.177954008580018E-4</v>
      </c>
      <c r="I78">
        <v>3.0110000000000001E-2</v>
      </c>
      <c r="J78" s="62">
        <f t="shared" si="13"/>
        <v>2.1500070982820889E-5</v>
      </c>
      <c r="K78" s="113">
        <v>2.4390000000000002E-2</v>
      </c>
      <c r="L78" s="114">
        <f t="shared" si="16"/>
        <v>1.1732856237583002E-6</v>
      </c>
      <c r="M78" s="102">
        <v>7.8960939999999993E-2</v>
      </c>
      <c r="N78" s="62">
        <f t="shared" si="17"/>
        <v>2.860940138409155E-3</v>
      </c>
      <c r="O78" s="102">
        <v>2.2003000000000002E-2</v>
      </c>
      <c r="P78" s="62">
        <f t="shared" si="17"/>
        <v>1.2042170733534104E-5</v>
      </c>
      <c r="Q78" s="97">
        <v>9.6026E-2</v>
      </c>
      <c r="R78" s="62">
        <f t="shared" si="17"/>
        <v>4.9776999728093881E-3</v>
      </c>
      <c r="S78" s="97">
        <v>2.6148000000000001E-2</v>
      </c>
      <c r="T78" s="62">
        <f t="shared" si="17"/>
        <v>4.5537785124641796E-7</v>
      </c>
      <c r="U78" s="97">
        <v>3.5139999999999998E-2</v>
      </c>
      <c r="V78" s="62">
        <f t="shared" si="17"/>
        <v>9.3447349017101381E-5</v>
      </c>
      <c r="W78" s="97">
        <v>2.6519999999999998E-2</v>
      </c>
      <c r="X78" s="62">
        <f t="shared" si="17"/>
        <v>1.0958256263462867E-6</v>
      </c>
      <c r="Y78" s="97">
        <v>1.43E-2</v>
      </c>
      <c r="Z78" s="62">
        <f t="shared" si="18"/>
        <v>1.2484002054107625E-4</v>
      </c>
      <c r="AA78" s="97">
        <v>2.4206539999999999E-2</v>
      </c>
      <c r="AB78" s="62">
        <f t="shared" si="14"/>
        <v>1.6043847376706123E-6</v>
      </c>
      <c r="AC78" s="97">
        <v>2.8684000000000001E-2</v>
      </c>
      <c r="AD78" s="62">
        <f t="shared" si="7"/>
        <v>1.0309345178271368E-5</v>
      </c>
      <c r="AE78">
        <v>1.2659999999999999E-2</v>
      </c>
      <c r="AF78" s="62">
        <f t="shared" si="8"/>
        <v>1.6417766110246392E-4</v>
      </c>
    </row>
    <row r="79" spans="1:32">
      <c r="A79" s="63">
        <v>74</v>
      </c>
      <c r="B79" s="78">
        <f>+QxF!G76/1000</f>
        <v>2.5473183097984044E-2</v>
      </c>
      <c r="C79" s="124">
        <v>2.4170000000000001E-2</v>
      </c>
      <c r="D79" s="62">
        <f t="shared" si="10"/>
        <v>1.6982861868712903E-6</v>
      </c>
      <c r="E79" s="67">
        <v>8.1809999999999994E-2</v>
      </c>
      <c r="F79" s="62">
        <f t="shared" si="15"/>
        <v>3.1738369386512697E-3</v>
      </c>
      <c r="G79" s="106">
        <v>4.709E-2</v>
      </c>
      <c r="H79" s="62">
        <f t="shared" si="15"/>
        <v>4.6728677297528271E-4</v>
      </c>
      <c r="I79">
        <v>3.3930000000000002E-2</v>
      </c>
      <c r="J79" s="62">
        <f t="shared" si="13"/>
        <v>7.1517752114222776E-5</v>
      </c>
      <c r="K79" s="113">
        <v>2.6679999999999999E-2</v>
      </c>
      <c r="L79" s="114">
        <f t="shared" si="16"/>
        <v>1.4564070349913858E-6</v>
      </c>
      <c r="M79" s="102">
        <v>8.5532583300000006E-2</v>
      </c>
      <c r="N79" s="62">
        <f t="shared" si="17"/>
        <v>3.6071315526259146E-3</v>
      </c>
      <c r="O79" s="102">
        <v>2.4173E-2</v>
      </c>
      <c r="P79" s="62">
        <f t="shared" si="17"/>
        <v>1.6904760882833872E-6</v>
      </c>
      <c r="Q79" s="97">
        <v>0.10494100000000001</v>
      </c>
      <c r="R79" s="62">
        <f t="shared" si="17"/>
        <v>6.3151339231723334E-3</v>
      </c>
      <c r="S79" s="97">
        <v>2.9701000000000002E-2</v>
      </c>
      <c r="T79" s="62">
        <f t="shared" si="17"/>
        <v>1.7874435756971805E-5</v>
      </c>
      <c r="U79" s="97">
        <v>3.9129999999999998E-2</v>
      </c>
      <c r="V79" s="62">
        <f t="shared" si="17"/>
        <v>1.8650864789518864E-4</v>
      </c>
      <c r="W79" s="97">
        <v>2.894E-2</v>
      </c>
      <c r="X79" s="62">
        <f t="shared" si="17"/>
        <v>1.201881943210351E-5</v>
      </c>
      <c r="Y79" s="97">
        <v>1.558E-2</v>
      </c>
      <c r="Z79" s="62">
        <f t="shared" si="18"/>
        <v>9.7875071810237167E-5</v>
      </c>
      <c r="AA79" s="97">
        <v>2.6789449999999999E-2</v>
      </c>
      <c r="AB79" s="62">
        <f t="shared" si="14"/>
        <v>1.7325585573426795E-6</v>
      </c>
      <c r="AC79" s="97">
        <v>3.1767999999999998E-2</v>
      </c>
      <c r="AD79" s="62">
        <f t="shared" si="7"/>
        <v>3.9624719829905723E-5</v>
      </c>
      <c r="AE79">
        <v>1.4200000000000001E-2</v>
      </c>
      <c r="AF79" s="62">
        <f t="shared" si="8"/>
        <v>1.2708465716067312E-4</v>
      </c>
    </row>
    <row r="80" spans="1:32">
      <c r="A80" s="63">
        <v>75</v>
      </c>
      <c r="B80" s="78">
        <f>+QxF!G77/1000</f>
        <v>3.8548853006340117E-2</v>
      </c>
      <c r="C80" s="124">
        <v>2.6290000000000001E-2</v>
      </c>
      <c r="D80" s="62">
        <f t="shared" si="10"/>
        <v>1.5027947703105411E-4</v>
      </c>
      <c r="E80" s="67">
        <v>8.8639999999999997E-2</v>
      </c>
      <c r="F80" s="62">
        <f t="shared" si="15"/>
        <v>2.5091230071404413E-3</v>
      </c>
      <c r="G80" s="106">
        <v>5.0999999999999997E-2</v>
      </c>
      <c r="H80" s="62">
        <f t="shared" si="15"/>
        <v>1.5503106145772546E-4</v>
      </c>
      <c r="I80">
        <v>3.8240000000000003E-2</v>
      </c>
      <c r="J80" s="62">
        <f t="shared" si="13"/>
        <v>9.539017952532635E-8</v>
      </c>
      <c r="K80" s="113">
        <v>2.92E-2</v>
      </c>
      <c r="L80" s="114">
        <f t="shared" si="16"/>
        <v>8.7401052534154638E-5</v>
      </c>
      <c r="M80" s="102">
        <v>9.2668009699999998E-2</v>
      </c>
      <c r="N80" s="62">
        <f t="shared" si="17"/>
        <v>2.928883121232911E-3</v>
      </c>
      <c r="O80" s="102">
        <v>2.6706000000000001E-2</v>
      </c>
      <c r="P80" s="62">
        <f t="shared" si="17"/>
        <v>1.4025316732977914E-4</v>
      </c>
      <c r="Q80" s="97">
        <v>0.114413</v>
      </c>
      <c r="R80" s="62">
        <f t="shared" si="17"/>
        <v>5.7553687990756341E-3</v>
      </c>
      <c r="S80" s="97">
        <v>3.3770000000000001E-2</v>
      </c>
      <c r="T80" s="62">
        <f t="shared" si="17"/>
        <v>2.283743605620596E-5</v>
      </c>
      <c r="U80" s="97">
        <v>4.3529999999999999E-2</v>
      </c>
      <c r="V80" s="62">
        <f t="shared" si="17"/>
        <v>2.4811825372446886E-5</v>
      </c>
      <c r="W80" s="97">
        <v>3.1699999999999999E-2</v>
      </c>
      <c r="X80" s="62">
        <f t="shared" si="17"/>
        <v>4.690678750245407E-5</v>
      </c>
      <c r="Y80" s="97">
        <v>1.6990000000000002E-2</v>
      </c>
      <c r="Z80" s="62">
        <f t="shared" si="18"/>
        <v>4.6478414294898022E-4</v>
      </c>
      <c r="AA80" s="97">
        <v>2.9658400000000001E-2</v>
      </c>
      <c r="AB80" s="62">
        <f t="shared" si="14"/>
        <v>7.9040154657942E-5</v>
      </c>
      <c r="AC80" s="97">
        <v>3.4751999999999998E-2</v>
      </c>
      <c r="AD80" s="62">
        <f t="shared" si="7"/>
        <v>1.4416092751753998E-5</v>
      </c>
      <c r="AE80">
        <v>1.5970000000000002E-2</v>
      </c>
      <c r="AF80" s="62">
        <f t="shared" si="8"/>
        <v>5.0980460308191404E-4</v>
      </c>
    </row>
    <row r="81" spans="1:32">
      <c r="A81" s="63">
        <v>76</v>
      </c>
      <c r="B81" s="78">
        <f>+QxF!G78/1000</f>
        <v>3.8548853006340117E-2</v>
      </c>
      <c r="C81" s="124">
        <v>2.8579999999999998E-2</v>
      </c>
      <c r="D81" s="62">
        <f t="shared" si="10"/>
        <v>9.9378030262016427E-5</v>
      </c>
      <c r="E81" s="67">
        <v>9.6019999999999994E-2</v>
      </c>
      <c r="F81" s="62">
        <f t="shared" si="15"/>
        <v>3.3029327367668608E-3</v>
      </c>
      <c r="G81" s="106">
        <v>5.5010000000000003E-2</v>
      </c>
      <c r="H81" s="62">
        <f t="shared" si="15"/>
        <v>2.7096936034687791E-4</v>
      </c>
      <c r="I81">
        <v>4.2970000000000001E-2</v>
      </c>
      <c r="J81" s="62">
        <f t="shared" si="13"/>
        <v>1.9546540739547833E-5</v>
      </c>
      <c r="K81" s="113">
        <v>3.1949999999999999E-2</v>
      </c>
      <c r="L81" s="114">
        <f t="shared" si="16"/>
        <v>4.354486099928401E-5</v>
      </c>
      <c r="M81" s="102">
        <v>0.1004249111</v>
      </c>
      <c r="N81" s="62">
        <f t="shared" si="17"/>
        <v>3.8286465652099728E-3</v>
      </c>
      <c r="O81" s="102">
        <v>2.9603000000000001E-2</v>
      </c>
      <c r="P81" s="62">
        <f t="shared" si="17"/>
        <v>8.0028286011044492E-5</v>
      </c>
      <c r="Q81" s="97">
        <v>0.12442</v>
      </c>
      <c r="R81" s="62">
        <f t="shared" si="17"/>
        <v>7.3738538860067433E-3</v>
      </c>
      <c r="S81" s="97">
        <v>3.8481000000000001E-2</v>
      </c>
      <c r="T81" s="62">
        <f t="shared" si="17"/>
        <v>4.6040304693917672E-9</v>
      </c>
      <c r="U81" s="97">
        <v>4.8390000000000002E-2</v>
      </c>
      <c r="V81" s="62">
        <f t="shared" si="17"/>
        <v>9.6848174150821007E-5</v>
      </c>
      <c r="W81" s="97">
        <v>3.483E-2</v>
      </c>
      <c r="X81" s="62">
        <f t="shared" si="17"/>
        <v>1.3829867682764926E-5</v>
      </c>
      <c r="Y81" s="97">
        <v>1.856E-2</v>
      </c>
      <c r="Z81" s="62">
        <f t="shared" si="18"/>
        <v>3.9955424450907232E-4</v>
      </c>
      <c r="AA81" s="97">
        <v>3.284405E-2</v>
      </c>
      <c r="AB81" s="62">
        <f t="shared" si="14"/>
        <v>3.254477734114724E-5</v>
      </c>
      <c r="AC81" s="97">
        <v>3.7836000000000002E-2</v>
      </c>
      <c r="AD81" s="62">
        <f t="shared" si="7"/>
        <v>5.0815940864814049E-7</v>
      </c>
      <c r="AE81">
        <v>1.7999999999999999E-2</v>
      </c>
      <c r="AF81" s="62">
        <f t="shared" si="8"/>
        <v>4.2225535987617331E-4</v>
      </c>
    </row>
    <row r="82" spans="1:32">
      <c r="A82" s="63">
        <v>77</v>
      </c>
      <c r="B82" s="78">
        <f>+QxF!G79/1000</f>
        <v>3.8548853006340117E-2</v>
      </c>
      <c r="C82" s="124">
        <v>3.107E-2</v>
      </c>
      <c r="D82" s="62">
        <f t="shared" si="10"/>
        <v>5.59332422904426E-5</v>
      </c>
      <c r="E82" s="67">
        <v>0.10399</v>
      </c>
      <c r="F82" s="62">
        <f t="shared" si="15"/>
        <v>4.2825437198457999E-3</v>
      </c>
      <c r="G82" s="106">
        <v>5.9229999999999998E-2</v>
      </c>
      <c r="H82" s="62">
        <f t="shared" si="15"/>
        <v>4.2770984097336714E-4</v>
      </c>
      <c r="I82">
        <v>4.8039999999999999E-2</v>
      </c>
      <c r="J82" s="62">
        <f t="shared" si="13"/>
        <v>9.0081871255259026E-5</v>
      </c>
      <c r="K82" s="113">
        <v>3.4970000000000001E-2</v>
      </c>
      <c r="L82" s="114">
        <f t="shared" si="16"/>
        <v>1.2808188840989685E-5</v>
      </c>
      <c r="M82" s="102">
        <v>0.1088549336</v>
      </c>
      <c r="N82" s="62">
        <f t="shared" si="17"/>
        <v>4.9429449684421983E-3</v>
      </c>
      <c r="O82" s="102">
        <v>3.2717999999999997E-2</v>
      </c>
      <c r="P82" s="62">
        <f t="shared" si="17"/>
        <v>3.3998846781545614E-5</v>
      </c>
      <c r="Q82" s="97">
        <v>0.134994</v>
      </c>
      <c r="R82" s="62">
        <f t="shared" si="17"/>
        <v>9.3016663786286632E-3</v>
      </c>
      <c r="S82" s="97">
        <v>4.3943000000000003E-2</v>
      </c>
      <c r="T82" s="62">
        <f t="shared" si="17"/>
        <v>2.9096821789209985E-5</v>
      </c>
      <c r="U82" s="97">
        <v>5.3740000000000003E-2</v>
      </c>
      <c r="V82" s="62">
        <f t="shared" si="17"/>
        <v>2.3077094698298179E-4</v>
      </c>
      <c r="W82" s="97">
        <v>3.8260000000000002E-2</v>
      </c>
      <c r="X82" s="62">
        <f t="shared" si="17"/>
        <v>8.3436059271722263E-8</v>
      </c>
      <c r="Y82" s="97">
        <v>2.0299999999999999E-2</v>
      </c>
      <c r="Z82" s="62">
        <f t="shared" si="18"/>
        <v>3.330206360470088E-4</v>
      </c>
      <c r="AA82" s="97">
        <v>3.638011E-2</v>
      </c>
      <c r="AB82" s="62">
        <f t="shared" si="14"/>
        <v>4.7034462275491677E-6</v>
      </c>
      <c r="AC82" s="97">
        <v>4.2005000000000001E-2</v>
      </c>
      <c r="AD82" s="62">
        <f t="shared" si="7"/>
        <v>1.1944952041784253E-5</v>
      </c>
      <c r="AE82">
        <v>2.0330000000000001E-2</v>
      </c>
      <c r="AF82" s="62">
        <f t="shared" si="8"/>
        <v>3.3192660486662827E-4</v>
      </c>
    </row>
    <row r="83" spans="1:32">
      <c r="A83" s="63">
        <v>78</v>
      </c>
      <c r="B83" s="78">
        <f>+QxF!G80/1000</f>
        <v>3.8548853006340124E-2</v>
      </c>
      <c r="C83" s="124">
        <v>3.3770000000000001E-2</v>
      </c>
      <c r="D83" s="62">
        <f t="shared" si="10"/>
        <v>2.2837436056206028E-5</v>
      </c>
      <c r="E83" s="67">
        <v>0.11259</v>
      </c>
      <c r="F83" s="62">
        <f t="shared" si="15"/>
        <v>5.4820914481367496E-3</v>
      </c>
      <c r="G83" s="106">
        <v>6.3799999999999996E-2</v>
      </c>
      <c r="H83" s="62">
        <f t="shared" si="15"/>
        <v>6.3762042449541797E-4</v>
      </c>
      <c r="I83">
        <v>5.3449999999999998E-2</v>
      </c>
      <c r="J83" s="62">
        <f t="shared" si="13"/>
        <v>2.220441817266587E-4</v>
      </c>
      <c r="K83" s="113">
        <v>3.8280000000000002E-2</v>
      </c>
      <c r="L83" s="114">
        <f t="shared" si="16"/>
        <v>7.2281939018121848E-8</v>
      </c>
      <c r="M83" s="102">
        <v>0.1179413327</v>
      </c>
      <c r="N83" s="62">
        <f t="shared" si="17"/>
        <v>6.3031658319081946E-3</v>
      </c>
      <c r="O83" s="102">
        <v>3.6033999999999997E-2</v>
      </c>
      <c r="P83" s="62">
        <f t="shared" si="17"/>
        <v>6.3244856434979765E-6</v>
      </c>
      <c r="Q83" s="97">
        <v>0.146171</v>
      </c>
      <c r="R83" s="62">
        <f t="shared" si="17"/>
        <v>1.1582526523524934E-2</v>
      </c>
      <c r="S83" s="97">
        <v>5.0279999999999998E-2</v>
      </c>
      <c r="T83" s="62">
        <f t="shared" si="17"/>
        <v>1.3761980978685512E-4</v>
      </c>
      <c r="U83" s="97">
        <v>5.9619999999999999E-2</v>
      </c>
      <c r="V83" s="62">
        <f t="shared" si="17"/>
        <v>4.4399323562842162E-4</v>
      </c>
      <c r="W83" s="97">
        <v>4.197E-2</v>
      </c>
      <c r="X83" s="62">
        <f t="shared" si="17"/>
        <v>1.1704246752228012E-5</v>
      </c>
      <c r="Y83" s="97">
        <v>2.2210000000000001E-2</v>
      </c>
      <c r="Z83" s="62">
        <f t="shared" si="18"/>
        <v>2.6695811756278966E-4</v>
      </c>
      <c r="AA83" s="97">
        <v>4.0303569999999997E-2</v>
      </c>
      <c r="AB83" s="62">
        <f t="shared" si="14"/>
        <v>3.0790317278387431E-6</v>
      </c>
      <c r="AC83" s="97">
        <v>4.7502000000000003E-2</v>
      </c>
      <c r="AD83" s="62">
        <f t="shared" si="7"/>
        <v>8.0158841090080925E-5</v>
      </c>
      <c r="AE83">
        <v>2.3009999999999999E-2</v>
      </c>
      <c r="AF83" s="62">
        <f t="shared" si="8"/>
        <v>2.4145595275264553E-4</v>
      </c>
    </row>
    <row r="84" spans="1:32">
      <c r="A84" s="63">
        <v>79</v>
      </c>
      <c r="B84" s="78">
        <f>+QxF!G81/1000</f>
        <v>3.8548853006340117E-2</v>
      </c>
      <c r="C84" s="124">
        <v>3.6700000000000003E-2</v>
      </c>
      <c r="D84" s="62">
        <f t="shared" si="10"/>
        <v>3.4182574390528754E-6</v>
      </c>
      <c r="E84" s="67">
        <v>0.12186</v>
      </c>
      <c r="F84" s="62">
        <f t="shared" si="15"/>
        <v>6.9407472133992034E-3</v>
      </c>
      <c r="G84" s="106">
        <v>6.8849999999999995E-2</v>
      </c>
      <c r="H84" s="62">
        <f t="shared" si="15"/>
        <v>9.1815950913138309E-4</v>
      </c>
      <c r="I84">
        <v>5.935E-2</v>
      </c>
      <c r="J84" s="62">
        <f t="shared" si="13"/>
        <v>4.3268771625184561E-4</v>
      </c>
      <c r="K84" s="113">
        <v>4.1919999999999999E-2</v>
      </c>
      <c r="L84" s="114">
        <f t="shared" si="16"/>
        <v>1.1364632052862061E-5</v>
      </c>
      <c r="M84" s="102">
        <v>0.12781489679999999</v>
      </c>
      <c r="N84" s="62">
        <f t="shared" si="17"/>
        <v>7.9684265745716028E-3</v>
      </c>
      <c r="O84" s="102">
        <v>3.9683000000000003E-2</v>
      </c>
      <c r="P84" s="62">
        <f t="shared" si="17"/>
        <v>1.2862894032277577E-6</v>
      </c>
      <c r="Q84" s="97">
        <v>0.157781</v>
      </c>
      <c r="R84" s="62">
        <f t="shared" si="17"/>
        <v>1.4216304876717718E-2</v>
      </c>
      <c r="S84" s="97">
        <v>5.7634999999999999E-2</v>
      </c>
      <c r="T84" s="62">
        <f t="shared" si="17"/>
        <v>3.6428100706359216E-4</v>
      </c>
      <c r="U84" s="97">
        <v>6.608E-2</v>
      </c>
      <c r="V84" s="62">
        <f t="shared" si="17"/>
        <v>7.5796405478650766E-4</v>
      </c>
      <c r="W84" s="97">
        <v>4.607E-2</v>
      </c>
      <c r="X84" s="62">
        <f t="shared" si="17"/>
        <v>5.6567652100239098E-5</v>
      </c>
      <c r="Y84" s="97">
        <v>2.4309999999999998E-2</v>
      </c>
      <c r="Z84" s="62">
        <f t="shared" si="18"/>
        <v>2.0274493493616102E-4</v>
      </c>
      <c r="AA84" s="97">
        <v>4.465496E-2</v>
      </c>
      <c r="AB84" s="62">
        <f t="shared" si="14"/>
        <v>3.728454261802214E-5</v>
      </c>
      <c r="AC84" s="97">
        <v>5.2915999999999998E-2</v>
      </c>
      <c r="AD84" s="62">
        <f t="shared" si="7"/>
        <v>2.0641491273743016E-4</v>
      </c>
      <c r="AE84">
        <v>2.6079999999999999E-2</v>
      </c>
      <c r="AF84" s="62">
        <f t="shared" si="8"/>
        <v>1.55472295293717E-4</v>
      </c>
    </row>
    <row r="85" spans="1:32">
      <c r="A85" s="63">
        <v>80</v>
      </c>
      <c r="B85" s="78">
        <f>+QxF!G82/1000</f>
        <v>0</v>
      </c>
      <c r="C85" s="124">
        <v>3.9890000000000002E-2</v>
      </c>
      <c r="D85" s="62">
        <f t="shared" si="10"/>
        <v>1.5912121000000001E-3</v>
      </c>
      <c r="E85" s="67">
        <v>0.13184999999999999</v>
      </c>
      <c r="F85" s="62">
        <f t="shared" si="15"/>
        <v>1.73844225E-2</v>
      </c>
      <c r="G85" s="106">
        <v>7.4520000000000003E-2</v>
      </c>
      <c r="H85" s="62">
        <f t="shared" si="15"/>
        <v>5.5532304000000003E-3</v>
      </c>
      <c r="I85">
        <v>6.5989999999999993E-2</v>
      </c>
      <c r="J85" s="62">
        <f t="shared" si="13"/>
        <v>4.3546800999999993E-3</v>
      </c>
      <c r="K85" s="113">
        <v>4.6429999999999999E-2</v>
      </c>
      <c r="L85" s="114">
        <f t="shared" si="16"/>
        <v>2.1557449000000001E-3</v>
      </c>
      <c r="M85" s="102">
        <v>0.13849721849999999</v>
      </c>
      <c r="N85" s="62">
        <f t="shared" si="17"/>
        <v>1.9181479532236739E-2</v>
      </c>
      <c r="O85" s="102">
        <v>4.3899000000000001E-2</v>
      </c>
      <c r="P85" s="62">
        <f t="shared" si="17"/>
        <v>1.9271222010000001E-3</v>
      </c>
      <c r="Q85" s="97">
        <v>0.170045</v>
      </c>
      <c r="R85" s="62">
        <f t="shared" si="17"/>
        <v>2.8915302024999999E-2</v>
      </c>
      <c r="S85" s="97">
        <v>6.6171999999999995E-2</v>
      </c>
      <c r="T85" s="62">
        <f t="shared" si="17"/>
        <v>4.3787335839999995E-3</v>
      </c>
      <c r="U85" s="97">
        <v>7.3160000000000003E-2</v>
      </c>
      <c r="V85" s="62">
        <f t="shared" si="17"/>
        <v>5.3523856000000005E-3</v>
      </c>
      <c r="W85" s="97">
        <v>5.0720000000000001E-2</v>
      </c>
      <c r="X85" s="62">
        <f t="shared" si="17"/>
        <v>2.5725184000000003E-3</v>
      </c>
      <c r="Y85" s="97">
        <v>2.674E-2</v>
      </c>
      <c r="Z85" s="62">
        <f t="shared" si="18"/>
        <v>7.1502760000000001E-4</v>
      </c>
      <c r="AA85" s="97">
        <v>4.9478569999999999E-2</v>
      </c>
      <c r="AB85" s="62">
        <f t="shared" si="14"/>
        <v>2.4481288892448999E-3</v>
      </c>
      <c r="AC85" s="97">
        <v>5.9013999999999997E-2</v>
      </c>
      <c r="AD85" s="62">
        <f t="shared" si="7"/>
        <v>3.4826521959999998E-3</v>
      </c>
      <c r="AE85">
        <v>2.9600000000000001E-2</v>
      </c>
      <c r="AF85" s="62">
        <f t="shared" si="8"/>
        <v>8.7616000000000007E-4</v>
      </c>
    </row>
    <row r="86" spans="1:32">
      <c r="A86" s="63">
        <v>81</v>
      </c>
      <c r="B86" s="78">
        <f>+QxF!G83/1000</f>
        <v>0</v>
      </c>
      <c r="C86" s="124">
        <v>4.3340000000000004E-2</v>
      </c>
      <c r="D86" s="62">
        <f t="shared" si="10"/>
        <v>1.8783556000000004E-3</v>
      </c>
      <c r="E86" s="67">
        <v>0.1426</v>
      </c>
      <c r="F86" s="62">
        <f t="shared" si="15"/>
        <v>2.033476E-2</v>
      </c>
      <c r="G86" s="106">
        <v>8.0920000000000006E-2</v>
      </c>
      <c r="H86" s="62">
        <f t="shared" si="15"/>
        <v>6.5480464000000011E-3</v>
      </c>
      <c r="I86">
        <v>7.3599999999999999E-2</v>
      </c>
      <c r="J86" s="62">
        <f t="shared" si="13"/>
        <v>5.4169600000000002E-3</v>
      </c>
      <c r="K86" s="113">
        <v>5.1959999999999999E-2</v>
      </c>
      <c r="L86" s="114">
        <f t="shared" si="16"/>
        <v>2.6998415999999999E-3</v>
      </c>
      <c r="M86" s="102">
        <v>0.15000005459999999</v>
      </c>
      <c r="N86" s="62">
        <f t="shared" si="17"/>
        <v>2.2500016380002978E-2</v>
      </c>
      <c r="O86" s="102">
        <v>4.8807000000000003E-2</v>
      </c>
      <c r="P86" s="62">
        <f t="shared" si="17"/>
        <v>2.3821232490000002E-3</v>
      </c>
      <c r="Q86" s="97">
        <v>0.18288399999999999</v>
      </c>
      <c r="R86" s="62">
        <f t="shared" si="17"/>
        <v>3.3446557455999996E-2</v>
      </c>
      <c r="S86" s="97">
        <v>7.4699000000000002E-2</v>
      </c>
      <c r="T86" s="62">
        <f t="shared" si="17"/>
        <v>5.579940601E-3</v>
      </c>
      <c r="U86" s="97">
        <v>8.09E-2</v>
      </c>
      <c r="V86" s="62">
        <f t="shared" si="17"/>
        <v>6.5448099999999999E-3</v>
      </c>
      <c r="W86" s="97">
        <v>5.5989999999999998E-2</v>
      </c>
      <c r="X86" s="62">
        <f t="shared" si="17"/>
        <v>3.1348800999999996E-3</v>
      </c>
      <c r="Y86" s="97">
        <v>2.962E-2</v>
      </c>
      <c r="Z86" s="62">
        <f t="shared" si="18"/>
        <v>8.7734439999999998E-4</v>
      </c>
      <c r="AA86" s="97">
        <v>5.482273E-2</v>
      </c>
      <c r="AB86" s="62">
        <f t="shared" si="14"/>
        <v>3.0055317246528998E-3</v>
      </c>
      <c r="AC86" s="97">
        <v>6.5208000000000002E-2</v>
      </c>
      <c r="AD86" s="62">
        <f t="shared" ref="AD86:AD105" si="19">+(AC86-$B86)^2</f>
        <v>4.2520832640000001E-3</v>
      </c>
      <c r="AE86">
        <v>3.3640000000000003E-2</v>
      </c>
      <c r="AF86" s="62">
        <f t="shared" ref="AF86:AF115" si="20">+(AE86-$B86)^2</f>
        <v>1.1316496000000002E-3</v>
      </c>
    </row>
    <row r="87" spans="1:32">
      <c r="A87" s="63">
        <v>82</v>
      </c>
      <c r="B87" s="78">
        <f>+QxF!G84/1000</f>
        <v>0</v>
      </c>
      <c r="C87" s="124">
        <v>4.7079999999999997E-2</v>
      </c>
      <c r="D87" s="62">
        <f t="shared" si="10"/>
        <v>2.2165263999999996E-3</v>
      </c>
      <c r="E87" s="67">
        <v>0.15415999999999999</v>
      </c>
      <c r="F87" s="62">
        <f t="shared" si="15"/>
        <v>2.3765305599999998E-2</v>
      </c>
      <c r="G87" s="106">
        <v>8.7989999999999999E-2</v>
      </c>
      <c r="H87" s="62">
        <f t="shared" si="15"/>
        <v>7.7422400999999997E-3</v>
      </c>
      <c r="I87">
        <v>8.2400000000000001E-2</v>
      </c>
      <c r="J87" s="62">
        <f t="shared" si="13"/>
        <v>6.7897600000000006E-3</v>
      </c>
      <c r="K87" s="113">
        <v>5.7799999999999997E-2</v>
      </c>
      <c r="L87" s="114">
        <f t="shared" si="16"/>
        <v>3.3408399999999999E-3</v>
      </c>
      <c r="M87" s="102">
        <v>0.1624021235</v>
      </c>
      <c r="N87" s="62">
        <f t="shared" ref="N87:X102" si="21">+(M87-$B87)^2</f>
        <v>2.6374449717309251E-2</v>
      </c>
      <c r="O87" s="102">
        <v>5.4373999999999999E-2</v>
      </c>
      <c r="P87" s="62">
        <f t="shared" si="21"/>
        <v>2.9565318760000001E-3</v>
      </c>
      <c r="Q87" s="97">
        <v>0.19618099999999999</v>
      </c>
      <c r="R87" s="62">
        <f t="shared" si="21"/>
        <v>3.8486984761000001E-2</v>
      </c>
      <c r="S87" s="97">
        <v>8.3183000000000007E-2</v>
      </c>
      <c r="T87" s="62">
        <f t="shared" si="21"/>
        <v>6.9194114890000014E-3</v>
      </c>
      <c r="U87" s="97">
        <v>8.9359999999999995E-2</v>
      </c>
      <c r="V87" s="62">
        <f t="shared" si="21"/>
        <v>7.9852095999999994E-3</v>
      </c>
      <c r="W87" s="97">
        <v>6.1850000000000002E-2</v>
      </c>
      <c r="X87" s="62">
        <f t="shared" si="21"/>
        <v>3.8254225000000004E-3</v>
      </c>
      <c r="Y87" s="97">
        <v>3.3070000000000002E-2</v>
      </c>
      <c r="Z87" s="62">
        <f t="shared" si="18"/>
        <v>1.0936249000000002E-3</v>
      </c>
      <c r="AA87" s="97">
        <v>6.0740019999999999E-2</v>
      </c>
      <c r="AB87" s="62">
        <f t="shared" si="14"/>
        <v>3.6893500296003999E-3</v>
      </c>
      <c r="AC87" s="97">
        <v>7.2844999999999993E-2</v>
      </c>
      <c r="AD87" s="62">
        <f t="shared" si="19"/>
        <v>5.3063940249999993E-3</v>
      </c>
      <c r="AE87">
        <v>3.8269999999999998E-2</v>
      </c>
      <c r="AF87" s="62">
        <f t="shared" si="20"/>
        <v>1.4645928999999999E-3</v>
      </c>
    </row>
    <row r="88" spans="1:32">
      <c r="A88" s="63">
        <v>83</v>
      </c>
      <c r="B88" s="78">
        <f>+QxF!G85/1000</f>
        <v>0</v>
      </c>
      <c r="C88" s="124">
        <v>5.1139999999999998E-2</v>
      </c>
      <c r="D88" s="62">
        <f t="shared" si="10"/>
        <v>2.6152996E-3</v>
      </c>
      <c r="E88" s="67">
        <v>0.16657</v>
      </c>
      <c r="F88" s="62">
        <f t="shared" si="15"/>
        <v>2.7745564899999998E-2</v>
      </c>
      <c r="G88" s="106">
        <v>9.5640000000000003E-2</v>
      </c>
      <c r="H88" s="62">
        <f t="shared" si="15"/>
        <v>9.1470096000000004E-3</v>
      </c>
      <c r="I88">
        <v>9.2530000000000001E-2</v>
      </c>
      <c r="J88" s="62">
        <f t="shared" si="13"/>
        <v>8.5618008999999995E-3</v>
      </c>
      <c r="K88" s="113">
        <v>6.3939999999999997E-2</v>
      </c>
      <c r="L88" s="114">
        <f t="shared" si="16"/>
        <v>4.0883235999999998E-3</v>
      </c>
      <c r="M88" s="102">
        <v>0.17572957289999999</v>
      </c>
      <c r="N88" s="62">
        <f t="shared" si="21"/>
        <v>3.0880882791616413E-2</v>
      </c>
      <c r="O88" s="102">
        <v>6.0661E-2</v>
      </c>
      <c r="P88" s="62">
        <f t="shared" si="21"/>
        <v>3.679756921E-3</v>
      </c>
      <c r="Q88" s="97">
        <v>0.20997499999999999</v>
      </c>
      <c r="R88" s="62">
        <f t="shared" si="21"/>
        <v>4.4089500625E-2</v>
      </c>
      <c r="S88" s="97">
        <v>9.3543000000000001E-2</v>
      </c>
      <c r="T88" s="62">
        <f t="shared" si="21"/>
        <v>8.7502928490000003E-3</v>
      </c>
      <c r="U88" s="97">
        <v>9.8570000000000005E-2</v>
      </c>
      <c r="V88" s="62">
        <f t="shared" si="21"/>
        <v>9.7160449000000017E-3</v>
      </c>
      <c r="W88" s="97">
        <v>6.8330000000000002E-2</v>
      </c>
      <c r="X88" s="62">
        <f t="shared" si="21"/>
        <v>4.6689889000000005E-3</v>
      </c>
      <c r="Y88" s="97">
        <v>3.7109999999999997E-2</v>
      </c>
      <c r="Z88" s="62">
        <f t="shared" si="18"/>
        <v>1.3771520999999998E-3</v>
      </c>
      <c r="AA88" s="97">
        <v>6.7287459999999993E-2</v>
      </c>
      <c r="AB88" s="62">
        <f t="shared" si="14"/>
        <v>4.5276022732515988E-3</v>
      </c>
      <c r="AC88" s="97">
        <v>8.3968000000000001E-2</v>
      </c>
      <c r="AD88" s="62">
        <f t="shared" si="19"/>
        <v>7.0506250240000004E-3</v>
      </c>
      <c r="AE88">
        <v>4.3569999999999998E-2</v>
      </c>
      <c r="AF88" s="62">
        <f t="shared" si="20"/>
        <v>1.8983448999999998E-3</v>
      </c>
    </row>
    <row r="89" spans="1:32">
      <c r="A89" s="63">
        <v>84</v>
      </c>
      <c r="B89" s="78">
        <f>+QxF!G86/1000</f>
        <v>0</v>
      </c>
      <c r="C89" s="124">
        <v>5.5530000000000003E-2</v>
      </c>
      <c r="D89" s="62">
        <f t="shared" ref="D89:D103" si="22">+(C89-$B89)^2</f>
        <v>3.0835809000000001E-3</v>
      </c>
      <c r="E89" s="67">
        <v>0.17988000000000001</v>
      </c>
      <c r="F89" s="62">
        <f t="shared" si="15"/>
        <v>3.2356814400000003E-2</v>
      </c>
      <c r="G89" s="106">
        <v>0.10378</v>
      </c>
      <c r="H89" s="62">
        <f t="shared" si="15"/>
        <v>1.07702884E-2</v>
      </c>
      <c r="I89">
        <v>0.10381</v>
      </c>
      <c r="J89" s="62">
        <f t="shared" si="13"/>
        <v>1.0776516099999999E-2</v>
      </c>
      <c r="K89" s="113">
        <v>7.0739999999999997E-2</v>
      </c>
      <c r="L89" s="114">
        <f t="shared" si="16"/>
        <v>5.0041475999999998E-3</v>
      </c>
      <c r="M89" s="102">
        <v>0.1901425957</v>
      </c>
      <c r="N89" s="62">
        <f t="shared" si="21"/>
        <v>3.6154206699533661E-2</v>
      </c>
      <c r="O89" s="102">
        <v>6.7751000000000006E-2</v>
      </c>
      <c r="P89" s="62">
        <f t="shared" si="21"/>
        <v>4.5901980010000006E-3</v>
      </c>
      <c r="Q89" s="97">
        <v>0.22450500000000001</v>
      </c>
      <c r="R89" s="62">
        <f t="shared" si="21"/>
        <v>5.0402495025000008E-2</v>
      </c>
      <c r="S89" s="97">
        <v>0.105463</v>
      </c>
      <c r="T89" s="62">
        <f t="shared" si="21"/>
        <v>1.1122444368999999E-2</v>
      </c>
      <c r="U89" s="97">
        <v>0.10857</v>
      </c>
      <c r="V89" s="62">
        <f t="shared" si="21"/>
        <v>1.1787444899999999E-2</v>
      </c>
      <c r="W89" s="97">
        <v>7.5509999999999994E-2</v>
      </c>
      <c r="X89" s="62">
        <f t="shared" si="21"/>
        <v>5.7017600999999989E-3</v>
      </c>
      <c r="Y89" s="97">
        <v>4.1849999999999998E-2</v>
      </c>
      <c r="Z89" s="62">
        <f t="shared" si="18"/>
        <v>1.7514224999999998E-3</v>
      </c>
      <c r="AA89" s="97">
        <v>7.4526659999999995E-2</v>
      </c>
      <c r="AB89" s="62">
        <f t="shared" si="14"/>
        <v>5.554223050755599E-3</v>
      </c>
      <c r="AC89" s="97">
        <v>9.3826000000000007E-2</v>
      </c>
      <c r="AD89" s="62">
        <f t="shared" si="19"/>
        <v>8.8033182760000016E-3</v>
      </c>
      <c r="AE89">
        <v>4.9639999999999997E-2</v>
      </c>
      <c r="AF89" s="62">
        <f t="shared" si="20"/>
        <v>2.4641295999999996E-3</v>
      </c>
    </row>
    <row r="90" spans="1:32">
      <c r="A90" s="63">
        <v>85</v>
      </c>
      <c r="B90" s="78">
        <f>+QxF!G87/1000</f>
        <v>0</v>
      </c>
      <c r="C90" s="124">
        <v>6.0289999999999996E-2</v>
      </c>
      <c r="D90" s="62">
        <f t="shared" si="22"/>
        <v>3.6348840999999997E-3</v>
      </c>
      <c r="E90" s="67">
        <v>0.19413</v>
      </c>
      <c r="F90" s="62">
        <f t="shared" si="15"/>
        <v>3.7686456899999998E-2</v>
      </c>
      <c r="G90" s="106">
        <v>0.11232</v>
      </c>
      <c r="H90" s="62">
        <f t="shared" si="15"/>
        <v>1.2615782400000001E-2</v>
      </c>
      <c r="I90">
        <v>0.11609999999999999</v>
      </c>
      <c r="J90" s="62">
        <f t="shared" si="13"/>
        <v>1.3479209999999998E-2</v>
      </c>
      <c r="K90" s="113">
        <v>7.7590000000000006E-2</v>
      </c>
      <c r="L90" s="114">
        <f t="shared" si="16"/>
        <v>6.0202081000000013E-3</v>
      </c>
      <c r="M90" s="102">
        <v>0.2056927767</v>
      </c>
      <c r="N90" s="62">
        <f t="shared" si="21"/>
        <v>4.2309518386556062E-2</v>
      </c>
      <c r="O90" s="102">
        <v>7.5729000000000005E-2</v>
      </c>
      <c r="P90" s="62">
        <f t="shared" si="21"/>
        <v>5.7348814410000011E-3</v>
      </c>
      <c r="Q90" s="97">
        <v>0.239403</v>
      </c>
      <c r="R90" s="62">
        <f t="shared" si="21"/>
        <v>5.7313796409000001E-2</v>
      </c>
      <c r="S90" s="97">
        <v>0.11733399999999999</v>
      </c>
      <c r="T90" s="62">
        <f t="shared" si="21"/>
        <v>1.3767267555999999E-2</v>
      </c>
      <c r="U90" s="97">
        <v>0.11942999999999999</v>
      </c>
      <c r="V90" s="62">
        <f t="shared" si="21"/>
        <v>1.42635249E-2</v>
      </c>
      <c r="W90" s="97">
        <v>8.3479999999999999E-2</v>
      </c>
      <c r="X90" s="62">
        <f t="shared" si="21"/>
        <v>6.9689104000000002E-3</v>
      </c>
      <c r="Y90" s="97">
        <v>4.7489999999999997E-2</v>
      </c>
      <c r="Z90" s="62">
        <f t="shared" si="18"/>
        <v>2.2553000999999996E-3</v>
      </c>
      <c r="AA90" s="97">
        <v>8.2524009999999995E-2</v>
      </c>
      <c r="AB90" s="62">
        <f t="shared" si="14"/>
        <v>6.8102122264800989E-3</v>
      </c>
      <c r="AC90" s="97">
        <v>0.10449799999999999</v>
      </c>
      <c r="AD90" s="62">
        <f t="shared" si="19"/>
        <v>1.0919832003999999E-2</v>
      </c>
      <c r="AE90">
        <v>5.6570000000000002E-2</v>
      </c>
      <c r="AF90" s="62">
        <f t="shared" si="20"/>
        <v>3.2001649000000004E-3</v>
      </c>
    </row>
    <row r="91" spans="1:32">
      <c r="A91" s="63">
        <v>86</v>
      </c>
      <c r="B91" s="78">
        <f>+QxF!G88/1000</f>
        <v>0</v>
      </c>
      <c r="C91" s="124">
        <v>6.5439999999999998E-2</v>
      </c>
      <c r="D91" s="62">
        <f t="shared" si="22"/>
        <v>4.2823936E-3</v>
      </c>
      <c r="E91" s="67">
        <v>0.20937</v>
      </c>
      <c r="F91" s="62">
        <f t="shared" si="15"/>
        <v>4.3835796900000001E-2</v>
      </c>
      <c r="G91" s="106">
        <v>0.1212</v>
      </c>
      <c r="H91" s="62">
        <f t="shared" si="15"/>
        <v>1.468944E-2</v>
      </c>
      <c r="I91">
        <v>0.12928999999999999</v>
      </c>
      <c r="J91" s="62">
        <f t="shared" si="13"/>
        <v>1.6715904099999998E-2</v>
      </c>
      <c r="K91" s="113">
        <v>8.5680000000000006E-2</v>
      </c>
      <c r="L91" s="114">
        <f t="shared" si="16"/>
        <v>7.3410624000000008E-3</v>
      </c>
      <c r="M91" s="102">
        <v>0.22213436910000001</v>
      </c>
      <c r="N91" s="62">
        <f t="shared" si="21"/>
        <v>4.9343677935455035E-2</v>
      </c>
      <c r="O91" s="102">
        <v>8.4672999999999998E-2</v>
      </c>
      <c r="P91" s="62">
        <f t="shared" si="21"/>
        <v>7.1695169290000001E-3</v>
      </c>
      <c r="Q91" s="97">
        <v>0.25490800000000002</v>
      </c>
      <c r="R91" s="62">
        <f t="shared" si="21"/>
        <v>6.4978088464000008E-2</v>
      </c>
      <c r="S91" s="97">
        <v>0.129139</v>
      </c>
      <c r="T91" s="62">
        <f t="shared" si="21"/>
        <v>1.6676881321000002E-2</v>
      </c>
      <c r="U91" s="97">
        <v>0.13116</v>
      </c>
      <c r="V91" s="62">
        <f t="shared" si="21"/>
        <v>1.7202945599999998E-2</v>
      </c>
      <c r="W91" s="97">
        <v>9.2310000000000003E-2</v>
      </c>
      <c r="X91" s="62">
        <f t="shared" si="21"/>
        <v>8.5211360999999999E-3</v>
      </c>
      <c r="Y91" s="97">
        <v>5.4129999999999998E-2</v>
      </c>
      <c r="Z91" s="62">
        <f t="shared" si="18"/>
        <v>2.9300568999999998E-3</v>
      </c>
      <c r="AA91" s="97">
        <v>9.1350600000000004E-2</v>
      </c>
      <c r="AB91" s="62">
        <f t="shared" si="14"/>
        <v>8.3449321203600008E-3</v>
      </c>
      <c r="AC91" s="97">
        <v>0.11604200000000001</v>
      </c>
      <c r="AD91" s="62">
        <f t="shared" si="19"/>
        <v>1.3465745764000002E-2</v>
      </c>
      <c r="AE91">
        <v>6.4490000000000006E-2</v>
      </c>
      <c r="AF91" s="62">
        <f t="shared" si="20"/>
        <v>4.1589601000000011E-3</v>
      </c>
    </row>
    <row r="92" spans="1:32">
      <c r="A92" s="63">
        <v>87</v>
      </c>
      <c r="B92" s="78">
        <f>+QxF!G89/1000</f>
        <v>0</v>
      </c>
      <c r="C92" s="124">
        <v>7.102E-2</v>
      </c>
      <c r="D92" s="62">
        <f t="shared" si="22"/>
        <v>5.0438404000000001E-3</v>
      </c>
      <c r="E92" s="67">
        <v>0.22563</v>
      </c>
      <c r="F92" s="62">
        <f t="shared" si="15"/>
        <v>5.09088969E-2</v>
      </c>
      <c r="G92" s="106">
        <v>0.13045000000000001</v>
      </c>
      <c r="H92" s="62">
        <f t="shared" si="15"/>
        <v>1.7017202500000002E-2</v>
      </c>
      <c r="I92">
        <v>0.14332</v>
      </c>
      <c r="J92" s="62">
        <f t="shared" si="13"/>
        <v>2.05406224E-2</v>
      </c>
      <c r="K92" s="113">
        <v>9.5689999999999997E-2</v>
      </c>
      <c r="L92" s="114">
        <f t="shared" si="16"/>
        <v>9.1565760999999992E-3</v>
      </c>
      <c r="M92" s="102">
        <v>0.2400098095</v>
      </c>
      <c r="N92" s="62">
        <f t="shared" si="21"/>
        <v>5.7604708656226293E-2</v>
      </c>
      <c r="O92" s="102">
        <v>9.4645000000000007E-2</v>
      </c>
      <c r="P92" s="62">
        <f t="shared" si="21"/>
        <v>8.9576760250000016E-3</v>
      </c>
      <c r="Q92" s="97">
        <v>0.27156799999999998</v>
      </c>
      <c r="R92" s="62">
        <f t="shared" si="21"/>
        <v>7.3749178623999989E-2</v>
      </c>
      <c r="S92" s="97">
        <v>0.14086099999999999</v>
      </c>
      <c r="T92" s="62">
        <f t="shared" si="21"/>
        <v>1.9841821320999996E-2</v>
      </c>
      <c r="U92" s="97">
        <v>0.14382</v>
      </c>
      <c r="V92" s="62">
        <f t="shared" si="21"/>
        <v>2.0684192400000002E-2</v>
      </c>
      <c r="W92" s="97">
        <v>0.10206999999999999</v>
      </c>
      <c r="X92" s="62">
        <f t="shared" si="21"/>
        <v>1.0418284899999998E-2</v>
      </c>
      <c r="Y92" s="97">
        <v>6.1699999999999998E-2</v>
      </c>
      <c r="Z92" s="62">
        <f t="shared" si="18"/>
        <v>3.8068899999999998E-3</v>
      </c>
      <c r="AA92" s="97">
        <v>0.10108225</v>
      </c>
      <c r="AB92" s="62">
        <f t="shared" si="14"/>
        <v>1.0217621265062499E-2</v>
      </c>
      <c r="AC92" s="97">
        <v>0.12832099999999999</v>
      </c>
      <c r="AD92" s="62">
        <f t="shared" si="19"/>
        <v>1.6466279040999999E-2</v>
      </c>
      <c r="AE92">
        <v>7.3520000000000002E-2</v>
      </c>
      <c r="AF92" s="62">
        <f t="shared" si="20"/>
        <v>5.4051904E-3</v>
      </c>
    </row>
    <row r="93" spans="1:32">
      <c r="A93" s="63">
        <v>88</v>
      </c>
      <c r="B93" s="78">
        <f>+QxF!G90/1000</f>
        <v>0</v>
      </c>
      <c r="C93" s="124">
        <v>7.7049999999999993E-2</v>
      </c>
      <c r="D93" s="62">
        <f t="shared" si="22"/>
        <v>5.9367024999999992E-3</v>
      </c>
      <c r="E93" s="67">
        <v>0.24299999999999999</v>
      </c>
      <c r="F93" s="62">
        <f t="shared" si="15"/>
        <v>5.9048999999999997E-2</v>
      </c>
      <c r="G93" s="106">
        <v>0.14011999999999999</v>
      </c>
      <c r="H93" s="62">
        <f t="shared" si="15"/>
        <v>1.9633614399999999E-2</v>
      </c>
      <c r="I93">
        <v>0.15817999999999999</v>
      </c>
      <c r="J93" s="62">
        <f t="shared" si="13"/>
        <v>2.5020912399999994E-2</v>
      </c>
      <c r="K93" s="113">
        <v>0.10625</v>
      </c>
      <c r="L93" s="114">
        <f t="shared" si="16"/>
        <v>1.1289062499999999E-2</v>
      </c>
      <c r="M93" s="102">
        <v>0.25887517980000002</v>
      </c>
      <c r="N93" s="62">
        <f t="shared" si="21"/>
        <v>6.7016358716482344E-2</v>
      </c>
      <c r="O93" s="102">
        <v>0.105694</v>
      </c>
      <c r="P93" s="62">
        <f t="shared" si="21"/>
        <v>1.1171221635999999E-2</v>
      </c>
      <c r="Q93" s="97">
        <v>0.28938199999999997</v>
      </c>
      <c r="R93" s="62">
        <f t="shared" si="21"/>
        <v>8.3741941923999988E-2</v>
      </c>
      <c r="S93" s="97">
        <v>0.15248400000000001</v>
      </c>
      <c r="T93" s="62">
        <f t="shared" si="21"/>
        <v>2.3251370256000003E-2</v>
      </c>
      <c r="U93" s="97">
        <v>0.15742999999999999</v>
      </c>
      <c r="V93" s="62">
        <f t="shared" si="21"/>
        <v>2.4784204899999995E-2</v>
      </c>
      <c r="W93" s="97">
        <v>0.11278000000000001</v>
      </c>
      <c r="X93" s="62">
        <f t="shared" si="21"/>
        <v>1.27193284E-2</v>
      </c>
      <c r="Y93" s="97">
        <v>7.0400000000000004E-2</v>
      </c>
      <c r="Z93" s="62">
        <f t="shared" si="18"/>
        <v>4.9561600000000003E-3</v>
      </c>
      <c r="AA93" s="97">
        <v>0.11179931</v>
      </c>
      <c r="AB93" s="62">
        <f t="shared" si="14"/>
        <v>1.2499085716476099E-2</v>
      </c>
      <c r="AC93" s="97">
        <v>0.14099900000000001</v>
      </c>
      <c r="AD93" s="62">
        <f t="shared" si="19"/>
        <v>1.9880718001000004E-2</v>
      </c>
      <c r="AE93">
        <v>8.3799999999999999E-2</v>
      </c>
      <c r="AF93" s="62">
        <f t="shared" si="20"/>
        <v>7.0224399999999996E-3</v>
      </c>
    </row>
    <row r="94" spans="1:32">
      <c r="A94" s="63">
        <v>89</v>
      </c>
      <c r="B94" s="78">
        <f>+QxF!G91/1000</f>
        <v>0</v>
      </c>
      <c r="C94" s="124">
        <v>8.3569999999999992E-2</v>
      </c>
      <c r="D94" s="62">
        <f t="shared" si="22"/>
        <v>6.9839448999999987E-3</v>
      </c>
      <c r="E94" s="67">
        <v>0.26144000000000001</v>
      </c>
      <c r="F94" s="62">
        <f t="shared" si="15"/>
        <v>6.8350873600000001E-2</v>
      </c>
      <c r="G94" s="106">
        <v>0.15026999999999999</v>
      </c>
      <c r="H94" s="62">
        <f t="shared" si="15"/>
        <v>2.2581072899999995E-2</v>
      </c>
      <c r="I94">
        <v>0.17394000000000001</v>
      </c>
      <c r="J94" s="62">
        <f t="shared" si="13"/>
        <v>3.0255123600000003E-2</v>
      </c>
      <c r="K94" s="113">
        <v>0.11668000000000001</v>
      </c>
      <c r="L94" s="114">
        <f t="shared" si="16"/>
        <v>1.3614222400000001E-2</v>
      </c>
      <c r="M94" s="102">
        <v>0.27880713509999999</v>
      </c>
      <c r="N94" s="62">
        <f t="shared" si="21"/>
        <v>7.7733418582669647E-2</v>
      </c>
      <c r="O94" s="102">
        <v>0.117853</v>
      </c>
      <c r="P94" s="62">
        <f t="shared" si="21"/>
        <v>1.3889329609E-2</v>
      </c>
      <c r="Q94" s="97">
        <v>0.30870300000000001</v>
      </c>
      <c r="R94" s="62">
        <f t="shared" si="21"/>
        <v>9.5297542208999997E-2</v>
      </c>
      <c r="S94" s="97">
        <v>0.16399</v>
      </c>
      <c r="T94" s="62">
        <f t="shared" si="21"/>
        <v>2.68927201E-2</v>
      </c>
      <c r="U94" s="97">
        <v>0.17202000000000001</v>
      </c>
      <c r="V94" s="62">
        <f t="shared" si="21"/>
        <v>2.9590880400000002E-2</v>
      </c>
      <c r="W94" s="97">
        <v>0.12447999999999999</v>
      </c>
      <c r="X94" s="62">
        <f t="shared" si="21"/>
        <v>1.5495270399999999E-2</v>
      </c>
      <c r="Y94" s="97">
        <v>8.0960000000000004E-2</v>
      </c>
      <c r="Z94" s="62">
        <f t="shared" si="18"/>
        <v>6.5545216000000009E-3</v>
      </c>
      <c r="AA94" s="97">
        <v>0.12358626</v>
      </c>
      <c r="AB94" s="62">
        <f t="shared" si="14"/>
        <v>1.52735636607876E-2</v>
      </c>
      <c r="AC94" s="97">
        <v>0.155553</v>
      </c>
      <c r="AD94" s="62">
        <f t="shared" si="19"/>
        <v>2.4196735808999999E-2</v>
      </c>
      <c r="AE94">
        <v>9.5500000000000002E-2</v>
      </c>
      <c r="AF94" s="62">
        <f t="shared" si="20"/>
        <v>9.1202499999999999E-3</v>
      </c>
    </row>
    <row r="95" spans="1:32">
      <c r="A95" s="63">
        <v>90</v>
      </c>
      <c r="B95" s="78">
        <f>+QxF!G92/1000</f>
        <v>0</v>
      </c>
      <c r="C95" s="124">
        <v>9.0609999999999996E-2</v>
      </c>
      <c r="D95" s="62">
        <f t="shared" si="22"/>
        <v>8.2101720999999996E-3</v>
      </c>
      <c r="E95" s="67">
        <v>0.28099000000000002</v>
      </c>
      <c r="F95" s="62">
        <f t="shared" si="15"/>
        <v>7.8955380100000014E-2</v>
      </c>
      <c r="G95" s="106">
        <v>0.16098000000000001</v>
      </c>
      <c r="H95" s="62">
        <f t="shared" si="15"/>
        <v>2.5914560400000005E-2</v>
      </c>
      <c r="I95">
        <v>0.19075</v>
      </c>
      <c r="J95" s="62">
        <f t="shared" si="13"/>
        <v>3.6385562500000003E-2</v>
      </c>
      <c r="K95" s="113">
        <v>0.12422</v>
      </c>
      <c r="L95" s="114">
        <f t="shared" si="16"/>
        <v>1.5430608399999999E-2</v>
      </c>
      <c r="M95" s="102">
        <v>0.30075186970000001</v>
      </c>
      <c r="N95" s="62">
        <f t="shared" si="21"/>
        <v>9.0451687128045785E-2</v>
      </c>
      <c r="O95" s="102">
        <v>0.13114600000000001</v>
      </c>
      <c r="P95" s="62">
        <f t="shared" si="21"/>
        <v>1.7199273316000005E-2</v>
      </c>
      <c r="Q95" s="97">
        <v>0.33016600000000002</v>
      </c>
      <c r="R95" s="62">
        <f t="shared" si="21"/>
        <v>0.10900958755600001</v>
      </c>
      <c r="S95" s="97">
        <v>0.17536299999999999</v>
      </c>
      <c r="T95" s="62">
        <f t="shared" si="21"/>
        <v>3.0752181768999996E-2</v>
      </c>
      <c r="U95" s="97">
        <v>0.18759999999999999</v>
      </c>
      <c r="V95" s="62">
        <f t="shared" si="21"/>
        <v>3.5193759999999998E-2</v>
      </c>
      <c r="W95" s="97">
        <v>0.13718</v>
      </c>
      <c r="X95" s="62">
        <f t="shared" si="21"/>
        <v>1.8818352399999998E-2</v>
      </c>
      <c r="Y95" s="97">
        <v>9.3100000000000002E-2</v>
      </c>
      <c r="Z95" s="62">
        <f t="shared" si="18"/>
        <v>8.6676100000000009E-3</v>
      </c>
      <c r="AA95" s="97">
        <v>0.13653123</v>
      </c>
      <c r="AB95" s="62">
        <f t="shared" si="14"/>
        <v>1.8640776765312901E-2</v>
      </c>
      <c r="AC95" s="97">
        <v>0.16983300000000001</v>
      </c>
      <c r="AD95" s="62">
        <f t="shared" si="19"/>
        <v>2.8843247889000004E-2</v>
      </c>
      <c r="AE95">
        <v>0.10878</v>
      </c>
      <c r="AF95" s="62">
        <f t="shared" si="20"/>
        <v>1.18330884E-2</v>
      </c>
    </row>
    <row r="96" spans="1:32">
      <c r="A96" s="63">
        <v>91</v>
      </c>
      <c r="B96" s="78">
        <f>+QxF!G93/1000</f>
        <v>0</v>
      </c>
      <c r="C96" s="124">
        <v>0.10070999999999999</v>
      </c>
      <c r="D96" s="62">
        <f t="shared" si="22"/>
        <v>1.0142504099999998E-2</v>
      </c>
      <c r="E96" s="67">
        <v>0.30173</v>
      </c>
      <c r="F96" s="62">
        <f t="shared" si="15"/>
        <v>9.1040992899999992E-2</v>
      </c>
      <c r="G96" s="106">
        <v>0.17238999999999999</v>
      </c>
      <c r="H96" s="62">
        <f t="shared" si="15"/>
        <v>2.9718312099999995E-2</v>
      </c>
      <c r="I96">
        <v>0.20887</v>
      </c>
      <c r="J96" s="62">
        <f t="shared" si="13"/>
        <v>4.3626676900000001E-2</v>
      </c>
      <c r="K96" s="113">
        <v>0.13153000000000001</v>
      </c>
      <c r="L96" s="114">
        <f t="shared" si="16"/>
        <v>1.7300140900000004E-2</v>
      </c>
      <c r="M96" s="102">
        <v>0.32258007059999999</v>
      </c>
      <c r="N96" s="62">
        <f t="shared" si="21"/>
        <v>0.10405790194830097</v>
      </c>
      <c r="O96" s="102">
        <v>0.14558499999999999</v>
      </c>
      <c r="P96" s="62">
        <f t="shared" si="21"/>
        <v>2.1194992224999997E-2</v>
      </c>
      <c r="Q96" s="97">
        <v>0.35106399999999999</v>
      </c>
      <c r="R96" s="62">
        <f t="shared" si="21"/>
        <v>0.12324593209599999</v>
      </c>
      <c r="S96" s="97">
        <v>0.186586</v>
      </c>
      <c r="T96" s="62">
        <f t="shared" si="21"/>
        <v>3.4814335395999998E-2</v>
      </c>
      <c r="U96" s="97">
        <v>0.20419999999999999</v>
      </c>
      <c r="V96" s="62">
        <f t="shared" si="21"/>
        <v>4.1697639999999994E-2</v>
      </c>
      <c r="W96" s="97">
        <v>0.15087</v>
      </c>
      <c r="X96" s="62">
        <f t="shared" si="21"/>
        <v>2.2761756900000003E-2</v>
      </c>
      <c r="Y96" s="97">
        <v>0.10647</v>
      </c>
      <c r="Z96" s="62">
        <f t="shared" si="18"/>
        <v>1.13358609E-2</v>
      </c>
      <c r="AA96" s="97">
        <v>0.15072514000000001</v>
      </c>
      <c r="AB96" s="62">
        <f t="shared" si="14"/>
        <v>2.2718067828019602E-2</v>
      </c>
      <c r="AC96" s="97">
        <v>0.18499099999999999</v>
      </c>
      <c r="AD96" s="62">
        <f t="shared" si="19"/>
        <v>3.4221670080999994E-2</v>
      </c>
      <c r="AE96">
        <v>0.12382</v>
      </c>
      <c r="AF96" s="62">
        <f t="shared" si="20"/>
        <v>1.5331392399999999E-2</v>
      </c>
    </row>
    <row r="97" spans="1:32">
      <c r="A97" s="63">
        <v>92</v>
      </c>
      <c r="B97" s="78">
        <f>+QxF!G94/1000</f>
        <v>0</v>
      </c>
      <c r="C97" s="124">
        <v>0.11328000000000001</v>
      </c>
      <c r="D97" s="62">
        <f t="shared" si="22"/>
        <v>1.28323584E-2</v>
      </c>
      <c r="E97" s="67">
        <v>0.32363999999999998</v>
      </c>
      <c r="F97" s="62">
        <f t="shared" si="15"/>
        <v>0.10474284959999999</v>
      </c>
      <c r="G97" s="106">
        <v>0.18475</v>
      </c>
      <c r="H97" s="62">
        <f t="shared" si="15"/>
        <v>3.4132562499999998E-2</v>
      </c>
      <c r="I97">
        <v>0.22881000000000001</v>
      </c>
      <c r="J97" s="62">
        <f t="shared" si="13"/>
        <v>5.2354016100000005E-2</v>
      </c>
      <c r="K97" s="113">
        <v>0.14371999999999999</v>
      </c>
      <c r="L97" s="114">
        <f t="shared" si="16"/>
        <v>2.0655438399999997E-2</v>
      </c>
      <c r="M97" s="102">
        <v>0.34788329400000001</v>
      </c>
      <c r="N97" s="62">
        <f t="shared" si="21"/>
        <v>0.12102278624429044</v>
      </c>
      <c r="O97" s="102">
        <v>0.16117500000000001</v>
      </c>
      <c r="P97" s="62">
        <f t="shared" si="21"/>
        <v>2.5977380625000004E-2</v>
      </c>
      <c r="Q97" s="97">
        <v>0.37431700000000001</v>
      </c>
      <c r="R97" s="62">
        <f t="shared" si="21"/>
        <v>0.14011321648900002</v>
      </c>
      <c r="S97" s="97">
        <v>0.19764200000000001</v>
      </c>
      <c r="T97" s="62">
        <f t="shared" si="21"/>
        <v>3.9062360164000005E-2</v>
      </c>
      <c r="U97" s="97">
        <v>0.2218</v>
      </c>
      <c r="V97" s="62">
        <f t="shared" si="21"/>
        <v>4.9195240000000001E-2</v>
      </c>
      <c r="W97" s="97">
        <v>0.16556000000000001</v>
      </c>
      <c r="X97" s="62">
        <f t="shared" si="21"/>
        <v>2.7410113600000004E-2</v>
      </c>
      <c r="Y97" s="97">
        <v>0.1211</v>
      </c>
      <c r="Z97" s="62">
        <f t="shared" si="18"/>
        <v>1.466521E-2</v>
      </c>
      <c r="AA97" s="97">
        <v>0.16626067</v>
      </c>
      <c r="AB97" s="62">
        <f t="shared" si="14"/>
        <v>2.7642610388848899E-2</v>
      </c>
      <c r="AC97" s="97">
        <v>0.20145399999999999</v>
      </c>
      <c r="AD97" s="62">
        <f t="shared" si="19"/>
        <v>4.0583714115999994E-2</v>
      </c>
      <c r="AE97">
        <v>0.14082</v>
      </c>
      <c r="AF97" s="62">
        <f t="shared" si="20"/>
        <v>1.9830272400000001E-2</v>
      </c>
    </row>
    <row r="98" spans="1:32">
      <c r="A98" s="63">
        <v>93</v>
      </c>
      <c r="B98" s="78">
        <f>+QxF!G95/1000</f>
        <v>0</v>
      </c>
      <c r="C98" s="124">
        <v>0.12937000000000001</v>
      </c>
      <c r="D98" s="62">
        <f t="shared" si="22"/>
        <v>1.6736596900000004E-2</v>
      </c>
      <c r="E98" s="67">
        <v>0.34666000000000002</v>
      </c>
      <c r="F98" s="62">
        <f t="shared" si="15"/>
        <v>0.12017315560000001</v>
      </c>
      <c r="G98" s="106">
        <v>0.19838</v>
      </c>
      <c r="H98" s="62">
        <f t="shared" si="15"/>
        <v>3.9354624400000003E-2</v>
      </c>
      <c r="I98">
        <v>0.25151000000000001</v>
      </c>
      <c r="J98" s="62">
        <f t="shared" si="13"/>
        <v>6.3257280100000007E-2</v>
      </c>
      <c r="K98" s="113">
        <v>0.16021000000000002</v>
      </c>
      <c r="L98" s="114">
        <f t="shared" si="16"/>
        <v>2.5667244100000007E-2</v>
      </c>
      <c r="M98" s="102">
        <v>0.37119833209999997</v>
      </c>
      <c r="N98" s="62">
        <f t="shared" si="21"/>
        <v>0.13778820175382187</v>
      </c>
      <c r="O98" s="102">
        <v>0.17791000000000001</v>
      </c>
      <c r="P98" s="62">
        <f t="shared" si="21"/>
        <v>3.1651968100000004E-2</v>
      </c>
      <c r="Q98" s="97">
        <v>0.40174700000000002</v>
      </c>
      <c r="R98" s="62">
        <f t="shared" si="21"/>
        <v>0.16140065200900003</v>
      </c>
      <c r="S98" s="97">
        <v>0.208514</v>
      </c>
      <c r="T98" s="62">
        <f t="shared" si="21"/>
        <v>4.3478088195999999E-2</v>
      </c>
      <c r="U98" s="97">
        <v>0.2404</v>
      </c>
      <c r="V98" s="62">
        <f t="shared" si="21"/>
        <v>5.7792160000000002E-2</v>
      </c>
      <c r="W98" s="97">
        <v>0.18121999999999999</v>
      </c>
      <c r="X98" s="62">
        <f t="shared" si="21"/>
        <v>3.2840688399999998E-2</v>
      </c>
      <c r="Y98" s="97">
        <v>0.13857</v>
      </c>
      <c r="Z98" s="62">
        <f t="shared" si="18"/>
        <v>1.9201644899999998E-2</v>
      </c>
      <c r="AA98" s="97">
        <v>0.18323075999999999</v>
      </c>
      <c r="AB98" s="62">
        <f t="shared" si="14"/>
        <v>3.3573511410177601E-2</v>
      </c>
      <c r="AC98" s="97">
        <v>0.22010299999999999</v>
      </c>
      <c r="AD98" s="62">
        <f t="shared" si="19"/>
        <v>4.8445330608999998E-2</v>
      </c>
      <c r="AE98">
        <v>0.15997</v>
      </c>
      <c r="AF98" s="62">
        <f t="shared" si="20"/>
        <v>2.5590400900000001E-2</v>
      </c>
    </row>
    <row r="99" spans="1:32">
      <c r="A99" s="63">
        <v>94</v>
      </c>
      <c r="B99" s="78">
        <f>+QxF!G96/1000</f>
        <v>0</v>
      </c>
      <c r="C99" s="124">
        <v>0.15062999999999999</v>
      </c>
      <c r="D99" s="62">
        <f t="shared" si="22"/>
        <v>2.2689396899999995E-2</v>
      </c>
      <c r="E99" s="67">
        <v>0.371</v>
      </c>
      <c r="F99" s="62">
        <f t="shared" si="15"/>
        <v>0.13764099999999999</v>
      </c>
      <c r="G99" s="106">
        <v>0.21371000000000001</v>
      </c>
      <c r="H99" s="62">
        <f t="shared" si="15"/>
        <v>4.5671964100000004E-2</v>
      </c>
      <c r="I99">
        <v>0.27931</v>
      </c>
      <c r="J99" s="62">
        <f t="shared" si="13"/>
        <v>7.8014076099999996E-2</v>
      </c>
      <c r="K99" s="113">
        <v>0.18090000000000001</v>
      </c>
      <c r="L99" s="114">
        <f t="shared" si="16"/>
        <v>3.272481E-2</v>
      </c>
      <c r="M99" s="102">
        <v>0.39999803550000002</v>
      </c>
      <c r="N99" s="62">
        <f t="shared" si="21"/>
        <v>0.15999842840385928</v>
      </c>
      <c r="O99" s="102">
        <v>0.195774</v>
      </c>
      <c r="P99" s="62">
        <f t="shared" si="21"/>
        <v>3.8327459075999999E-2</v>
      </c>
      <c r="Q99" s="97">
        <v>0.43065700000000001</v>
      </c>
      <c r="R99" s="62">
        <f t="shared" si="21"/>
        <v>0.18546545164900002</v>
      </c>
      <c r="S99" s="97">
        <v>0.21918499999999999</v>
      </c>
      <c r="T99" s="62">
        <f t="shared" si="21"/>
        <v>4.8042064224999993E-2</v>
      </c>
      <c r="U99" s="97">
        <v>0.25996999999999998</v>
      </c>
      <c r="V99" s="62">
        <f t="shared" si="21"/>
        <v>6.7584400899999994E-2</v>
      </c>
      <c r="W99" s="97">
        <v>0.19785</v>
      </c>
      <c r="X99" s="62">
        <f t="shared" si="21"/>
        <v>3.9144622499999997E-2</v>
      </c>
      <c r="Y99" s="97">
        <v>0.15795000000000001</v>
      </c>
      <c r="Z99" s="62">
        <f t="shared" si="18"/>
        <v>2.4948202500000002E-2</v>
      </c>
      <c r="AA99" s="97">
        <v>0.20172672999999999</v>
      </c>
      <c r="AB99" s="62">
        <f t="shared" si="14"/>
        <v>4.0693673596492896E-2</v>
      </c>
      <c r="AC99" s="97">
        <v>0.24121200000000001</v>
      </c>
      <c r="AD99" s="62">
        <f t="shared" si="19"/>
        <v>5.8183228944000007E-2</v>
      </c>
      <c r="AE99">
        <v>0.18149000000000001</v>
      </c>
      <c r="AF99" s="62">
        <f t="shared" si="20"/>
        <v>3.2938620100000003E-2</v>
      </c>
    </row>
    <row r="100" spans="1:32">
      <c r="A100" s="63">
        <v>95</v>
      </c>
      <c r="B100" s="78">
        <f>+QxF!G97/1000</f>
        <v>0</v>
      </c>
      <c r="C100" s="124">
        <v>0.17993000000000001</v>
      </c>
      <c r="D100" s="62">
        <f t="shared" si="22"/>
        <v>3.2374804900000005E-2</v>
      </c>
      <c r="E100" s="67">
        <v>0.39621000000000001</v>
      </c>
      <c r="F100" s="62">
        <f t="shared" si="15"/>
        <v>0.15698236409999999</v>
      </c>
      <c r="G100" s="106">
        <v>0.23124</v>
      </c>
      <c r="H100" s="62">
        <f t="shared" si="15"/>
        <v>5.3471937599999998E-2</v>
      </c>
      <c r="I100">
        <v>0.31731999999999999</v>
      </c>
      <c r="J100" s="62">
        <f t="shared" si="13"/>
        <v>0.10069198239999999</v>
      </c>
      <c r="K100" s="113">
        <v>0.20347999999999999</v>
      </c>
      <c r="L100" s="114">
        <f t="shared" si="16"/>
        <v>4.1404110399999999E-2</v>
      </c>
      <c r="M100" s="102">
        <v>0.42473208229999998</v>
      </c>
      <c r="N100" s="62">
        <f t="shared" si="21"/>
        <v>0.18039734173489397</v>
      </c>
      <c r="O100" s="102">
        <v>0.21384900000000001</v>
      </c>
      <c r="P100" s="62">
        <f t="shared" si="21"/>
        <v>4.5731394801000004E-2</v>
      </c>
      <c r="Q100" s="97">
        <v>0.48717899999999997</v>
      </c>
      <c r="R100" s="62">
        <f t="shared" si="21"/>
        <v>0.23734337804099997</v>
      </c>
      <c r="S100" s="97">
        <v>0.22963900000000001</v>
      </c>
      <c r="T100" s="62">
        <f t="shared" si="21"/>
        <v>5.2734070321000005E-2</v>
      </c>
      <c r="U100" s="97">
        <v>0.28048000000000001</v>
      </c>
      <c r="V100" s="62">
        <f t="shared" si="21"/>
        <v>7.8669030400000006E-2</v>
      </c>
      <c r="W100" s="97">
        <v>0.21475</v>
      </c>
      <c r="X100" s="62">
        <f t="shared" si="21"/>
        <v>4.6117562500000001E-2</v>
      </c>
      <c r="Y100" s="97">
        <v>0.17998</v>
      </c>
      <c r="Z100" s="62">
        <f t="shared" si="18"/>
        <v>3.2392800399999998E-2</v>
      </c>
      <c r="AA100" s="97">
        <v>0.22183600000000001</v>
      </c>
      <c r="AB100" s="62">
        <f t="shared" si="14"/>
        <v>4.9211210896000002E-2</v>
      </c>
      <c r="AC100" s="97">
        <v>0.26856799999999997</v>
      </c>
      <c r="AD100" s="62">
        <f t="shared" si="19"/>
        <v>7.2128770623999985E-2</v>
      </c>
      <c r="AE100">
        <v>0.20558000000000001</v>
      </c>
      <c r="AF100" s="62">
        <f t="shared" si="20"/>
        <v>4.2263136400000005E-2</v>
      </c>
    </row>
    <row r="101" spans="1:32">
      <c r="A101" s="63">
        <v>96</v>
      </c>
      <c r="B101" s="78">
        <f>+QxF!G98/1000</f>
        <v>0</v>
      </c>
      <c r="C101" s="124">
        <v>0.22255</v>
      </c>
      <c r="D101" s="62">
        <f t="shared" si="22"/>
        <v>4.9528502500000002E-2</v>
      </c>
      <c r="E101" s="67">
        <v>0.44718999999999998</v>
      </c>
      <c r="F101" s="62">
        <f t="shared" si="15"/>
        <v>0.19997889609999997</v>
      </c>
      <c r="G101" s="106">
        <v>0.25147000000000003</v>
      </c>
      <c r="H101" s="62">
        <f t="shared" si="15"/>
        <v>6.323716090000002E-2</v>
      </c>
      <c r="I101">
        <v>0.37574000000000002</v>
      </c>
      <c r="J101" s="62">
        <f t="shared" si="13"/>
        <v>0.14118054760000001</v>
      </c>
      <c r="K101" s="113">
        <v>0.22569</v>
      </c>
      <c r="L101" s="114">
        <f t="shared" si="16"/>
        <v>5.0935976100000002E-2</v>
      </c>
      <c r="M101" s="102">
        <v>0.45795605230000003</v>
      </c>
      <c r="N101" s="62">
        <f t="shared" si="21"/>
        <v>0.20972374583820036</v>
      </c>
      <c r="O101" s="102">
        <v>0.23186499999999999</v>
      </c>
      <c r="P101" s="62">
        <f t="shared" si="21"/>
        <v>5.3761378224999996E-2</v>
      </c>
      <c r="Q101" s="97">
        <v>0.55000000000000004</v>
      </c>
      <c r="R101" s="62">
        <f t="shared" si="21"/>
        <v>0.30250000000000005</v>
      </c>
      <c r="S101" s="97">
        <v>0.24251200000000001</v>
      </c>
      <c r="T101" s="62">
        <f t="shared" si="21"/>
        <v>5.8812070144E-2</v>
      </c>
      <c r="U101" s="97">
        <v>0.30187999999999998</v>
      </c>
      <c r="V101" s="62">
        <f t="shared" si="21"/>
        <v>9.1131534399999992E-2</v>
      </c>
      <c r="W101" s="97">
        <v>0.23172000000000001</v>
      </c>
      <c r="X101" s="62">
        <f t="shared" si="21"/>
        <v>5.3694158400000004E-2</v>
      </c>
      <c r="Y101" s="97">
        <v>0.20594000000000001</v>
      </c>
      <c r="Z101" s="62">
        <f t="shared" si="18"/>
        <v>4.2411283600000002E-2</v>
      </c>
      <c r="AA101" s="97">
        <v>0.24363910999999999</v>
      </c>
      <c r="AB101" s="62">
        <f t="shared" si="14"/>
        <v>5.9360015921592096E-2</v>
      </c>
      <c r="AC101" s="97">
        <v>0.30542399999999997</v>
      </c>
      <c r="AD101" s="62">
        <f t="shared" si="19"/>
        <v>9.328381977599999E-2</v>
      </c>
      <c r="AE101">
        <v>0.23243</v>
      </c>
      <c r="AF101" s="62">
        <f t="shared" si="20"/>
        <v>5.4023704899999997E-2</v>
      </c>
    </row>
    <row r="102" spans="1:32">
      <c r="A102" s="63">
        <v>97</v>
      </c>
      <c r="B102" s="78">
        <f>+QxF!G99/1000</f>
        <v>0</v>
      </c>
      <c r="C102" s="124">
        <v>0.28908</v>
      </c>
      <c r="D102" s="62">
        <f t="shared" si="22"/>
        <v>8.3567246400000003E-2</v>
      </c>
      <c r="E102" s="67">
        <v>0.54825999999999997</v>
      </c>
      <c r="F102" s="62">
        <f t="shared" si="15"/>
        <v>0.30058902759999995</v>
      </c>
      <c r="G102" s="106">
        <v>0.27489999999999998</v>
      </c>
      <c r="H102" s="62">
        <f t="shared" si="15"/>
        <v>7.5570009999999993E-2</v>
      </c>
      <c r="I102">
        <v>0.47497</v>
      </c>
      <c r="J102" s="62">
        <f t="shared" si="13"/>
        <v>0.2255965009</v>
      </c>
      <c r="K102" s="113">
        <v>0.24007000000000001</v>
      </c>
      <c r="L102" s="114">
        <f t="shared" si="16"/>
        <v>5.7633604900000003E-2</v>
      </c>
      <c r="M102" s="102">
        <v>0.48275101860000003</v>
      </c>
      <c r="N102" s="62">
        <f t="shared" si="21"/>
        <v>0.23304854595933758</v>
      </c>
      <c r="O102" s="102">
        <v>0.249525</v>
      </c>
      <c r="P102" s="62">
        <f t="shared" si="21"/>
        <v>6.2262725625000001E-2</v>
      </c>
      <c r="Q102" s="97">
        <v>0.66666700000000001</v>
      </c>
      <c r="R102" s="62">
        <f t="shared" si="21"/>
        <v>0.44444488888900002</v>
      </c>
      <c r="S102" s="97">
        <v>0.26045400000000002</v>
      </c>
      <c r="T102" s="62">
        <f t="shared" si="21"/>
        <v>6.7836286116000011E-2</v>
      </c>
      <c r="U102" s="97">
        <v>0.32411000000000001</v>
      </c>
      <c r="V102" s="62">
        <f t="shared" si="21"/>
        <v>0.10504729210000001</v>
      </c>
      <c r="W102" s="97">
        <v>0.24857000000000001</v>
      </c>
      <c r="X102" s="62">
        <f t="shared" si="21"/>
        <v>6.1787044900000004E-2</v>
      </c>
      <c r="Y102" s="97">
        <v>0.23014999999999999</v>
      </c>
      <c r="Z102" s="62">
        <f t="shared" si="18"/>
        <v>5.2969022499999997E-2</v>
      </c>
      <c r="AA102" s="97">
        <v>0.26720632999999999</v>
      </c>
      <c r="AB102" s="62">
        <f t="shared" si="14"/>
        <v>7.1399222792068895E-2</v>
      </c>
      <c r="AC102" s="97">
        <v>0.36327999999999999</v>
      </c>
      <c r="AD102" s="62">
        <f t="shared" si="19"/>
        <v>0.13197235839999999</v>
      </c>
      <c r="AE102">
        <v>0.26221</v>
      </c>
      <c r="AF102" s="62">
        <f t="shared" si="20"/>
        <v>6.8754084100000001E-2</v>
      </c>
    </row>
    <row r="103" spans="1:32">
      <c r="A103" s="63">
        <v>98</v>
      </c>
      <c r="B103" s="78">
        <f>+QxF!G100/1000</f>
        <v>0</v>
      </c>
      <c r="C103" s="124">
        <v>0.40256000000000003</v>
      </c>
      <c r="D103" s="62">
        <f t="shared" si="22"/>
        <v>0.16205455360000001</v>
      </c>
      <c r="E103" s="67">
        <v>0.72467000000000004</v>
      </c>
      <c r="F103" s="62">
        <f t="shared" si="15"/>
        <v>0.52514660890000009</v>
      </c>
      <c r="G103" s="106">
        <v>0.30303000000000002</v>
      </c>
      <c r="H103" s="62">
        <f t="shared" si="15"/>
        <v>9.1827180900000013E-2</v>
      </c>
      <c r="I103">
        <v>0.65585000000000004</v>
      </c>
      <c r="J103" s="62">
        <f t="shared" si="13"/>
        <v>0.43013922250000008</v>
      </c>
      <c r="K103" s="113">
        <v>0.24778999999999998</v>
      </c>
      <c r="L103" s="114">
        <f t="shared" si="16"/>
        <v>6.1399884099999989E-2</v>
      </c>
      <c r="M103" s="102">
        <v>0.50002960299999999</v>
      </c>
      <c r="N103" s="62">
        <f t="shared" ref="N103:X103" si="23">+(M103-$B103)^2</f>
        <v>0.2500296038763376</v>
      </c>
      <c r="O103" s="102">
        <v>0.26651399999999997</v>
      </c>
      <c r="P103" s="62">
        <f t="shared" si="23"/>
        <v>7.1029712195999989E-2</v>
      </c>
      <c r="Q103" s="97">
        <v>0.83333299999999999</v>
      </c>
      <c r="R103" s="62">
        <f t="shared" si="23"/>
        <v>0.69444388888899999</v>
      </c>
      <c r="S103" s="97">
        <v>0.28346399999999999</v>
      </c>
      <c r="T103" s="62">
        <f t="shared" si="23"/>
        <v>8.0351839295999997E-2</v>
      </c>
      <c r="U103" s="97">
        <v>0.34708</v>
      </c>
      <c r="V103" s="62">
        <f t="shared" si="23"/>
        <v>0.12046452639999999</v>
      </c>
      <c r="W103" s="97">
        <v>0.26506000000000002</v>
      </c>
      <c r="X103" s="62">
        <f t="shared" si="23"/>
        <v>7.0256803600000015E-2</v>
      </c>
      <c r="Y103" s="97">
        <v>0.25194</v>
      </c>
      <c r="Z103" s="62">
        <f t="shared" si="18"/>
        <v>6.3473763599999997E-2</v>
      </c>
      <c r="AA103" s="97">
        <v>0.29259343999999998</v>
      </c>
      <c r="AB103" s="62">
        <f t="shared" si="14"/>
        <v>8.5610921131033593E-2</v>
      </c>
      <c r="AC103" s="97">
        <v>0.46623399999999998</v>
      </c>
      <c r="AD103" s="62">
        <f t="shared" si="19"/>
        <v>0.21737414275599998</v>
      </c>
      <c r="AE103">
        <v>0.29504999999999998</v>
      </c>
      <c r="AF103" s="62">
        <f t="shared" si="20"/>
        <v>8.7054502499999992E-2</v>
      </c>
    </row>
    <row r="104" spans="1:32" ht="15.75" thickBot="1">
      <c r="A104" s="64">
        <v>99</v>
      </c>
      <c r="B104" s="78">
        <f>+QxF!G101/1000</f>
        <v>0</v>
      </c>
      <c r="C104" s="124">
        <v>0.61309000000000002</v>
      </c>
      <c r="D104" s="62"/>
      <c r="E104" s="67">
        <v>1</v>
      </c>
      <c r="F104" s="62"/>
      <c r="G104" s="106">
        <v>0.34336</v>
      </c>
      <c r="H104" s="62">
        <f t="shared" si="15"/>
        <v>0.1178960896</v>
      </c>
      <c r="I104">
        <v>1</v>
      </c>
      <c r="J104" s="62">
        <f t="shared" si="13"/>
        <v>1</v>
      </c>
      <c r="K104" s="113">
        <v>0.26397999999999999</v>
      </c>
      <c r="L104" s="114"/>
      <c r="M104" s="102">
        <v>0.53334538880000004</v>
      </c>
      <c r="N104" s="62"/>
      <c r="O104" s="102">
        <v>0.28250399999999998</v>
      </c>
      <c r="P104" s="62"/>
      <c r="Q104" s="97">
        <v>1</v>
      </c>
      <c r="R104" s="62"/>
      <c r="S104" s="97">
        <v>0.31154199999999999</v>
      </c>
      <c r="T104" s="62"/>
      <c r="U104" s="97">
        <v>0.37071999999999999</v>
      </c>
      <c r="V104" s="62"/>
      <c r="W104" s="97">
        <v>0.28097</v>
      </c>
      <c r="X104" s="62"/>
      <c r="Y104" s="97">
        <v>0.27911999999999998</v>
      </c>
      <c r="Z104" s="62">
        <f t="shared" si="18"/>
        <v>7.7907974399999982E-2</v>
      </c>
      <c r="AA104" s="97">
        <v>0.31983708999999999</v>
      </c>
      <c r="AB104" s="62">
        <f t="shared" si="14"/>
        <v>0.10229576413966809</v>
      </c>
      <c r="AC104" s="97">
        <v>0.65074299999999996</v>
      </c>
      <c r="AD104" s="62">
        <f t="shared" si="19"/>
        <v>0.42346645204899996</v>
      </c>
      <c r="AE104">
        <v>0.33105000000000001</v>
      </c>
      <c r="AF104" s="62">
        <f t="shared" si="20"/>
        <v>0.10959410250000001</v>
      </c>
    </row>
    <row r="105" spans="1:32">
      <c r="A105" s="63">
        <v>100</v>
      </c>
      <c r="C105" s="124">
        <v>1</v>
      </c>
      <c r="D105" s="65"/>
      <c r="E105" s="67"/>
      <c r="F105" s="65"/>
      <c r="G105" s="106">
        <v>0.40978999999999999</v>
      </c>
      <c r="H105" s="62">
        <f t="shared" si="15"/>
        <v>0.1679278441</v>
      </c>
      <c r="I105" s="102"/>
      <c r="J105" s="103"/>
      <c r="K105" s="113">
        <v>0.28502</v>
      </c>
      <c r="L105" s="116"/>
      <c r="M105" s="102"/>
      <c r="N105" s="103"/>
      <c r="O105" s="102">
        <v>0.29945500000000003</v>
      </c>
      <c r="P105" s="103"/>
      <c r="R105" s="103"/>
      <c r="S105" s="97">
        <v>0.34468799999999999</v>
      </c>
      <c r="T105" s="103"/>
      <c r="U105" s="97">
        <v>0.39491999999999999</v>
      </c>
      <c r="V105" s="103"/>
      <c r="W105" s="97">
        <v>0.29781999999999997</v>
      </c>
      <c r="X105" s="103"/>
      <c r="Y105" s="97">
        <v>0.31072</v>
      </c>
      <c r="Z105" s="62">
        <f t="shared" si="18"/>
        <v>9.6546918400000001E-2</v>
      </c>
      <c r="AA105" s="97">
        <v>0.34894933</v>
      </c>
      <c r="AB105" s="62">
        <f t="shared" si="14"/>
        <v>0.12176563490744891</v>
      </c>
      <c r="AC105" s="97">
        <v>1</v>
      </c>
      <c r="AD105" s="62">
        <f t="shared" si="19"/>
        <v>1</v>
      </c>
      <c r="AE105">
        <v>0.37021999999999999</v>
      </c>
      <c r="AF105" s="62">
        <f t="shared" si="20"/>
        <v>0.13706284839999999</v>
      </c>
    </row>
    <row r="106" spans="1:32">
      <c r="A106" s="63">
        <v>101</v>
      </c>
      <c r="E106" s="67"/>
      <c r="G106" s="106">
        <v>0.52261999999999997</v>
      </c>
      <c r="H106" s="62">
        <f t="shared" si="15"/>
        <v>0.27313166439999997</v>
      </c>
      <c r="I106" s="102"/>
      <c r="K106" s="113">
        <v>0.30789</v>
      </c>
      <c r="M106" s="102"/>
      <c r="O106" s="102">
        <v>0.31742199999999998</v>
      </c>
      <c r="S106" s="97">
        <v>0.38290299999999999</v>
      </c>
      <c r="W106" s="97">
        <v>0.31569000000000003</v>
      </c>
      <c r="Y106" s="97">
        <v>0.34117999999999998</v>
      </c>
      <c r="Z106" s="62">
        <f t="shared" si="18"/>
        <v>0.11640379239999998</v>
      </c>
      <c r="AA106" s="97">
        <v>0.37991175999999999</v>
      </c>
      <c r="AB106" s="62">
        <f t="shared" si="14"/>
        <v>0.1443329453862976</v>
      </c>
      <c r="AE106">
        <v>0.41245999999999999</v>
      </c>
      <c r="AF106" s="62">
        <f t="shared" si="20"/>
        <v>0.1701232516</v>
      </c>
    </row>
    <row r="107" spans="1:32" ht="15.75" thickBot="1">
      <c r="A107" s="64">
        <v>102</v>
      </c>
      <c r="E107" s="67"/>
      <c r="G107" s="106">
        <v>0.70855000000000001</v>
      </c>
      <c r="H107" s="62">
        <f t="shared" si="15"/>
        <v>0.50204310250000006</v>
      </c>
      <c r="I107" s="102"/>
      <c r="K107" s="113">
        <v>0.33306000000000002</v>
      </c>
      <c r="M107" s="102"/>
      <c r="O107" s="102">
        <v>0.33646700000000002</v>
      </c>
      <c r="S107" s="97">
        <v>0.42618600000000001</v>
      </c>
      <c r="W107" s="97">
        <v>0.33462999999999998</v>
      </c>
      <c r="Y107" s="97">
        <v>0.37357000000000001</v>
      </c>
      <c r="Z107" s="62">
        <f t="shared" si="18"/>
        <v>0.13955454490000002</v>
      </c>
      <c r="AA107" s="97">
        <v>0.41266922</v>
      </c>
      <c r="AB107" s="62">
        <f t="shared" si="14"/>
        <v>0.17029588513540841</v>
      </c>
      <c r="AE107">
        <v>0.45759</v>
      </c>
      <c r="AF107" s="62">
        <f t="shared" si="20"/>
        <v>0.20938860809999998</v>
      </c>
    </row>
    <row r="108" spans="1:32">
      <c r="A108" s="63">
        <v>103</v>
      </c>
      <c r="E108" s="67"/>
      <c r="G108" s="106">
        <v>1</v>
      </c>
      <c r="H108" s="62">
        <f t="shared" si="15"/>
        <v>1</v>
      </c>
      <c r="I108" s="102"/>
      <c r="K108" s="113">
        <v>0.36070999999999998</v>
      </c>
      <c r="M108" s="102"/>
      <c r="O108" s="102">
        <v>0.356655</v>
      </c>
      <c r="S108" s="97">
        <v>0.47453699999999999</v>
      </c>
      <c r="W108" s="97">
        <v>0.35471000000000003</v>
      </c>
      <c r="Y108" s="97">
        <v>0.40904000000000001</v>
      </c>
      <c r="Z108" s="62">
        <f t="shared" si="18"/>
        <v>0.16731372160000002</v>
      </c>
      <c r="AA108" s="97">
        <v>0.44712334999999997</v>
      </c>
      <c r="AB108" s="62">
        <f t="shared" si="14"/>
        <v>0.19991929011522247</v>
      </c>
      <c r="AE108">
        <v>0.50526000000000004</v>
      </c>
      <c r="AF108" s="62">
        <f t="shared" si="20"/>
        <v>0.25528766760000005</v>
      </c>
    </row>
    <row r="109" spans="1:32">
      <c r="A109" s="63">
        <v>104</v>
      </c>
      <c r="E109" s="67"/>
      <c r="G109" s="117"/>
      <c r="I109" s="102"/>
      <c r="K109" s="113">
        <v>0.39086000000000004</v>
      </c>
      <c r="M109" s="102"/>
      <c r="O109" s="102">
        <v>0.37805499999999997</v>
      </c>
      <c r="S109" s="97">
        <v>0.52795599999999998</v>
      </c>
      <c r="W109" s="97">
        <v>0.37598999999999999</v>
      </c>
      <c r="Y109" s="97">
        <v>0.44788</v>
      </c>
      <c r="Z109" s="62">
        <f t="shared" si="18"/>
        <v>0.20059649439999999</v>
      </c>
      <c r="AA109" s="97">
        <v>0.48312634999999998</v>
      </c>
      <c r="AB109" s="62">
        <f t="shared" si="14"/>
        <v>0.23341107006432249</v>
      </c>
      <c r="AE109">
        <v>0.55496000000000001</v>
      </c>
      <c r="AF109" s="62">
        <f t="shared" si="20"/>
        <v>0.30798060160000001</v>
      </c>
    </row>
    <row r="110" spans="1:32" ht="15.75" thickBot="1">
      <c r="A110" s="64">
        <v>105</v>
      </c>
      <c r="E110" s="67"/>
      <c r="G110" s="117"/>
      <c r="I110" s="102"/>
      <c r="K110" s="113">
        <v>0.42272000000000004</v>
      </c>
      <c r="M110" s="102"/>
      <c r="O110" s="102">
        <v>0.40073799999999998</v>
      </c>
      <c r="S110" s="97">
        <v>0.58644399999999997</v>
      </c>
      <c r="W110" s="97">
        <v>0.39855000000000002</v>
      </c>
      <c r="Y110" s="97">
        <v>0.49042000000000002</v>
      </c>
      <c r="Z110" s="62">
        <f t="shared" si="18"/>
        <v>0.24051177640000002</v>
      </c>
      <c r="AA110" s="97">
        <v>0.52047549000000004</v>
      </c>
      <c r="AB110" s="62">
        <f t="shared" si="14"/>
        <v>0.27089473569074013</v>
      </c>
      <c r="AE110">
        <v>0.60601000000000005</v>
      </c>
      <c r="AF110" s="62">
        <f t="shared" si="20"/>
        <v>0.36724812010000008</v>
      </c>
    </row>
    <row r="111" spans="1:32">
      <c r="A111" s="63">
        <v>106</v>
      </c>
      <c r="E111" s="67"/>
      <c r="G111" s="117"/>
      <c r="I111" s="102"/>
      <c r="K111" s="113">
        <v>0.45532999999999996</v>
      </c>
      <c r="M111" s="102"/>
      <c r="O111" s="102">
        <v>0.42478199999999999</v>
      </c>
      <c r="S111" s="97">
        <v>0.65</v>
      </c>
      <c r="W111" s="97">
        <v>0.42247000000000001</v>
      </c>
      <c r="Y111" s="97">
        <v>0.53700000000000003</v>
      </c>
      <c r="Z111" s="62">
        <f t="shared" si="18"/>
        <v>0.28836900000000004</v>
      </c>
      <c r="AA111" s="97">
        <v>0.55890881000000003</v>
      </c>
      <c r="AB111" s="62">
        <f t="shared" si="14"/>
        <v>0.31237905789561615</v>
      </c>
      <c r="AE111">
        <v>0.65756999999999999</v>
      </c>
      <c r="AF111" s="62">
        <f t="shared" si="20"/>
        <v>0.43239830489999997</v>
      </c>
    </row>
    <row r="112" spans="1:32">
      <c r="A112" s="63">
        <v>107</v>
      </c>
      <c r="E112" s="67"/>
      <c r="G112" s="117"/>
      <c r="I112" s="102"/>
      <c r="K112" s="113">
        <v>0.48848000000000003</v>
      </c>
      <c r="M112" s="102"/>
      <c r="O112" s="102">
        <v>0.45026899999999997</v>
      </c>
      <c r="S112" s="97">
        <v>0.71862400000000004</v>
      </c>
      <c r="W112" s="97">
        <v>0.44782</v>
      </c>
      <c r="Y112" s="97">
        <v>0.58801000000000003</v>
      </c>
      <c r="Z112" s="62">
        <f t="shared" si="18"/>
        <v>0.34575576010000003</v>
      </c>
      <c r="AA112" s="97">
        <v>0.59810295000000002</v>
      </c>
      <c r="AB112" s="62">
        <f t="shared" si="14"/>
        <v>0.35772713879870255</v>
      </c>
      <c r="AE112">
        <v>0.70860999999999996</v>
      </c>
      <c r="AF112" s="62">
        <f t="shared" si="20"/>
        <v>0.50212813209999996</v>
      </c>
    </row>
    <row r="113" spans="1:32" ht="15.75" thickBot="1">
      <c r="A113" s="64">
        <v>108</v>
      </c>
      <c r="E113" s="67"/>
      <c r="G113" s="117"/>
      <c r="I113" s="102"/>
      <c r="K113" s="113">
        <v>0.5222</v>
      </c>
      <c r="M113" s="102"/>
      <c r="O113" s="102">
        <v>0.47728500000000001</v>
      </c>
      <c r="S113" s="97">
        <v>0.79231700000000005</v>
      </c>
      <c r="W113" s="97">
        <v>0.47467999999999999</v>
      </c>
      <c r="Y113" s="97">
        <v>0.64387000000000005</v>
      </c>
      <c r="Z113" s="62">
        <f t="shared" si="18"/>
        <v>0.4145685769000001</v>
      </c>
      <c r="AA113" s="97">
        <v>1</v>
      </c>
      <c r="AB113" s="62">
        <f t="shared" si="14"/>
        <v>1</v>
      </c>
      <c r="AE113">
        <v>0.75802000000000003</v>
      </c>
      <c r="AF113" s="62">
        <f t="shared" si="20"/>
        <v>0.57459432040000002</v>
      </c>
    </row>
    <row r="114" spans="1:32">
      <c r="A114" s="63">
        <v>109</v>
      </c>
      <c r="E114" s="67"/>
      <c r="G114" s="117"/>
      <c r="I114" s="102"/>
      <c r="K114" s="113">
        <v>0.55703999999999998</v>
      </c>
      <c r="M114" s="102"/>
      <c r="O114" s="102">
        <v>0.50592199999999998</v>
      </c>
      <c r="S114" s="97">
        <v>0.87107699999999999</v>
      </c>
      <c r="W114" s="97">
        <v>0.50317000000000001</v>
      </c>
      <c r="Y114" s="97">
        <v>0.70504999999999995</v>
      </c>
      <c r="Z114" s="62">
        <f t="shared" si="18"/>
        <v>0.49709550249999995</v>
      </c>
      <c r="AE114">
        <v>0.80459999999999998</v>
      </c>
      <c r="AF114" s="62">
        <f t="shared" si="20"/>
        <v>0.64738116000000001</v>
      </c>
    </row>
    <row r="115" spans="1:32">
      <c r="A115" s="63">
        <v>110</v>
      </c>
      <c r="E115" s="67"/>
      <c r="G115" s="117"/>
      <c r="I115" s="102"/>
      <c r="K115" s="113">
        <v>0.59196000000000004</v>
      </c>
      <c r="M115" s="102"/>
      <c r="O115" s="102">
        <v>0.53627800000000003</v>
      </c>
      <c r="S115" s="97">
        <v>0.95490699999999995</v>
      </c>
      <c r="W115" s="97">
        <v>0.53335999999999995</v>
      </c>
      <c r="Y115" s="97">
        <v>0.77203999999999995</v>
      </c>
      <c r="Z115" s="62">
        <f t="shared" si="18"/>
        <v>0.59604576159999989</v>
      </c>
      <c r="AE115" t="s">
        <v>102</v>
      </c>
      <c r="AF115" s="62">
        <f t="shared" si="20"/>
        <v>1</v>
      </c>
    </row>
    <row r="116" spans="1:32" ht="15.75" thickBot="1">
      <c r="A116" s="64">
        <v>111</v>
      </c>
      <c r="E116" s="67"/>
      <c r="G116" s="117"/>
      <c r="I116" s="102"/>
      <c r="K116" s="113">
        <v>0.62561999999999995</v>
      </c>
      <c r="M116" s="102"/>
      <c r="O116" s="102">
        <v>0.56845400000000001</v>
      </c>
      <c r="W116" s="97">
        <v>0.56535999999999997</v>
      </c>
      <c r="Y116" s="97">
        <v>0.84540000000000004</v>
      </c>
      <c r="Z116" s="62">
        <f t="shared" si="18"/>
        <v>0.71470116000000006</v>
      </c>
    </row>
    <row r="117" spans="1:32">
      <c r="A117" s="63">
        <v>112</v>
      </c>
      <c r="E117" s="67"/>
      <c r="G117" s="117"/>
      <c r="I117" s="102"/>
      <c r="K117" s="113">
        <v>0.65776999999999997</v>
      </c>
      <c r="M117" s="102"/>
      <c r="O117" s="102">
        <v>0.60256100000000001</v>
      </c>
      <c r="W117" s="97">
        <v>0.59928000000000003</v>
      </c>
      <c r="Y117" s="97">
        <v>0.92574999999999996</v>
      </c>
      <c r="Z117" s="62">
        <f t="shared" si="18"/>
        <v>0.85701306249999998</v>
      </c>
    </row>
    <row r="118" spans="1:32">
      <c r="A118" s="63">
        <v>113</v>
      </c>
      <c r="E118" s="67"/>
      <c r="G118" s="117"/>
      <c r="I118" s="102"/>
      <c r="K118" s="113">
        <v>0.69079000000000002</v>
      </c>
      <c r="M118" s="102"/>
      <c r="O118" s="102">
        <v>0.63871500000000003</v>
      </c>
      <c r="W118" s="97">
        <v>0.63522999999999996</v>
      </c>
      <c r="Y118" s="97">
        <v>1</v>
      </c>
      <c r="Z118" s="62">
        <f t="shared" si="18"/>
        <v>1</v>
      </c>
    </row>
    <row r="119" spans="1:32" ht="15.75" thickBot="1">
      <c r="A119" s="64">
        <v>114</v>
      </c>
      <c r="E119" s="67"/>
      <c r="G119" s="117"/>
      <c r="I119" s="102"/>
      <c r="K119" s="113">
        <v>0.73205999999999993</v>
      </c>
      <c r="M119" s="102"/>
      <c r="O119" s="102">
        <v>0.67703800000000003</v>
      </c>
      <c r="W119" s="97">
        <v>0.67335</v>
      </c>
    </row>
    <row r="120" spans="1:32">
      <c r="A120" s="63">
        <v>115</v>
      </c>
      <c r="E120" s="67"/>
      <c r="G120" s="117"/>
      <c r="I120" s="102"/>
      <c r="K120" s="113">
        <v>0.77134999999999998</v>
      </c>
      <c r="M120" s="102"/>
      <c r="O120" s="102">
        <v>0.71765999999999996</v>
      </c>
      <c r="W120" s="97">
        <v>0.71375</v>
      </c>
    </row>
    <row r="121" spans="1:32">
      <c r="A121" s="63">
        <v>116</v>
      </c>
      <c r="E121" s="67"/>
      <c r="G121" s="117"/>
      <c r="I121" s="102"/>
      <c r="K121" s="113">
        <v>0.81235999999999997</v>
      </c>
      <c r="M121" s="102"/>
      <c r="O121" s="102">
        <v>0.76071999999999995</v>
      </c>
      <c r="W121" s="97">
        <v>0.75344999999999995</v>
      </c>
    </row>
    <row r="122" spans="1:32" ht="15.75" thickBot="1">
      <c r="A122" s="64">
        <v>117</v>
      </c>
      <c r="E122" s="67"/>
      <c r="G122" s="117"/>
      <c r="I122" s="102"/>
      <c r="K122" s="113">
        <v>0.85589999999999999</v>
      </c>
      <c r="M122" s="102"/>
      <c r="O122" s="102">
        <v>0.80636300000000005</v>
      </c>
      <c r="W122" s="97">
        <v>0.79112000000000005</v>
      </c>
    </row>
    <row r="123" spans="1:32">
      <c r="E123" s="67"/>
      <c r="G123" s="117"/>
      <c r="I123" s="102"/>
      <c r="K123" s="113">
        <v>0.89658000000000004</v>
      </c>
      <c r="M123" s="102"/>
      <c r="O123" s="102">
        <v>0.85137799999999997</v>
      </c>
      <c r="W123" s="97">
        <v>0.83067000000000002</v>
      </c>
    </row>
    <row r="124" spans="1:32">
      <c r="E124" s="67"/>
      <c r="G124" s="117"/>
      <c r="I124" s="102"/>
      <c r="K124" s="113">
        <v>0.93905999999999989</v>
      </c>
      <c r="M124" s="102"/>
      <c r="O124" s="102">
        <v>0.89394700000000005</v>
      </c>
      <c r="W124" s="97">
        <v>0.87221000000000004</v>
      </c>
    </row>
    <row r="125" spans="1:32">
      <c r="E125" s="67"/>
      <c r="G125" s="117"/>
      <c r="I125" s="102"/>
      <c r="K125" s="113"/>
      <c r="M125" s="102"/>
      <c r="O125" s="102"/>
    </row>
  </sheetData>
  <pageMargins left="0.7" right="0.7" top="0.75" bottom="0.75" header="0.3" footer="0.3"/>
  <pageSetup orientation="portrait" horizontalDpi="300" verticalDpi="300" r:id="rId1"/>
  <legacyDrawing r:id="rId2"/>
</worksheet>
</file>

<file path=xl/worksheets/sheet18.xml><?xml version="1.0" encoding="utf-8"?>
<worksheet xmlns="http://schemas.openxmlformats.org/spreadsheetml/2006/main" xmlns:r="http://schemas.openxmlformats.org/officeDocument/2006/relationships">
  <dimension ref="B2:F34"/>
  <sheetViews>
    <sheetView workbookViewId="0">
      <selection activeCell="B21" sqref="B21:E21"/>
    </sheetView>
  </sheetViews>
  <sheetFormatPr baseColWidth="10" defaultRowHeight="15"/>
  <cols>
    <col min="2" max="2" width="49.28515625" customWidth="1"/>
    <col min="3" max="3" width="12.7109375" style="57" customWidth="1"/>
    <col min="4" max="4" width="65.28515625" customWidth="1"/>
    <col min="5" max="5" width="13" style="57" customWidth="1"/>
  </cols>
  <sheetData>
    <row r="2" spans="2:6">
      <c r="B2" s="85" t="s">
        <v>150</v>
      </c>
      <c r="C2" s="85" t="s">
        <v>154</v>
      </c>
      <c r="D2" s="85" t="s">
        <v>151</v>
      </c>
      <c r="E2" s="85" t="s">
        <v>154</v>
      </c>
      <c r="F2" s="74" t="s">
        <v>152</v>
      </c>
    </row>
    <row r="3" spans="2:6">
      <c r="B3" s="118" t="s">
        <v>104</v>
      </c>
      <c r="C3" s="57">
        <f>+HLOOKUP(B3,ComparaciónM!$C$2:$AF$3,2,0)</f>
        <v>8.9574124597353974E-4</v>
      </c>
      <c r="D3" t="s">
        <v>137</v>
      </c>
      <c r="E3" s="57">
        <f>+HLOOKUP(D3,ComparaciónF!$C$2:$AF$3,2,0)</f>
        <v>5.3797645484970616E-3</v>
      </c>
      <c r="F3" s="119">
        <f t="shared" ref="F3:F17" si="0">(E3+C3)/2</f>
        <v>3.1377528972353005E-3</v>
      </c>
    </row>
    <row r="4" spans="2:6">
      <c r="B4" s="120" t="s">
        <v>126</v>
      </c>
      <c r="C4" s="121">
        <f>+HLOOKUP(B4,ComparaciónM!$C$2:$AF$3,2,0)</f>
        <v>1.263697369724712E-3</v>
      </c>
      <c r="D4" s="70" t="s">
        <v>126</v>
      </c>
      <c r="E4" s="121">
        <f>+HLOOKUP(D4,ComparaciónF!$C$2:$AF$3,2,0)</f>
        <v>5.4243302485674615E-3</v>
      </c>
      <c r="F4" s="122">
        <f t="shared" si="0"/>
        <v>3.3440138091460868E-3</v>
      </c>
    </row>
    <row r="5" spans="2:6">
      <c r="B5" s="118" t="s">
        <v>127</v>
      </c>
      <c r="C5" s="57">
        <f>+HLOOKUP(B5,ComparaciónM!$C$2:$AF$3,2,0)</f>
        <v>1.237447136113953E-3</v>
      </c>
      <c r="D5" t="s">
        <v>136</v>
      </c>
      <c r="E5" s="57">
        <f>+HLOOKUP(D5,ComparaciónF!$C$2:$AF$3,2,0)</f>
        <v>4.0456861846274624E-3</v>
      </c>
      <c r="F5" s="119">
        <f t="shared" si="0"/>
        <v>2.6415666603707075E-3</v>
      </c>
    </row>
    <row r="6" spans="2:6">
      <c r="B6" s="118" t="s">
        <v>131</v>
      </c>
      <c r="C6" s="57">
        <f>+HLOOKUP(B6,ComparaciónM!$C$2:$AF$3,2,0)</f>
        <v>1.6257781100287058E-3</v>
      </c>
      <c r="D6" t="s">
        <v>140</v>
      </c>
      <c r="E6" s="57">
        <f>+HLOOKUP(D6,ComparaciónF!$C$2:$AF$3,2,0)</f>
        <v>4.1696722713650304E-3</v>
      </c>
      <c r="F6" s="119">
        <f t="shared" si="0"/>
        <v>2.8977251906968683E-3</v>
      </c>
    </row>
    <row r="7" spans="2:6">
      <c r="B7" s="120" t="s">
        <v>129</v>
      </c>
      <c r="C7" s="121">
        <f>+HLOOKUP(B7,ComparaciónM!$C$2:$AF$3,2,0)</f>
        <v>1.0513441829325015E-3</v>
      </c>
      <c r="D7" s="70" t="s">
        <v>143</v>
      </c>
      <c r="E7" s="121">
        <f>+HLOOKUP(D7,ComparaciónF!$C$2:$AF$3,2,0)</f>
        <v>2.5693888950730618E-3</v>
      </c>
      <c r="F7" s="119">
        <f t="shared" si="0"/>
        <v>1.8103665390027815E-3</v>
      </c>
    </row>
    <row r="8" spans="2:6">
      <c r="B8" s="118" t="s">
        <v>134</v>
      </c>
      <c r="C8" s="57">
        <f>+HLOOKUP(B8,ComparaciónM!$C$2:$AF$3,2,0)</f>
        <v>2.400821788157629E-3</v>
      </c>
      <c r="D8" t="s">
        <v>139</v>
      </c>
      <c r="E8" s="57">
        <f>+HLOOKUP(D8,ComparaciónF!$C$2:$AF$3,2,0)</f>
        <v>2.9834747672034621E-3</v>
      </c>
      <c r="F8" s="119">
        <f t="shared" si="0"/>
        <v>2.6921482776805453E-3</v>
      </c>
    </row>
    <row r="9" spans="2:6">
      <c r="B9" s="118" t="s">
        <v>128</v>
      </c>
      <c r="C9" s="57">
        <f>+HLOOKUP(B9,ComparaciónM!$C$2:$AF$3,2,0)</f>
        <v>2.1019035450251162E-3</v>
      </c>
      <c r="D9" t="s">
        <v>135</v>
      </c>
      <c r="E9" s="57">
        <f>+HLOOKUP(D9,ComparaciónF!$C$2:$AF$3,2,0)</f>
        <v>1.1342795170279463E-2</v>
      </c>
      <c r="F9" s="119">
        <f t="shared" si="0"/>
        <v>6.7223493576522896E-3</v>
      </c>
    </row>
    <row r="10" spans="2:6">
      <c r="B10" t="s">
        <v>145</v>
      </c>
      <c r="C10" s="57">
        <f>+HLOOKUP(B10,ComparaciónM!$C$2:$AF$3,2,0)</f>
        <v>1.9111575915223733E-3</v>
      </c>
      <c r="D10" t="s">
        <v>138</v>
      </c>
      <c r="E10" s="57">
        <f>+HLOOKUP(D10,ComparaciónF!$C$2:$AF$3,2,0)</f>
        <v>1.2127443279743463E-2</v>
      </c>
      <c r="F10" s="119">
        <f t="shared" si="0"/>
        <v>7.0193004356329178E-3</v>
      </c>
    </row>
    <row r="11" spans="2:6">
      <c r="B11" s="118" t="s">
        <v>132</v>
      </c>
      <c r="C11" s="57">
        <f>+HLOOKUP(B11,ComparaciónM!$C$2:$AF$3,2,0)</f>
        <v>3.4517811157993928E-3</v>
      </c>
      <c r="D11" t="s">
        <v>141</v>
      </c>
      <c r="E11" s="57">
        <f>+HLOOKUP(D11,ComparaciónF!$C$2:$AF$3,2,0)</f>
        <v>3.2271638093118622E-3</v>
      </c>
      <c r="F11" s="119">
        <f t="shared" si="0"/>
        <v>3.3394724625556275E-3</v>
      </c>
    </row>
    <row r="12" spans="2:6">
      <c r="B12" s="118" t="s">
        <v>105</v>
      </c>
      <c r="C12" s="57">
        <f>+HLOOKUP(B12,ComparaciónM!$C$2:$AF$3,2,0)</f>
        <v>1.9717056798252727E-3</v>
      </c>
      <c r="D12" t="s">
        <v>105</v>
      </c>
      <c r="E12" s="57">
        <f>+HLOOKUP(D12,ComparaciónF!$C$2:$AF$3,2,0)</f>
        <v>1.136314011247462E-3</v>
      </c>
      <c r="F12" s="119">
        <f t="shared" si="0"/>
        <v>1.5540098455363673E-3</v>
      </c>
    </row>
    <row r="13" spans="2:6">
      <c r="B13" s="118" t="s">
        <v>130</v>
      </c>
      <c r="C13" s="57">
        <f>+HLOOKUP(B13,ComparaciónM!$C$2:$AF$3,2,0)</f>
        <v>6.1006619735446454E-3</v>
      </c>
      <c r="D13" t="s">
        <v>144</v>
      </c>
      <c r="E13" s="57">
        <f>+HLOOKUP(D13,ComparaciónF!$C$2:$AF$3,2,0)</f>
        <v>1.4019616377114617E-3</v>
      </c>
      <c r="F13" s="119">
        <f t="shared" si="0"/>
        <v>3.7513118056280536E-3</v>
      </c>
    </row>
    <row r="14" spans="2:6">
      <c r="B14" s="118" t="s">
        <v>133</v>
      </c>
      <c r="C14" s="57">
        <f>+HLOOKUP(B14,ComparaciónM!$C$2:$AF$3,2,0)</f>
        <v>6.0844375517271248E-3</v>
      </c>
      <c r="D14" t="s">
        <v>142</v>
      </c>
      <c r="E14" s="57">
        <f>+HLOOKUP(D14,ComparaciónF!$C$2:$AF$3,2,0)</f>
        <v>2.9174279931546158E-4</v>
      </c>
      <c r="F14" s="119">
        <f t="shared" si="0"/>
        <v>3.188090175521293E-3</v>
      </c>
    </row>
    <row r="15" spans="2:6">
      <c r="B15" s="118" t="s">
        <v>99</v>
      </c>
      <c r="C15" s="57">
        <f>+HLOOKUP(B15,ComparaciónM!$C$2:$AF$3,2,0)</f>
        <v>2.7012679623234222E-2</v>
      </c>
      <c r="D15" t="s">
        <v>99</v>
      </c>
      <c r="E15" s="57">
        <f>+HLOOKUP(D15,ComparaciónF!$C$2:$AF$3,2,0)</f>
        <v>2.2888792538843461E-2</v>
      </c>
      <c r="F15" s="119">
        <f t="shared" si="0"/>
        <v>2.4950736081038843E-2</v>
      </c>
    </row>
    <row r="16" spans="2:6">
      <c r="B16" s="118" t="s">
        <v>100</v>
      </c>
      <c r="C16" s="57">
        <f>+HLOOKUP(B16,ComparaciónM!$C$2:$AF$3,2,0)</f>
        <v>3.3311606814071366E-2</v>
      </c>
      <c r="D16" t="s">
        <v>100</v>
      </c>
      <c r="E16" s="57">
        <f>+HLOOKUP(D16,ComparaciónF!$C$2:$AF$3,2,0)</f>
        <v>2.9350892334906856E-2</v>
      </c>
      <c r="F16" s="119">
        <f t="shared" si="0"/>
        <v>3.1331249574489115E-2</v>
      </c>
    </row>
    <row r="17" spans="2:6">
      <c r="B17" s="118" t="s">
        <v>103</v>
      </c>
      <c r="C17" s="57">
        <f>+HLOOKUP(B17,ComparaciónM!$C$2:$AF$3,2,0)</f>
        <v>6.0386573028408767E-2</v>
      </c>
      <c r="D17" t="s">
        <v>103</v>
      </c>
      <c r="E17" s="57">
        <f>+HLOOKUP(D17,ComparaciónF!$C$2:$AF$3,2,0)</f>
        <v>5.3297383697770664E-2</v>
      </c>
      <c r="F17" s="119">
        <f t="shared" si="0"/>
        <v>5.6841978363089712E-2</v>
      </c>
    </row>
    <row r="19" spans="2:6">
      <c r="B19" s="85" t="s">
        <v>150</v>
      </c>
      <c r="C19" s="85" t="s">
        <v>153</v>
      </c>
      <c r="D19" s="85" t="s">
        <v>151</v>
      </c>
      <c r="E19" s="85" t="s">
        <v>153</v>
      </c>
      <c r="F19" s="74" t="s">
        <v>152</v>
      </c>
    </row>
    <row r="20" spans="2:6">
      <c r="B20" s="118" t="s">
        <v>131</v>
      </c>
      <c r="C20" s="57">
        <f>+HLOOKUP(B20,'ComparaciónM (2)'!$C$2:$AF$3,2,0)</f>
        <v>1.0704692843849421E-3</v>
      </c>
      <c r="D20" t="s">
        <v>140</v>
      </c>
      <c r="E20" s="57">
        <f>+HLOOKUP(D20,'ComparaciónF (2)'!$C$2:$AF$3,2,0)</f>
        <v>3.9358203233673931E-4</v>
      </c>
      <c r="F20" s="119">
        <f t="shared" ref="F20:F34" si="1">(E20+C20)/2</f>
        <v>7.3202565836084075E-4</v>
      </c>
    </row>
    <row r="21" spans="2:6">
      <c r="B21" s="120" t="s">
        <v>129</v>
      </c>
      <c r="C21" s="121">
        <f>+HLOOKUP(B21,'ComparaciónM (2)'!$C$2:$AF$3,2,0)</f>
        <v>1.0698426255311448E-3</v>
      </c>
      <c r="D21" s="70" t="s">
        <v>143</v>
      </c>
      <c r="E21" s="121">
        <f>+HLOOKUP(D21,'ComparaciónF (2)'!$C$2:$AF$3,2,0)</f>
        <v>4.8413939153511056E-4</v>
      </c>
      <c r="F21" s="119">
        <f t="shared" si="1"/>
        <v>7.7699100853312764E-4</v>
      </c>
    </row>
    <row r="22" spans="2:6">
      <c r="B22" s="118" t="s">
        <v>127</v>
      </c>
      <c r="C22" s="57">
        <f>+HLOOKUP(B22,'ComparaciónM (2)'!$C$2:$AF$3,2,0)</f>
        <v>1.4181981452045249E-3</v>
      </c>
      <c r="D22" t="s">
        <v>136</v>
      </c>
      <c r="E22" s="57">
        <f>+HLOOKUP(D22,'ComparaciónF (2)'!$C$2:$AF$3,2,0)</f>
        <v>3.0340743273836332E-4</v>
      </c>
      <c r="F22" s="119">
        <f t="shared" si="1"/>
        <v>8.6080278897144409E-4</v>
      </c>
    </row>
    <row r="23" spans="2:6">
      <c r="B23" s="118" t="s">
        <v>104</v>
      </c>
      <c r="C23" s="57">
        <f>+HLOOKUP(B23,'ComparaciónM (2)'!$C$2:$AF$3,2,0)</f>
        <v>1.8908455881392844E-3</v>
      </c>
      <c r="D23" t="s">
        <v>137</v>
      </c>
      <c r="E23" s="57">
        <f>+HLOOKUP(D23,'ComparaciónF (2)'!$C$2:$AF$3,2,0)</f>
        <v>6.1717502722257833E-4</v>
      </c>
      <c r="F23" s="119">
        <f t="shared" si="1"/>
        <v>1.2540103076809314E-3</v>
      </c>
    </row>
    <row r="24" spans="2:6">
      <c r="B24" s="120" t="s">
        <v>126</v>
      </c>
      <c r="C24" s="121">
        <f>+HLOOKUP(B24,'ComparaciónM (2)'!$C$2:$AF$3,2,0)</f>
        <v>2.2346473877496846E-3</v>
      </c>
      <c r="D24" s="70" t="s">
        <v>126</v>
      </c>
      <c r="E24" s="121">
        <f>+HLOOKUP(D24,'ComparaciónF (2)'!$C$2:$AF$3,2,0)</f>
        <v>5.9422166137151379E-4</v>
      </c>
      <c r="F24" s="122">
        <f t="shared" si="1"/>
        <v>1.4144345245605992E-3</v>
      </c>
    </row>
    <row r="25" spans="2:6">
      <c r="B25" s="118" t="s">
        <v>132</v>
      </c>
      <c r="C25" s="57">
        <f>+HLOOKUP(B25,'ComparaciónM (2)'!$C$2:$AF$3,2,0)</f>
        <v>2.1098077125054236E-3</v>
      </c>
      <c r="D25" t="s">
        <v>141</v>
      </c>
      <c r="E25" s="57">
        <f>+HLOOKUP(D25,'ComparaciónF (2)'!$C$2:$AF$3,2,0)</f>
        <v>8.4760612789482634E-4</v>
      </c>
      <c r="F25" s="119">
        <f t="shared" si="1"/>
        <v>1.4787069202001251E-3</v>
      </c>
    </row>
    <row r="26" spans="2:6">
      <c r="B26" s="118" t="s">
        <v>105</v>
      </c>
      <c r="C26" s="57">
        <f>+HLOOKUP(B26,'ComparaciónM (2)'!$C$2:$AF$3,2,0)</f>
        <v>2.1677472587002347E-3</v>
      </c>
      <c r="D26" t="s">
        <v>105</v>
      </c>
      <c r="E26" s="57">
        <f>+HLOOKUP(D26,'ComparaciónF (2)'!$C$2:$AF$3,2,0)</f>
        <v>1.9742352205223482E-3</v>
      </c>
      <c r="F26" s="119">
        <f t="shared" si="1"/>
        <v>2.0709912396112912E-3</v>
      </c>
    </row>
    <row r="27" spans="2:6">
      <c r="B27" s="118" t="s">
        <v>134</v>
      </c>
      <c r="C27" s="57">
        <f>+HLOOKUP(B27,'ComparaciónM (2)'!$C$2:$AF$3,2,0)</f>
        <v>4.1558675683246327E-3</v>
      </c>
      <c r="D27" t="s">
        <v>139</v>
      </c>
      <c r="E27" s="57">
        <f>+HLOOKUP(D27,'ComparaciónF (2)'!$C$2:$AF$3,2,0)</f>
        <v>2.1893950680675165E-4</v>
      </c>
      <c r="F27" s="119">
        <f t="shared" si="1"/>
        <v>2.1874035375656921E-3</v>
      </c>
    </row>
    <row r="28" spans="2:6">
      <c r="B28" s="118" t="s">
        <v>130</v>
      </c>
      <c r="C28" s="57">
        <f>+HLOOKUP(B28,'ComparaciónM (2)'!$C$2:$AF$3,2,0)</f>
        <v>3.8953984545269096E-3</v>
      </c>
      <c r="D28" t="s">
        <v>144</v>
      </c>
      <c r="E28" s="57">
        <f>+HLOOKUP(D28,'ComparaciónF (2)'!$C$2:$AF$3,2,0)</f>
        <v>9.4383449383340858E-4</v>
      </c>
      <c r="F28" s="119">
        <f t="shared" si="1"/>
        <v>2.419616474180159E-3</v>
      </c>
    </row>
    <row r="29" spans="2:6">
      <c r="B29" t="s">
        <v>145</v>
      </c>
      <c r="C29" s="57">
        <f>+HLOOKUP(B29,'ComparaciónM (2)'!$C$2:$AF$3,2,0)</f>
        <v>3.1504264707066247E-3</v>
      </c>
      <c r="D29" t="s">
        <v>138</v>
      </c>
      <c r="E29" s="57">
        <f>+HLOOKUP(D29,'ComparaciónF (2)'!$C$2:$AF$3,2,0)</f>
        <v>3.4534899738008253E-3</v>
      </c>
      <c r="F29" s="119">
        <f t="shared" si="1"/>
        <v>3.3019582222537248E-3</v>
      </c>
    </row>
    <row r="30" spans="2:6">
      <c r="B30" s="118" t="s">
        <v>128</v>
      </c>
      <c r="C30" s="57">
        <f>+HLOOKUP(B30,'ComparaciónM (2)'!$C$2:$AF$3,2,0)</f>
        <v>3.7431579109044443E-3</v>
      </c>
      <c r="D30" t="s">
        <v>135</v>
      </c>
      <c r="E30" s="57">
        <f>+HLOOKUP(D30,'ComparaciónF (2)'!$C$2:$AF$3,2,0)</f>
        <v>3.0294569808602305E-3</v>
      </c>
      <c r="F30" s="119">
        <f t="shared" si="1"/>
        <v>3.3863074458823374E-3</v>
      </c>
    </row>
    <row r="31" spans="2:6">
      <c r="B31" s="118" t="s">
        <v>133</v>
      </c>
      <c r="C31" s="57">
        <f>+HLOOKUP(B31,'ComparaciónM (2)'!$C$2:$AF$3,2,0)</f>
        <v>3.7969380830193441E-3</v>
      </c>
      <c r="D31" t="s">
        <v>142</v>
      </c>
      <c r="E31" s="57">
        <f>+HLOOKUP(D31,'ComparaciónF (2)'!$C$2:$AF$3,2,0)</f>
        <v>4.2307732381128768E-3</v>
      </c>
      <c r="F31" s="119">
        <f t="shared" si="1"/>
        <v>4.0138556605661107E-3</v>
      </c>
    </row>
    <row r="32" spans="2:6">
      <c r="B32" s="118" t="s">
        <v>99</v>
      </c>
      <c r="C32" s="57">
        <f>+HLOOKUP(B32,'ComparaciónM (2)'!$C$2:$AF$3,2,0)</f>
        <v>2.1857829574790853E-2</v>
      </c>
      <c r="D32" t="s">
        <v>99</v>
      </c>
      <c r="E32" s="57">
        <f>+HLOOKUP(D32,'ComparaciónF (2)'!$C$2:$AF$3,2,0)</f>
        <v>4.1704708310101042E-2</v>
      </c>
      <c r="F32" s="119">
        <f t="shared" si="1"/>
        <v>3.1781268942445949E-2</v>
      </c>
    </row>
    <row r="33" spans="2:6">
      <c r="B33" s="118" t="s">
        <v>100</v>
      </c>
      <c r="C33" s="57">
        <f>+HLOOKUP(B33,'ComparaciónM (2)'!$C$2:$AF$3,2,0)</f>
        <v>2.7721257178415885E-2</v>
      </c>
      <c r="D33" t="s">
        <v>100</v>
      </c>
      <c r="E33" s="57">
        <f>+HLOOKUP(D33,'ComparaciónF (2)'!$C$2:$AF$3,2,0)</f>
        <v>5.012634273395071E-2</v>
      </c>
      <c r="F33" s="119">
        <f t="shared" si="1"/>
        <v>3.8923799956183294E-2</v>
      </c>
    </row>
    <row r="34" spans="2:6">
      <c r="B34" s="118" t="s">
        <v>103</v>
      </c>
      <c r="C34" s="57">
        <f>+HLOOKUP(B34,'ComparaciónM (2)'!$C$2:$AF$3,2,0)</f>
        <v>5.1794935397892636E-2</v>
      </c>
      <c r="D34" t="s">
        <v>103</v>
      </c>
      <c r="E34" s="57">
        <f>+HLOOKUP(D34,'ComparaciónF (2)'!$C$2:$AF$3,2,0)</f>
        <v>7.98698109135762E-2</v>
      </c>
      <c r="F34" s="119">
        <f t="shared" si="1"/>
        <v>6.5832373155734425E-2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3</vt:i4>
      </vt:variant>
    </vt:vector>
  </HeadingPairs>
  <TitlesOfParts>
    <vt:vector size="21" baseType="lpstr">
      <vt:lpstr>Resumen</vt:lpstr>
      <vt:lpstr>info ine</vt:lpstr>
      <vt:lpstr>Mortalidad</vt:lpstr>
      <vt:lpstr>Mortalidad M</vt:lpstr>
      <vt:lpstr>Mortalidad F</vt:lpstr>
      <vt:lpstr>Población M</vt:lpstr>
      <vt:lpstr>Población F</vt:lpstr>
      <vt:lpstr>Población por Edad M</vt:lpstr>
      <vt:lpstr>Población por Edad F</vt:lpstr>
      <vt:lpstr>Muertes por Edad M</vt:lpstr>
      <vt:lpstr>Muertes por Edad F</vt:lpstr>
      <vt:lpstr>QxM</vt:lpstr>
      <vt:lpstr>QxF</vt:lpstr>
      <vt:lpstr>ComparaciónM</vt:lpstr>
      <vt:lpstr>ComparaciónM (2)</vt:lpstr>
      <vt:lpstr>ComparaciónF</vt:lpstr>
      <vt:lpstr>ComparaciónF (2)</vt:lpstr>
      <vt:lpstr>Hoja1</vt:lpstr>
      <vt:lpstr>'info ine'!Área_de_impresión</vt:lpstr>
      <vt:lpstr>Resumen!Área_de_impresión</vt:lpstr>
      <vt:lpstr>'info ine'!Títulos_a_imprimir</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angelc</dc:creator>
  <cp:lastModifiedBy>angelc</cp:lastModifiedBy>
  <cp:lastPrinted>2014-03-25T18:55:19Z</cp:lastPrinted>
  <dcterms:created xsi:type="dcterms:W3CDTF">2014-03-21T13:00:30Z</dcterms:created>
  <dcterms:modified xsi:type="dcterms:W3CDTF">2017-04-20T22:34:57Z</dcterms:modified>
</cp:coreProperties>
</file>