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eno\Documents\Documentos_DAYLIN\TESIS\"/>
    </mc:Choice>
  </mc:AlternateContent>
  <bookViews>
    <workbookView xWindow="0" yWindow="0" windowWidth="25200" windowHeight="11985" activeTab="4"/>
  </bookViews>
  <sheets>
    <sheet name="Cuadro 1" sheetId="2" r:id="rId1"/>
    <sheet name="Cuadro 7" sheetId="4" r:id="rId2"/>
    <sheet name="Cuadro 8" sheetId="5" r:id="rId3"/>
    <sheet name="Hoja12" sheetId="12" r:id="rId4"/>
    <sheet name="Hoja12 (2)" sheetId="13" r:id="rId5"/>
    <sheet name="Cuadro 2" sheetId="14" r:id="rId6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40" i="13" l="1"/>
  <c r="K540" i="13" s="1"/>
  <c r="N540" i="13" s="1"/>
  <c r="G540" i="13"/>
  <c r="H540" i="13"/>
  <c r="I540" i="13"/>
  <c r="J540" i="13"/>
  <c r="M540" i="13" s="1"/>
  <c r="L540" i="13"/>
  <c r="O540" i="13" s="1"/>
  <c r="AB77" i="13"/>
  <c r="AB78" i="13"/>
  <c r="AB79" i="13"/>
  <c r="AB80" i="13"/>
  <c r="AB76" i="13"/>
  <c r="AB66" i="13"/>
  <c r="J22" i="14"/>
  <c r="J23" i="14"/>
  <c r="J24" i="14"/>
  <c r="J25" i="14"/>
  <c r="J21" i="14"/>
  <c r="C11" i="14"/>
  <c r="C10" i="14"/>
  <c r="C9" i="14"/>
  <c r="C8" i="14"/>
  <c r="C7" i="14"/>
  <c r="F12" i="13" l="1"/>
  <c r="G12" i="13"/>
  <c r="J12" i="13" s="1"/>
  <c r="M12" i="13" s="1"/>
  <c r="H12" i="13"/>
  <c r="I12" i="13"/>
  <c r="L12" i="13" s="1"/>
  <c r="O12" i="13" s="1"/>
  <c r="K12" i="13"/>
  <c r="N12" i="13" s="1"/>
  <c r="F13" i="13"/>
  <c r="G13" i="13"/>
  <c r="H13" i="13"/>
  <c r="I13" i="13"/>
  <c r="K13" i="13"/>
  <c r="N13" i="13" s="1"/>
  <c r="F14" i="13"/>
  <c r="G14" i="13"/>
  <c r="H14" i="13"/>
  <c r="I14" i="13"/>
  <c r="K14" i="13"/>
  <c r="N14" i="13" s="1"/>
  <c r="F15" i="13"/>
  <c r="G15" i="13"/>
  <c r="H15" i="13"/>
  <c r="I15" i="13"/>
  <c r="K15" i="13"/>
  <c r="N15" i="13" s="1"/>
  <c r="F16" i="13"/>
  <c r="G16" i="13"/>
  <c r="H16" i="13"/>
  <c r="I16" i="13"/>
  <c r="K16" i="13"/>
  <c r="N16" i="13" s="1"/>
  <c r="F17" i="13"/>
  <c r="G17" i="13"/>
  <c r="H17" i="13"/>
  <c r="I17" i="13"/>
  <c r="K17" i="13"/>
  <c r="N17" i="13" s="1"/>
  <c r="F18" i="13"/>
  <c r="G18" i="13"/>
  <c r="H18" i="13"/>
  <c r="I18" i="13"/>
  <c r="K18" i="13"/>
  <c r="N18" i="13" s="1"/>
  <c r="F19" i="13"/>
  <c r="G19" i="13"/>
  <c r="H19" i="13"/>
  <c r="I19" i="13"/>
  <c r="K19" i="13"/>
  <c r="N19" i="13" s="1"/>
  <c r="F20" i="13"/>
  <c r="G20" i="13"/>
  <c r="H20" i="13"/>
  <c r="K20" i="13" s="1"/>
  <c r="N20" i="13" s="1"/>
  <c r="I20" i="13"/>
  <c r="F21" i="13"/>
  <c r="G21" i="13"/>
  <c r="H21" i="13"/>
  <c r="I21" i="13"/>
  <c r="K21" i="13"/>
  <c r="N21" i="13" s="1"/>
  <c r="F22" i="13"/>
  <c r="G22" i="13"/>
  <c r="H22" i="13"/>
  <c r="I22" i="13"/>
  <c r="K22" i="13"/>
  <c r="N22" i="13" s="1"/>
  <c r="F23" i="13"/>
  <c r="G23" i="13"/>
  <c r="H23" i="13"/>
  <c r="I23" i="13"/>
  <c r="K23" i="13"/>
  <c r="N23" i="13" s="1"/>
  <c r="F24" i="13"/>
  <c r="G24" i="13"/>
  <c r="H24" i="13"/>
  <c r="I24" i="13"/>
  <c r="K24" i="13"/>
  <c r="N24" i="13" s="1"/>
  <c r="F25" i="13"/>
  <c r="G25" i="13"/>
  <c r="H25" i="13"/>
  <c r="I25" i="13"/>
  <c r="K25" i="13"/>
  <c r="N25" i="13" s="1"/>
  <c r="F26" i="13"/>
  <c r="G26" i="13"/>
  <c r="H26" i="13"/>
  <c r="K26" i="13" s="1"/>
  <c r="N26" i="13" s="1"/>
  <c r="I26" i="13"/>
  <c r="F27" i="13"/>
  <c r="G27" i="13"/>
  <c r="H27" i="13"/>
  <c r="I27" i="13"/>
  <c r="K27" i="13"/>
  <c r="N27" i="13" s="1"/>
  <c r="F28" i="13"/>
  <c r="G28" i="13"/>
  <c r="H28" i="13"/>
  <c r="I28" i="13"/>
  <c r="K28" i="13"/>
  <c r="N28" i="13" s="1"/>
  <c r="F29" i="13"/>
  <c r="G29" i="13"/>
  <c r="H29" i="13"/>
  <c r="I29" i="13"/>
  <c r="K29" i="13"/>
  <c r="N29" i="13" s="1"/>
  <c r="F30" i="13"/>
  <c r="G30" i="13"/>
  <c r="H30" i="13"/>
  <c r="I30" i="13"/>
  <c r="K30" i="13"/>
  <c r="N30" i="13" s="1"/>
  <c r="F31" i="13"/>
  <c r="G31" i="13"/>
  <c r="H31" i="13"/>
  <c r="I31" i="13"/>
  <c r="K31" i="13"/>
  <c r="N31" i="13" s="1"/>
  <c r="F32" i="13"/>
  <c r="G32" i="13"/>
  <c r="H32" i="13"/>
  <c r="I32" i="13"/>
  <c r="K32" i="13"/>
  <c r="N32" i="13" s="1"/>
  <c r="F33" i="13"/>
  <c r="G33" i="13"/>
  <c r="H33" i="13"/>
  <c r="I33" i="13"/>
  <c r="K33" i="13"/>
  <c r="N33" i="13" s="1"/>
  <c r="F34" i="13"/>
  <c r="G34" i="13"/>
  <c r="H34" i="13"/>
  <c r="I34" i="13"/>
  <c r="K34" i="13"/>
  <c r="N34" i="13" s="1"/>
  <c r="F35" i="13"/>
  <c r="G35" i="13"/>
  <c r="H35" i="13"/>
  <c r="I35" i="13"/>
  <c r="K35" i="13"/>
  <c r="N35" i="13" s="1"/>
  <c r="F36" i="13"/>
  <c r="G36" i="13"/>
  <c r="H36" i="13"/>
  <c r="I36" i="13"/>
  <c r="K36" i="13"/>
  <c r="N36" i="13" s="1"/>
  <c r="F37" i="13"/>
  <c r="G37" i="13"/>
  <c r="H37" i="13"/>
  <c r="I37" i="13"/>
  <c r="K37" i="13"/>
  <c r="N37" i="13" s="1"/>
  <c r="F38" i="13"/>
  <c r="G38" i="13"/>
  <c r="H38" i="13"/>
  <c r="K38" i="13" s="1"/>
  <c r="N38" i="13" s="1"/>
  <c r="I38" i="13"/>
  <c r="F39" i="13"/>
  <c r="G39" i="13"/>
  <c r="H39" i="13"/>
  <c r="I39" i="13"/>
  <c r="K39" i="13"/>
  <c r="N39" i="13" s="1"/>
  <c r="F40" i="13"/>
  <c r="G40" i="13"/>
  <c r="H40" i="13"/>
  <c r="I40" i="13"/>
  <c r="K40" i="13"/>
  <c r="N40" i="13" s="1"/>
  <c r="F41" i="13"/>
  <c r="G41" i="13"/>
  <c r="H41" i="13"/>
  <c r="I41" i="13"/>
  <c r="F42" i="13"/>
  <c r="G42" i="13"/>
  <c r="H42" i="13"/>
  <c r="I42" i="13"/>
  <c r="F43" i="13"/>
  <c r="G43" i="13"/>
  <c r="H43" i="13"/>
  <c r="I43" i="13"/>
  <c r="F44" i="13"/>
  <c r="G44" i="13"/>
  <c r="H44" i="13"/>
  <c r="I44" i="13"/>
  <c r="F45" i="13"/>
  <c r="G45" i="13"/>
  <c r="H45" i="13"/>
  <c r="I45" i="13"/>
  <c r="F46" i="13"/>
  <c r="G46" i="13"/>
  <c r="H46" i="13"/>
  <c r="I46" i="13"/>
  <c r="F47" i="13"/>
  <c r="G47" i="13"/>
  <c r="H47" i="13"/>
  <c r="I47" i="13"/>
  <c r="F48" i="13"/>
  <c r="G48" i="13"/>
  <c r="H48" i="13"/>
  <c r="I48" i="13"/>
  <c r="F49" i="13"/>
  <c r="G49" i="13"/>
  <c r="H49" i="13"/>
  <c r="I49" i="13"/>
  <c r="F50" i="13"/>
  <c r="G50" i="13"/>
  <c r="H50" i="13"/>
  <c r="I50" i="13"/>
  <c r="F51" i="13"/>
  <c r="G51" i="13"/>
  <c r="H51" i="13"/>
  <c r="I51" i="13"/>
  <c r="F52" i="13"/>
  <c r="G52" i="13"/>
  <c r="H52" i="13"/>
  <c r="I52" i="13"/>
  <c r="F53" i="13"/>
  <c r="G53" i="13"/>
  <c r="H53" i="13"/>
  <c r="I53" i="13"/>
  <c r="F54" i="13"/>
  <c r="G54" i="13"/>
  <c r="H54" i="13"/>
  <c r="I54" i="13"/>
  <c r="F55" i="13"/>
  <c r="G55" i="13"/>
  <c r="H55" i="13"/>
  <c r="I55" i="13"/>
  <c r="F56" i="13"/>
  <c r="G56" i="13"/>
  <c r="H56" i="13"/>
  <c r="I56" i="13"/>
  <c r="F57" i="13"/>
  <c r="G57" i="13"/>
  <c r="H57" i="13"/>
  <c r="I57" i="13"/>
  <c r="F58" i="13"/>
  <c r="G58" i="13"/>
  <c r="H58" i="13"/>
  <c r="I58" i="13"/>
  <c r="F59" i="13"/>
  <c r="G59" i="13"/>
  <c r="H59" i="13"/>
  <c r="I59" i="13"/>
  <c r="F60" i="13"/>
  <c r="G60" i="13"/>
  <c r="H60" i="13"/>
  <c r="I60" i="13"/>
  <c r="F61" i="13"/>
  <c r="G61" i="13"/>
  <c r="H61" i="13"/>
  <c r="I61" i="13"/>
  <c r="F62" i="13"/>
  <c r="G62" i="13"/>
  <c r="H62" i="13"/>
  <c r="I62" i="13"/>
  <c r="F63" i="13"/>
  <c r="G63" i="13"/>
  <c r="H63" i="13"/>
  <c r="I63" i="13"/>
  <c r="F64" i="13"/>
  <c r="G64" i="13"/>
  <c r="H64" i="13"/>
  <c r="I64" i="13"/>
  <c r="F65" i="13"/>
  <c r="G65" i="13"/>
  <c r="H65" i="13"/>
  <c r="I65" i="13"/>
  <c r="F66" i="13"/>
  <c r="G66" i="13"/>
  <c r="H66" i="13"/>
  <c r="I66" i="13"/>
  <c r="F67" i="13"/>
  <c r="G67" i="13"/>
  <c r="H67" i="13"/>
  <c r="I67" i="13"/>
  <c r="F68" i="13"/>
  <c r="G68" i="13"/>
  <c r="H68" i="13"/>
  <c r="I68" i="13"/>
  <c r="F69" i="13"/>
  <c r="G69" i="13"/>
  <c r="H69" i="13"/>
  <c r="I69" i="13"/>
  <c r="F70" i="13"/>
  <c r="G70" i="13"/>
  <c r="H70" i="13"/>
  <c r="I70" i="13"/>
  <c r="F71" i="13"/>
  <c r="G71" i="13"/>
  <c r="H71" i="13"/>
  <c r="I71" i="13"/>
  <c r="F72" i="13"/>
  <c r="G72" i="13"/>
  <c r="H72" i="13"/>
  <c r="I72" i="13"/>
  <c r="F73" i="13"/>
  <c r="G73" i="13"/>
  <c r="H73" i="13"/>
  <c r="I73" i="13"/>
  <c r="F74" i="13"/>
  <c r="G74" i="13"/>
  <c r="H74" i="13"/>
  <c r="I74" i="13"/>
  <c r="F75" i="13"/>
  <c r="G75" i="13"/>
  <c r="H75" i="13"/>
  <c r="I75" i="13"/>
  <c r="F76" i="13"/>
  <c r="G76" i="13"/>
  <c r="H76" i="13"/>
  <c r="I76" i="13"/>
  <c r="F77" i="13"/>
  <c r="G77" i="13"/>
  <c r="H77" i="13"/>
  <c r="I77" i="13"/>
  <c r="F78" i="13"/>
  <c r="G78" i="13"/>
  <c r="H78" i="13"/>
  <c r="I78" i="13"/>
  <c r="F79" i="13"/>
  <c r="G79" i="13"/>
  <c r="H79" i="13"/>
  <c r="I79" i="13"/>
  <c r="F80" i="13"/>
  <c r="G80" i="13"/>
  <c r="H80" i="13"/>
  <c r="I80" i="13"/>
  <c r="F81" i="13"/>
  <c r="G81" i="13"/>
  <c r="H81" i="13"/>
  <c r="I81" i="13"/>
  <c r="F82" i="13"/>
  <c r="G82" i="13"/>
  <c r="H82" i="13"/>
  <c r="I82" i="13"/>
  <c r="F83" i="13"/>
  <c r="G83" i="13"/>
  <c r="H83" i="13"/>
  <c r="I83" i="13"/>
  <c r="F84" i="13"/>
  <c r="G84" i="13"/>
  <c r="H84" i="13"/>
  <c r="I84" i="13"/>
  <c r="F85" i="13"/>
  <c r="G85" i="13"/>
  <c r="H85" i="13"/>
  <c r="I85" i="13"/>
  <c r="F86" i="13"/>
  <c r="G86" i="13"/>
  <c r="H86" i="13"/>
  <c r="I86" i="13"/>
  <c r="F87" i="13"/>
  <c r="G87" i="13"/>
  <c r="H87" i="13"/>
  <c r="I87" i="13"/>
  <c r="F88" i="13"/>
  <c r="G88" i="13"/>
  <c r="H88" i="13"/>
  <c r="I88" i="13"/>
  <c r="F89" i="13"/>
  <c r="G89" i="13"/>
  <c r="H89" i="13"/>
  <c r="I89" i="13"/>
  <c r="F90" i="13"/>
  <c r="G90" i="13"/>
  <c r="H90" i="13"/>
  <c r="I90" i="13"/>
  <c r="F91" i="13"/>
  <c r="G91" i="13"/>
  <c r="H91" i="13"/>
  <c r="I91" i="13"/>
  <c r="F92" i="13"/>
  <c r="G92" i="13"/>
  <c r="H92" i="13"/>
  <c r="I92" i="13"/>
  <c r="F93" i="13"/>
  <c r="G93" i="13"/>
  <c r="H93" i="13"/>
  <c r="I93" i="13"/>
  <c r="F94" i="13"/>
  <c r="G94" i="13"/>
  <c r="H94" i="13"/>
  <c r="I94" i="13"/>
  <c r="F95" i="13"/>
  <c r="G95" i="13"/>
  <c r="H95" i="13"/>
  <c r="I95" i="13"/>
  <c r="F96" i="13"/>
  <c r="G96" i="13"/>
  <c r="H96" i="13"/>
  <c r="I96" i="13"/>
  <c r="F97" i="13"/>
  <c r="G97" i="13"/>
  <c r="H97" i="13"/>
  <c r="I97" i="13"/>
  <c r="F98" i="13"/>
  <c r="G98" i="13"/>
  <c r="H98" i="13"/>
  <c r="I98" i="13"/>
  <c r="F99" i="13"/>
  <c r="G99" i="13"/>
  <c r="H99" i="13"/>
  <c r="I99" i="13"/>
  <c r="F100" i="13"/>
  <c r="G100" i="13"/>
  <c r="H100" i="13"/>
  <c r="I100" i="13"/>
  <c r="F101" i="13"/>
  <c r="G101" i="13"/>
  <c r="H101" i="13"/>
  <c r="I101" i="13"/>
  <c r="F102" i="13"/>
  <c r="G102" i="13"/>
  <c r="H102" i="13"/>
  <c r="I102" i="13"/>
  <c r="F103" i="13"/>
  <c r="G103" i="13"/>
  <c r="H103" i="13"/>
  <c r="I103" i="13"/>
  <c r="F104" i="13"/>
  <c r="G104" i="13"/>
  <c r="H104" i="13"/>
  <c r="I104" i="13"/>
  <c r="F105" i="13"/>
  <c r="G105" i="13"/>
  <c r="H105" i="13"/>
  <c r="I105" i="13"/>
  <c r="F106" i="13"/>
  <c r="G106" i="13"/>
  <c r="H106" i="13"/>
  <c r="I106" i="13"/>
  <c r="F107" i="13"/>
  <c r="G107" i="13"/>
  <c r="H107" i="13"/>
  <c r="I107" i="13"/>
  <c r="F108" i="13"/>
  <c r="G108" i="13"/>
  <c r="H108" i="13"/>
  <c r="I108" i="13"/>
  <c r="F109" i="13"/>
  <c r="G109" i="13"/>
  <c r="H109" i="13"/>
  <c r="I109" i="13"/>
  <c r="F110" i="13"/>
  <c r="G110" i="13"/>
  <c r="H110" i="13"/>
  <c r="I110" i="13"/>
  <c r="F111" i="13"/>
  <c r="G111" i="13"/>
  <c r="H111" i="13"/>
  <c r="I111" i="13"/>
  <c r="F112" i="13"/>
  <c r="G112" i="13"/>
  <c r="H112" i="13"/>
  <c r="I112" i="13"/>
  <c r="F113" i="13"/>
  <c r="G113" i="13"/>
  <c r="H113" i="13"/>
  <c r="I113" i="13"/>
  <c r="F114" i="13"/>
  <c r="G114" i="13"/>
  <c r="H114" i="13"/>
  <c r="I114" i="13"/>
  <c r="F115" i="13"/>
  <c r="G115" i="13"/>
  <c r="H115" i="13"/>
  <c r="I115" i="13"/>
  <c r="F116" i="13"/>
  <c r="G116" i="13"/>
  <c r="H116" i="13"/>
  <c r="I116" i="13"/>
  <c r="F117" i="13"/>
  <c r="G117" i="13"/>
  <c r="H117" i="13"/>
  <c r="I117" i="13"/>
  <c r="F118" i="13"/>
  <c r="G118" i="13"/>
  <c r="H118" i="13"/>
  <c r="I118" i="13"/>
  <c r="F119" i="13"/>
  <c r="G119" i="13"/>
  <c r="H119" i="13"/>
  <c r="I119" i="13"/>
  <c r="F120" i="13"/>
  <c r="G120" i="13"/>
  <c r="H120" i="13"/>
  <c r="I120" i="13"/>
  <c r="F121" i="13"/>
  <c r="G121" i="13"/>
  <c r="H121" i="13"/>
  <c r="I121" i="13"/>
  <c r="F122" i="13"/>
  <c r="G122" i="13"/>
  <c r="H122" i="13"/>
  <c r="I122" i="13"/>
  <c r="F123" i="13"/>
  <c r="G123" i="13"/>
  <c r="H123" i="13"/>
  <c r="I123" i="13"/>
  <c r="F124" i="13"/>
  <c r="G124" i="13"/>
  <c r="H124" i="13"/>
  <c r="I124" i="13"/>
  <c r="F125" i="13"/>
  <c r="G125" i="13"/>
  <c r="H125" i="13"/>
  <c r="I125" i="13"/>
  <c r="F126" i="13"/>
  <c r="G126" i="13"/>
  <c r="H126" i="13"/>
  <c r="I126" i="13"/>
  <c r="F127" i="13"/>
  <c r="G127" i="13"/>
  <c r="H127" i="13"/>
  <c r="I127" i="13"/>
  <c r="F128" i="13"/>
  <c r="G128" i="13"/>
  <c r="H128" i="13"/>
  <c r="I128" i="13"/>
  <c r="F129" i="13"/>
  <c r="G129" i="13"/>
  <c r="H129" i="13"/>
  <c r="I129" i="13"/>
  <c r="F130" i="13"/>
  <c r="G130" i="13"/>
  <c r="H130" i="13"/>
  <c r="I130" i="13"/>
  <c r="F131" i="13"/>
  <c r="G131" i="13"/>
  <c r="H131" i="13"/>
  <c r="I131" i="13"/>
  <c r="F132" i="13"/>
  <c r="G132" i="13"/>
  <c r="H132" i="13"/>
  <c r="I132" i="13"/>
  <c r="F133" i="13"/>
  <c r="G133" i="13"/>
  <c r="H133" i="13"/>
  <c r="I133" i="13"/>
  <c r="F134" i="13"/>
  <c r="G134" i="13"/>
  <c r="H134" i="13"/>
  <c r="I134" i="13"/>
  <c r="F135" i="13"/>
  <c r="G135" i="13"/>
  <c r="H135" i="13"/>
  <c r="I135" i="13"/>
  <c r="F136" i="13"/>
  <c r="G136" i="13"/>
  <c r="H136" i="13"/>
  <c r="I136" i="13"/>
  <c r="F137" i="13"/>
  <c r="G137" i="13"/>
  <c r="H137" i="13"/>
  <c r="I137" i="13"/>
  <c r="F138" i="13"/>
  <c r="G138" i="13"/>
  <c r="H138" i="13"/>
  <c r="I138" i="13"/>
  <c r="F139" i="13"/>
  <c r="G139" i="13"/>
  <c r="H139" i="13"/>
  <c r="I139" i="13"/>
  <c r="F140" i="13"/>
  <c r="G140" i="13"/>
  <c r="H140" i="13"/>
  <c r="I140" i="13"/>
  <c r="F141" i="13"/>
  <c r="G141" i="13"/>
  <c r="H141" i="13"/>
  <c r="I141" i="13"/>
  <c r="F142" i="13"/>
  <c r="G142" i="13"/>
  <c r="H142" i="13"/>
  <c r="I142" i="13"/>
  <c r="F143" i="13"/>
  <c r="G143" i="13"/>
  <c r="H143" i="13"/>
  <c r="I143" i="13"/>
  <c r="F144" i="13"/>
  <c r="G144" i="13"/>
  <c r="H144" i="13"/>
  <c r="I144" i="13"/>
  <c r="F145" i="13"/>
  <c r="G145" i="13"/>
  <c r="H145" i="13"/>
  <c r="I145" i="13"/>
  <c r="F146" i="13"/>
  <c r="G146" i="13"/>
  <c r="H146" i="13"/>
  <c r="I146" i="13"/>
  <c r="F147" i="13"/>
  <c r="G147" i="13"/>
  <c r="H147" i="13"/>
  <c r="I147" i="13"/>
  <c r="F148" i="13"/>
  <c r="G148" i="13"/>
  <c r="H148" i="13"/>
  <c r="I148" i="13"/>
  <c r="F149" i="13"/>
  <c r="G149" i="13"/>
  <c r="H149" i="13"/>
  <c r="I149" i="13"/>
  <c r="F150" i="13"/>
  <c r="G150" i="13"/>
  <c r="H150" i="13"/>
  <c r="I150" i="13"/>
  <c r="F151" i="13"/>
  <c r="G151" i="13"/>
  <c r="H151" i="13"/>
  <c r="I151" i="13"/>
  <c r="F152" i="13"/>
  <c r="G152" i="13"/>
  <c r="H152" i="13"/>
  <c r="I152" i="13"/>
  <c r="F153" i="13"/>
  <c r="G153" i="13"/>
  <c r="H153" i="13"/>
  <c r="I153" i="13"/>
  <c r="F154" i="13"/>
  <c r="G154" i="13"/>
  <c r="H154" i="13"/>
  <c r="I154" i="13"/>
  <c r="F155" i="13"/>
  <c r="G155" i="13"/>
  <c r="H155" i="13"/>
  <c r="I155" i="13"/>
  <c r="F156" i="13"/>
  <c r="G156" i="13"/>
  <c r="H156" i="13"/>
  <c r="I156" i="13"/>
  <c r="F157" i="13"/>
  <c r="G157" i="13"/>
  <c r="H157" i="13"/>
  <c r="I157" i="13"/>
  <c r="F158" i="13"/>
  <c r="G158" i="13"/>
  <c r="H158" i="13"/>
  <c r="I158" i="13"/>
  <c r="F159" i="13"/>
  <c r="G159" i="13"/>
  <c r="H159" i="13"/>
  <c r="I159" i="13"/>
  <c r="F160" i="13"/>
  <c r="G160" i="13"/>
  <c r="H160" i="13"/>
  <c r="I160" i="13"/>
  <c r="F161" i="13"/>
  <c r="G161" i="13"/>
  <c r="H161" i="13"/>
  <c r="I161" i="13"/>
  <c r="F162" i="13"/>
  <c r="G162" i="13"/>
  <c r="H162" i="13"/>
  <c r="I162" i="13"/>
  <c r="F163" i="13"/>
  <c r="G163" i="13"/>
  <c r="H163" i="13"/>
  <c r="I163" i="13"/>
  <c r="F164" i="13"/>
  <c r="G164" i="13"/>
  <c r="H164" i="13"/>
  <c r="I164" i="13"/>
  <c r="F165" i="13"/>
  <c r="G165" i="13"/>
  <c r="H165" i="13"/>
  <c r="I165" i="13"/>
  <c r="F166" i="13"/>
  <c r="G166" i="13"/>
  <c r="H166" i="13"/>
  <c r="I166" i="13"/>
  <c r="F167" i="13"/>
  <c r="G167" i="13"/>
  <c r="H167" i="13"/>
  <c r="I167" i="13"/>
  <c r="F168" i="13"/>
  <c r="G168" i="13"/>
  <c r="H168" i="13"/>
  <c r="I168" i="13"/>
  <c r="F169" i="13"/>
  <c r="G169" i="13"/>
  <c r="H169" i="13"/>
  <c r="I169" i="13"/>
  <c r="F170" i="13"/>
  <c r="G170" i="13"/>
  <c r="H170" i="13"/>
  <c r="I170" i="13"/>
  <c r="F171" i="13"/>
  <c r="G171" i="13"/>
  <c r="H171" i="13"/>
  <c r="I171" i="13"/>
  <c r="F172" i="13"/>
  <c r="G172" i="13"/>
  <c r="H172" i="13"/>
  <c r="I172" i="13"/>
  <c r="F173" i="13"/>
  <c r="G173" i="13"/>
  <c r="H173" i="13"/>
  <c r="I173" i="13"/>
  <c r="F174" i="13"/>
  <c r="G174" i="13"/>
  <c r="H174" i="13"/>
  <c r="I174" i="13"/>
  <c r="F175" i="13"/>
  <c r="G175" i="13"/>
  <c r="H175" i="13"/>
  <c r="I175" i="13"/>
  <c r="F176" i="13"/>
  <c r="G176" i="13"/>
  <c r="H176" i="13"/>
  <c r="I176" i="13"/>
  <c r="F177" i="13"/>
  <c r="G177" i="13"/>
  <c r="H177" i="13"/>
  <c r="I177" i="13"/>
  <c r="F178" i="13"/>
  <c r="G178" i="13"/>
  <c r="H178" i="13"/>
  <c r="I178" i="13"/>
  <c r="F179" i="13"/>
  <c r="G179" i="13"/>
  <c r="H179" i="13"/>
  <c r="I179" i="13"/>
  <c r="F180" i="13"/>
  <c r="G180" i="13"/>
  <c r="H180" i="13"/>
  <c r="I180" i="13"/>
  <c r="F181" i="13"/>
  <c r="G181" i="13"/>
  <c r="H181" i="13"/>
  <c r="I181" i="13"/>
  <c r="K181" i="13"/>
  <c r="N181" i="13" s="1"/>
  <c r="F182" i="13"/>
  <c r="G182" i="13"/>
  <c r="H182" i="13"/>
  <c r="K182" i="13" s="1"/>
  <c r="N182" i="13" s="1"/>
  <c r="I182" i="13"/>
  <c r="F183" i="13"/>
  <c r="G183" i="13"/>
  <c r="H183" i="13"/>
  <c r="K183" i="13" s="1"/>
  <c r="N183" i="13" s="1"/>
  <c r="I183" i="13"/>
  <c r="F184" i="13"/>
  <c r="G184" i="13"/>
  <c r="H184" i="13"/>
  <c r="I184" i="13"/>
  <c r="K184" i="13"/>
  <c r="N184" i="13" s="1"/>
  <c r="F185" i="13"/>
  <c r="G185" i="13"/>
  <c r="H185" i="13"/>
  <c r="I185" i="13"/>
  <c r="K185" i="13"/>
  <c r="N185" i="13" s="1"/>
  <c r="F186" i="13"/>
  <c r="G186" i="13"/>
  <c r="H186" i="13"/>
  <c r="I186" i="13"/>
  <c r="K186" i="13"/>
  <c r="N186" i="13" s="1"/>
  <c r="F187" i="13"/>
  <c r="G187" i="13"/>
  <c r="H187" i="13"/>
  <c r="I187" i="13"/>
  <c r="K187" i="13"/>
  <c r="N187" i="13" s="1"/>
  <c r="F188" i="13"/>
  <c r="G188" i="13"/>
  <c r="H188" i="13"/>
  <c r="K188" i="13" s="1"/>
  <c r="N188" i="13" s="1"/>
  <c r="I188" i="13"/>
  <c r="F189" i="13"/>
  <c r="G189" i="13"/>
  <c r="H189" i="13"/>
  <c r="I189" i="13"/>
  <c r="K189" i="13"/>
  <c r="N189" i="13" s="1"/>
  <c r="F190" i="13"/>
  <c r="G190" i="13"/>
  <c r="H190" i="13"/>
  <c r="I190" i="13"/>
  <c r="K190" i="13"/>
  <c r="N190" i="13" s="1"/>
  <c r="F191" i="13"/>
  <c r="G191" i="13"/>
  <c r="H191" i="13"/>
  <c r="I191" i="13"/>
  <c r="K191" i="13"/>
  <c r="N191" i="13" s="1"/>
  <c r="F192" i="13"/>
  <c r="G192" i="13"/>
  <c r="H192" i="13"/>
  <c r="I192" i="13"/>
  <c r="K192" i="13"/>
  <c r="N192" i="13" s="1"/>
  <c r="F193" i="13"/>
  <c r="G193" i="13"/>
  <c r="H193" i="13"/>
  <c r="I193" i="13"/>
  <c r="K193" i="13"/>
  <c r="N193" i="13" s="1"/>
  <c r="F194" i="13"/>
  <c r="G194" i="13"/>
  <c r="H194" i="13"/>
  <c r="K194" i="13" s="1"/>
  <c r="N194" i="13" s="1"/>
  <c r="I194" i="13"/>
  <c r="F195" i="13"/>
  <c r="G195" i="13"/>
  <c r="H195" i="13"/>
  <c r="I195" i="13"/>
  <c r="K195" i="13"/>
  <c r="N195" i="13" s="1"/>
  <c r="F196" i="13"/>
  <c r="G196" i="13"/>
  <c r="H196" i="13"/>
  <c r="I196" i="13"/>
  <c r="K196" i="13"/>
  <c r="N196" i="13" s="1"/>
  <c r="F197" i="13"/>
  <c r="G197" i="13"/>
  <c r="H197" i="13"/>
  <c r="I197" i="13"/>
  <c r="K197" i="13"/>
  <c r="N197" i="13" s="1"/>
  <c r="F198" i="13"/>
  <c r="G198" i="13"/>
  <c r="H198" i="13"/>
  <c r="K198" i="13" s="1"/>
  <c r="N198" i="13" s="1"/>
  <c r="I198" i="13"/>
  <c r="F199" i="13"/>
  <c r="G199" i="13"/>
  <c r="H199" i="13"/>
  <c r="I199" i="13"/>
  <c r="K199" i="13"/>
  <c r="N199" i="13" s="1"/>
  <c r="F200" i="13"/>
  <c r="G200" i="13"/>
  <c r="H200" i="13"/>
  <c r="I200" i="13"/>
  <c r="K200" i="13"/>
  <c r="N200" i="13" s="1"/>
  <c r="F201" i="13"/>
  <c r="G201" i="13"/>
  <c r="H201" i="13"/>
  <c r="K201" i="13" s="1"/>
  <c r="N201" i="13" s="1"/>
  <c r="I201" i="13"/>
  <c r="F202" i="13"/>
  <c r="G202" i="13"/>
  <c r="H202" i="13"/>
  <c r="I202" i="13"/>
  <c r="K202" i="13"/>
  <c r="N202" i="13" s="1"/>
  <c r="F203" i="13"/>
  <c r="G203" i="13"/>
  <c r="H203" i="13"/>
  <c r="I203" i="13"/>
  <c r="K203" i="13"/>
  <c r="N203" i="13" s="1"/>
  <c r="F204" i="13"/>
  <c r="G204" i="13"/>
  <c r="H204" i="13"/>
  <c r="I204" i="13"/>
  <c r="K204" i="13"/>
  <c r="N204" i="13" s="1"/>
  <c r="F205" i="13"/>
  <c r="G205" i="13"/>
  <c r="H205" i="13"/>
  <c r="I205" i="13"/>
  <c r="K205" i="13"/>
  <c r="N205" i="13" s="1"/>
  <c r="F206" i="13"/>
  <c r="G206" i="13"/>
  <c r="H206" i="13"/>
  <c r="I206" i="13"/>
  <c r="K206" i="13"/>
  <c r="N206" i="13" s="1"/>
  <c r="F207" i="13"/>
  <c r="G207" i="13"/>
  <c r="H207" i="13"/>
  <c r="I207" i="13"/>
  <c r="K207" i="13"/>
  <c r="N207" i="13" s="1"/>
  <c r="F208" i="13"/>
  <c r="G208" i="13"/>
  <c r="H208" i="13"/>
  <c r="I208" i="13"/>
  <c r="K208" i="13"/>
  <c r="N208" i="13" s="1"/>
  <c r="F209" i="13"/>
  <c r="G209" i="13"/>
  <c r="H209" i="13"/>
  <c r="I209" i="13"/>
  <c r="K209" i="13"/>
  <c r="N209" i="13" s="1"/>
  <c r="F210" i="13"/>
  <c r="G210" i="13"/>
  <c r="H210" i="13"/>
  <c r="I210" i="13"/>
  <c r="K210" i="13"/>
  <c r="N210" i="13" s="1"/>
  <c r="F211" i="13"/>
  <c r="G211" i="13"/>
  <c r="H211" i="13"/>
  <c r="K211" i="13" s="1"/>
  <c r="N211" i="13" s="1"/>
  <c r="I211" i="13"/>
  <c r="F212" i="13"/>
  <c r="G212" i="13"/>
  <c r="H212" i="13"/>
  <c r="I212" i="13"/>
  <c r="K212" i="13"/>
  <c r="N212" i="13" s="1"/>
  <c r="F213" i="13"/>
  <c r="G213" i="13"/>
  <c r="H213" i="13"/>
  <c r="I213" i="13"/>
  <c r="K213" i="13"/>
  <c r="N213" i="13" s="1"/>
  <c r="F214" i="13"/>
  <c r="G214" i="13"/>
  <c r="H214" i="13"/>
  <c r="I214" i="13"/>
  <c r="K214" i="13"/>
  <c r="N214" i="13" s="1"/>
  <c r="F215" i="13"/>
  <c r="G215" i="13"/>
  <c r="H215" i="13"/>
  <c r="I215" i="13"/>
  <c r="K215" i="13"/>
  <c r="N215" i="13" s="1"/>
  <c r="F216" i="13"/>
  <c r="G216" i="13"/>
  <c r="H216" i="13"/>
  <c r="I216" i="13"/>
  <c r="K216" i="13"/>
  <c r="N216" i="13" s="1"/>
  <c r="F217" i="13"/>
  <c r="G217" i="13"/>
  <c r="H217" i="13"/>
  <c r="K217" i="13" s="1"/>
  <c r="N217" i="13" s="1"/>
  <c r="I217" i="13"/>
  <c r="F218" i="13"/>
  <c r="G218" i="13"/>
  <c r="H218" i="13"/>
  <c r="I218" i="13"/>
  <c r="K218" i="13"/>
  <c r="N218" i="13" s="1"/>
  <c r="F219" i="13"/>
  <c r="G219" i="13"/>
  <c r="H219" i="13"/>
  <c r="I219" i="13"/>
  <c r="K219" i="13"/>
  <c r="N219" i="13" s="1"/>
  <c r="F220" i="13"/>
  <c r="G220" i="13"/>
  <c r="H220" i="13"/>
  <c r="I220" i="13"/>
  <c r="K220" i="13"/>
  <c r="N220" i="13" s="1"/>
  <c r="F221" i="13"/>
  <c r="G221" i="13"/>
  <c r="H221" i="13"/>
  <c r="I221" i="13"/>
  <c r="K221" i="13"/>
  <c r="N221" i="13" s="1"/>
  <c r="F222" i="13"/>
  <c r="G222" i="13"/>
  <c r="H222" i="13"/>
  <c r="I222" i="13"/>
  <c r="K222" i="13"/>
  <c r="N222" i="13" s="1"/>
  <c r="F223" i="13"/>
  <c r="G223" i="13"/>
  <c r="H223" i="13"/>
  <c r="K223" i="13" s="1"/>
  <c r="N223" i="13" s="1"/>
  <c r="I223" i="13"/>
  <c r="F224" i="13"/>
  <c r="G224" i="13"/>
  <c r="H224" i="13"/>
  <c r="I224" i="13"/>
  <c r="K224" i="13"/>
  <c r="N224" i="13" s="1"/>
  <c r="F225" i="13"/>
  <c r="G225" i="13"/>
  <c r="H225" i="13"/>
  <c r="I225" i="13"/>
  <c r="K225" i="13"/>
  <c r="N225" i="13" s="1"/>
  <c r="F226" i="13"/>
  <c r="G226" i="13"/>
  <c r="H226" i="13"/>
  <c r="I226" i="13"/>
  <c r="K226" i="13"/>
  <c r="N226" i="13" s="1"/>
  <c r="F227" i="13"/>
  <c r="G227" i="13"/>
  <c r="H227" i="13"/>
  <c r="I227" i="13"/>
  <c r="K227" i="13"/>
  <c r="N227" i="13" s="1"/>
  <c r="F228" i="13"/>
  <c r="G228" i="13"/>
  <c r="H228" i="13"/>
  <c r="I228" i="13"/>
  <c r="K228" i="13"/>
  <c r="N228" i="13" s="1"/>
  <c r="F229" i="13"/>
  <c r="G229" i="13"/>
  <c r="H229" i="13"/>
  <c r="I229" i="13"/>
  <c r="K229" i="13"/>
  <c r="N229" i="13" s="1"/>
  <c r="F230" i="13"/>
  <c r="G230" i="13"/>
  <c r="H230" i="13"/>
  <c r="I230" i="13"/>
  <c r="K230" i="13"/>
  <c r="N230" i="13" s="1"/>
  <c r="F231" i="13"/>
  <c r="G231" i="13"/>
  <c r="H231" i="13"/>
  <c r="I231" i="13"/>
  <c r="K231" i="13"/>
  <c r="N231" i="13" s="1"/>
  <c r="F232" i="13"/>
  <c r="G232" i="13"/>
  <c r="H232" i="13"/>
  <c r="I232" i="13"/>
  <c r="K232" i="13"/>
  <c r="N232" i="13" s="1"/>
  <c r="F233" i="13"/>
  <c r="G233" i="13"/>
  <c r="H233" i="13"/>
  <c r="I233" i="13"/>
  <c r="K233" i="13"/>
  <c r="N233" i="13" s="1"/>
  <c r="F234" i="13"/>
  <c r="G234" i="13"/>
  <c r="H234" i="13"/>
  <c r="I234" i="13"/>
  <c r="K234" i="13"/>
  <c r="N234" i="13" s="1"/>
  <c r="F235" i="13"/>
  <c r="G235" i="13"/>
  <c r="H235" i="13"/>
  <c r="K235" i="13" s="1"/>
  <c r="N235" i="13" s="1"/>
  <c r="I235" i="13"/>
  <c r="F236" i="13"/>
  <c r="G236" i="13"/>
  <c r="H236" i="13"/>
  <c r="I236" i="13"/>
  <c r="K236" i="13"/>
  <c r="N236" i="13" s="1"/>
  <c r="F237" i="13"/>
  <c r="G237" i="13"/>
  <c r="H237" i="13"/>
  <c r="I237" i="13"/>
  <c r="K237" i="13"/>
  <c r="N237" i="13" s="1"/>
  <c r="F238" i="13"/>
  <c r="G238" i="13"/>
  <c r="H238" i="13"/>
  <c r="I238" i="13"/>
  <c r="K238" i="13"/>
  <c r="N238" i="13" s="1"/>
  <c r="F239" i="13"/>
  <c r="G239" i="13"/>
  <c r="H239" i="13"/>
  <c r="K239" i="13" s="1"/>
  <c r="N239" i="13" s="1"/>
  <c r="I239" i="13"/>
  <c r="F240" i="13"/>
  <c r="G240" i="13"/>
  <c r="H240" i="13"/>
  <c r="I240" i="13"/>
  <c r="K240" i="13"/>
  <c r="N240" i="13" s="1"/>
  <c r="F241" i="13"/>
  <c r="G241" i="13"/>
  <c r="H241" i="13"/>
  <c r="I241" i="13"/>
  <c r="K241" i="13"/>
  <c r="N241" i="13" s="1"/>
  <c r="F242" i="13"/>
  <c r="G242" i="13"/>
  <c r="H242" i="13"/>
  <c r="I242" i="13"/>
  <c r="K242" i="13"/>
  <c r="N242" i="13" s="1"/>
  <c r="F243" i="13"/>
  <c r="G243" i="13"/>
  <c r="H243" i="13"/>
  <c r="I243" i="13"/>
  <c r="K243" i="13"/>
  <c r="N243" i="13" s="1"/>
  <c r="F244" i="13"/>
  <c r="G244" i="13"/>
  <c r="H244" i="13"/>
  <c r="I244" i="13"/>
  <c r="K244" i="13"/>
  <c r="N244" i="13" s="1"/>
  <c r="F245" i="13"/>
  <c r="G245" i="13"/>
  <c r="H245" i="13"/>
  <c r="I245" i="13"/>
  <c r="K245" i="13"/>
  <c r="N245" i="13" s="1"/>
  <c r="F246" i="13"/>
  <c r="G246" i="13"/>
  <c r="H246" i="13"/>
  <c r="I246" i="13"/>
  <c r="K246" i="13"/>
  <c r="N246" i="13" s="1"/>
  <c r="F247" i="13"/>
  <c r="G247" i="13"/>
  <c r="H247" i="13"/>
  <c r="I247" i="13"/>
  <c r="K247" i="13"/>
  <c r="N247" i="13" s="1"/>
  <c r="F248" i="13"/>
  <c r="G248" i="13"/>
  <c r="H248" i="13"/>
  <c r="I248" i="13"/>
  <c r="K248" i="13"/>
  <c r="N248" i="13" s="1"/>
  <c r="F249" i="13"/>
  <c r="G249" i="13"/>
  <c r="H249" i="13"/>
  <c r="I249" i="13"/>
  <c r="K249" i="13"/>
  <c r="N249" i="13" s="1"/>
  <c r="F250" i="13"/>
  <c r="G250" i="13"/>
  <c r="H250" i="13"/>
  <c r="K250" i="13" s="1"/>
  <c r="N250" i="13" s="1"/>
  <c r="I250" i="13"/>
  <c r="F251" i="13"/>
  <c r="G251" i="13"/>
  <c r="H251" i="13"/>
  <c r="K251" i="13" s="1"/>
  <c r="N251" i="13" s="1"/>
  <c r="I251" i="13"/>
  <c r="F252" i="13"/>
  <c r="G252" i="13"/>
  <c r="H252" i="13"/>
  <c r="I252" i="13"/>
  <c r="K252" i="13"/>
  <c r="N252" i="13" s="1"/>
  <c r="F253" i="13"/>
  <c r="G253" i="13"/>
  <c r="H253" i="13"/>
  <c r="K253" i="13" s="1"/>
  <c r="N253" i="13" s="1"/>
  <c r="I253" i="13"/>
  <c r="F254" i="13"/>
  <c r="G254" i="13"/>
  <c r="H254" i="13"/>
  <c r="I254" i="13"/>
  <c r="K254" i="13"/>
  <c r="N254" i="13" s="1"/>
  <c r="F255" i="13"/>
  <c r="G255" i="13"/>
  <c r="H255" i="13"/>
  <c r="I255" i="13"/>
  <c r="K255" i="13"/>
  <c r="N255" i="13" s="1"/>
  <c r="F256" i="13"/>
  <c r="G256" i="13"/>
  <c r="H256" i="13"/>
  <c r="K256" i="13" s="1"/>
  <c r="N256" i="13" s="1"/>
  <c r="I256" i="13"/>
  <c r="F257" i="13"/>
  <c r="G257" i="13"/>
  <c r="H257" i="13"/>
  <c r="I257" i="13"/>
  <c r="K257" i="13"/>
  <c r="N257" i="13" s="1"/>
  <c r="F258" i="13"/>
  <c r="G258" i="13"/>
  <c r="H258" i="13"/>
  <c r="I258" i="13"/>
  <c r="K258" i="13"/>
  <c r="N258" i="13" s="1"/>
  <c r="F259" i="13"/>
  <c r="G259" i="13"/>
  <c r="H259" i="13"/>
  <c r="K259" i="13" s="1"/>
  <c r="N259" i="13" s="1"/>
  <c r="I259" i="13"/>
  <c r="F260" i="13"/>
  <c r="G260" i="13"/>
  <c r="H260" i="13"/>
  <c r="I260" i="13"/>
  <c r="K260" i="13"/>
  <c r="N260" i="13" s="1"/>
  <c r="F261" i="13"/>
  <c r="G261" i="13"/>
  <c r="H261" i="13"/>
  <c r="I261" i="13"/>
  <c r="K261" i="13"/>
  <c r="N261" i="13" s="1"/>
  <c r="F262" i="13"/>
  <c r="G262" i="13"/>
  <c r="H262" i="13"/>
  <c r="I262" i="13"/>
  <c r="K262" i="13"/>
  <c r="N262" i="13" s="1"/>
  <c r="F263" i="13"/>
  <c r="G263" i="13"/>
  <c r="H263" i="13"/>
  <c r="I263" i="13"/>
  <c r="K263" i="13"/>
  <c r="N263" i="13" s="1"/>
  <c r="F264" i="13"/>
  <c r="G264" i="13"/>
  <c r="H264" i="13"/>
  <c r="I264" i="13"/>
  <c r="K264" i="13"/>
  <c r="N264" i="13" s="1"/>
  <c r="F265" i="13"/>
  <c r="G265" i="13"/>
  <c r="H265" i="13"/>
  <c r="I265" i="13"/>
  <c r="K265" i="13"/>
  <c r="N265" i="13" s="1"/>
  <c r="F266" i="13"/>
  <c r="G266" i="13"/>
  <c r="H266" i="13"/>
  <c r="I266" i="13"/>
  <c r="K266" i="13"/>
  <c r="N266" i="13" s="1"/>
  <c r="F267" i="13"/>
  <c r="G267" i="13"/>
  <c r="H267" i="13"/>
  <c r="I267" i="13"/>
  <c r="K267" i="13"/>
  <c r="N267" i="13" s="1"/>
  <c r="F268" i="13"/>
  <c r="G268" i="13"/>
  <c r="H268" i="13"/>
  <c r="I268" i="13"/>
  <c r="K268" i="13"/>
  <c r="N268" i="13" s="1"/>
  <c r="F269" i="13"/>
  <c r="G269" i="13"/>
  <c r="H269" i="13"/>
  <c r="I269" i="13"/>
  <c r="K269" i="13"/>
  <c r="N269" i="13" s="1"/>
  <c r="F270" i="13"/>
  <c r="G270" i="13"/>
  <c r="H270" i="13"/>
  <c r="I270" i="13"/>
  <c r="K270" i="13"/>
  <c r="N270" i="13" s="1"/>
  <c r="F271" i="13"/>
  <c r="G271" i="13"/>
  <c r="H271" i="13"/>
  <c r="I271" i="13"/>
  <c r="K271" i="13"/>
  <c r="N271" i="13" s="1"/>
  <c r="F272" i="13"/>
  <c r="G272" i="13"/>
  <c r="H272" i="13"/>
  <c r="I272" i="13"/>
  <c r="K272" i="13"/>
  <c r="N272" i="13" s="1"/>
  <c r="F273" i="13"/>
  <c r="G273" i="13"/>
  <c r="H273" i="13"/>
  <c r="K273" i="13" s="1"/>
  <c r="N273" i="13" s="1"/>
  <c r="I273" i="13"/>
  <c r="F274" i="13"/>
  <c r="G274" i="13"/>
  <c r="H274" i="13"/>
  <c r="I274" i="13"/>
  <c r="K274" i="13"/>
  <c r="N274" i="13" s="1"/>
  <c r="F275" i="13"/>
  <c r="G275" i="13"/>
  <c r="H275" i="13"/>
  <c r="K275" i="13" s="1"/>
  <c r="N275" i="13" s="1"/>
  <c r="I275" i="13"/>
  <c r="F276" i="13"/>
  <c r="G276" i="13"/>
  <c r="H276" i="13"/>
  <c r="I276" i="13"/>
  <c r="K276" i="13"/>
  <c r="N276" i="13" s="1"/>
  <c r="F277" i="13"/>
  <c r="G277" i="13"/>
  <c r="H277" i="13"/>
  <c r="K277" i="13" s="1"/>
  <c r="N277" i="13" s="1"/>
  <c r="I277" i="13"/>
  <c r="F278" i="13"/>
  <c r="G278" i="13"/>
  <c r="H278" i="13"/>
  <c r="I278" i="13"/>
  <c r="K278" i="13"/>
  <c r="N278" i="13" s="1"/>
  <c r="F279" i="13"/>
  <c r="G279" i="13"/>
  <c r="H279" i="13"/>
  <c r="I279" i="13"/>
  <c r="K279" i="13"/>
  <c r="N279" i="13" s="1"/>
  <c r="F280" i="13"/>
  <c r="G280" i="13"/>
  <c r="H280" i="13"/>
  <c r="K280" i="13" s="1"/>
  <c r="N280" i="13" s="1"/>
  <c r="I280" i="13"/>
  <c r="F281" i="13"/>
  <c r="G281" i="13"/>
  <c r="H281" i="13"/>
  <c r="I281" i="13"/>
  <c r="K281" i="13"/>
  <c r="N281" i="13" s="1"/>
  <c r="F282" i="13"/>
  <c r="G282" i="13"/>
  <c r="H282" i="13"/>
  <c r="I282" i="13"/>
  <c r="K282" i="13"/>
  <c r="N282" i="13" s="1"/>
  <c r="F283" i="13"/>
  <c r="G283" i="13"/>
  <c r="H283" i="13"/>
  <c r="K283" i="13" s="1"/>
  <c r="N283" i="13" s="1"/>
  <c r="I283" i="13"/>
  <c r="F284" i="13"/>
  <c r="G284" i="13"/>
  <c r="H284" i="13"/>
  <c r="I284" i="13"/>
  <c r="K284" i="13"/>
  <c r="N284" i="13" s="1"/>
  <c r="F285" i="13"/>
  <c r="G285" i="13"/>
  <c r="H285" i="13"/>
  <c r="I285" i="13"/>
  <c r="K285" i="13"/>
  <c r="N285" i="13" s="1"/>
  <c r="F286" i="13"/>
  <c r="G286" i="13"/>
  <c r="H286" i="13"/>
  <c r="I286" i="13"/>
  <c r="K286" i="13"/>
  <c r="N286" i="13" s="1"/>
  <c r="F287" i="13"/>
  <c r="K287" i="13" s="1"/>
  <c r="N287" i="13" s="1"/>
  <c r="G287" i="13"/>
  <c r="H287" i="13"/>
  <c r="I287" i="13"/>
  <c r="F288" i="13"/>
  <c r="G288" i="13"/>
  <c r="H288" i="13"/>
  <c r="I288" i="13"/>
  <c r="F289" i="13"/>
  <c r="G289" i="13"/>
  <c r="H289" i="13"/>
  <c r="I289" i="13"/>
  <c r="K289" i="13"/>
  <c r="N289" i="13" s="1"/>
  <c r="F290" i="13"/>
  <c r="G290" i="13"/>
  <c r="H290" i="13"/>
  <c r="I290" i="13"/>
  <c r="K290" i="13"/>
  <c r="N290" i="13" s="1"/>
  <c r="F291" i="13"/>
  <c r="G291" i="13"/>
  <c r="H291" i="13"/>
  <c r="I291" i="13"/>
  <c r="F292" i="13"/>
  <c r="G292" i="13"/>
  <c r="H292" i="13"/>
  <c r="I292" i="13"/>
  <c r="K292" i="13"/>
  <c r="N292" i="13" s="1"/>
  <c r="F293" i="13"/>
  <c r="G293" i="13"/>
  <c r="H293" i="13"/>
  <c r="I293" i="13"/>
  <c r="F294" i="13"/>
  <c r="G294" i="13"/>
  <c r="H294" i="13"/>
  <c r="I294" i="13"/>
  <c r="K294" i="13"/>
  <c r="N294" i="13" s="1"/>
  <c r="F295" i="13"/>
  <c r="G295" i="13"/>
  <c r="H295" i="13"/>
  <c r="K295" i="13" s="1"/>
  <c r="N295" i="13" s="1"/>
  <c r="I295" i="13"/>
  <c r="F296" i="13"/>
  <c r="G296" i="13"/>
  <c r="H296" i="13"/>
  <c r="I296" i="13"/>
  <c r="F297" i="13"/>
  <c r="G297" i="13"/>
  <c r="H297" i="13"/>
  <c r="I297" i="13"/>
  <c r="F298" i="13"/>
  <c r="G298" i="13"/>
  <c r="H298" i="13"/>
  <c r="I298" i="13"/>
  <c r="F299" i="13"/>
  <c r="G299" i="13"/>
  <c r="H299" i="13"/>
  <c r="I299" i="13"/>
  <c r="F300" i="13"/>
  <c r="G300" i="13"/>
  <c r="H300" i="13"/>
  <c r="I300" i="13"/>
  <c r="F301" i="13"/>
  <c r="G301" i="13"/>
  <c r="H301" i="13"/>
  <c r="I301" i="13"/>
  <c r="F302" i="13"/>
  <c r="G302" i="13"/>
  <c r="H302" i="13"/>
  <c r="I302" i="13"/>
  <c r="F303" i="13"/>
  <c r="G303" i="13"/>
  <c r="H303" i="13"/>
  <c r="I303" i="13"/>
  <c r="F304" i="13"/>
  <c r="G304" i="13"/>
  <c r="H304" i="13"/>
  <c r="K304" i="13" s="1"/>
  <c r="N304" i="13" s="1"/>
  <c r="I304" i="13"/>
  <c r="F305" i="13"/>
  <c r="G305" i="13"/>
  <c r="H305" i="13"/>
  <c r="I305" i="13"/>
  <c r="F306" i="13"/>
  <c r="G306" i="13"/>
  <c r="H306" i="13"/>
  <c r="K306" i="13" s="1"/>
  <c r="N306" i="13" s="1"/>
  <c r="I306" i="13"/>
  <c r="F307" i="13"/>
  <c r="G307" i="13"/>
  <c r="H307" i="13"/>
  <c r="I307" i="13"/>
  <c r="K307" i="13"/>
  <c r="N307" i="13" s="1"/>
  <c r="F308" i="13"/>
  <c r="G308" i="13"/>
  <c r="H308" i="13"/>
  <c r="I308" i="13"/>
  <c r="F309" i="13"/>
  <c r="G309" i="13"/>
  <c r="H309" i="13"/>
  <c r="I309" i="13"/>
  <c r="F310" i="13"/>
  <c r="G310" i="13"/>
  <c r="H310" i="13"/>
  <c r="K310" i="13" s="1"/>
  <c r="N310" i="13" s="1"/>
  <c r="I310" i="13"/>
  <c r="F311" i="13"/>
  <c r="G311" i="13"/>
  <c r="H311" i="13"/>
  <c r="I311" i="13"/>
  <c r="F312" i="13"/>
  <c r="G312" i="13"/>
  <c r="H312" i="13"/>
  <c r="I312" i="13"/>
  <c r="F313" i="13"/>
  <c r="G313" i="13"/>
  <c r="H313" i="13"/>
  <c r="I313" i="13"/>
  <c r="F314" i="13"/>
  <c r="G314" i="13"/>
  <c r="H314" i="13"/>
  <c r="I314" i="13"/>
  <c r="F315" i="13"/>
  <c r="G315" i="13"/>
  <c r="H315" i="13"/>
  <c r="I315" i="13"/>
  <c r="F316" i="13"/>
  <c r="G316" i="13"/>
  <c r="H316" i="13"/>
  <c r="I316" i="13"/>
  <c r="F317" i="13"/>
  <c r="G317" i="13"/>
  <c r="H317" i="13"/>
  <c r="I317" i="13"/>
  <c r="F318" i="13"/>
  <c r="G318" i="13"/>
  <c r="H318" i="13"/>
  <c r="I318" i="13"/>
  <c r="F319" i="13"/>
  <c r="G319" i="13"/>
  <c r="H319" i="13"/>
  <c r="I319" i="13"/>
  <c r="F320" i="13"/>
  <c r="G320" i="13"/>
  <c r="H320" i="13"/>
  <c r="I320" i="13"/>
  <c r="F321" i="13"/>
  <c r="G321" i="13"/>
  <c r="H321" i="13"/>
  <c r="I321" i="13"/>
  <c r="F322" i="13"/>
  <c r="G322" i="13"/>
  <c r="H322" i="13"/>
  <c r="I322" i="13"/>
  <c r="F323" i="13"/>
  <c r="G323" i="13"/>
  <c r="H323" i="13"/>
  <c r="I323" i="13"/>
  <c r="F324" i="13"/>
  <c r="G324" i="13"/>
  <c r="H324" i="13"/>
  <c r="I324" i="13"/>
  <c r="F325" i="13"/>
  <c r="G325" i="13"/>
  <c r="H325" i="13"/>
  <c r="I325" i="13"/>
  <c r="F326" i="13"/>
  <c r="G326" i="13"/>
  <c r="H326" i="13"/>
  <c r="I326" i="13"/>
  <c r="F327" i="13"/>
  <c r="G327" i="13"/>
  <c r="H327" i="13"/>
  <c r="I327" i="13"/>
  <c r="F328" i="13"/>
  <c r="G328" i="13"/>
  <c r="H328" i="13"/>
  <c r="I328" i="13"/>
  <c r="F329" i="13"/>
  <c r="G329" i="13"/>
  <c r="H329" i="13"/>
  <c r="I329" i="13"/>
  <c r="F330" i="13"/>
  <c r="G330" i="13"/>
  <c r="H330" i="13"/>
  <c r="I330" i="13"/>
  <c r="F331" i="13"/>
  <c r="G331" i="13"/>
  <c r="H331" i="13"/>
  <c r="I331" i="13"/>
  <c r="F332" i="13"/>
  <c r="G332" i="13"/>
  <c r="H332" i="13"/>
  <c r="I332" i="13"/>
  <c r="F333" i="13"/>
  <c r="G333" i="13"/>
  <c r="H333" i="13"/>
  <c r="I333" i="13"/>
  <c r="F334" i="13"/>
  <c r="G334" i="13"/>
  <c r="H334" i="13"/>
  <c r="I334" i="13"/>
  <c r="F335" i="13"/>
  <c r="G335" i="13"/>
  <c r="H335" i="13"/>
  <c r="I335" i="13"/>
  <c r="F336" i="13"/>
  <c r="G336" i="13"/>
  <c r="H336" i="13"/>
  <c r="I336" i="13"/>
  <c r="F337" i="13"/>
  <c r="G337" i="13"/>
  <c r="H337" i="13"/>
  <c r="I337" i="13"/>
  <c r="F338" i="13"/>
  <c r="G338" i="13"/>
  <c r="H338" i="13"/>
  <c r="I338" i="13"/>
  <c r="F339" i="13"/>
  <c r="G339" i="13"/>
  <c r="H339" i="13"/>
  <c r="I339" i="13"/>
  <c r="F340" i="13"/>
  <c r="G340" i="13"/>
  <c r="H340" i="13"/>
  <c r="I340" i="13"/>
  <c r="F341" i="13"/>
  <c r="G341" i="13"/>
  <c r="H341" i="13"/>
  <c r="I341" i="13"/>
  <c r="F342" i="13"/>
  <c r="G342" i="13"/>
  <c r="H342" i="13"/>
  <c r="I342" i="13"/>
  <c r="F343" i="13"/>
  <c r="G343" i="13"/>
  <c r="H343" i="13"/>
  <c r="I343" i="13"/>
  <c r="F344" i="13"/>
  <c r="G344" i="13"/>
  <c r="H344" i="13"/>
  <c r="I344" i="13"/>
  <c r="F345" i="13"/>
  <c r="G345" i="13"/>
  <c r="H345" i="13"/>
  <c r="I345" i="13"/>
  <c r="F346" i="13"/>
  <c r="G346" i="13"/>
  <c r="H346" i="13"/>
  <c r="I346" i="13"/>
  <c r="F347" i="13"/>
  <c r="G347" i="13"/>
  <c r="H347" i="13"/>
  <c r="I347" i="13"/>
  <c r="F348" i="13"/>
  <c r="G348" i="13"/>
  <c r="H348" i="13"/>
  <c r="I348" i="13"/>
  <c r="F349" i="13"/>
  <c r="G349" i="13"/>
  <c r="H349" i="13"/>
  <c r="I349" i="13"/>
  <c r="F350" i="13"/>
  <c r="G350" i="13"/>
  <c r="H350" i="13"/>
  <c r="I350" i="13"/>
  <c r="F351" i="13"/>
  <c r="G351" i="13"/>
  <c r="H351" i="13"/>
  <c r="I351" i="13"/>
  <c r="F352" i="13"/>
  <c r="G352" i="13"/>
  <c r="H352" i="13"/>
  <c r="I352" i="13"/>
  <c r="F353" i="13"/>
  <c r="G353" i="13"/>
  <c r="H353" i="13"/>
  <c r="I353" i="13"/>
  <c r="F354" i="13"/>
  <c r="G354" i="13"/>
  <c r="H354" i="13"/>
  <c r="I354" i="13"/>
  <c r="F355" i="13"/>
  <c r="G355" i="13"/>
  <c r="H355" i="13"/>
  <c r="I355" i="13"/>
  <c r="F356" i="13"/>
  <c r="G356" i="13"/>
  <c r="H356" i="13"/>
  <c r="I356" i="13"/>
  <c r="F357" i="13"/>
  <c r="G357" i="13"/>
  <c r="H357" i="13"/>
  <c r="I357" i="13"/>
  <c r="F358" i="13"/>
  <c r="G358" i="13"/>
  <c r="H358" i="13"/>
  <c r="I358" i="13"/>
  <c r="F359" i="13"/>
  <c r="G359" i="13"/>
  <c r="H359" i="13"/>
  <c r="I359" i="13"/>
  <c r="F360" i="13"/>
  <c r="G360" i="13"/>
  <c r="H360" i="13"/>
  <c r="I360" i="13"/>
  <c r="F361" i="13"/>
  <c r="G361" i="13"/>
  <c r="H361" i="13"/>
  <c r="I361" i="13"/>
  <c r="F362" i="13"/>
  <c r="G362" i="13"/>
  <c r="H362" i="13"/>
  <c r="I362" i="13"/>
  <c r="F363" i="13"/>
  <c r="G363" i="13"/>
  <c r="H363" i="13"/>
  <c r="I363" i="13"/>
  <c r="F364" i="13"/>
  <c r="G364" i="13"/>
  <c r="H364" i="13"/>
  <c r="I364" i="13"/>
  <c r="F365" i="13"/>
  <c r="G365" i="13"/>
  <c r="H365" i="13"/>
  <c r="I365" i="13"/>
  <c r="F366" i="13"/>
  <c r="G366" i="13"/>
  <c r="H366" i="13"/>
  <c r="I366" i="13"/>
  <c r="F367" i="13"/>
  <c r="G367" i="13"/>
  <c r="H367" i="13"/>
  <c r="I367" i="13"/>
  <c r="F368" i="13"/>
  <c r="G368" i="13"/>
  <c r="H368" i="13"/>
  <c r="I368" i="13"/>
  <c r="F369" i="13"/>
  <c r="G369" i="13"/>
  <c r="H369" i="13"/>
  <c r="I369" i="13"/>
  <c r="F370" i="13"/>
  <c r="G370" i="13"/>
  <c r="H370" i="13"/>
  <c r="I370" i="13"/>
  <c r="F371" i="13"/>
  <c r="G371" i="13"/>
  <c r="H371" i="13"/>
  <c r="I371" i="13"/>
  <c r="F372" i="13"/>
  <c r="G372" i="13"/>
  <c r="H372" i="13"/>
  <c r="I372" i="13"/>
  <c r="F373" i="13"/>
  <c r="G373" i="13"/>
  <c r="H373" i="13"/>
  <c r="I373" i="13"/>
  <c r="K373" i="13"/>
  <c r="N373" i="13" s="1"/>
  <c r="F374" i="13"/>
  <c r="G374" i="13"/>
  <c r="H374" i="13"/>
  <c r="I374" i="13"/>
  <c r="K374" i="13"/>
  <c r="N374" i="13" s="1"/>
  <c r="F375" i="13"/>
  <c r="G375" i="13"/>
  <c r="H375" i="13"/>
  <c r="K375" i="13" s="1"/>
  <c r="N375" i="13" s="1"/>
  <c r="I375" i="13"/>
  <c r="F376" i="13"/>
  <c r="G376" i="13"/>
  <c r="H376" i="13"/>
  <c r="I376" i="13"/>
  <c r="K376" i="13"/>
  <c r="N376" i="13" s="1"/>
  <c r="F377" i="13"/>
  <c r="G377" i="13"/>
  <c r="H377" i="13"/>
  <c r="I377" i="13"/>
  <c r="K377" i="13"/>
  <c r="N377" i="13" s="1"/>
  <c r="F378" i="13"/>
  <c r="K378" i="13" s="1"/>
  <c r="N378" i="13" s="1"/>
  <c r="G378" i="13"/>
  <c r="H378" i="13"/>
  <c r="I378" i="13"/>
  <c r="F379" i="13"/>
  <c r="G379" i="13"/>
  <c r="H379" i="13"/>
  <c r="K379" i="13" s="1"/>
  <c r="N379" i="13" s="1"/>
  <c r="I379" i="13"/>
  <c r="F380" i="13"/>
  <c r="G380" i="13"/>
  <c r="H380" i="13"/>
  <c r="I380" i="13"/>
  <c r="K380" i="13"/>
  <c r="N380" i="13" s="1"/>
  <c r="F381" i="13"/>
  <c r="G381" i="13"/>
  <c r="H381" i="13"/>
  <c r="I381" i="13"/>
  <c r="K381" i="13"/>
  <c r="N381" i="13" s="1"/>
  <c r="F382" i="13"/>
  <c r="G382" i="13"/>
  <c r="H382" i="13"/>
  <c r="I382" i="13"/>
  <c r="K382" i="13"/>
  <c r="N382" i="13" s="1"/>
  <c r="F383" i="13"/>
  <c r="G383" i="13"/>
  <c r="H383" i="13"/>
  <c r="K383" i="13" s="1"/>
  <c r="N383" i="13" s="1"/>
  <c r="I383" i="13"/>
  <c r="F384" i="13"/>
  <c r="G384" i="13"/>
  <c r="H384" i="13"/>
  <c r="I384" i="13"/>
  <c r="K384" i="13"/>
  <c r="N384" i="13" s="1"/>
  <c r="F385" i="13"/>
  <c r="G385" i="13"/>
  <c r="H385" i="13"/>
  <c r="I385" i="13"/>
  <c r="K385" i="13"/>
  <c r="N385" i="13" s="1"/>
  <c r="F386" i="13"/>
  <c r="G386" i="13"/>
  <c r="H386" i="13"/>
  <c r="K386" i="13" s="1"/>
  <c r="N386" i="13" s="1"/>
  <c r="I386" i="13"/>
  <c r="F387" i="13"/>
  <c r="G387" i="13"/>
  <c r="H387" i="13"/>
  <c r="I387" i="13"/>
  <c r="K387" i="13"/>
  <c r="N387" i="13" s="1"/>
  <c r="F388" i="13"/>
  <c r="G388" i="13"/>
  <c r="H388" i="13"/>
  <c r="I388" i="13"/>
  <c r="K388" i="13"/>
  <c r="N388" i="13" s="1"/>
  <c r="F389" i="13"/>
  <c r="G389" i="13"/>
  <c r="H389" i="13"/>
  <c r="I389" i="13"/>
  <c r="K389" i="13"/>
  <c r="N389" i="13" s="1"/>
  <c r="F390" i="13"/>
  <c r="G390" i="13"/>
  <c r="H390" i="13"/>
  <c r="I390" i="13"/>
  <c r="K390" i="13"/>
  <c r="N390" i="13" s="1"/>
  <c r="F391" i="13"/>
  <c r="G391" i="13"/>
  <c r="H391" i="13"/>
  <c r="I391" i="13"/>
  <c r="K391" i="13"/>
  <c r="N391" i="13" s="1"/>
  <c r="F392" i="13"/>
  <c r="G392" i="13"/>
  <c r="H392" i="13"/>
  <c r="I392" i="13"/>
  <c r="K392" i="13"/>
  <c r="N392" i="13" s="1"/>
  <c r="F393" i="13"/>
  <c r="G393" i="13"/>
  <c r="H393" i="13"/>
  <c r="K393" i="13" s="1"/>
  <c r="N393" i="13" s="1"/>
  <c r="I393" i="13"/>
  <c r="F394" i="13"/>
  <c r="G394" i="13"/>
  <c r="H394" i="13"/>
  <c r="I394" i="13"/>
  <c r="K394" i="13"/>
  <c r="N394" i="13" s="1"/>
  <c r="F395" i="13"/>
  <c r="G395" i="13"/>
  <c r="H395" i="13"/>
  <c r="I395" i="13"/>
  <c r="K395" i="13"/>
  <c r="N395" i="13" s="1"/>
  <c r="F396" i="13"/>
  <c r="G396" i="13"/>
  <c r="H396" i="13"/>
  <c r="I396" i="13"/>
  <c r="K396" i="13"/>
  <c r="N396" i="13" s="1"/>
  <c r="F397" i="13"/>
  <c r="G397" i="13"/>
  <c r="H397" i="13"/>
  <c r="I397" i="13"/>
  <c r="K397" i="13"/>
  <c r="N397" i="13" s="1"/>
  <c r="F398" i="13"/>
  <c r="G398" i="13"/>
  <c r="H398" i="13"/>
  <c r="I398" i="13"/>
  <c r="K398" i="13"/>
  <c r="N398" i="13" s="1"/>
  <c r="F399" i="13"/>
  <c r="G399" i="13"/>
  <c r="H399" i="13"/>
  <c r="I399" i="13"/>
  <c r="K399" i="13"/>
  <c r="N399" i="13" s="1"/>
  <c r="F400" i="13"/>
  <c r="G400" i="13"/>
  <c r="H400" i="13"/>
  <c r="I400" i="13"/>
  <c r="K400" i="13"/>
  <c r="N400" i="13" s="1"/>
  <c r="F401" i="13"/>
  <c r="G401" i="13"/>
  <c r="H401" i="13"/>
  <c r="I401" i="13"/>
  <c r="K401" i="13"/>
  <c r="N401" i="13" s="1"/>
  <c r="F402" i="13"/>
  <c r="G402" i="13"/>
  <c r="H402" i="13"/>
  <c r="I402" i="13"/>
  <c r="K402" i="13"/>
  <c r="N402" i="13" s="1"/>
  <c r="F403" i="13"/>
  <c r="G403" i="13"/>
  <c r="H403" i="13"/>
  <c r="I403" i="13"/>
  <c r="K403" i="13"/>
  <c r="N403" i="13" s="1"/>
  <c r="F404" i="13"/>
  <c r="G404" i="13"/>
  <c r="H404" i="13"/>
  <c r="I404" i="13"/>
  <c r="K404" i="13"/>
  <c r="N404" i="13" s="1"/>
  <c r="F405" i="13"/>
  <c r="G405" i="13"/>
  <c r="H405" i="13"/>
  <c r="I405" i="13"/>
  <c r="K405" i="13"/>
  <c r="N405" i="13" s="1"/>
  <c r="F406" i="13"/>
  <c r="G406" i="13"/>
  <c r="H406" i="13"/>
  <c r="K406" i="13" s="1"/>
  <c r="N406" i="13" s="1"/>
  <c r="I406" i="13"/>
  <c r="F407" i="13"/>
  <c r="G407" i="13"/>
  <c r="H407" i="13"/>
  <c r="K407" i="13" s="1"/>
  <c r="N407" i="13" s="1"/>
  <c r="I407" i="13"/>
  <c r="F408" i="13"/>
  <c r="G408" i="13"/>
  <c r="H408" i="13"/>
  <c r="I408" i="13"/>
  <c r="F409" i="13"/>
  <c r="G409" i="13"/>
  <c r="H409" i="13"/>
  <c r="K409" i="13" s="1"/>
  <c r="N409" i="13" s="1"/>
  <c r="I409" i="13"/>
  <c r="F410" i="13"/>
  <c r="G410" i="13"/>
  <c r="H410" i="13"/>
  <c r="I410" i="13"/>
  <c r="K410" i="13"/>
  <c r="N410" i="13" s="1"/>
  <c r="F411" i="13"/>
  <c r="G411" i="13"/>
  <c r="H411" i="13"/>
  <c r="I411" i="13"/>
  <c r="K411" i="13"/>
  <c r="N411" i="13" s="1"/>
  <c r="F412" i="13"/>
  <c r="G412" i="13"/>
  <c r="H412" i="13"/>
  <c r="I412" i="13"/>
  <c r="K412" i="13"/>
  <c r="N412" i="13" s="1"/>
  <c r="F413" i="13"/>
  <c r="G413" i="13"/>
  <c r="H413" i="13"/>
  <c r="I413" i="13"/>
  <c r="K413" i="13"/>
  <c r="N413" i="13" s="1"/>
  <c r="F414" i="13"/>
  <c r="G414" i="13"/>
  <c r="H414" i="13"/>
  <c r="I414" i="13"/>
  <c r="K414" i="13"/>
  <c r="N414" i="13" s="1"/>
  <c r="F415" i="13"/>
  <c r="G415" i="13"/>
  <c r="H415" i="13"/>
  <c r="I415" i="13"/>
  <c r="K415" i="13"/>
  <c r="N415" i="13" s="1"/>
  <c r="F416" i="13"/>
  <c r="G416" i="13"/>
  <c r="H416" i="13"/>
  <c r="K416" i="13" s="1"/>
  <c r="N416" i="13" s="1"/>
  <c r="I416" i="13"/>
  <c r="F417" i="13"/>
  <c r="G417" i="13"/>
  <c r="H417" i="13"/>
  <c r="I417" i="13"/>
  <c r="K417" i="13"/>
  <c r="N417" i="13" s="1"/>
  <c r="F418" i="13"/>
  <c r="G418" i="13"/>
  <c r="H418" i="13"/>
  <c r="I418" i="13"/>
  <c r="K418" i="13"/>
  <c r="N418" i="13" s="1"/>
  <c r="F419" i="13"/>
  <c r="G419" i="13"/>
  <c r="H419" i="13"/>
  <c r="K419" i="13" s="1"/>
  <c r="N419" i="13" s="1"/>
  <c r="I419" i="13"/>
  <c r="F420" i="13"/>
  <c r="G420" i="13"/>
  <c r="H420" i="13"/>
  <c r="I420" i="13"/>
  <c r="K420" i="13"/>
  <c r="N420" i="13" s="1"/>
  <c r="F421" i="13"/>
  <c r="G421" i="13"/>
  <c r="H421" i="13"/>
  <c r="K421" i="13" s="1"/>
  <c r="N421" i="13" s="1"/>
  <c r="I421" i="13"/>
  <c r="F422" i="13"/>
  <c r="G422" i="13"/>
  <c r="H422" i="13"/>
  <c r="I422" i="13"/>
  <c r="K422" i="13"/>
  <c r="N422" i="13" s="1"/>
  <c r="F423" i="13"/>
  <c r="G423" i="13"/>
  <c r="H423" i="13"/>
  <c r="K423" i="13" s="1"/>
  <c r="N423" i="13" s="1"/>
  <c r="I423" i="13"/>
  <c r="F424" i="13"/>
  <c r="G424" i="13"/>
  <c r="H424" i="13"/>
  <c r="K424" i="13" s="1"/>
  <c r="N424" i="13" s="1"/>
  <c r="I424" i="13"/>
  <c r="F425" i="13"/>
  <c r="G425" i="13"/>
  <c r="H425" i="13"/>
  <c r="I425" i="13"/>
  <c r="K425" i="13"/>
  <c r="N425" i="13" s="1"/>
  <c r="F426" i="13"/>
  <c r="G426" i="13"/>
  <c r="H426" i="13"/>
  <c r="I426" i="13"/>
  <c r="K426" i="13"/>
  <c r="N426" i="13" s="1"/>
  <c r="F427" i="13"/>
  <c r="G427" i="13"/>
  <c r="H427" i="13"/>
  <c r="I427" i="13"/>
  <c r="K427" i="13"/>
  <c r="N427" i="13" s="1"/>
  <c r="F428" i="13"/>
  <c r="G428" i="13"/>
  <c r="H428" i="13"/>
  <c r="K428" i="13" s="1"/>
  <c r="N428" i="13" s="1"/>
  <c r="I428" i="13"/>
  <c r="F429" i="13"/>
  <c r="G429" i="13"/>
  <c r="H429" i="13"/>
  <c r="I429" i="13"/>
  <c r="K429" i="13"/>
  <c r="N429" i="13" s="1"/>
  <c r="F430" i="13"/>
  <c r="G430" i="13"/>
  <c r="H430" i="13"/>
  <c r="I430" i="13"/>
  <c r="K430" i="13"/>
  <c r="N430" i="13" s="1"/>
  <c r="F431" i="13"/>
  <c r="G431" i="13"/>
  <c r="H431" i="13"/>
  <c r="K431" i="13" s="1"/>
  <c r="N431" i="13" s="1"/>
  <c r="I431" i="13"/>
  <c r="F432" i="13"/>
  <c r="G432" i="13"/>
  <c r="H432" i="13"/>
  <c r="I432" i="13"/>
  <c r="K432" i="13"/>
  <c r="N432" i="13" s="1"/>
  <c r="F433" i="13"/>
  <c r="G433" i="13"/>
  <c r="H433" i="13"/>
  <c r="K433" i="13" s="1"/>
  <c r="N433" i="13" s="1"/>
  <c r="I433" i="13"/>
  <c r="F434" i="13"/>
  <c r="G434" i="13"/>
  <c r="H434" i="13"/>
  <c r="I434" i="13"/>
  <c r="K434" i="13"/>
  <c r="N434" i="13" s="1"/>
  <c r="F435" i="13"/>
  <c r="G435" i="13"/>
  <c r="H435" i="13"/>
  <c r="K435" i="13" s="1"/>
  <c r="N435" i="13" s="1"/>
  <c r="I435" i="13"/>
  <c r="F436" i="13"/>
  <c r="G436" i="13"/>
  <c r="H436" i="13"/>
  <c r="I436" i="13"/>
  <c r="K436" i="13"/>
  <c r="N436" i="13" s="1"/>
  <c r="F437" i="13"/>
  <c r="G437" i="13"/>
  <c r="H437" i="13"/>
  <c r="K437" i="13" s="1"/>
  <c r="N437" i="13" s="1"/>
  <c r="I437" i="13"/>
  <c r="F438" i="13"/>
  <c r="G438" i="13"/>
  <c r="H438" i="13"/>
  <c r="K438" i="13" s="1"/>
  <c r="N438" i="13" s="1"/>
  <c r="I438" i="13"/>
  <c r="F439" i="13"/>
  <c r="G439" i="13"/>
  <c r="H439" i="13"/>
  <c r="I439" i="13"/>
  <c r="K439" i="13"/>
  <c r="N439" i="13" s="1"/>
  <c r="F440" i="13"/>
  <c r="G440" i="13"/>
  <c r="H440" i="13"/>
  <c r="K440" i="13" s="1"/>
  <c r="N440" i="13" s="1"/>
  <c r="I440" i="13"/>
  <c r="F441" i="13"/>
  <c r="G441" i="13"/>
  <c r="H441" i="13"/>
  <c r="I441" i="13"/>
  <c r="K441" i="13"/>
  <c r="N441" i="13" s="1"/>
  <c r="F442" i="13"/>
  <c r="G442" i="13"/>
  <c r="H442" i="13"/>
  <c r="I442" i="13"/>
  <c r="K442" i="13"/>
  <c r="N442" i="13" s="1"/>
  <c r="F443" i="13"/>
  <c r="G443" i="13"/>
  <c r="H443" i="13"/>
  <c r="K443" i="13" s="1"/>
  <c r="N443" i="13" s="1"/>
  <c r="I443" i="13"/>
  <c r="F444" i="13"/>
  <c r="G444" i="13"/>
  <c r="H444" i="13"/>
  <c r="I444" i="13"/>
  <c r="K444" i="13"/>
  <c r="N444" i="13" s="1"/>
  <c r="F445" i="13"/>
  <c r="G445" i="13"/>
  <c r="H445" i="13"/>
  <c r="I445" i="13"/>
  <c r="K445" i="13"/>
  <c r="N445" i="13" s="1"/>
  <c r="F446" i="13"/>
  <c r="G446" i="13"/>
  <c r="H446" i="13"/>
  <c r="I446" i="13"/>
  <c r="K446" i="13"/>
  <c r="N446" i="13" s="1"/>
  <c r="F447" i="13"/>
  <c r="G447" i="13"/>
  <c r="H447" i="13"/>
  <c r="I447" i="13"/>
  <c r="K447" i="13"/>
  <c r="N447" i="13" s="1"/>
  <c r="F448" i="13"/>
  <c r="G448" i="13"/>
  <c r="H448" i="13"/>
  <c r="I448" i="13"/>
  <c r="K448" i="13"/>
  <c r="N448" i="13" s="1"/>
  <c r="F449" i="13"/>
  <c r="G449" i="13"/>
  <c r="H449" i="13"/>
  <c r="K449" i="13" s="1"/>
  <c r="N449" i="13" s="1"/>
  <c r="I449" i="13"/>
  <c r="F450" i="13"/>
  <c r="G450" i="13"/>
  <c r="H450" i="13"/>
  <c r="I450" i="13"/>
  <c r="K450" i="13"/>
  <c r="N450" i="13" s="1"/>
  <c r="F451" i="13"/>
  <c r="G451" i="13"/>
  <c r="H451" i="13"/>
  <c r="I451" i="13"/>
  <c r="F452" i="13"/>
  <c r="G452" i="13"/>
  <c r="H452" i="13"/>
  <c r="I452" i="13"/>
  <c r="F453" i="13"/>
  <c r="G453" i="13"/>
  <c r="H453" i="13"/>
  <c r="I453" i="13"/>
  <c r="F454" i="13"/>
  <c r="G454" i="13"/>
  <c r="H454" i="13"/>
  <c r="I454" i="13"/>
  <c r="F455" i="13"/>
  <c r="G455" i="13"/>
  <c r="H455" i="13"/>
  <c r="I455" i="13"/>
  <c r="F456" i="13"/>
  <c r="G456" i="13"/>
  <c r="H456" i="13"/>
  <c r="I456" i="13"/>
  <c r="F457" i="13"/>
  <c r="G457" i="13"/>
  <c r="H457" i="13"/>
  <c r="I457" i="13"/>
  <c r="F458" i="13"/>
  <c r="G458" i="13"/>
  <c r="H458" i="13"/>
  <c r="I458" i="13"/>
  <c r="F459" i="13"/>
  <c r="G459" i="13"/>
  <c r="H459" i="13"/>
  <c r="I459" i="13"/>
  <c r="F460" i="13"/>
  <c r="G460" i="13"/>
  <c r="H460" i="13"/>
  <c r="I460" i="13"/>
  <c r="F461" i="13"/>
  <c r="G461" i="13"/>
  <c r="H461" i="13"/>
  <c r="I461" i="13"/>
  <c r="F462" i="13"/>
  <c r="G462" i="13"/>
  <c r="H462" i="13"/>
  <c r="I462" i="13"/>
  <c r="F463" i="13"/>
  <c r="G463" i="13"/>
  <c r="H463" i="13"/>
  <c r="I463" i="13"/>
  <c r="F464" i="13"/>
  <c r="G464" i="13"/>
  <c r="H464" i="13"/>
  <c r="I464" i="13"/>
  <c r="F465" i="13"/>
  <c r="G465" i="13"/>
  <c r="H465" i="13"/>
  <c r="I465" i="13"/>
  <c r="F466" i="13"/>
  <c r="G466" i="13"/>
  <c r="H466" i="13"/>
  <c r="I466" i="13"/>
  <c r="F467" i="13"/>
  <c r="G467" i="13"/>
  <c r="H467" i="13"/>
  <c r="I467" i="13"/>
  <c r="F468" i="13"/>
  <c r="G468" i="13"/>
  <c r="H468" i="13"/>
  <c r="I468" i="13"/>
  <c r="K468" i="13"/>
  <c r="N468" i="13" s="1"/>
  <c r="F469" i="13"/>
  <c r="G469" i="13"/>
  <c r="H469" i="13"/>
  <c r="I469" i="13"/>
  <c r="K469" i="13"/>
  <c r="N469" i="13" s="1"/>
  <c r="F470" i="13"/>
  <c r="G470" i="13"/>
  <c r="H470" i="13"/>
  <c r="I470" i="13"/>
  <c r="F471" i="13"/>
  <c r="G471" i="13"/>
  <c r="H471" i="13"/>
  <c r="I471" i="13"/>
  <c r="K471" i="13"/>
  <c r="N471" i="13" s="1"/>
  <c r="F472" i="13"/>
  <c r="G472" i="13"/>
  <c r="H472" i="13"/>
  <c r="I472" i="13"/>
  <c r="F473" i="13"/>
  <c r="G473" i="13"/>
  <c r="H473" i="13"/>
  <c r="K473" i="13" s="1"/>
  <c r="N473" i="13" s="1"/>
  <c r="I473" i="13"/>
  <c r="F474" i="13"/>
  <c r="G474" i="13"/>
  <c r="H474" i="13"/>
  <c r="I474" i="13"/>
  <c r="K474" i="13"/>
  <c r="N474" i="13" s="1"/>
  <c r="F475" i="13"/>
  <c r="G475" i="13"/>
  <c r="H475" i="13"/>
  <c r="K475" i="13" s="1"/>
  <c r="N475" i="13" s="1"/>
  <c r="I475" i="13"/>
  <c r="F476" i="13"/>
  <c r="G476" i="13"/>
  <c r="H476" i="13"/>
  <c r="I476" i="13"/>
  <c r="K476" i="13"/>
  <c r="N476" i="13" s="1"/>
  <c r="F477" i="13"/>
  <c r="G477" i="13"/>
  <c r="H477" i="13"/>
  <c r="K477" i="13" s="1"/>
  <c r="N477" i="13" s="1"/>
  <c r="I477" i="13"/>
  <c r="F478" i="13"/>
  <c r="G478" i="13"/>
  <c r="H478" i="13"/>
  <c r="I478" i="13"/>
  <c r="F479" i="13"/>
  <c r="G479" i="13"/>
  <c r="H479" i="13"/>
  <c r="K479" i="13" s="1"/>
  <c r="N479" i="13" s="1"/>
  <c r="I479" i="13"/>
  <c r="F480" i="13"/>
  <c r="G480" i="13"/>
  <c r="H480" i="13"/>
  <c r="I480" i="13"/>
  <c r="K480" i="13"/>
  <c r="N480" i="13" s="1"/>
  <c r="F481" i="13"/>
  <c r="G481" i="13"/>
  <c r="H481" i="13"/>
  <c r="I481" i="13"/>
  <c r="K481" i="13"/>
  <c r="N481" i="13" s="1"/>
  <c r="F482" i="13"/>
  <c r="G482" i="13"/>
  <c r="H482" i="13"/>
  <c r="I482" i="13"/>
  <c r="F483" i="13"/>
  <c r="G483" i="13"/>
  <c r="H483" i="13"/>
  <c r="I483" i="13"/>
  <c r="F484" i="13"/>
  <c r="G484" i="13"/>
  <c r="H484" i="13"/>
  <c r="I484" i="13"/>
  <c r="K484" i="13"/>
  <c r="N484" i="13" s="1"/>
  <c r="F485" i="13"/>
  <c r="G485" i="13"/>
  <c r="H485" i="13"/>
  <c r="K485" i="13" s="1"/>
  <c r="N485" i="13" s="1"/>
  <c r="I485" i="13"/>
  <c r="F486" i="13"/>
  <c r="G486" i="13"/>
  <c r="H486" i="13"/>
  <c r="I486" i="13"/>
  <c r="F487" i="13"/>
  <c r="G487" i="13"/>
  <c r="H487" i="13"/>
  <c r="K487" i="13" s="1"/>
  <c r="N487" i="13" s="1"/>
  <c r="I487" i="13"/>
  <c r="F488" i="13"/>
  <c r="G488" i="13"/>
  <c r="H488" i="13"/>
  <c r="I488" i="13"/>
  <c r="F489" i="13"/>
  <c r="G489" i="13"/>
  <c r="H489" i="13"/>
  <c r="I489" i="13"/>
  <c r="K489" i="13"/>
  <c r="N489" i="13" s="1"/>
  <c r="F490" i="13"/>
  <c r="G490" i="13"/>
  <c r="H490" i="13"/>
  <c r="I490" i="13"/>
  <c r="F491" i="13"/>
  <c r="G491" i="13"/>
  <c r="H491" i="13"/>
  <c r="I491" i="13"/>
  <c r="F492" i="13"/>
  <c r="G492" i="13"/>
  <c r="H492" i="13"/>
  <c r="K492" i="13" s="1"/>
  <c r="N492" i="13" s="1"/>
  <c r="I492" i="13"/>
  <c r="F493" i="13"/>
  <c r="G493" i="13"/>
  <c r="H493" i="13"/>
  <c r="I493" i="13"/>
  <c r="K493" i="13"/>
  <c r="N493" i="13" s="1"/>
  <c r="F494" i="13"/>
  <c r="G494" i="13"/>
  <c r="H494" i="13"/>
  <c r="I494" i="13"/>
  <c r="F495" i="13"/>
  <c r="G495" i="13"/>
  <c r="H495" i="13"/>
  <c r="I495" i="13"/>
  <c r="F496" i="13"/>
  <c r="G496" i="13"/>
  <c r="H496" i="13"/>
  <c r="I496" i="13"/>
  <c r="F497" i="13"/>
  <c r="G497" i="13"/>
  <c r="H497" i="13"/>
  <c r="K497" i="13" s="1"/>
  <c r="N497" i="13" s="1"/>
  <c r="I497" i="13"/>
  <c r="F498" i="13"/>
  <c r="G498" i="13"/>
  <c r="H498" i="13"/>
  <c r="I498" i="13"/>
  <c r="F499" i="13"/>
  <c r="G499" i="13"/>
  <c r="H499" i="13"/>
  <c r="K499" i="13" s="1"/>
  <c r="N499" i="13" s="1"/>
  <c r="I499" i="13"/>
  <c r="F500" i="13"/>
  <c r="G500" i="13"/>
  <c r="H500" i="13"/>
  <c r="I500" i="13"/>
  <c r="F501" i="13"/>
  <c r="G501" i="13"/>
  <c r="H501" i="13"/>
  <c r="K501" i="13" s="1"/>
  <c r="N501" i="13" s="1"/>
  <c r="I501" i="13"/>
  <c r="F502" i="13"/>
  <c r="G502" i="13"/>
  <c r="H502" i="13"/>
  <c r="K502" i="13" s="1"/>
  <c r="N502" i="13" s="1"/>
  <c r="I502" i="13"/>
  <c r="F503" i="13"/>
  <c r="G503" i="13"/>
  <c r="H503" i="13"/>
  <c r="I503" i="13"/>
  <c r="F504" i="13"/>
  <c r="G504" i="13"/>
  <c r="H504" i="13"/>
  <c r="I504" i="13"/>
  <c r="F505" i="13"/>
  <c r="G505" i="13"/>
  <c r="H505" i="13"/>
  <c r="I505" i="13"/>
  <c r="K505" i="13"/>
  <c r="N505" i="13" s="1"/>
  <c r="F506" i="13"/>
  <c r="G506" i="13"/>
  <c r="H506" i="13"/>
  <c r="K506" i="13" s="1"/>
  <c r="N506" i="13" s="1"/>
  <c r="I506" i="13"/>
  <c r="F507" i="13"/>
  <c r="G507" i="13"/>
  <c r="H507" i="13"/>
  <c r="K507" i="13" s="1"/>
  <c r="N507" i="13" s="1"/>
  <c r="I507" i="13"/>
  <c r="F508" i="13"/>
  <c r="G508" i="13"/>
  <c r="H508" i="13"/>
  <c r="K508" i="13" s="1"/>
  <c r="N508" i="13" s="1"/>
  <c r="I508" i="13"/>
  <c r="F509" i="13"/>
  <c r="G509" i="13"/>
  <c r="H509" i="13"/>
  <c r="I509" i="13"/>
  <c r="F510" i="13"/>
  <c r="G510" i="13"/>
  <c r="H510" i="13"/>
  <c r="I510" i="13"/>
  <c r="K510" i="13"/>
  <c r="N510" i="13" s="1"/>
  <c r="F511" i="13"/>
  <c r="G511" i="13"/>
  <c r="H511" i="13"/>
  <c r="I511" i="13"/>
  <c r="K511" i="13"/>
  <c r="N511" i="13" s="1"/>
  <c r="F512" i="13"/>
  <c r="G512" i="13"/>
  <c r="H512" i="13"/>
  <c r="I512" i="13"/>
  <c r="F513" i="13"/>
  <c r="G513" i="13"/>
  <c r="H513" i="13"/>
  <c r="I513" i="13"/>
  <c r="F514" i="13"/>
  <c r="G514" i="13"/>
  <c r="H514" i="13"/>
  <c r="I514" i="13"/>
  <c r="K514" i="13"/>
  <c r="N514" i="13" s="1"/>
  <c r="F515" i="13"/>
  <c r="G515" i="13"/>
  <c r="H515" i="13"/>
  <c r="I515" i="13"/>
  <c r="K515" i="13"/>
  <c r="N515" i="13" s="1"/>
  <c r="F516" i="13"/>
  <c r="G516" i="13"/>
  <c r="H516" i="13"/>
  <c r="K516" i="13" s="1"/>
  <c r="N516" i="13" s="1"/>
  <c r="I516" i="13"/>
  <c r="F517" i="13"/>
  <c r="G517" i="13"/>
  <c r="H517" i="13"/>
  <c r="I517" i="13"/>
  <c r="F518" i="13"/>
  <c r="G518" i="13"/>
  <c r="H518" i="13"/>
  <c r="I518" i="13"/>
  <c r="F519" i="13"/>
  <c r="G519" i="13"/>
  <c r="H519" i="13"/>
  <c r="I519" i="13"/>
  <c r="F520" i="13"/>
  <c r="G520" i="13"/>
  <c r="H520" i="13"/>
  <c r="I520" i="13"/>
  <c r="F521" i="13"/>
  <c r="G521" i="13"/>
  <c r="H521" i="13"/>
  <c r="I521" i="13"/>
  <c r="F522" i="13"/>
  <c r="G522" i="13"/>
  <c r="H522" i="13"/>
  <c r="I522" i="13"/>
  <c r="F523" i="13"/>
  <c r="G523" i="13"/>
  <c r="H523" i="13"/>
  <c r="I523" i="13"/>
  <c r="F524" i="13"/>
  <c r="G524" i="13"/>
  <c r="H524" i="13"/>
  <c r="I524" i="13"/>
  <c r="F525" i="13"/>
  <c r="G525" i="13"/>
  <c r="H525" i="13"/>
  <c r="K525" i="13" s="1"/>
  <c r="N525" i="13" s="1"/>
  <c r="I525" i="13"/>
  <c r="F526" i="13"/>
  <c r="G526" i="13"/>
  <c r="H526" i="13"/>
  <c r="I526" i="13"/>
  <c r="F527" i="13"/>
  <c r="G527" i="13"/>
  <c r="H527" i="13"/>
  <c r="K527" i="13" s="1"/>
  <c r="N527" i="13" s="1"/>
  <c r="I527" i="13"/>
  <c r="F528" i="13"/>
  <c r="G528" i="13"/>
  <c r="H528" i="13"/>
  <c r="I528" i="13"/>
  <c r="F529" i="13"/>
  <c r="G529" i="13"/>
  <c r="H529" i="13"/>
  <c r="I529" i="13"/>
  <c r="F530" i="13"/>
  <c r="G530" i="13"/>
  <c r="H530" i="13"/>
  <c r="K530" i="13" s="1"/>
  <c r="N530" i="13" s="1"/>
  <c r="I530" i="13"/>
  <c r="F531" i="13"/>
  <c r="G531" i="13"/>
  <c r="H531" i="13"/>
  <c r="I531" i="13"/>
  <c r="K531" i="13"/>
  <c r="N531" i="13" s="1"/>
  <c r="F532" i="13"/>
  <c r="G532" i="13"/>
  <c r="H532" i="13"/>
  <c r="K532" i="13" s="1"/>
  <c r="N532" i="13" s="1"/>
  <c r="I532" i="13"/>
  <c r="F533" i="13"/>
  <c r="G533" i="13"/>
  <c r="H533" i="13"/>
  <c r="I533" i="13"/>
  <c r="F534" i="13"/>
  <c r="G534" i="13"/>
  <c r="H534" i="13"/>
  <c r="I534" i="13"/>
  <c r="K534" i="13"/>
  <c r="N534" i="13" s="1"/>
  <c r="F535" i="13"/>
  <c r="G535" i="13"/>
  <c r="H535" i="13"/>
  <c r="K535" i="13" s="1"/>
  <c r="N535" i="13" s="1"/>
  <c r="I535" i="13"/>
  <c r="F536" i="13"/>
  <c r="G536" i="13"/>
  <c r="H536" i="13"/>
  <c r="K536" i="13" s="1"/>
  <c r="N536" i="13" s="1"/>
  <c r="I536" i="13"/>
  <c r="F537" i="13"/>
  <c r="G537" i="13"/>
  <c r="H537" i="13"/>
  <c r="K537" i="13" s="1"/>
  <c r="N537" i="13" s="1"/>
  <c r="I537" i="13"/>
  <c r="F538" i="13"/>
  <c r="G538" i="13"/>
  <c r="H538" i="13"/>
  <c r="I538" i="13"/>
  <c r="K538" i="13"/>
  <c r="N538" i="13" s="1"/>
  <c r="F539" i="13"/>
  <c r="G539" i="13"/>
  <c r="H539" i="13"/>
  <c r="K539" i="13" s="1"/>
  <c r="N539" i="13" s="1"/>
  <c r="I539" i="13"/>
  <c r="K288" i="13" l="1"/>
  <c r="N288" i="13" s="1"/>
  <c r="K291" i="13"/>
  <c r="N291" i="13" s="1"/>
  <c r="L18" i="13"/>
  <c r="O18" i="13" s="1"/>
  <c r="J18" i="13"/>
  <c r="M18" i="13" s="1"/>
  <c r="L17" i="13"/>
  <c r="O17" i="13" s="1"/>
  <c r="J17" i="13"/>
  <c r="M17" i="13" s="1"/>
  <c r="L16" i="13"/>
  <c r="O16" i="13" s="1"/>
  <c r="J16" i="13"/>
  <c r="M16" i="13" s="1"/>
  <c r="L15" i="13"/>
  <c r="O15" i="13" s="1"/>
  <c r="J15" i="13"/>
  <c r="M15" i="13" s="1"/>
  <c r="L14" i="13"/>
  <c r="O14" i="13" s="1"/>
  <c r="J14" i="13"/>
  <c r="M14" i="13" s="1"/>
  <c r="L13" i="13"/>
  <c r="O13" i="13" s="1"/>
  <c r="J13" i="13"/>
  <c r="M13" i="13" s="1"/>
  <c r="K293" i="13"/>
  <c r="N293" i="13" s="1"/>
  <c r="J311" i="13"/>
  <c r="M311" i="13" s="1"/>
  <c r="J145" i="13"/>
  <c r="M145" i="13" s="1"/>
  <c r="J92" i="13"/>
  <c r="M92" i="13" s="1"/>
  <c r="J65" i="13"/>
  <c r="M65" i="13" s="1"/>
  <c r="J53" i="13"/>
  <c r="M53" i="13" s="1"/>
  <c r="L46" i="13"/>
  <c r="O46" i="13" s="1"/>
  <c r="J44" i="13"/>
  <c r="M44" i="13" s="1"/>
  <c r="J41" i="13"/>
  <c r="M41" i="13" s="1"/>
  <c r="L413" i="13"/>
  <c r="O413" i="13" s="1"/>
  <c r="L412" i="13"/>
  <c r="O412" i="13" s="1"/>
  <c r="J412" i="13"/>
  <c r="M412" i="13" s="1"/>
  <c r="L411" i="13"/>
  <c r="O411" i="13" s="1"/>
  <c r="J411" i="13"/>
  <c r="M411" i="13" s="1"/>
  <c r="L408" i="13"/>
  <c r="O408" i="13" s="1"/>
  <c r="J408" i="13"/>
  <c r="M408" i="13" s="1"/>
  <c r="L407" i="13"/>
  <c r="O407" i="13" s="1"/>
  <c r="J407" i="13"/>
  <c r="M407" i="13" s="1"/>
  <c r="L406" i="13"/>
  <c r="O406" i="13" s="1"/>
  <c r="J406" i="13"/>
  <c r="M406" i="13" s="1"/>
  <c r="L520" i="13"/>
  <c r="O520" i="13" s="1"/>
  <c r="L516" i="13"/>
  <c r="O516" i="13" s="1"/>
  <c r="L512" i="13"/>
  <c r="O512" i="13" s="1"/>
  <c r="J364" i="13"/>
  <c r="M364" i="13" s="1"/>
  <c r="J359" i="13"/>
  <c r="M359" i="13" s="1"/>
  <c r="J356" i="13"/>
  <c r="M356" i="13" s="1"/>
  <c r="J355" i="13"/>
  <c r="M355" i="13" s="1"/>
  <c r="J354" i="13"/>
  <c r="M354" i="13" s="1"/>
  <c r="L353" i="13"/>
  <c r="O353" i="13" s="1"/>
  <c r="J343" i="13"/>
  <c r="M343" i="13" s="1"/>
  <c r="L337" i="13"/>
  <c r="O337" i="13" s="1"/>
  <c r="J332" i="13"/>
  <c r="M332" i="13" s="1"/>
  <c r="L321" i="13"/>
  <c r="O321" i="13" s="1"/>
  <c r="J316" i="13"/>
  <c r="M316" i="13" s="1"/>
  <c r="L313" i="13"/>
  <c r="O313" i="13" s="1"/>
  <c r="J312" i="13"/>
  <c r="M312" i="13" s="1"/>
  <c r="L311" i="13"/>
  <c r="O311" i="13" s="1"/>
  <c r="J306" i="13"/>
  <c r="M306" i="13" s="1"/>
  <c r="J304" i="13"/>
  <c r="M304" i="13" s="1"/>
  <c r="J303" i="13"/>
  <c r="M303" i="13" s="1"/>
  <c r="L302" i="13"/>
  <c r="O302" i="13" s="1"/>
  <c r="L513" i="13"/>
  <c r="O513" i="13" s="1"/>
  <c r="J513" i="13"/>
  <c r="M513" i="13" s="1"/>
  <c r="L503" i="13"/>
  <c r="O503" i="13" s="1"/>
  <c r="L488" i="13"/>
  <c r="O488" i="13" s="1"/>
  <c r="J461" i="13"/>
  <c r="M461" i="13" s="1"/>
  <c r="L454" i="13"/>
  <c r="O454" i="13" s="1"/>
  <c r="J172" i="13"/>
  <c r="M172" i="13" s="1"/>
  <c r="L158" i="13"/>
  <c r="O158" i="13" s="1"/>
  <c r="J152" i="13"/>
  <c r="M152" i="13" s="1"/>
  <c r="J149" i="13"/>
  <c r="M149" i="13" s="1"/>
  <c r="J148" i="13"/>
  <c r="M148" i="13" s="1"/>
  <c r="J147" i="13"/>
  <c r="M147" i="13" s="1"/>
  <c r="L146" i="13"/>
  <c r="O146" i="13" s="1"/>
  <c r="J146" i="13"/>
  <c r="M146" i="13" s="1"/>
  <c r="L529" i="13"/>
  <c r="O529" i="13" s="1"/>
  <c r="L490" i="13"/>
  <c r="O490" i="13" s="1"/>
  <c r="L486" i="13"/>
  <c r="O486" i="13" s="1"/>
  <c r="J482" i="13"/>
  <c r="M482" i="13" s="1"/>
  <c r="J472" i="13"/>
  <c r="M472" i="13" s="1"/>
  <c r="J120" i="13"/>
  <c r="M120" i="13" s="1"/>
  <c r="J105" i="13"/>
  <c r="M105" i="13" s="1"/>
  <c r="J98" i="13"/>
  <c r="M98" i="13" s="1"/>
  <c r="J95" i="13"/>
  <c r="M95" i="13" s="1"/>
  <c r="J94" i="13"/>
  <c r="M94" i="13" s="1"/>
  <c r="J93" i="13"/>
  <c r="M93" i="13" s="1"/>
  <c r="L92" i="13"/>
  <c r="O92" i="13" s="1"/>
  <c r="L40" i="13"/>
  <c r="O40" i="13" s="1"/>
  <c r="L531" i="13"/>
  <c r="O531" i="13" s="1"/>
  <c r="J526" i="13"/>
  <c r="M526" i="13" s="1"/>
  <c r="L524" i="13"/>
  <c r="O524" i="13" s="1"/>
  <c r="L522" i="13"/>
  <c r="O522" i="13" s="1"/>
  <c r="L521" i="13"/>
  <c r="O521" i="13" s="1"/>
  <c r="J521" i="13"/>
  <c r="M521" i="13" s="1"/>
  <c r="J507" i="13"/>
  <c r="M507" i="13" s="1"/>
  <c r="J500" i="13"/>
  <c r="M500" i="13" s="1"/>
  <c r="L494" i="13"/>
  <c r="O494" i="13" s="1"/>
  <c r="L491" i="13"/>
  <c r="O491" i="13" s="1"/>
  <c r="J491" i="13"/>
  <c r="M491" i="13" s="1"/>
  <c r="J475" i="13"/>
  <c r="M475" i="13" s="1"/>
  <c r="J470" i="13"/>
  <c r="M470" i="13" s="1"/>
  <c r="J465" i="13"/>
  <c r="M465" i="13" s="1"/>
  <c r="J463" i="13"/>
  <c r="M463" i="13" s="1"/>
  <c r="J462" i="13"/>
  <c r="M462" i="13" s="1"/>
  <c r="J335" i="13"/>
  <c r="M335" i="13" s="1"/>
  <c r="L333" i="13"/>
  <c r="O333" i="13" s="1"/>
  <c r="J333" i="13"/>
  <c r="M333" i="13" s="1"/>
  <c r="J533" i="13"/>
  <c r="M533" i="13" s="1"/>
  <c r="J532" i="13"/>
  <c r="M532" i="13" s="1"/>
  <c r="J531" i="13"/>
  <c r="M531" i="13" s="1"/>
  <c r="L518" i="13"/>
  <c r="O518" i="13" s="1"/>
  <c r="L517" i="13"/>
  <c r="O517" i="13" s="1"/>
  <c r="J517" i="13"/>
  <c r="M517" i="13" s="1"/>
  <c r="J509" i="13"/>
  <c r="M509" i="13" s="1"/>
  <c r="L508" i="13"/>
  <c r="O508" i="13" s="1"/>
  <c r="J508" i="13"/>
  <c r="M508" i="13" s="1"/>
  <c r="L507" i="13"/>
  <c r="O507" i="13" s="1"/>
  <c r="L506" i="13"/>
  <c r="O506" i="13" s="1"/>
  <c r="J506" i="13"/>
  <c r="M506" i="13" s="1"/>
  <c r="J496" i="13"/>
  <c r="M496" i="13" s="1"/>
  <c r="J495" i="13"/>
  <c r="M495" i="13" s="1"/>
  <c r="J483" i="13"/>
  <c r="M483" i="13" s="1"/>
  <c r="L481" i="13"/>
  <c r="O481" i="13" s="1"/>
  <c r="J481" i="13"/>
  <c r="M481" i="13" s="1"/>
  <c r="J478" i="13"/>
  <c r="M478" i="13" s="1"/>
  <c r="L477" i="13"/>
  <c r="O477" i="13" s="1"/>
  <c r="J477" i="13"/>
  <c r="M477" i="13" s="1"/>
  <c r="L476" i="13"/>
  <c r="O476" i="13" s="1"/>
  <c r="J476" i="13"/>
  <c r="M476" i="13" s="1"/>
  <c r="L475" i="13"/>
  <c r="O475" i="13" s="1"/>
  <c r="J473" i="13"/>
  <c r="M473" i="13" s="1"/>
  <c r="L471" i="13"/>
  <c r="O471" i="13" s="1"/>
  <c r="J471" i="13"/>
  <c r="M471" i="13" s="1"/>
  <c r="L469" i="13"/>
  <c r="O469" i="13" s="1"/>
  <c r="J469" i="13"/>
  <c r="M469" i="13" s="1"/>
  <c r="L457" i="13"/>
  <c r="O457" i="13" s="1"/>
  <c r="L456" i="13"/>
  <c r="O456" i="13" s="1"/>
  <c r="L455" i="13"/>
  <c r="O455" i="13" s="1"/>
  <c r="J455" i="13"/>
  <c r="M455" i="13" s="1"/>
  <c r="J372" i="13"/>
  <c r="M372" i="13" s="1"/>
  <c r="L371" i="13"/>
  <c r="O371" i="13" s="1"/>
  <c r="J368" i="13"/>
  <c r="M368" i="13" s="1"/>
  <c r="J367" i="13"/>
  <c r="M367" i="13" s="1"/>
  <c r="J366" i="13"/>
  <c r="M366" i="13" s="1"/>
  <c r="L365" i="13"/>
  <c r="O365" i="13" s="1"/>
  <c r="J365" i="13"/>
  <c r="M365" i="13" s="1"/>
  <c r="J348" i="13"/>
  <c r="M348" i="13" s="1"/>
  <c r="L345" i="13"/>
  <c r="O345" i="13" s="1"/>
  <c r="J344" i="13"/>
  <c r="M344" i="13" s="1"/>
  <c r="L343" i="13"/>
  <c r="O343" i="13" s="1"/>
  <c r="J327" i="13"/>
  <c r="M327" i="13" s="1"/>
  <c r="J324" i="13"/>
  <c r="M324" i="13" s="1"/>
  <c r="J323" i="13"/>
  <c r="M323" i="13" s="1"/>
  <c r="J322" i="13"/>
  <c r="M322" i="13" s="1"/>
  <c r="J296" i="13"/>
  <c r="M296" i="13" s="1"/>
  <c r="J177" i="13"/>
  <c r="M177" i="13" s="1"/>
  <c r="L174" i="13"/>
  <c r="O174" i="13" s="1"/>
  <c r="J173" i="13"/>
  <c r="M173" i="13" s="1"/>
  <c r="L172" i="13"/>
  <c r="O172" i="13" s="1"/>
  <c r="J133" i="13"/>
  <c r="M133" i="13" s="1"/>
  <c r="L126" i="13"/>
  <c r="O126" i="13" s="1"/>
  <c r="J124" i="13"/>
  <c r="M124" i="13" s="1"/>
  <c r="J121" i="13"/>
  <c r="M121" i="13" s="1"/>
  <c r="L120" i="13"/>
  <c r="O120" i="13" s="1"/>
  <c r="L78" i="13"/>
  <c r="O78" i="13" s="1"/>
  <c r="J72" i="13"/>
  <c r="M72" i="13" s="1"/>
  <c r="J69" i="13"/>
  <c r="M69" i="13" s="1"/>
  <c r="J68" i="13"/>
  <c r="M68" i="13" s="1"/>
  <c r="J67" i="13"/>
  <c r="M67" i="13" s="1"/>
  <c r="L66" i="13"/>
  <c r="O66" i="13" s="1"/>
  <c r="J66" i="13"/>
  <c r="M66" i="13" s="1"/>
  <c r="L534" i="13"/>
  <c r="O534" i="13" s="1"/>
  <c r="J534" i="13"/>
  <c r="M534" i="13" s="1"/>
  <c r="L528" i="13"/>
  <c r="O528" i="13" s="1"/>
  <c r="J528" i="13"/>
  <c r="M528" i="13" s="1"/>
  <c r="L527" i="13"/>
  <c r="O527" i="13" s="1"/>
  <c r="L523" i="13"/>
  <c r="O523" i="13" s="1"/>
  <c r="J523" i="13"/>
  <c r="M523" i="13" s="1"/>
  <c r="L519" i="13"/>
  <c r="O519" i="13" s="1"/>
  <c r="J519" i="13"/>
  <c r="M519" i="13" s="1"/>
  <c r="J512" i="13"/>
  <c r="M512" i="13" s="1"/>
  <c r="L510" i="13"/>
  <c r="O510" i="13" s="1"/>
  <c r="J510" i="13"/>
  <c r="M510" i="13" s="1"/>
  <c r="L504" i="13"/>
  <c r="O504" i="13" s="1"/>
  <c r="J504" i="13"/>
  <c r="M504" i="13" s="1"/>
  <c r="J498" i="13"/>
  <c r="M498" i="13" s="1"/>
  <c r="J497" i="13"/>
  <c r="M497" i="13" s="1"/>
  <c r="L496" i="13"/>
  <c r="O496" i="13" s="1"/>
  <c r="J494" i="13"/>
  <c r="M494" i="13" s="1"/>
  <c r="L492" i="13"/>
  <c r="O492" i="13" s="1"/>
  <c r="J492" i="13"/>
  <c r="M492" i="13" s="1"/>
  <c r="J490" i="13"/>
  <c r="M490" i="13" s="1"/>
  <c r="J488" i="13"/>
  <c r="M488" i="13" s="1"/>
  <c r="J486" i="13"/>
  <c r="M486" i="13" s="1"/>
  <c r="L484" i="13"/>
  <c r="O484" i="13" s="1"/>
  <c r="J484" i="13"/>
  <c r="M484" i="13" s="1"/>
  <c r="L474" i="13"/>
  <c r="O474" i="13" s="1"/>
  <c r="L466" i="13"/>
  <c r="O466" i="13" s="1"/>
  <c r="J466" i="13"/>
  <c r="M466" i="13" s="1"/>
  <c r="L459" i="13"/>
  <c r="O459" i="13" s="1"/>
  <c r="J459" i="13"/>
  <c r="M459" i="13" s="1"/>
  <c r="L458" i="13"/>
  <c r="O458" i="13" s="1"/>
  <c r="J458" i="13"/>
  <c r="M458" i="13" s="1"/>
  <c r="L452" i="13"/>
  <c r="O452" i="13" s="1"/>
  <c r="L451" i="13"/>
  <c r="O451" i="13" s="1"/>
  <c r="J451" i="13"/>
  <c r="M451" i="13" s="1"/>
  <c r="L450" i="13"/>
  <c r="O450" i="13" s="1"/>
  <c r="J450" i="13"/>
  <c r="M450" i="13" s="1"/>
  <c r="L449" i="13"/>
  <c r="O449" i="13" s="1"/>
  <c r="J449" i="13"/>
  <c r="M449" i="13" s="1"/>
  <c r="L448" i="13"/>
  <c r="O448" i="13" s="1"/>
  <c r="J448" i="13"/>
  <c r="M448" i="13" s="1"/>
  <c r="L447" i="13"/>
  <c r="O447" i="13" s="1"/>
  <c r="J447" i="13"/>
  <c r="M447" i="13" s="1"/>
  <c r="L446" i="13"/>
  <c r="O446" i="13" s="1"/>
  <c r="J446" i="13"/>
  <c r="M446" i="13" s="1"/>
  <c r="L442" i="13"/>
  <c r="O442" i="13" s="1"/>
  <c r="L361" i="13"/>
  <c r="O361" i="13" s="1"/>
  <c r="J360" i="13"/>
  <c r="M360" i="13" s="1"/>
  <c r="L359" i="13"/>
  <c r="O359" i="13" s="1"/>
  <c r="J351" i="13"/>
  <c r="M351" i="13" s="1"/>
  <c r="L349" i="13"/>
  <c r="O349" i="13" s="1"/>
  <c r="J349" i="13"/>
  <c r="M349" i="13" s="1"/>
  <c r="J340" i="13"/>
  <c r="M340" i="13" s="1"/>
  <c r="J339" i="13"/>
  <c r="M339" i="13" s="1"/>
  <c r="J338" i="13"/>
  <c r="M338" i="13" s="1"/>
  <c r="L329" i="13"/>
  <c r="O329" i="13" s="1"/>
  <c r="J328" i="13"/>
  <c r="M328" i="13" s="1"/>
  <c r="L327" i="13"/>
  <c r="O327" i="13" s="1"/>
  <c r="J319" i="13"/>
  <c r="M319" i="13" s="1"/>
  <c r="L317" i="13"/>
  <c r="O317" i="13" s="1"/>
  <c r="J317" i="13"/>
  <c r="M317" i="13" s="1"/>
  <c r="J308" i="13"/>
  <c r="M308" i="13" s="1"/>
  <c r="J300" i="13"/>
  <c r="M300" i="13" s="1"/>
  <c r="L298" i="13"/>
  <c r="O298" i="13" s="1"/>
  <c r="J298" i="13"/>
  <c r="M298" i="13" s="1"/>
  <c r="J297" i="13"/>
  <c r="M297" i="13" s="1"/>
  <c r="L296" i="13"/>
  <c r="O296" i="13" s="1"/>
  <c r="L291" i="13"/>
  <c r="O291" i="13" s="1"/>
  <c r="J291" i="13"/>
  <c r="M291" i="13" s="1"/>
  <c r="L290" i="13"/>
  <c r="O290" i="13" s="1"/>
  <c r="J290" i="13"/>
  <c r="M290" i="13" s="1"/>
  <c r="L287" i="13"/>
  <c r="O287" i="13" s="1"/>
  <c r="J287" i="13"/>
  <c r="M287" i="13" s="1"/>
  <c r="L286" i="13"/>
  <c r="O286" i="13" s="1"/>
  <c r="J286" i="13"/>
  <c r="M286" i="13" s="1"/>
  <c r="L283" i="13"/>
  <c r="O283" i="13" s="1"/>
  <c r="J283" i="13"/>
  <c r="M283" i="13" s="1"/>
  <c r="L282" i="13"/>
  <c r="O282" i="13" s="1"/>
  <c r="J282" i="13"/>
  <c r="M282" i="13" s="1"/>
  <c r="L277" i="13"/>
  <c r="O277" i="13" s="1"/>
  <c r="J277" i="13"/>
  <c r="M277" i="13" s="1"/>
  <c r="L276" i="13"/>
  <c r="O276" i="13" s="1"/>
  <c r="J276" i="13"/>
  <c r="M276" i="13" s="1"/>
  <c r="L257" i="13"/>
  <c r="O257" i="13" s="1"/>
  <c r="J257" i="13"/>
  <c r="M257" i="13" s="1"/>
  <c r="L256" i="13"/>
  <c r="O256" i="13" s="1"/>
  <c r="J256" i="13"/>
  <c r="M256" i="13" s="1"/>
  <c r="J165" i="13"/>
  <c r="M165" i="13" s="1"/>
  <c r="J161" i="13"/>
  <c r="M161" i="13" s="1"/>
  <c r="J160" i="13"/>
  <c r="M160" i="13" s="1"/>
  <c r="J159" i="13"/>
  <c r="M159" i="13" s="1"/>
  <c r="J140" i="13"/>
  <c r="M140" i="13" s="1"/>
  <c r="J136" i="13"/>
  <c r="M136" i="13" s="1"/>
  <c r="L134" i="13"/>
  <c r="O134" i="13" s="1"/>
  <c r="J134" i="13"/>
  <c r="M134" i="13" s="1"/>
  <c r="J113" i="13"/>
  <c r="M113" i="13" s="1"/>
  <c r="J109" i="13"/>
  <c r="M109" i="13" s="1"/>
  <c r="J108" i="13"/>
  <c r="M108" i="13" s="1"/>
  <c r="J107" i="13"/>
  <c r="M107" i="13" s="1"/>
  <c r="L106" i="13"/>
  <c r="O106" i="13" s="1"/>
  <c r="J106" i="13"/>
  <c r="M106" i="13" s="1"/>
  <c r="J85" i="13"/>
  <c r="M85" i="13" s="1"/>
  <c r="J81" i="13"/>
  <c r="M81" i="13" s="1"/>
  <c r="J80" i="13"/>
  <c r="M80" i="13" s="1"/>
  <c r="J79" i="13"/>
  <c r="M79" i="13" s="1"/>
  <c r="J60" i="13"/>
  <c r="M60" i="13" s="1"/>
  <c r="J56" i="13"/>
  <c r="M56" i="13" s="1"/>
  <c r="L54" i="13"/>
  <c r="O54" i="13" s="1"/>
  <c r="J54" i="13"/>
  <c r="M54" i="13" s="1"/>
  <c r="K533" i="13"/>
  <c r="N533" i="13" s="1"/>
  <c r="K526" i="13"/>
  <c r="N526" i="13" s="1"/>
  <c r="K509" i="13"/>
  <c r="N509" i="13" s="1"/>
  <c r="K483" i="13"/>
  <c r="N483" i="13" s="1"/>
  <c r="K482" i="13"/>
  <c r="N482" i="13" s="1"/>
  <c r="J537" i="13"/>
  <c r="M537" i="13" s="1"/>
  <c r="J536" i="13"/>
  <c r="M536" i="13" s="1"/>
  <c r="L535" i="13"/>
  <c r="O535" i="13" s="1"/>
  <c r="J535" i="13"/>
  <c r="M535" i="13" s="1"/>
  <c r="L533" i="13"/>
  <c r="O533" i="13" s="1"/>
  <c r="L532" i="13"/>
  <c r="O532" i="13" s="1"/>
  <c r="J529" i="13"/>
  <c r="M529" i="13" s="1"/>
  <c r="J524" i="13"/>
  <c r="M524" i="13" s="1"/>
  <c r="J522" i="13"/>
  <c r="M522" i="13" s="1"/>
  <c r="J520" i="13"/>
  <c r="M520" i="13" s="1"/>
  <c r="J518" i="13"/>
  <c r="M518" i="13" s="1"/>
  <c r="J516" i="13"/>
  <c r="M516" i="13" s="1"/>
  <c r="L515" i="13"/>
  <c r="O515" i="13" s="1"/>
  <c r="J515" i="13"/>
  <c r="M515" i="13" s="1"/>
  <c r="L514" i="13"/>
  <c r="O514" i="13" s="1"/>
  <c r="J514" i="13"/>
  <c r="M514" i="13" s="1"/>
  <c r="K513" i="13"/>
  <c r="N513" i="13" s="1"/>
  <c r="K512" i="13"/>
  <c r="N512" i="13" s="1"/>
  <c r="L511" i="13"/>
  <c r="O511" i="13" s="1"/>
  <c r="J511" i="13"/>
  <c r="M511" i="13" s="1"/>
  <c r="L509" i="13"/>
  <c r="O509" i="13" s="1"/>
  <c r="J503" i="13"/>
  <c r="M503" i="13" s="1"/>
  <c r="L501" i="13"/>
  <c r="O501" i="13" s="1"/>
  <c r="J501" i="13"/>
  <c r="M501" i="13" s="1"/>
  <c r="L499" i="13"/>
  <c r="O499" i="13" s="1"/>
  <c r="J499" i="13"/>
  <c r="M499" i="13" s="1"/>
  <c r="K498" i="13"/>
  <c r="N498" i="13" s="1"/>
  <c r="L495" i="13"/>
  <c r="O495" i="13" s="1"/>
  <c r="K494" i="13"/>
  <c r="N494" i="13" s="1"/>
  <c r="L493" i="13"/>
  <c r="O493" i="13" s="1"/>
  <c r="J493" i="13"/>
  <c r="M493" i="13" s="1"/>
  <c r="K491" i="13"/>
  <c r="N491" i="13" s="1"/>
  <c r="K490" i="13"/>
  <c r="N490" i="13" s="1"/>
  <c r="L489" i="13"/>
  <c r="O489" i="13" s="1"/>
  <c r="J489" i="13"/>
  <c r="M489" i="13" s="1"/>
  <c r="K488" i="13"/>
  <c r="N488" i="13" s="1"/>
  <c r="L487" i="13"/>
  <c r="O487" i="13" s="1"/>
  <c r="J487" i="13"/>
  <c r="M487" i="13" s="1"/>
  <c r="K486" i="13"/>
  <c r="N486" i="13" s="1"/>
  <c r="L485" i="13"/>
  <c r="O485" i="13" s="1"/>
  <c r="J485" i="13"/>
  <c r="M485" i="13" s="1"/>
  <c r="L483" i="13"/>
  <c r="O483" i="13" s="1"/>
  <c r="L482" i="13"/>
  <c r="O482" i="13" s="1"/>
  <c r="L480" i="13"/>
  <c r="O480" i="13" s="1"/>
  <c r="J480" i="13"/>
  <c r="M480" i="13" s="1"/>
  <c r="L479" i="13"/>
  <c r="O479" i="13" s="1"/>
  <c r="J479" i="13"/>
  <c r="M479" i="13" s="1"/>
  <c r="J474" i="13"/>
  <c r="M474" i="13" s="1"/>
  <c r="L473" i="13"/>
  <c r="O473" i="13" s="1"/>
  <c r="L467" i="13"/>
  <c r="O467" i="13" s="1"/>
  <c r="J467" i="13"/>
  <c r="M467" i="13" s="1"/>
  <c r="J464" i="13"/>
  <c r="M464" i="13" s="1"/>
  <c r="J460" i="13"/>
  <c r="M460" i="13" s="1"/>
  <c r="J457" i="13"/>
  <c r="M457" i="13" s="1"/>
  <c r="L453" i="13"/>
  <c r="O453" i="13" s="1"/>
  <c r="J453" i="13"/>
  <c r="M453" i="13" s="1"/>
  <c r="L429" i="13"/>
  <c r="O429" i="13" s="1"/>
  <c r="L428" i="13"/>
  <c r="O428" i="13" s="1"/>
  <c r="J428" i="13"/>
  <c r="M428" i="13" s="1"/>
  <c r="L401" i="13"/>
  <c r="O401" i="13" s="1"/>
  <c r="L396" i="13"/>
  <c r="O396" i="13" s="1"/>
  <c r="J396" i="13"/>
  <c r="M396" i="13" s="1"/>
  <c r="L395" i="13"/>
  <c r="O395" i="13" s="1"/>
  <c r="J395" i="13"/>
  <c r="M395" i="13" s="1"/>
  <c r="L394" i="13"/>
  <c r="O394" i="13" s="1"/>
  <c r="J394" i="13"/>
  <c r="M394" i="13" s="1"/>
  <c r="L393" i="13"/>
  <c r="O393" i="13" s="1"/>
  <c r="J393" i="13"/>
  <c r="M393" i="13" s="1"/>
  <c r="L392" i="13"/>
  <c r="O392" i="13" s="1"/>
  <c r="J392" i="13"/>
  <c r="M392" i="13" s="1"/>
  <c r="L391" i="13"/>
  <c r="O391" i="13" s="1"/>
  <c r="J391" i="13"/>
  <c r="M391" i="13" s="1"/>
  <c r="L390" i="13"/>
  <c r="O390" i="13" s="1"/>
  <c r="J390" i="13"/>
  <c r="M390" i="13" s="1"/>
  <c r="L389" i="13"/>
  <c r="O389" i="13" s="1"/>
  <c r="J389" i="13"/>
  <c r="M389" i="13" s="1"/>
  <c r="L388" i="13"/>
  <c r="O388" i="13" s="1"/>
  <c r="L369" i="13"/>
  <c r="O369" i="13" s="1"/>
  <c r="J369" i="13"/>
  <c r="M369" i="13" s="1"/>
  <c r="J363" i="13"/>
  <c r="M363" i="13" s="1"/>
  <c r="J362" i="13"/>
  <c r="M362" i="13" s="1"/>
  <c r="L357" i="13"/>
  <c r="O357" i="13" s="1"/>
  <c r="J357" i="13"/>
  <c r="M357" i="13" s="1"/>
  <c r="J352" i="13"/>
  <c r="M352" i="13" s="1"/>
  <c r="L351" i="13"/>
  <c r="O351" i="13" s="1"/>
  <c r="J347" i="13"/>
  <c r="M347" i="13" s="1"/>
  <c r="J346" i="13"/>
  <c r="M346" i="13" s="1"/>
  <c r="L341" i="13"/>
  <c r="O341" i="13" s="1"/>
  <c r="J341" i="13"/>
  <c r="M341" i="13" s="1"/>
  <c r="J336" i="13"/>
  <c r="M336" i="13" s="1"/>
  <c r="L335" i="13"/>
  <c r="O335" i="13" s="1"/>
  <c r="J331" i="13"/>
  <c r="M331" i="13" s="1"/>
  <c r="J330" i="13"/>
  <c r="M330" i="13" s="1"/>
  <c r="L325" i="13"/>
  <c r="O325" i="13" s="1"/>
  <c r="J325" i="13"/>
  <c r="M325" i="13" s="1"/>
  <c r="J320" i="13"/>
  <c r="M320" i="13" s="1"/>
  <c r="L319" i="13"/>
  <c r="O319" i="13" s="1"/>
  <c r="J315" i="13"/>
  <c r="M315" i="13" s="1"/>
  <c r="J314" i="13"/>
  <c r="M314" i="13" s="1"/>
  <c r="J309" i="13"/>
  <c r="M309" i="13" s="1"/>
  <c r="L308" i="13"/>
  <c r="O308" i="13" s="1"/>
  <c r="L306" i="13"/>
  <c r="O306" i="13" s="1"/>
  <c r="J301" i="13"/>
  <c r="M301" i="13" s="1"/>
  <c r="L300" i="13"/>
  <c r="O300" i="13" s="1"/>
  <c r="J180" i="13"/>
  <c r="M180" i="13" s="1"/>
  <c r="J179" i="13"/>
  <c r="M179" i="13" s="1"/>
  <c r="L178" i="13"/>
  <c r="O178" i="13" s="1"/>
  <c r="J178" i="13"/>
  <c r="M178" i="13" s="1"/>
  <c r="J168" i="13"/>
  <c r="M168" i="13" s="1"/>
  <c r="L166" i="13"/>
  <c r="O166" i="13" s="1"/>
  <c r="J166" i="13"/>
  <c r="M166" i="13" s="1"/>
  <c r="J156" i="13"/>
  <c r="M156" i="13" s="1"/>
  <c r="J153" i="13"/>
  <c r="M153" i="13" s="1"/>
  <c r="L152" i="13"/>
  <c r="O152" i="13" s="1"/>
  <c r="L142" i="13"/>
  <c r="O142" i="13" s="1"/>
  <c r="J141" i="13"/>
  <c r="M141" i="13" s="1"/>
  <c r="L140" i="13"/>
  <c r="O140" i="13" s="1"/>
  <c r="J129" i="13"/>
  <c r="M129" i="13" s="1"/>
  <c r="J128" i="13"/>
  <c r="M128" i="13" s="1"/>
  <c r="J127" i="13"/>
  <c r="M127" i="13" s="1"/>
  <c r="J117" i="13"/>
  <c r="M117" i="13" s="1"/>
  <c r="J116" i="13"/>
  <c r="M116" i="13" s="1"/>
  <c r="J115" i="13"/>
  <c r="M115" i="13" s="1"/>
  <c r="L114" i="13"/>
  <c r="O114" i="13" s="1"/>
  <c r="J114" i="13"/>
  <c r="M114" i="13" s="1"/>
  <c r="J102" i="13"/>
  <c r="M102" i="13" s="1"/>
  <c r="J99" i="13"/>
  <c r="M99" i="13" s="1"/>
  <c r="L98" i="13"/>
  <c r="O98" i="13" s="1"/>
  <c r="J88" i="13"/>
  <c r="M88" i="13" s="1"/>
  <c r="L86" i="13"/>
  <c r="O86" i="13" s="1"/>
  <c r="J86" i="13"/>
  <c r="M86" i="13" s="1"/>
  <c r="J76" i="13"/>
  <c r="M76" i="13" s="1"/>
  <c r="J73" i="13"/>
  <c r="M73" i="13" s="1"/>
  <c r="L72" i="13"/>
  <c r="O72" i="13" s="1"/>
  <c r="L62" i="13"/>
  <c r="O62" i="13" s="1"/>
  <c r="J61" i="13"/>
  <c r="M61" i="13" s="1"/>
  <c r="L60" i="13"/>
  <c r="O60" i="13" s="1"/>
  <c r="J49" i="13"/>
  <c r="M49" i="13" s="1"/>
  <c r="J48" i="13"/>
  <c r="M48" i="13" s="1"/>
  <c r="J47" i="13"/>
  <c r="M47" i="13" s="1"/>
  <c r="K500" i="13"/>
  <c r="N500" i="13" s="1"/>
  <c r="K478" i="13"/>
  <c r="N478" i="13" s="1"/>
  <c r="K470" i="13"/>
  <c r="N470" i="13" s="1"/>
  <c r="L470" i="13"/>
  <c r="O470" i="13" s="1"/>
  <c r="L538" i="13"/>
  <c r="O538" i="13" s="1"/>
  <c r="J538" i="13"/>
  <c r="M538" i="13" s="1"/>
  <c r="L537" i="13"/>
  <c r="O537" i="13" s="1"/>
  <c r="L536" i="13"/>
  <c r="O536" i="13" s="1"/>
  <c r="L530" i="13"/>
  <c r="O530" i="13" s="1"/>
  <c r="J530" i="13"/>
  <c r="M530" i="13" s="1"/>
  <c r="K529" i="13"/>
  <c r="N529" i="13" s="1"/>
  <c r="K528" i="13"/>
  <c r="N528" i="13" s="1"/>
  <c r="J527" i="13"/>
  <c r="M527" i="13" s="1"/>
  <c r="L526" i="13"/>
  <c r="O526" i="13" s="1"/>
  <c r="L525" i="13"/>
  <c r="O525" i="13" s="1"/>
  <c r="J525" i="13"/>
  <c r="M525" i="13" s="1"/>
  <c r="K524" i="13"/>
  <c r="N524" i="13" s="1"/>
  <c r="K523" i="13"/>
  <c r="N523" i="13" s="1"/>
  <c r="K522" i="13"/>
  <c r="N522" i="13" s="1"/>
  <c r="K521" i="13"/>
  <c r="N521" i="13" s="1"/>
  <c r="K520" i="13"/>
  <c r="N520" i="13" s="1"/>
  <c r="K519" i="13"/>
  <c r="N519" i="13" s="1"/>
  <c r="K518" i="13"/>
  <c r="N518" i="13" s="1"/>
  <c r="K517" i="13"/>
  <c r="N517" i="13" s="1"/>
  <c r="L505" i="13"/>
  <c r="O505" i="13" s="1"/>
  <c r="J505" i="13"/>
  <c r="M505" i="13" s="1"/>
  <c r="K504" i="13"/>
  <c r="N504" i="13" s="1"/>
  <c r="K503" i="13"/>
  <c r="N503" i="13" s="1"/>
  <c r="L502" i="13"/>
  <c r="O502" i="13" s="1"/>
  <c r="J502" i="13"/>
  <c r="M502" i="13" s="1"/>
  <c r="L500" i="13"/>
  <c r="O500" i="13" s="1"/>
  <c r="L498" i="13"/>
  <c r="O498" i="13" s="1"/>
  <c r="L497" i="13"/>
  <c r="O497" i="13" s="1"/>
  <c r="L478" i="13"/>
  <c r="O478" i="13" s="1"/>
  <c r="K472" i="13"/>
  <c r="N472" i="13" s="1"/>
  <c r="L472" i="13"/>
  <c r="O472" i="13" s="1"/>
  <c r="L468" i="13"/>
  <c r="O468" i="13" s="1"/>
  <c r="J468" i="13"/>
  <c r="M468" i="13" s="1"/>
  <c r="K467" i="13"/>
  <c r="N467" i="13" s="1"/>
  <c r="K466" i="13"/>
  <c r="N466" i="13" s="1"/>
  <c r="J456" i="13"/>
  <c r="M456" i="13" s="1"/>
  <c r="J454" i="13"/>
  <c r="M454" i="13" s="1"/>
  <c r="J452" i="13"/>
  <c r="M452" i="13" s="1"/>
  <c r="L445" i="13"/>
  <c r="O445" i="13" s="1"/>
  <c r="L444" i="13"/>
  <c r="O444" i="13" s="1"/>
  <c r="J444" i="13"/>
  <c r="M444" i="13" s="1"/>
  <c r="L443" i="13"/>
  <c r="O443" i="13" s="1"/>
  <c r="J443" i="13"/>
  <c r="M443" i="13" s="1"/>
  <c r="L436" i="13"/>
  <c r="O436" i="13" s="1"/>
  <c r="J436" i="13"/>
  <c r="M436" i="13" s="1"/>
  <c r="L435" i="13"/>
  <c r="O435" i="13" s="1"/>
  <c r="J435" i="13"/>
  <c r="M435" i="13" s="1"/>
  <c r="L434" i="13"/>
  <c r="O434" i="13" s="1"/>
  <c r="J434" i="13"/>
  <c r="M434" i="13" s="1"/>
  <c r="L433" i="13"/>
  <c r="O433" i="13" s="1"/>
  <c r="J433" i="13"/>
  <c r="M433" i="13" s="1"/>
  <c r="L432" i="13"/>
  <c r="O432" i="13" s="1"/>
  <c r="J432" i="13"/>
  <c r="M432" i="13" s="1"/>
  <c r="L431" i="13"/>
  <c r="O431" i="13" s="1"/>
  <c r="J431" i="13"/>
  <c r="M431" i="13" s="1"/>
  <c r="L430" i="13"/>
  <c r="O430" i="13" s="1"/>
  <c r="J430" i="13"/>
  <c r="M430" i="13" s="1"/>
  <c r="L427" i="13"/>
  <c r="O427" i="13" s="1"/>
  <c r="L420" i="13"/>
  <c r="O420" i="13" s="1"/>
  <c r="J420" i="13"/>
  <c r="M420" i="13" s="1"/>
  <c r="L419" i="13"/>
  <c r="O419" i="13" s="1"/>
  <c r="J419" i="13"/>
  <c r="M419" i="13" s="1"/>
  <c r="L418" i="13"/>
  <c r="O418" i="13" s="1"/>
  <c r="J418" i="13"/>
  <c r="M418" i="13" s="1"/>
  <c r="L417" i="13"/>
  <c r="O417" i="13" s="1"/>
  <c r="J417" i="13"/>
  <c r="M417" i="13" s="1"/>
  <c r="L416" i="13"/>
  <c r="O416" i="13" s="1"/>
  <c r="J416" i="13"/>
  <c r="M416" i="13" s="1"/>
  <c r="L415" i="13"/>
  <c r="O415" i="13" s="1"/>
  <c r="J415" i="13"/>
  <c r="M415" i="13" s="1"/>
  <c r="L414" i="13"/>
  <c r="O414" i="13" s="1"/>
  <c r="J414" i="13"/>
  <c r="M414" i="13" s="1"/>
  <c r="L410" i="13"/>
  <c r="O410" i="13" s="1"/>
  <c r="L405" i="13"/>
  <c r="O405" i="13" s="1"/>
  <c r="L404" i="13"/>
  <c r="O404" i="13" s="1"/>
  <c r="J404" i="13"/>
  <c r="M404" i="13" s="1"/>
  <c r="L403" i="13"/>
  <c r="O403" i="13" s="1"/>
  <c r="J403" i="13"/>
  <c r="M403" i="13" s="1"/>
  <c r="L402" i="13"/>
  <c r="O402" i="13" s="1"/>
  <c r="J402" i="13"/>
  <c r="M402" i="13" s="1"/>
  <c r="L380" i="13"/>
  <c r="O380" i="13" s="1"/>
  <c r="J380" i="13"/>
  <c r="M380" i="13" s="1"/>
  <c r="L379" i="13"/>
  <c r="O379" i="13" s="1"/>
  <c r="J379" i="13"/>
  <c r="M379" i="13" s="1"/>
  <c r="L378" i="13"/>
  <c r="O378" i="13" s="1"/>
  <c r="J378" i="13"/>
  <c r="M378" i="13" s="1"/>
  <c r="L377" i="13"/>
  <c r="O377" i="13" s="1"/>
  <c r="J377" i="13"/>
  <c r="M377" i="13" s="1"/>
  <c r="L376" i="13"/>
  <c r="O376" i="13" s="1"/>
  <c r="J376" i="13"/>
  <c r="M376" i="13" s="1"/>
  <c r="L375" i="13"/>
  <c r="O375" i="13" s="1"/>
  <c r="J375" i="13"/>
  <c r="M375" i="13" s="1"/>
  <c r="L374" i="13"/>
  <c r="O374" i="13" s="1"/>
  <c r="J374" i="13"/>
  <c r="M374" i="13" s="1"/>
  <c r="J371" i="13"/>
  <c r="M371" i="13" s="1"/>
  <c r="J370" i="13"/>
  <c r="M370" i="13" s="1"/>
  <c r="L367" i="13"/>
  <c r="O367" i="13" s="1"/>
  <c r="L363" i="13"/>
  <c r="O363" i="13" s="1"/>
  <c r="J361" i="13"/>
  <c r="M361" i="13" s="1"/>
  <c r="J358" i="13"/>
  <c r="M358" i="13" s="1"/>
  <c r="L355" i="13"/>
  <c r="O355" i="13" s="1"/>
  <c r="J353" i="13"/>
  <c r="M353" i="13" s="1"/>
  <c r="J350" i="13"/>
  <c r="M350" i="13" s="1"/>
  <c r="L347" i="13"/>
  <c r="O347" i="13" s="1"/>
  <c r="J345" i="13"/>
  <c r="M345" i="13" s="1"/>
  <c r="J342" i="13"/>
  <c r="M342" i="13" s="1"/>
  <c r="L339" i="13"/>
  <c r="O339" i="13" s="1"/>
  <c r="J337" i="13"/>
  <c r="M337" i="13" s="1"/>
  <c r="J334" i="13"/>
  <c r="M334" i="13" s="1"/>
  <c r="L331" i="13"/>
  <c r="O331" i="13" s="1"/>
  <c r="J329" i="13"/>
  <c r="M329" i="13" s="1"/>
  <c r="J326" i="13"/>
  <c r="M326" i="13" s="1"/>
  <c r="L323" i="13"/>
  <c r="O323" i="13" s="1"/>
  <c r="J321" i="13"/>
  <c r="M321" i="13" s="1"/>
  <c r="J318" i="13"/>
  <c r="M318" i="13" s="1"/>
  <c r="L315" i="13"/>
  <c r="O315" i="13" s="1"/>
  <c r="J313" i="13"/>
  <c r="M313" i="13" s="1"/>
  <c r="J310" i="13"/>
  <c r="M310" i="13" s="1"/>
  <c r="J305" i="13"/>
  <c r="M305" i="13" s="1"/>
  <c r="L304" i="13"/>
  <c r="O304" i="13" s="1"/>
  <c r="J302" i="13"/>
  <c r="M302" i="13" s="1"/>
  <c r="J299" i="13"/>
  <c r="M299" i="13" s="1"/>
  <c r="J295" i="13"/>
  <c r="M295" i="13" s="1"/>
  <c r="L268" i="13"/>
  <c r="O268" i="13" s="1"/>
  <c r="J268" i="13"/>
  <c r="M268" i="13" s="1"/>
  <c r="L261" i="13"/>
  <c r="O261" i="13" s="1"/>
  <c r="J261" i="13"/>
  <c r="M261" i="13" s="1"/>
  <c r="L248" i="13"/>
  <c r="O248" i="13" s="1"/>
  <c r="J248" i="13"/>
  <c r="M248" i="13" s="1"/>
  <c r="J176" i="13"/>
  <c r="M176" i="13" s="1"/>
  <c r="J175" i="13"/>
  <c r="M175" i="13" s="1"/>
  <c r="J169" i="13"/>
  <c r="M169" i="13" s="1"/>
  <c r="L168" i="13"/>
  <c r="O168" i="13" s="1"/>
  <c r="J164" i="13"/>
  <c r="M164" i="13" s="1"/>
  <c r="J163" i="13"/>
  <c r="M163" i="13" s="1"/>
  <c r="L162" i="13"/>
  <c r="O162" i="13" s="1"/>
  <c r="J162" i="13"/>
  <c r="M162" i="13" s="1"/>
  <c r="J157" i="13"/>
  <c r="M157" i="13" s="1"/>
  <c r="L156" i="13"/>
  <c r="O156" i="13" s="1"/>
  <c r="L150" i="13"/>
  <c r="O150" i="13" s="1"/>
  <c r="J150" i="13"/>
  <c r="M150" i="13" s="1"/>
  <c r="J144" i="13"/>
  <c r="M144" i="13" s="1"/>
  <c r="J143" i="13"/>
  <c r="M143" i="13" s="1"/>
  <c r="J137" i="13"/>
  <c r="M137" i="13" s="1"/>
  <c r="L136" i="13"/>
  <c r="O136" i="13" s="1"/>
  <c r="J132" i="13"/>
  <c r="M132" i="13" s="1"/>
  <c r="J131" i="13"/>
  <c r="M131" i="13" s="1"/>
  <c r="L130" i="13"/>
  <c r="O130" i="13" s="1"/>
  <c r="J130" i="13"/>
  <c r="M130" i="13" s="1"/>
  <c r="J125" i="13"/>
  <c r="M125" i="13" s="1"/>
  <c r="L124" i="13"/>
  <c r="O124" i="13" s="1"/>
  <c r="L118" i="13"/>
  <c r="O118" i="13" s="1"/>
  <c r="J118" i="13"/>
  <c r="M118" i="13" s="1"/>
  <c r="J112" i="13"/>
  <c r="M112" i="13" s="1"/>
  <c r="J111" i="13"/>
  <c r="M111" i="13" s="1"/>
  <c r="L110" i="13"/>
  <c r="O110" i="13" s="1"/>
  <c r="J110" i="13"/>
  <c r="M110" i="13" s="1"/>
  <c r="J104" i="13"/>
  <c r="M104" i="13" s="1"/>
  <c r="J103" i="13"/>
  <c r="M103" i="13" s="1"/>
  <c r="L102" i="13"/>
  <c r="O102" i="13" s="1"/>
  <c r="L96" i="13"/>
  <c r="O96" i="13" s="1"/>
  <c r="J96" i="13"/>
  <c r="M96" i="13" s="1"/>
  <c r="J89" i="13"/>
  <c r="M89" i="13" s="1"/>
  <c r="L88" i="13"/>
  <c r="O88" i="13" s="1"/>
  <c r="J84" i="13"/>
  <c r="M84" i="13" s="1"/>
  <c r="J83" i="13"/>
  <c r="M83" i="13" s="1"/>
  <c r="L82" i="13"/>
  <c r="O82" i="13" s="1"/>
  <c r="J82" i="13"/>
  <c r="M82" i="13" s="1"/>
  <c r="J77" i="13"/>
  <c r="M77" i="13" s="1"/>
  <c r="L76" i="13"/>
  <c r="O76" i="13" s="1"/>
  <c r="L70" i="13"/>
  <c r="O70" i="13" s="1"/>
  <c r="J70" i="13"/>
  <c r="M70" i="13" s="1"/>
  <c r="J64" i="13"/>
  <c r="M64" i="13" s="1"/>
  <c r="J63" i="13"/>
  <c r="M63" i="13" s="1"/>
  <c r="J57" i="13"/>
  <c r="M57" i="13" s="1"/>
  <c r="L56" i="13"/>
  <c r="O56" i="13" s="1"/>
  <c r="J52" i="13"/>
  <c r="M52" i="13" s="1"/>
  <c r="J51" i="13"/>
  <c r="M51" i="13" s="1"/>
  <c r="L50" i="13"/>
  <c r="O50" i="13" s="1"/>
  <c r="J50" i="13"/>
  <c r="M50" i="13" s="1"/>
  <c r="J45" i="13"/>
  <c r="M45" i="13" s="1"/>
  <c r="L44" i="13"/>
  <c r="O44" i="13" s="1"/>
  <c r="L539" i="13"/>
  <c r="O539" i="13" s="1"/>
  <c r="J539" i="13"/>
  <c r="M539" i="13" s="1"/>
  <c r="K465" i="13"/>
  <c r="N465" i="13" s="1"/>
  <c r="K464" i="13"/>
  <c r="N464" i="13" s="1"/>
  <c r="K463" i="13"/>
  <c r="N463" i="13" s="1"/>
  <c r="K462" i="13"/>
  <c r="N462" i="13" s="1"/>
  <c r="K461" i="13"/>
  <c r="N461" i="13" s="1"/>
  <c r="K460" i="13"/>
  <c r="N460" i="13" s="1"/>
  <c r="K459" i="13"/>
  <c r="N459" i="13" s="1"/>
  <c r="K458" i="13"/>
  <c r="N458" i="13" s="1"/>
  <c r="K457" i="13"/>
  <c r="N457" i="13" s="1"/>
  <c r="K456" i="13"/>
  <c r="N456" i="13" s="1"/>
  <c r="K455" i="13"/>
  <c r="N455" i="13" s="1"/>
  <c r="K454" i="13"/>
  <c r="N454" i="13" s="1"/>
  <c r="K453" i="13"/>
  <c r="N453" i="13" s="1"/>
  <c r="K452" i="13"/>
  <c r="N452" i="13" s="1"/>
  <c r="K451" i="13"/>
  <c r="N451" i="13" s="1"/>
  <c r="J442" i="13"/>
  <c r="M442" i="13" s="1"/>
  <c r="L441" i="13"/>
  <c r="O441" i="13" s="1"/>
  <c r="J441" i="13"/>
  <c r="M441" i="13" s="1"/>
  <c r="L440" i="13"/>
  <c r="O440" i="13" s="1"/>
  <c r="J440" i="13"/>
  <c r="M440" i="13" s="1"/>
  <c r="L439" i="13"/>
  <c r="O439" i="13" s="1"/>
  <c r="J439" i="13"/>
  <c r="M439" i="13" s="1"/>
  <c r="L438" i="13"/>
  <c r="O438" i="13" s="1"/>
  <c r="J438" i="13"/>
  <c r="M438" i="13" s="1"/>
  <c r="L437" i="13"/>
  <c r="O437" i="13" s="1"/>
  <c r="J437" i="13"/>
  <c r="M437" i="13" s="1"/>
  <c r="J427" i="13"/>
  <c r="M427" i="13" s="1"/>
  <c r="L426" i="13"/>
  <c r="O426" i="13" s="1"/>
  <c r="J426" i="13"/>
  <c r="M426" i="13" s="1"/>
  <c r="L425" i="13"/>
  <c r="O425" i="13" s="1"/>
  <c r="J425" i="13"/>
  <c r="M425" i="13" s="1"/>
  <c r="L424" i="13"/>
  <c r="O424" i="13" s="1"/>
  <c r="J424" i="13"/>
  <c r="M424" i="13" s="1"/>
  <c r="L423" i="13"/>
  <c r="O423" i="13" s="1"/>
  <c r="J423" i="13"/>
  <c r="M423" i="13" s="1"/>
  <c r="L422" i="13"/>
  <c r="O422" i="13" s="1"/>
  <c r="J422" i="13"/>
  <c r="M422" i="13" s="1"/>
  <c r="L421" i="13"/>
  <c r="O421" i="13" s="1"/>
  <c r="J421" i="13"/>
  <c r="M421" i="13" s="1"/>
  <c r="J410" i="13"/>
  <c r="M410" i="13" s="1"/>
  <c r="L409" i="13"/>
  <c r="O409" i="13" s="1"/>
  <c r="J409" i="13"/>
  <c r="M409" i="13" s="1"/>
  <c r="J401" i="13"/>
  <c r="M401" i="13" s="1"/>
  <c r="L400" i="13"/>
  <c r="O400" i="13" s="1"/>
  <c r="J400" i="13"/>
  <c r="M400" i="13" s="1"/>
  <c r="L399" i="13"/>
  <c r="O399" i="13" s="1"/>
  <c r="J399" i="13"/>
  <c r="M399" i="13" s="1"/>
  <c r="L398" i="13"/>
  <c r="O398" i="13" s="1"/>
  <c r="J398" i="13"/>
  <c r="M398" i="13" s="1"/>
  <c r="L397" i="13"/>
  <c r="O397" i="13" s="1"/>
  <c r="J397" i="13"/>
  <c r="M397" i="13" s="1"/>
  <c r="J388" i="13"/>
  <c r="M388" i="13" s="1"/>
  <c r="L387" i="13"/>
  <c r="O387" i="13" s="1"/>
  <c r="J387" i="13"/>
  <c r="M387" i="13" s="1"/>
  <c r="L386" i="13"/>
  <c r="O386" i="13" s="1"/>
  <c r="J386" i="13"/>
  <c r="M386" i="13" s="1"/>
  <c r="L385" i="13"/>
  <c r="O385" i="13" s="1"/>
  <c r="J385" i="13"/>
  <c r="M385" i="13" s="1"/>
  <c r="L384" i="13"/>
  <c r="O384" i="13" s="1"/>
  <c r="J384" i="13"/>
  <c r="M384" i="13" s="1"/>
  <c r="L383" i="13"/>
  <c r="O383" i="13" s="1"/>
  <c r="J383" i="13"/>
  <c r="M383" i="13" s="1"/>
  <c r="L382" i="13"/>
  <c r="O382" i="13" s="1"/>
  <c r="J382" i="13"/>
  <c r="M382" i="13" s="1"/>
  <c r="L381" i="13"/>
  <c r="O381" i="13" s="1"/>
  <c r="J381" i="13"/>
  <c r="M381" i="13" s="1"/>
  <c r="L373" i="13"/>
  <c r="O373" i="13" s="1"/>
  <c r="J373" i="13"/>
  <c r="M373" i="13" s="1"/>
  <c r="K496" i="13"/>
  <c r="N496" i="13" s="1"/>
  <c r="K495" i="13"/>
  <c r="N495" i="13" s="1"/>
  <c r="L465" i="13"/>
  <c r="O465" i="13" s="1"/>
  <c r="L464" i="13"/>
  <c r="O464" i="13" s="1"/>
  <c r="L463" i="13"/>
  <c r="O463" i="13" s="1"/>
  <c r="L462" i="13"/>
  <c r="O462" i="13" s="1"/>
  <c r="L461" i="13"/>
  <c r="O461" i="13" s="1"/>
  <c r="L460" i="13"/>
  <c r="O460" i="13" s="1"/>
  <c r="J445" i="13"/>
  <c r="M445" i="13" s="1"/>
  <c r="J429" i="13"/>
  <c r="M429" i="13" s="1"/>
  <c r="J413" i="13"/>
  <c r="M413" i="13" s="1"/>
  <c r="J405" i="13"/>
  <c r="M405" i="13" s="1"/>
  <c r="L310" i="13"/>
  <c r="O310" i="13" s="1"/>
  <c r="L307" i="13"/>
  <c r="O307" i="13" s="1"/>
  <c r="J307" i="13"/>
  <c r="M307" i="13" s="1"/>
  <c r="L295" i="13"/>
  <c r="O295" i="13" s="1"/>
  <c r="L293" i="13"/>
  <c r="O293" i="13" s="1"/>
  <c r="J293" i="13"/>
  <c r="M293" i="13" s="1"/>
  <c r="L280" i="13"/>
  <c r="O280" i="13" s="1"/>
  <c r="J280" i="13"/>
  <c r="M280" i="13" s="1"/>
  <c r="L279" i="13"/>
  <c r="O279" i="13" s="1"/>
  <c r="J279" i="13"/>
  <c r="M279" i="13" s="1"/>
  <c r="L274" i="13"/>
  <c r="O274" i="13" s="1"/>
  <c r="J274" i="13"/>
  <c r="M274" i="13" s="1"/>
  <c r="L271" i="13"/>
  <c r="O271" i="13" s="1"/>
  <c r="J271" i="13"/>
  <c r="M271" i="13" s="1"/>
  <c r="L270" i="13"/>
  <c r="O270" i="13" s="1"/>
  <c r="J270" i="13"/>
  <c r="M270" i="13" s="1"/>
  <c r="L266" i="13"/>
  <c r="O266" i="13" s="1"/>
  <c r="J266" i="13"/>
  <c r="M266" i="13" s="1"/>
  <c r="L265" i="13"/>
  <c r="O265" i="13" s="1"/>
  <c r="J265" i="13"/>
  <c r="M265" i="13" s="1"/>
  <c r="L263" i="13"/>
  <c r="O263" i="13" s="1"/>
  <c r="J263" i="13"/>
  <c r="M263" i="13" s="1"/>
  <c r="L259" i="13"/>
  <c r="O259" i="13" s="1"/>
  <c r="J259" i="13"/>
  <c r="M259" i="13" s="1"/>
  <c r="L252" i="13"/>
  <c r="O252" i="13" s="1"/>
  <c r="J252" i="13"/>
  <c r="M252" i="13" s="1"/>
  <c r="L251" i="13"/>
  <c r="O251" i="13" s="1"/>
  <c r="J251" i="13"/>
  <c r="M251" i="13" s="1"/>
  <c r="L250" i="13"/>
  <c r="O250" i="13" s="1"/>
  <c r="J250" i="13"/>
  <c r="M250" i="13" s="1"/>
  <c r="L246" i="13"/>
  <c r="O246" i="13" s="1"/>
  <c r="J246" i="13"/>
  <c r="M246" i="13" s="1"/>
  <c r="L245" i="13"/>
  <c r="O245" i="13" s="1"/>
  <c r="J245" i="13"/>
  <c r="M245" i="13" s="1"/>
  <c r="L242" i="13"/>
  <c r="O242" i="13" s="1"/>
  <c r="J242" i="13"/>
  <c r="M242" i="13" s="1"/>
  <c r="L241" i="13"/>
  <c r="O241" i="13" s="1"/>
  <c r="J241" i="13"/>
  <c r="M241" i="13" s="1"/>
  <c r="L238" i="13"/>
  <c r="O238" i="13" s="1"/>
  <c r="J238" i="13"/>
  <c r="M238" i="13" s="1"/>
  <c r="L237" i="13"/>
  <c r="O237" i="13" s="1"/>
  <c r="J237" i="13"/>
  <c r="M237" i="13" s="1"/>
  <c r="L234" i="13"/>
  <c r="O234" i="13" s="1"/>
  <c r="J234" i="13"/>
  <c r="M234" i="13" s="1"/>
  <c r="L233" i="13"/>
  <c r="O233" i="13" s="1"/>
  <c r="J233" i="13"/>
  <c r="M233" i="13" s="1"/>
  <c r="L230" i="13"/>
  <c r="O230" i="13" s="1"/>
  <c r="J230" i="13"/>
  <c r="M230" i="13" s="1"/>
  <c r="L229" i="13"/>
  <c r="O229" i="13" s="1"/>
  <c r="J229" i="13"/>
  <c r="M229" i="13" s="1"/>
  <c r="L226" i="13"/>
  <c r="O226" i="13" s="1"/>
  <c r="J226" i="13"/>
  <c r="M226" i="13" s="1"/>
  <c r="L225" i="13"/>
  <c r="O225" i="13" s="1"/>
  <c r="J225" i="13"/>
  <c r="M225" i="13" s="1"/>
  <c r="L222" i="13"/>
  <c r="O222" i="13" s="1"/>
  <c r="J222" i="13"/>
  <c r="M222" i="13" s="1"/>
  <c r="L221" i="13"/>
  <c r="O221" i="13" s="1"/>
  <c r="J221" i="13"/>
  <c r="M221" i="13" s="1"/>
  <c r="L218" i="13"/>
  <c r="O218" i="13" s="1"/>
  <c r="J218" i="13"/>
  <c r="M218" i="13" s="1"/>
  <c r="L217" i="13"/>
  <c r="O217" i="13" s="1"/>
  <c r="J217" i="13"/>
  <c r="M217" i="13" s="1"/>
  <c r="L214" i="13"/>
  <c r="O214" i="13" s="1"/>
  <c r="J214" i="13"/>
  <c r="M214" i="13" s="1"/>
  <c r="L213" i="13"/>
  <c r="O213" i="13" s="1"/>
  <c r="J213" i="13"/>
  <c r="M213" i="13" s="1"/>
  <c r="L210" i="13"/>
  <c r="O210" i="13" s="1"/>
  <c r="J210" i="13"/>
  <c r="M210" i="13" s="1"/>
  <c r="L209" i="13"/>
  <c r="O209" i="13" s="1"/>
  <c r="J209" i="13"/>
  <c r="M209" i="13" s="1"/>
  <c r="L206" i="13"/>
  <c r="O206" i="13" s="1"/>
  <c r="J206" i="13"/>
  <c r="M206" i="13" s="1"/>
  <c r="L205" i="13"/>
  <c r="O205" i="13" s="1"/>
  <c r="J205" i="13"/>
  <c r="M205" i="13" s="1"/>
  <c r="L202" i="13"/>
  <c r="O202" i="13" s="1"/>
  <c r="J202" i="13"/>
  <c r="M202" i="13" s="1"/>
  <c r="L201" i="13"/>
  <c r="O201" i="13" s="1"/>
  <c r="J201" i="13"/>
  <c r="M201" i="13" s="1"/>
  <c r="L198" i="13"/>
  <c r="O198" i="13" s="1"/>
  <c r="J198" i="13"/>
  <c r="M198" i="13" s="1"/>
  <c r="L197" i="13"/>
  <c r="O197" i="13" s="1"/>
  <c r="J197" i="13"/>
  <c r="M197" i="13" s="1"/>
  <c r="L194" i="13"/>
  <c r="O194" i="13" s="1"/>
  <c r="J194" i="13"/>
  <c r="M194" i="13" s="1"/>
  <c r="L193" i="13"/>
  <c r="O193" i="13" s="1"/>
  <c r="J193" i="13"/>
  <c r="M193" i="13" s="1"/>
  <c r="L190" i="13"/>
  <c r="O190" i="13" s="1"/>
  <c r="J190" i="13"/>
  <c r="M190" i="13" s="1"/>
  <c r="L189" i="13"/>
  <c r="O189" i="13" s="1"/>
  <c r="J189" i="13"/>
  <c r="M189" i="13" s="1"/>
  <c r="L186" i="13"/>
  <c r="O186" i="13" s="1"/>
  <c r="J186" i="13"/>
  <c r="M186" i="13" s="1"/>
  <c r="L185" i="13"/>
  <c r="O185" i="13" s="1"/>
  <c r="J185" i="13"/>
  <c r="M185" i="13" s="1"/>
  <c r="L182" i="13"/>
  <c r="O182" i="13" s="1"/>
  <c r="J182" i="13"/>
  <c r="M182" i="13" s="1"/>
  <c r="L181" i="13"/>
  <c r="O181" i="13" s="1"/>
  <c r="J181" i="13"/>
  <c r="M181" i="13" s="1"/>
  <c r="L180" i="13"/>
  <c r="O180" i="13" s="1"/>
  <c r="L176" i="13"/>
  <c r="O176" i="13" s="1"/>
  <c r="J174" i="13"/>
  <c r="M174" i="13" s="1"/>
  <c r="J171" i="13"/>
  <c r="M171" i="13" s="1"/>
  <c r="L170" i="13"/>
  <c r="O170" i="13" s="1"/>
  <c r="J170" i="13"/>
  <c r="M170" i="13" s="1"/>
  <c r="J167" i="13"/>
  <c r="M167" i="13" s="1"/>
  <c r="L164" i="13"/>
  <c r="O164" i="13" s="1"/>
  <c r="L160" i="13"/>
  <c r="O160" i="13" s="1"/>
  <c r="J158" i="13"/>
  <c r="M158" i="13" s="1"/>
  <c r="J155" i="13"/>
  <c r="M155" i="13" s="1"/>
  <c r="L154" i="13"/>
  <c r="O154" i="13" s="1"/>
  <c r="J154" i="13"/>
  <c r="M154" i="13" s="1"/>
  <c r="J151" i="13"/>
  <c r="M151" i="13" s="1"/>
  <c r="L148" i="13"/>
  <c r="O148" i="13" s="1"/>
  <c r="L144" i="13"/>
  <c r="O144" i="13" s="1"/>
  <c r="J142" i="13"/>
  <c r="M142" i="13" s="1"/>
  <c r="J139" i="13"/>
  <c r="M139" i="13" s="1"/>
  <c r="L138" i="13"/>
  <c r="O138" i="13" s="1"/>
  <c r="J138" i="13"/>
  <c r="M138" i="13" s="1"/>
  <c r="J135" i="13"/>
  <c r="M135" i="13" s="1"/>
  <c r="L132" i="13"/>
  <c r="O132" i="13" s="1"/>
  <c r="L128" i="13"/>
  <c r="O128" i="13" s="1"/>
  <c r="J126" i="13"/>
  <c r="M126" i="13" s="1"/>
  <c r="J123" i="13"/>
  <c r="M123" i="13" s="1"/>
  <c r="L122" i="13"/>
  <c r="O122" i="13" s="1"/>
  <c r="J122" i="13"/>
  <c r="M122" i="13" s="1"/>
  <c r="J119" i="13"/>
  <c r="M119" i="13" s="1"/>
  <c r="L116" i="13"/>
  <c r="O116" i="13" s="1"/>
  <c r="L112" i="13"/>
  <c r="O112" i="13" s="1"/>
  <c r="L108" i="13"/>
  <c r="O108" i="13" s="1"/>
  <c r="L104" i="13"/>
  <c r="O104" i="13" s="1"/>
  <c r="J101" i="13"/>
  <c r="M101" i="13" s="1"/>
  <c r="L100" i="13"/>
  <c r="O100" i="13" s="1"/>
  <c r="J100" i="13"/>
  <c r="M100" i="13" s="1"/>
  <c r="J97" i="13"/>
  <c r="M97" i="13" s="1"/>
  <c r="L94" i="13"/>
  <c r="O94" i="13" s="1"/>
  <c r="J91" i="13"/>
  <c r="M91" i="13" s="1"/>
  <c r="L90" i="13"/>
  <c r="O90" i="13" s="1"/>
  <c r="J90" i="13"/>
  <c r="M90" i="13" s="1"/>
  <c r="J87" i="13"/>
  <c r="M87" i="13" s="1"/>
  <c r="L84" i="13"/>
  <c r="O84" i="13" s="1"/>
  <c r="L80" i="13"/>
  <c r="O80" i="13" s="1"/>
  <c r="J78" i="13"/>
  <c r="M78" i="13" s="1"/>
  <c r="J75" i="13"/>
  <c r="M75" i="13" s="1"/>
  <c r="L74" i="13"/>
  <c r="O74" i="13" s="1"/>
  <c r="J74" i="13"/>
  <c r="M74" i="13" s="1"/>
  <c r="J71" i="13"/>
  <c r="M71" i="13" s="1"/>
  <c r="L68" i="13"/>
  <c r="O68" i="13" s="1"/>
  <c r="L64" i="13"/>
  <c r="O64" i="13" s="1"/>
  <c r="J62" i="13"/>
  <c r="M62" i="13" s="1"/>
  <c r="J59" i="13"/>
  <c r="M59" i="13" s="1"/>
  <c r="L58" i="13"/>
  <c r="O58" i="13" s="1"/>
  <c r="J58" i="13"/>
  <c r="M58" i="13" s="1"/>
  <c r="J55" i="13"/>
  <c r="M55" i="13" s="1"/>
  <c r="L52" i="13"/>
  <c r="O52" i="13" s="1"/>
  <c r="L48" i="13"/>
  <c r="O48" i="13" s="1"/>
  <c r="J46" i="13"/>
  <c r="M46" i="13" s="1"/>
  <c r="J43" i="13"/>
  <c r="M43" i="13" s="1"/>
  <c r="L42" i="13"/>
  <c r="O42" i="13" s="1"/>
  <c r="J42" i="13"/>
  <c r="M42" i="13" s="1"/>
  <c r="J40" i="13"/>
  <c r="M40" i="13" s="1"/>
  <c r="L37" i="13"/>
  <c r="O37" i="13" s="1"/>
  <c r="J37" i="13"/>
  <c r="M37" i="13" s="1"/>
  <c r="L36" i="13"/>
  <c r="O36" i="13" s="1"/>
  <c r="J36" i="13"/>
  <c r="M36" i="13" s="1"/>
  <c r="L33" i="13"/>
  <c r="O33" i="13" s="1"/>
  <c r="J33" i="13"/>
  <c r="M33" i="13" s="1"/>
  <c r="L32" i="13"/>
  <c r="O32" i="13" s="1"/>
  <c r="J32" i="13"/>
  <c r="M32" i="13" s="1"/>
  <c r="L29" i="13"/>
  <c r="O29" i="13" s="1"/>
  <c r="J29" i="13"/>
  <c r="M29" i="13" s="1"/>
  <c r="L28" i="13"/>
  <c r="O28" i="13" s="1"/>
  <c r="J28" i="13"/>
  <c r="M28" i="13" s="1"/>
  <c r="L25" i="13"/>
  <c r="O25" i="13" s="1"/>
  <c r="J25" i="13"/>
  <c r="M25" i="13" s="1"/>
  <c r="L24" i="13"/>
  <c r="O24" i="13" s="1"/>
  <c r="J24" i="13"/>
  <c r="M24" i="13" s="1"/>
  <c r="L21" i="13"/>
  <c r="O21" i="13" s="1"/>
  <c r="J21" i="13"/>
  <c r="M21" i="13" s="1"/>
  <c r="L20" i="13"/>
  <c r="O20" i="13" s="1"/>
  <c r="J20" i="13"/>
  <c r="M20" i="13" s="1"/>
  <c r="K372" i="13"/>
  <c r="N372" i="13" s="1"/>
  <c r="K370" i="13"/>
  <c r="N370" i="13" s="1"/>
  <c r="K368" i="13"/>
  <c r="N368" i="13" s="1"/>
  <c r="K366" i="13"/>
  <c r="N366" i="13" s="1"/>
  <c r="K364" i="13"/>
  <c r="N364" i="13" s="1"/>
  <c r="K362" i="13"/>
  <c r="N362" i="13" s="1"/>
  <c r="K360" i="13"/>
  <c r="N360" i="13" s="1"/>
  <c r="K358" i="13"/>
  <c r="N358" i="13" s="1"/>
  <c r="K356" i="13"/>
  <c r="N356" i="13" s="1"/>
  <c r="K354" i="13"/>
  <c r="N354" i="13" s="1"/>
  <c r="K352" i="13"/>
  <c r="N352" i="13" s="1"/>
  <c r="K350" i="13"/>
  <c r="N350" i="13" s="1"/>
  <c r="K348" i="13"/>
  <c r="N348" i="13" s="1"/>
  <c r="K346" i="13"/>
  <c r="N346" i="13" s="1"/>
  <c r="K344" i="13"/>
  <c r="N344" i="13" s="1"/>
  <c r="K342" i="13"/>
  <c r="N342" i="13" s="1"/>
  <c r="K340" i="13"/>
  <c r="N340" i="13" s="1"/>
  <c r="K338" i="13"/>
  <c r="N338" i="13" s="1"/>
  <c r="K336" i="13"/>
  <c r="N336" i="13" s="1"/>
  <c r="K334" i="13"/>
  <c r="N334" i="13" s="1"/>
  <c r="K332" i="13"/>
  <c r="N332" i="13" s="1"/>
  <c r="K330" i="13"/>
  <c r="N330" i="13" s="1"/>
  <c r="K328" i="13"/>
  <c r="N328" i="13" s="1"/>
  <c r="K326" i="13"/>
  <c r="N326" i="13" s="1"/>
  <c r="K324" i="13"/>
  <c r="N324" i="13" s="1"/>
  <c r="K322" i="13"/>
  <c r="N322" i="13" s="1"/>
  <c r="K320" i="13"/>
  <c r="N320" i="13" s="1"/>
  <c r="K318" i="13"/>
  <c r="N318" i="13" s="1"/>
  <c r="K316" i="13"/>
  <c r="N316" i="13" s="1"/>
  <c r="K314" i="13"/>
  <c r="N314" i="13" s="1"/>
  <c r="K312" i="13"/>
  <c r="N312" i="13" s="1"/>
  <c r="K309" i="13"/>
  <c r="N309" i="13" s="1"/>
  <c r="K305" i="13"/>
  <c r="N305" i="13" s="1"/>
  <c r="L305" i="13"/>
  <c r="O305" i="13" s="1"/>
  <c r="K303" i="13"/>
  <c r="N303" i="13" s="1"/>
  <c r="K301" i="13"/>
  <c r="N301" i="13" s="1"/>
  <c r="K299" i="13"/>
  <c r="N299" i="13" s="1"/>
  <c r="K297" i="13"/>
  <c r="N297" i="13" s="1"/>
  <c r="K408" i="13"/>
  <c r="N408" i="13" s="1"/>
  <c r="L372" i="13"/>
  <c r="O372" i="13" s="1"/>
  <c r="K371" i="13"/>
  <c r="N371" i="13" s="1"/>
  <c r="L370" i="13"/>
  <c r="O370" i="13" s="1"/>
  <c r="K369" i="13"/>
  <c r="N369" i="13" s="1"/>
  <c r="L368" i="13"/>
  <c r="O368" i="13" s="1"/>
  <c r="K367" i="13"/>
  <c r="N367" i="13" s="1"/>
  <c r="L366" i="13"/>
  <c r="O366" i="13" s="1"/>
  <c r="K365" i="13"/>
  <c r="N365" i="13" s="1"/>
  <c r="L364" i="13"/>
  <c r="O364" i="13" s="1"/>
  <c r="K363" i="13"/>
  <c r="N363" i="13" s="1"/>
  <c r="L362" i="13"/>
  <c r="O362" i="13" s="1"/>
  <c r="K361" i="13"/>
  <c r="N361" i="13" s="1"/>
  <c r="L360" i="13"/>
  <c r="O360" i="13" s="1"/>
  <c r="K359" i="13"/>
  <c r="N359" i="13" s="1"/>
  <c r="L358" i="13"/>
  <c r="O358" i="13" s="1"/>
  <c r="K357" i="13"/>
  <c r="N357" i="13" s="1"/>
  <c r="L356" i="13"/>
  <c r="O356" i="13" s="1"/>
  <c r="K355" i="13"/>
  <c r="N355" i="13" s="1"/>
  <c r="L354" i="13"/>
  <c r="O354" i="13" s="1"/>
  <c r="K353" i="13"/>
  <c r="N353" i="13" s="1"/>
  <c r="L352" i="13"/>
  <c r="O352" i="13" s="1"/>
  <c r="K351" i="13"/>
  <c r="N351" i="13" s="1"/>
  <c r="L350" i="13"/>
  <c r="O350" i="13" s="1"/>
  <c r="K349" i="13"/>
  <c r="N349" i="13" s="1"/>
  <c r="L348" i="13"/>
  <c r="O348" i="13" s="1"/>
  <c r="K347" i="13"/>
  <c r="N347" i="13" s="1"/>
  <c r="L346" i="13"/>
  <c r="O346" i="13" s="1"/>
  <c r="K345" i="13"/>
  <c r="N345" i="13" s="1"/>
  <c r="L344" i="13"/>
  <c r="O344" i="13" s="1"/>
  <c r="K343" i="13"/>
  <c r="N343" i="13" s="1"/>
  <c r="L342" i="13"/>
  <c r="O342" i="13" s="1"/>
  <c r="K341" i="13"/>
  <c r="N341" i="13" s="1"/>
  <c r="L340" i="13"/>
  <c r="O340" i="13" s="1"/>
  <c r="K339" i="13"/>
  <c r="N339" i="13" s="1"/>
  <c r="L338" i="13"/>
  <c r="O338" i="13" s="1"/>
  <c r="K337" i="13"/>
  <c r="N337" i="13" s="1"/>
  <c r="L336" i="13"/>
  <c r="O336" i="13" s="1"/>
  <c r="K335" i="13"/>
  <c r="N335" i="13" s="1"/>
  <c r="L334" i="13"/>
  <c r="O334" i="13" s="1"/>
  <c r="K333" i="13"/>
  <c r="N333" i="13" s="1"/>
  <c r="L332" i="13"/>
  <c r="O332" i="13" s="1"/>
  <c r="K331" i="13"/>
  <c r="N331" i="13" s="1"/>
  <c r="L330" i="13"/>
  <c r="O330" i="13" s="1"/>
  <c r="K329" i="13"/>
  <c r="N329" i="13" s="1"/>
  <c r="L328" i="13"/>
  <c r="O328" i="13" s="1"/>
  <c r="K327" i="13"/>
  <c r="N327" i="13" s="1"/>
  <c r="L326" i="13"/>
  <c r="O326" i="13" s="1"/>
  <c r="K325" i="13"/>
  <c r="N325" i="13" s="1"/>
  <c r="L324" i="13"/>
  <c r="O324" i="13" s="1"/>
  <c r="K323" i="13"/>
  <c r="N323" i="13" s="1"/>
  <c r="L322" i="13"/>
  <c r="O322" i="13" s="1"/>
  <c r="K321" i="13"/>
  <c r="N321" i="13" s="1"/>
  <c r="L320" i="13"/>
  <c r="O320" i="13" s="1"/>
  <c r="K319" i="13"/>
  <c r="N319" i="13" s="1"/>
  <c r="L318" i="13"/>
  <c r="O318" i="13" s="1"/>
  <c r="K317" i="13"/>
  <c r="N317" i="13" s="1"/>
  <c r="L316" i="13"/>
  <c r="O316" i="13" s="1"/>
  <c r="K315" i="13"/>
  <c r="N315" i="13" s="1"/>
  <c r="L314" i="13"/>
  <c r="O314" i="13" s="1"/>
  <c r="K313" i="13"/>
  <c r="N313" i="13" s="1"/>
  <c r="L312" i="13"/>
  <c r="O312" i="13" s="1"/>
  <c r="K311" i="13"/>
  <c r="N311" i="13" s="1"/>
  <c r="L309" i="13"/>
  <c r="O309" i="13" s="1"/>
  <c r="K308" i="13"/>
  <c r="N308" i="13" s="1"/>
  <c r="L303" i="13"/>
  <c r="O303" i="13" s="1"/>
  <c r="K302" i="13"/>
  <c r="N302" i="13" s="1"/>
  <c r="L301" i="13"/>
  <c r="O301" i="13" s="1"/>
  <c r="K300" i="13"/>
  <c r="N300" i="13" s="1"/>
  <c r="L299" i="13"/>
  <c r="O299" i="13" s="1"/>
  <c r="K298" i="13"/>
  <c r="N298" i="13" s="1"/>
  <c r="L297" i="13"/>
  <c r="O297" i="13" s="1"/>
  <c r="K296" i="13"/>
  <c r="N296" i="13" s="1"/>
  <c r="L294" i="13"/>
  <c r="O294" i="13" s="1"/>
  <c r="J294" i="13"/>
  <c r="M294" i="13" s="1"/>
  <c r="L292" i="13"/>
  <c r="O292" i="13" s="1"/>
  <c r="J292" i="13"/>
  <c r="M292" i="13" s="1"/>
  <c r="L289" i="13"/>
  <c r="O289" i="13" s="1"/>
  <c r="J289" i="13"/>
  <c r="M289" i="13" s="1"/>
  <c r="L288" i="13"/>
  <c r="O288" i="13" s="1"/>
  <c r="J288" i="13"/>
  <c r="M288" i="13" s="1"/>
  <c r="L285" i="13"/>
  <c r="O285" i="13" s="1"/>
  <c r="J285" i="13"/>
  <c r="M285" i="13" s="1"/>
  <c r="L284" i="13"/>
  <c r="O284" i="13" s="1"/>
  <c r="J284" i="13"/>
  <c r="M284" i="13" s="1"/>
  <c r="L281" i="13"/>
  <c r="O281" i="13" s="1"/>
  <c r="J281" i="13"/>
  <c r="M281" i="13" s="1"/>
  <c r="L278" i="13"/>
  <c r="O278" i="13" s="1"/>
  <c r="J278" i="13"/>
  <c r="M278" i="13" s="1"/>
  <c r="L275" i="13"/>
  <c r="O275" i="13" s="1"/>
  <c r="J275" i="13"/>
  <c r="M275" i="13" s="1"/>
  <c r="L273" i="13"/>
  <c r="O273" i="13" s="1"/>
  <c r="J273" i="13"/>
  <c r="M273" i="13" s="1"/>
  <c r="L272" i="13"/>
  <c r="O272" i="13" s="1"/>
  <c r="J272" i="13"/>
  <c r="M272" i="13" s="1"/>
  <c r="L269" i="13"/>
  <c r="O269" i="13" s="1"/>
  <c r="J269" i="13"/>
  <c r="M269" i="13" s="1"/>
  <c r="L267" i="13"/>
  <c r="O267" i="13" s="1"/>
  <c r="J267" i="13"/>
  <c r="M267" i="13" s="1"/>
  <c r="L264" i="13"/>
  <c r="O264" i="13" s="1"/>
  <c r="J264" i="13"/>
  <c r="M264" i="13" s="1"/>
  <c r="L262" i="13"/>
  <c r="O262" i="13" s="1"/>
  <c r="J262" i="13"/>
  <c r="M262" i="13" s="1"/>
  <c r="L260" i="13"/>
  <c r="O260" i="13" s="1"/>
  <c r="J260" i="13"/>
  <c r="M260" i="13" s="1"/>
  <c r="L258" i="13"/>
  <c r="O258" i="13" s="1"/>
  <c r="J258" i="13"/>
  <c r="M258" i="13" s="1"/>
  <c r="L255" i="13"/>
  <c r="O255" i="13" s="1"/>
  <c r="J255" i="13"/>
  <c r="M255" i="13" s="1"/>
  <c r="L254" i="13"/>
  <c r="O254" i="13" s="1"/>
  <c r="J254" i="13"/>
  <c r="M254" i="13" s="1"/>
  <c r="L253" i="13"/>
  <c r="O253" i="13" s="1"/>
  <c r="J253" i="13"/>
  <c r="M253" i="13" s="1"/>
  <c r="L249" i="13"/>
  <c r="O249" i="13" s="1"/>
  <c r="J249" i="13"/>
  <c r="M249" i="13" s="1"/>
  <c r="L247" i="13"/>
  <c r="O247" i="13" s="1"/>
  <c r="J247" i="13"/>
  <c r="M247" i="13" s="1"/>
  <c r="L244" i="13"/>
  <c r="O244" i="13" s="1"/>
  <c r="J244" i="13"/>
  <c r="M244" i="13" s="1"/>
  <c r="L243" i="13"/>
  <c r="O243" i="13" s="1"/>
  <c r="J243" i="13"/>
  <c r="M243" i="13" s="1"/>
  <c r="L240" i="13"/>
  <c r="O240" i="13" s="1"/>
  <c r="J240" i="13"/>
  <c r="M240" i="13" s="1"/>
  <c r="L239" i="13"/>
  <c r="O239" i="13" s="1"/>
  <c r="J239" i="13"/>
  <c r="M239" i="13" s="1"/>
  <c r="L236" i="13"/>
  <c r="O236" i="13" s="1"/>
  <c r="J236" i="13"/>
  <c r="M236" i="13" s="1"/>
  <c r="L235" i="13"/>
  <c r="O235" i="13" s="1"/>
  <c r="J235" i="13"/>
  <c r="M235" i="13" s="1"/>
  <c r="L232" i="13"/>
  <c r="O232" i="13" s="1"/>
  <c r="J232" i="13"/>
  <c r="M232" i="13" s="1"/>
  <c r="L231" i="13"/>
  <c r="O231" i="13" s="1"/>
  <c r="J231" i="13"/>
  <c r="M231" i="13" s="1"/>
  <c r="L228" i="13"/>
  <c r="O228" i="13" s="1"/>
  <c r="J228" i="13"/>
  <c r="M228" i="13" s="1"/>
  <c r="L227" i="13"/>
  <c r="O227" i="13" s="1"/>
  <c r="J227" i="13"/>
  <c r="M227" i="13" s="1"/>
  <c r="L224" i="13"/>
  <c r="O224" i="13" s="1"/>
  <c r="J224" i="13"/>
  <c r="M224" i="13" s="1"/>
  <c r="L223" i="13"/>
  <c r="O223" i="13" s="1"/>
  <c r="J223" i="13"/>
  <c r="M223" i="13" s="1"/>
  <c r="L220" i="13"/>
  <c r="O220" i="13" s="1"/>
  <c r="J220" i="13"/>
  <c r="M220" i="13" s="1"/>
  <c r="L219" i="13"/>
  <c r="O219" i="13" s="1"/>
  <c r="J219" i="13"/>
  <c r="M219" i="13" s="1"/>
  <c r="L216" i="13"/>
  <c r="O216" i="13" s="1"/>
  <c r="J216" i="13"/>
  <c r="M216" i="13" s="1"/>
  <c r="L215" i="13"/>
  <c r="O215" i="13" s="1"/>
  <c r="J215" i="13"/>
  <c r="M215" i="13" s="1"/>
  <c r="L212" i="13"/>
  <c r="O212" i="13" s="1"/>
  <c r="J212" i="13"/>
  <c r="M212" i="13" s="1"/>
  <c r="L211" i="13"/>
  <c r="O211" i="13" s="1"/>
  <c r="J211" i="13"/>
  <c r="M211" i="13" s="1"/>
  <c r="L208" i="13"/>
  <c r="O208" i="13" s="1"/>
  <c r="J208" i="13"/>
  <c r="M208" i="13" s="1"/>
  <c r="L207" i="13"/>
  <c r="O207" i="13" s="1"/>
  <c r="J207" i="13"/>
  <c r="M207" i="13" s="1"/>
  <c r="L204" i="13"/>
  <c r="O204" i="13" s="1"/>
  <c r="J204" i="13"/>
  <c r="M204" i="13" s="1"/>
  <c r="L203" i="13"/>
  <c r="O203" i="13" s="1"/>
  <c r="J203" i="13"/>
  <c r="M203" i="13" s="1"/>
  <c r="L200" i="13"/>
  <c r="O200" i="13" s="1"/>
  <c r="J200" i="13"/>
  <c r="M200" i="13" s="1"/>
  <c r="L199" i="13"/>
  <c r="O199" i="13" s="1"/>
  <c r="J199" i="13"/>
  <c r="M199" i="13" s="1"/>
  <c r="L196" i="13"/>
  <c r="O196" i="13" s="1"/>
  <c r="J196" i="13"/>
  <c r="M196" i="13" s="1"/>
  <c r="L195" i="13"/>
  <c r="O195" i="13" s="1"/>
  <c r="J195" i="13"/>
  <c r="M195" i="13" s="1"/>
  <c r="L192" i="13"/>
  <c r="O192" i="13" s="1"/>
  <c r="J192" i="13"/>
  <c r="M192" i="13" s="1"/>
  <c r="L191" i="13"/>
  <c r="O191" i="13" s="1"/>
  <c r="J191" i="13"/>
  <c r="M191" i="13" s="1"/>
  <c r="L188" i="13"/>
  <c r="O188" i="13" s="1"/>
  <c r="J188" i="13"/>
  <c r="M188" i="13" s="1"/>
  <c r="L187" i="13"/>
  <c r="O187" i="13" s="1"/>
  <c r="J187" i="13"/>
  <c r="M187" i="13" s="1"/>
  <c r="L184" i="13"/>
  <c r="O184" i="13" s="1"/>
  <c r="J184" i="13"/>
  <c r="M184" i="13" s="1"/>
  <c r="L183" i="13"/>
  <c r="O183" i="13" s="1"/>
  <c r="J183" i="13"/>
  <c r="M183" i="13" s="1"/>
  <c r="L39" i="13"/>
  <c r="O39" i="13" s="1"/>
  <c r="J39" i="13"/>
  <c r="M39" i="13" s="1"/>
  <c r="L38" i="13"/>
  <c r="O38" i="13" s="1"/>
  <c r="J38" i="13"/>
  <c r="M38" i="13" s="1"/>
  <c r="L35" i="13"/>
  <c r="O35" i="13" s="1"/>
  <c r="J35" i="13"/>
  <c r="M35" i="13" s="1"/>
  <c r="L34" i="13"/>
  <c r="O34" i="13" s="1"/>
  <c r="J34" i="13"/>
  <c r="M34" i="13" s="1"/>
  <c r="L31" i="13"/>
  <c r="O31" i="13" s="1"/>
  <c r="J31" i="13"/>
  <c r="M31" i="13" s="1"/>
  <c r="L30" i="13"/>
  <c r="O30" i="13" s="1"/>
  <c r="J30" i="13"/>
  <c r="M30" i="13" s="1"/>
  <c r="L27" i="13"/>
  <c r="O27" i="13" s="1"/>
  <c r="J27" i="13"/>
  <c r="M27" i="13" s="1"/>
  <c r="L26" i="13"/>
  <c r="O26" i="13" s="1"/>
  <c r="J26" i="13"/>
  <c r="M26" i="13" s="1"/>
  <c r="L23" i="13"/>
  <c r="O23" i="13" s="1"/>
  <c r="J23" i="13"/>
  <c r="M23" i="13" s="1"/>
  <c r="L22" i="13"/>
  <c r="O22" i="13" s="1"/>
  <c r="J22" i="13"/>
  <c r="M22" i="13" s="1"/>
  <c r="L19" i="13"/>
  <c r="O19" i="13" s="1"/>
  <c r="J19" i="13"/>
  <c r="M19" i="13" s="1"/>
  <c r="K179" i="13"/>
  <c r="N179" i="13" s="1"/>
  <c r="L179" i="13"/>
  <c r="O179" i="13" s="1"/>
  <c r="K177" i="13"/>
  <c r="N177" i="13" s="1"/>
  <c r="L177" i="13"/>
  <c r="O177" i="13" s="1"/>
  <c r="K175" i="13"/>
  <c r="N175" i="13" s="1"/>
  <c r="L175" i="13"/>
  <c r="O175" i="13" s="1"/>
  <c r="K173" i="13"/>
  <c r="N173" i="13" s="1"/>
  <c r="L173" i="13"/>
  <c r="O173" i="13" s="1"/>
  <c r="K171" i="13"/>
  <c r="N171" i="13" s="1"/>
  <c r="L171" i="13"/>
  <c r="O171" i="13" s="1"/>
  <c r="K169" i="13"/>
  <c r="N169" i="13" s="1"/>
  <c r="L169" i="13"/>
  <c r="O169" i="13" s="1"/>
  <c r="K167" i="13"/>
  <c r="N167" i="13" s="1"/>
  <c r="K165" i="13"/>
  <c r="N165" i="13" s="1"/>
  <c r="K163" i="13"/>
  <c r="N163" i="13" s="1"/>
  <c r="K161" i="13"/>
  <c r="N161" i="13" s="1"/>
  <c r="K159" i="13"/>
  <c r="N159" i="13" s="1"/>
  <c r="K157" i="13"/>
  <c r="N157" i="13" s="1"/>
  <c r="K155" i="13"/>
  <c r="N155" i="13" s="1"/>
  <c r="K153" i="13"/>
  <c r="N153" i="13" s="1"/>
  <c r="K151" i="13"/>
  <c r="N151" i="13" s="1"/>
  <c r="K149" i="13"/>
  <c r="N149" i="13" s="1"/>
  <c r="K147" i="13"/>
  <c r="N147" i="13" s="1"/>
  <c r="K145" i="13"/>
  <c r="N145" i="13" s="1"/>
  <c r="K143" i="13"/>
  <c r="N143" i="13" s="1"/>
  <c r="K141" i="13"/>
  <c r="N141" i="13" s="1"/>
  <c r="K139" i="13"/>
  <c r="N139" i="13" s="1"/>
  <c r="K137" i="13"/>
  <c r="N137" i="13" s="1"/>
  <c r="K135" i="13"/>
  <c r="N135" i="13" s="1"/>
  <c r="K133" i="13"/>
  <c r="N133" i="13" s="1"/>
  <c r="K131" i="13"/>
  <c r="N131" i="13" s="1"/>
  <c r="K129" i="13"/>
  <c r="N129" i="13" s="1"/>
  <c r="K127" i="13"/>
  <c r="N127" i="13" s="1"/>
  <c r="K125" i="13"/>
  <c r="N125" i="13" s="1"/>
  <c r="K123" i="13"/>
  <c r="N123" i="13" s="1"/>
  <c r="K121" i="13"/>
  <c r="N121" i="13" s="1"/>
  <c r="K119" i="13"/>
  <c r="N119" i="13" s="1"/>
  <c r="K117" i="13"/>
  <c r="N117" i="13" s="1"/>
  <c r="K115" i="13"/>
  <c r="N115" i="13" s="1"/>
  <c r="K113" i="13"/>
  <c r="N113" i="13" s="1"/>
  <c r="K111" i="13"/>
  <c r="N111" i="13" s="1"/>
  <c r="K109" i="13"/>
  <c r="N109" i="13" s="1"/>
  <c r="K107" i="13"/>
  <c r="N107" i="13" s="1"/>
  <c r="K105" i="13"/>
  <c r="N105" i="13" s="1"/>
  <c r="K103" i="13"/>
  <c r="N103" i="13" s="1"/>
  <c r="K101" i="13"/>
  <c r="N101" i="13" s="1"/>
  <c r="K99" i="13"/>
  <c r="N99" i="13" s="1"/>
  <c r="K97" i="13"/>
  <c r="N97" i="13" s="1"/>
  <c r="K95" i="13"/>
  <c r="N95" i="13" s="1"/>
  <c r="K93" i="13"/>
  <c r="N93" i="13" s="1"/>
  <c r="K91" i="13"/>
  <c r="N91" i="13" s="1"/>
  <c r="L91" i="13"/>
  <c r="O91" i="13" s="1"/>
  <c r="K89" i="13"/>
  <c r="N89" i="13" s="1"/>
  <c r="L89" i="13"/>
  <c r="O89" i="13" s="1"/>
  <c r="K87" i="13"/>
  <c r="N87" i="13" s="1"/>
  <c r="L87" i="13"/>
  <c r="O87" i="13" s="1"/>
  <c r="K85" i="13"/>
  <c r="N85" i="13" s="1"/>
  <c r="L85" i="13"/>
  <c r="O85" i="13" s="1"/>
  <c r="K83" i="13"/>
  <c r="N83" i="13" s="1"/>
  <c r="L83" i="13"/>
  <c r="O83" i="13" s="1"/>
  <c r="K81" i="13"/>
  <c r="N81" i="13" s="1"/>
  <c r="L81" i="13"/>
  <c r="O81" i="13" s="1"/>
  <c r="K79" i="13"/>
  <c r="N79" i="13" s="1"/>
  <c r="L79" i="13"/>
  <c r="O79" i="13" s="1"/>
  <c r="K77" i="13"/>
  <c r="N77" i="13" s="1"/>
  <c r="L77" i="13"/>
  <c r="O77" i="13" s="1"/>
  <c r="K75" i="13"/>
  <c r="N75" i="13" s="1"/>
  <c r="L75" i="13"/>
  <c r="O75" i="13" s="1"/>
  <c r="K73" i="13"/>
  <c r="N73" i="13" s="1"/>
  <c r="L73" i="13"/>
  <c r="O73" i="13" s="1"/>
  <c r="K71" i="13"/>
  <c r="N71" i="13" s="1"/>
  <c r="L71" i="13"/>
  <c r="O71" i="13" s="1"/>
  <c r="K69" i="13"/>
  <c r="N69" i="13" s="1"/>
  <c r="L69" i="13"/>
  <c r="O69" i="13" s="1"/>
  <c r="K67" i="13"/>
  <c r="N67" i="13" s="1"/>
  <c r="L67" i="13"/>
  <c r="O67" i="13" s="1"/>
  <c r="K65" i="13"/>
  <c r="N65" i="13" s="1"/>
  <c r="L65" i="13"/>
  <c r="O65" i="13" s="1"/>
  <c r="K63" i="13"/>
  <c r="N63" i="13" s="1"/>
  <c r="L63" i="13"/>
  <c r="O63" i="13" s="1"/>
  <c r="K61" i="13"/>
  <c r="N61" i="13" s="1"/>
  <c r="L61" i="13"/>
  <c r="O61" i="13" s="1"/>
  <c r="K59" i="13"/>
  <c r="N59" i="13" s="1"/>
  <c r="L59" i="13"/>
  <c r="O59" i="13" s="1"/>
  <c r="K57" i="13"/>
  <c r="N57" i="13" s="1"/>
  <c r="L57" i="13"/>
  <c r="O57" i="13" s="1"/>
  <c r="K55" i="13"/>
  <c r="N55" i="13" s="1"/>
  <c r="L55" i="13"/>
  <c r="O55" i="13" s="1"/>
  <c r="K53" i="13"/>
  <c r="N53" i="13" s="1"/>
  <c r="L53" i="13"/>
  <c r="O53" i="13" s="1"/>
  <c r="K51" i="13"/>
  <c r="N51" i="13" s="1"/>
  <c r="L51" i="13"/>
  <c r="O51" i="13" s="1"/>
  <c r="K49" i="13"/>
  <c r="N49" i="13" s="1"/>
  <c r="L49" i="13"/>
  <c r="O49" i="13" s="1"/>
  <c r="K47" i="13"/>
  <c r="N47" i="13" s="1"/>
  <c r="L47" i="13"/>
  <c r="O47" i="13" s="1"/>
  <c r="K45" i="13"/>
  <c r="N45" i="13" s="1"/>
  <c r="L45" i="13"/>
  <c r="O45" i="13" s="1"/>
  <c r="K43" i="13"/>
  <c r="N43" i="13" s="1"/>
  <c r="L43" i="13"/>
  <c r="O43" i="13" s="1"/>
  <c r="K41" i="13"/>
  <c r="N41" i="13" s="1"/>
  <c r="L41" i="13"/>
  <c r="O41" i="13" s="1"/>
  <c r="K180" i="13"/>
  <c r="N180" i="13" s="1"/>
  <c r="K178" i="13"/>
  <c r="N178" i="13" s="1"/>
  <c r="K176" i="13"/>
  <c r="N176" i="13" s="1"/>
  <c r="K174" i="13"/>
  <c r="N174" i="13" s="1"/>
  <c r="K172" i="13"/>
  <c r="N172" i="13" s="1"/>
  <c r="K170" i="13"/>
  <c r="N170" i="13" s="1"/>
  <c r="K168" i="13"/>
  <c r="N168" i="13" s="1"/>
  <c r="L167" i="13"/>
  <c r="O167" i="13" s="1"/>
  <c r="K166" i="13"/>
  <c r="N166" i="13" s="1"/>
  <c r="L165" i="13"/>
  <c r="O165" i="13" s="1"/>
  <c r="K164" i="13"/>
  <c r="N164" i="13" s="1"/>
  <c r="L163" i="13"/>
  <c r="O163" i="13" s="1"/>
  <c r="K162" i="13"/>
  <c r="N162" i="13" s="1"/>
  <c r="L161" i="13"/>
  <c r="O161" i="13" s="1"/>
  <c r="K160" i="13"/>
  <c r="N160" i="13" s="1"/>
  <c r="L159" i="13"/>
  <c r="O159" i="13" s="1"/>
  <c r="K158" i="13"/>
  <c r="N158" i="13" s="1"/>
  <c r="L157" i="13"/>
  <c r="O157" i="13" s="1"/>
  <c r="K156" i="13"/>
  <c r="N156" i="13" s="1"/>
  <c r="L155" i="13"/>
  <c r="O155" i="13" s="1"/>
  <c r="K154" i="13"/>
  <c r="N154" i="13" s="1"/>
  <c r="L153" i="13"/>
  <c r="O153" i="13" s="1"/>
  <c r="K152" i="13"/>
  <c r="N152" i="13" s="1"/>
  <c r="L151" i="13"/>
  <c r="O151" i="13" s="1"/>
  <c r="K150" i="13"/>
  <c r="N150" i="13" s="1"/>
  <c r="L149" i="13"/>
  <c r="O149" i="13" s="1"/>
  <c r="K148" i="13"/>
  <c r="N148" i="13" s="1"/>
  <c r="L147" i="13"/>
  <c r="O147" i="13" s="1"/>
  <c r="K146" i="13"/>
  <c r="N146" i="13" s="1"/>
  <c r="L145" i="13"/>
  <c r="O145" i="13" s="1"/>
  <c r="K144" i="13"/>
  <c r="N144" i="13" s="1"/>
  <c r="L143" i="13"/>
  <c r="O143" i="13" s="1"/>
  <c r="K142" i="13"/>
  <c r="N142" i="13" s="1"/>
  <c r="L141" i="13"/>
  <c r="O141" i="13" s="1"/>
  <c r="K140" i="13"/>
  <c r="N140" i="13" s="1"/>
  <c r="L139" i="13"/>
  <c r="O139" i="13" s="1"/>
  <c r="K138" i="13"/>
  <c r="N138" i="13" s="1"/>
  <c r="L137" i="13"/>
  <c r="O137" i="13" s="1"/>
  <c r="K136" i="13"/>
  <c r="N136" i="13" s="1"/>
  <c r="L135" i="13"/>
  <c r="O135" i="13" s="1"/>
  <c r="K134" i="13"/>
  <c r="N134" i="13" s="1"/>
  <c r="L133" i="13"/>
  <c r="O133" i="13" s="1"/>
  <c r="K132" i="13"/>
  <c r="N132" i="13" s="1"/>
  <c r="L131" i="13"/>
  <c r="O131" i="13" s="1"/>
  <c r="K130" i="13"/>
  <c r="N130" i="13" s="1"/>
  <c r="L129" i="13"/>
  <c r="O129" i="13" s="1"/>
  <c r="K128" i="13"/>
  <c r="N128" i="13" s="1"/>
  <c r="L127" i="13"/>
  <c r="O127" i="13" s="1"/>
  <c r="K126" i="13"/>
  <c r="N126" i="13" s="1"/>
  <c r="L125" i="13"/>
  <c r="O125" i="13" s="1"/>
  <c r="K124" i="13"/>
  <c r="N124" i="13" s="1"/>
  <c r="L123" i="13"/>
  <c r="O123" i="13" s="1"/>
  <c r="K122" i="13"/>
  <c r="N122" i="13" s="1"/>
  <c r="L121" i="13"/>
  <c r="O121" i="13" s="1"/>
  <c r="K120" i="13"/>
  <c r="N120" i="13" s="1"/>
  <c r="L119" i="13"/>
  <c r="O119" i="13" s="1"/>
  <c r="K118" i="13"/>
  <c r="N118" i="13" s="1"/>
  <c r="L117" i="13"/>
  <c r="O117" i="13" s="1"/>
  <c r="K116" i="13"/>
  <c r="N116" i="13" s="1"/>
  <c r="L115" i="13"/>
  <c r="O115" i="13" s="1"/>
  <c r="K114" i="13"/>
  <c r="N114" i="13" s="1"/>
  <c r="L113" i="13"/>
  <c r="O113" i="13" s="1"/>
  <c r="K112" i="13"/>
  <c r="N112" i="13" s="1"/>
  <c r="L111" i="13"/>
  <c r="O111" i="13" s="1"/>
  <c r="K110" i="13"/>
  <c r="N110" i="13" s="1"/>
  <c r="L109" i="13"/>
  <c r="O109" i="13" s="1"/>
  <c r="K108" i="13"/>
  <c r="N108" i="13" s="1"/>
  <c r="L107" i="13"/>
  <c r="O107" i="13" s="1"/>
  <c r="K106" i="13"/>
  <c r="N106" i="13" s="1"/>
  <c r="L105" i="13"/>
  <c r="O105" i="13" s="1"/>
  <c r="K104" i="13"/>
  <c r="N104" i="13" s="1"/>
  <c r="L103" i="13"/>
  <c r="O103" i="13" s="1"/>
  <c r="K102" i="13"/>
  <c r="N102" i="13" s="1"/>
  <c r="L101" i="13"/>
  <c r="O101" i="13" s="1"/>
  <c r="K100" i="13"/>
  <c r="N100" i="13" s="1"/>
  <c r="L99" i="13"/>
  <c r="O99" i="13" s="1"/>
  <c r="K98" i="13"/>
  <c r="N98" i="13" s="1"/>
  <c r="L97" i="13"/>
  <c r="O97" i="13" s="1"/>
  <c r="K96" i="13"/>
  <c r="N96" i="13" s="1"/>
  <c r="L95" i="13"/>
  <c r="O95" i="13" s="1"/>
  <c r="K94" i="13"/>
  <c r="N94" i="13" s="1"/>
  <c r="L93" i="13"/>
  <c r="O93" i="13" s="1"/>
  <c r="K92" i="13"/>
  <c r="N92" i="13" s="1"/>
  <c r="K90" i="13"/>
  <c r="N90" i="13" s="1"/>
  <c r="K88" i="13"/>
  <c r="N88" i="13" s="1"/>
  <c r="K86" i="13"/>
  <c r="N86" i="13" s="1"/>
  <c r="K84" i="13"/>
  <c r="N84" i="13" s="1"/>
  <c r="K82" i="13"/>
  <c r="N82" i="13" s="1"/>
  <c r="K80" i="13"/>
  <c r="N80" i="13" s="1"/>
  <c r="K78" i="13"/>
  <c r="N78" i="13" s="1"/>
  <c r="K76" i="13"/>
  <c r="N76" i="13" s="1"/>
  <c r="K74" i="13"/>
  <c r="N74" i="13" s="1"/>
  <c r="K72" i="13"/>
  <c r="N72" i="13" s="1"/>
  <c r="K70" i="13"/>
  <c r="N70" i="13" s="1"/>
  <c r="K68" i="13"/>
  <c r="N68" i="13" s="1"/>
  <c r="K66" i="13"/>
  <c r="N66" i="13" s="1"/>
  <c r="K64" i="13"/>
  <c r="N64" i="13" s="1"/>
  <c r="K62" i="13"/>
  <c r="N62" i="13" s="1"/>
  <c r="K60" i="13"/>
  <c r="N60" i="13" s="1"/>
  <c r="K58" i="13"/>
  <c r="N58" i="13" s="1"/>
  <c r="K56" i="13"/>
  <c r="N56" i="13" s="1"/>
  <c r="K54" i="13"/>
  <c r="N54" i="13" s="1"/>
  <c r="K52" i="13"/>
  <c r="N52" i="13" s="1"/>
  <c r="K50" i="13"/>
  <c r="N50" i="13" s="1"/>
  <c r="K48" i="13"/>
  <c r="N48" i="13" s="1"/>
  <c r="K46" i="13"/>
  <c r="N46" i="13" s="1"/>
  <c r="K44" i="13"/>
  <c r="N44" i="13" s="1"/>
  <c r="K42" i="13"/>
  <c r="N42" i="13" s="1"/>
  <c r="R92" i="13"/>
  <c r="AD66" i="13" s="1"/>
  <c r="R91" i="13"/>
  <c r="AD65" i="13" s="1"/>
  <c r="R90" i="13"/>
  <c r="AD64" i="13" s="1"/>
  <c r="R89" i="13"/>
  <c r="AD63" i="13" s="1"/>
  <c r="R88" i="13"/>
  <c r="AD62" i="13" s="1"/>
  <c r="R87" i="13"/>
  <c r="AD61" i="13" s="1"/>
  <c r="R86" i="13"/>
  <c r="AD60" i="13" s="1"/>
  <c r="R85" i="13"/>
  <c r="AD59" i="13" s="1"/>
  <c r="R84" i="13"/>
  <c r="AD58" i="13" s="1"/>
  <c r="R83" i="13"/>
  <c r="AD57" i="13" s="1"/>
  <c r="R82" i="13"/>
  <c r="AD56" i="13" s="1"/>
  <c r="R81" i="13"/>
  <c r="AD55" i="13" s="1"/>
  <c r="R80" i="13"/>
  <c r="AD54" i="13" s="1"/>
  <c r="R79" i="13"/>
  <c r="AD53" i="13" s="1"/>
  <c r="R78" i="13"/>
  <c r="AD52" i="13" s="1"/>
  <c r="R77" i="13"/>
  <c r="AD51" i="13" s="1"/>
  <c r="R76" i="13"/>
  <c r="AD50" i="13" s="1"/>
  <c r="R75" i="13"/>
  <c r="AD49" i="13" s="1"/>
  <c r="R74" i="13"/>
  <c r="AD48" i="13" s="1"/>
  <c r="R73" i="13"/>
  <c r="AD47" i="13" s="1"/>
  <c r="R72" i="13"/>
  <c r="AD46" i="13" s="1"/>
  <c r="R71" i="13"/>
  <c r="AD45" i="13" s="1"/>
  <c r="R70" i="13"/>
  <c r="AD44" i="13" s="1"/>
  <c r="R69" i="13"/>
  <c r="AD43" i="13" s="1"/>
  <c r="R68" i="13"/>
  <c r="AD42" i="13" s="1"/>
  <c r="R67" i="13"/>
  <c r="AD41" i="13" s="1"/>
  <c r="R66" i="13"/>
  <c r="AD40" i="13" s="1"/>
  <c r="R65" i="13"/>
  <c r="V41" i="13"/>
  <c r="AF66" i="13" s="1"/>
  <c r="V40" i="13"/>
  <c r="R40" i="13" s="1"/>
  <c r="AB65" i="13" s="1"/>
  <c r="V39" i="13"/>
  <c r="AF64" i="13" s="1"/>
  <c r="V38" i="13"/>
  <c r="R38" i="13" s="1"/>
  <c r="AB63" i="13" s="1"/>
  <c r="V37" i="13"/>
  <c r="AF62" i="13" s="1"/>
  <c r="V36" i="13"/>
  <c r="R36" i="13" s="1"/>
  <c r="AB61" i="13" s="1"/>
  <c r="V35" i="13"/>
  <c r="AF60" i="13" s="1"/>
  <c r="V34" i="13"/>
  <c r="R34" i="13" s="1"/>
  <c r="AB59" i="13" s="1"/>
  <c r="V33" i="13"/>
  <c r="AF58" i="13" s="1"/>
  <c r="V32" i="13"/>
  <c r="R32" i="13" s="1"/>
  <c r="AB57" i="13" s="1"/>
  <c r="V31" i="13"/>
  <c r="AF56" i="13" s="1"/>
  <c r="V30" i="13"/>
  <c r="R30" i="13" s="1"/>
  <c r="AB55" i="13" s="1"/>
  <c r="V29" i="13"/>
  <c r="AF54" i="13" s="1"/>
  <c r="V28" i="13"/>
  <c r="R28" i="13" s="1"/>
  <c r="AB53" i="13" s="1"/>
  <c r="V27" i="13"/>
  <c r="AF52" i="13" s="1"/>
  <c r="V26" i="13"/>
  <c r="R26" i="13" s="1"/>
  <c r="AB51" i="13" s="1"/>
  <c r="V25" i="13"/>
  <c r="AF50" i="13" s="1"/>
  <c r="V24" i="13"/>
  <c r="R24" i="13" s="1"/>
  <c r="AB49" i="13" s="1"/>
  <c r="V23" i="13"/>
  <c r="AF48" i="13" s="1"/>
  <c r="V22" i="13"/>
  <c r="R22" i="13" s="1"/>
  <c r="AB47" i="13" s="1"/>
  <c r="V21" i="13"/>
  <c r="AF46" i="13" s="1"/>
  <c r="V20" i="13"/>
  <c r="R20" i="13" s="1"/>
  <c r="AB45" i="13" s="1"/>
  <c r="V19" i="13"/>
  <c r="R19" i="13" s="1"/>
  <c r="AB44" i="13" s="1"/>
  <c r="V18" i="13"/>
  <c r="V17" i="13"/>
  <c r="AF42" i="13" s="1"/>
  <c r="V16" i="13"/>
  <c r="R16" i="13" s="1"/>
  <c r="AB41" i="13" s="1"/>
  <c r="V15" i="13"/>
  <c r="V14" i="13"/>
  <c r="R14" i="13" s="1"/>
  <c r="AB39" i="13" s="1"/>
  <c r="O22" i="5"/>
  <c r="S37" i="5"/>
  <c r="S29" i="5"/>
  <c r="S23" i="5"/>
  <c r="P16" i="5"/>
  <c r="O13" i="5"/>
  <c r="Q14" i="5"/>
  <c r="P11" i="5"/>
  <c r="O11" i="5"/>
  <c r="S30" i="5"/>
  <c r="O12" i="5"/>
  <c r="P12" i="5"/>
  <c r="Q12" i="5"/>
  <c r="S12" i="5"/>
  <c r="P13" i="5"/>
  <c r="Q13" i="5"/>
  <c r="S13" i="5"/>
  <c r="O14" i="5"/>
  <c r="P14" i="5"/>
  <c r="S14" i="5"/>
  <c r="O15" i="5"/>
  <c r="P15" i="5"/>
  <c r="Q15" i="5"/>
  <c r="S15" i="5"/>
  <c r="O16" i="5"/>
  <c r="Q16" i="5"/>
  <c r="S16" i="5"/>
  <c r="O17" i="5"/>
  <c r="P17" i="5"/>
  <c r="Q17" i="5"/>
  <c r="S17" i="5"/>
  <c r="O18" i="5"/>
  <c r="P18" i="5"/>
  <c r="Q18" i="5"/>
  <c r="S18" i="5"/>
  <c r="O19" i="5"/>
  <c r="P19" i="5"/>
  <c r="Q19" i="5"/>
  <c r="S19" i="5"/>
  <c r="O20" i="5"/>
  <c r="P20" i="5"/>
  <c r="Q20" i="5"/>
  <c r="S20" i="5"/>
  <c r="O21" i="5"/>
  <c r="P21" i="5"/>
  <c r="Q21" i="5"/>
  <c r="S21" i="5"/>
  <c r="P22" i="5"/>
  <c r="Q22" i="5"/>
  <c r="S22" i="5"/>
  <c r="O23" i="5"/>
  <c r="P23" i="5"/>
  <c r="Q23" i="5"/>
  <c r="O24" i="5"/>
  <c r="P24" i="5"/>
  <c r="Q24" i="5"/>
  <c r="S24" i="5"/>
  <c r="O25" i="5"/>
  <c r="P25" i="5"/>
  <c r="Q25" i="5"/>
  <c r="S25" i="5"/>
  <c r="O26" i="5"/>
  <c r="P26" i="5"/>
  <c r="Q26" i="5"/>
  <c r="S26" i="5"/>
  <c r="O27" i="5"/>
  <c r="P27" i="5"/>
  <c r="Q27" i="5"/>
  <c r="S27" i="5"/>
  <c r="O28" i="5"/>
  <c r="P28" i="5"/>
  <c r="Q28" i="5"/>
  <c r="S28" i="5"/>
  <c r="O29" i="5"/>
  <c r="P29" i="5"/>
  <c r="Q29" i="5"/>
  <c r="O30" i="5"/>
  <c r="P30" i="5"/>
  <c r="Q30" i="5"/>
  <c r="O31" i="5"/>
  <c r="P31" i="5"/>
  <c r="Q31" i="5"/>
  <c r="S31" i="5"/>
  <c r="O32" i="5"/>
  <c r="P32" i="5"/>
  <c r="Q32" i="5"/>
  <c r="S32" i="5"/>
  <c r="O33" i="5"/>
  <c r="P33" i="5"/>
  <c r="Q33" i="5"/>
  <c r="S33" i="5"/>
  <c r="O34" i="5"/>
  <c r="P34" i="5"/>
  <c r="Q34" i="5"/>
  <c r="S34" i="5"/>
  <c r="O35" i="5"/>
  <c r="P35" i="5"/>
  <c r="Q35" i="5"/>
  <c r="S35" i="5"/>
  <c r="O36" i="5"/>
  <c r="P36" i="5"/>
  <c r="Q36" i="5"/>
  <c r="S36" i="5"/>
  <c r="O37" i="5"/>
  <c r="P37" i="5"/>
  <c r="Q37" i="5"/>
  <c r="O38" i="5"/>
  <c r="P38" i="5"/>
  <c r="Q38" i="5"/>
  <c r="S38" i="5"/>
  <c r="Q11" i="5"/>
  <c r="S11" i="5"/>
  <c r="R17" i="13" l="1"/>
  <c r="AB42" i="13" s="1"/>
  <c r="R21" i="13"/>
  <c r="AB46" i="13" s="1"/>
  <c r="R23" i="13"/>
  <c r="AB48" i="13" s="1"/>
  <c r="R25" i="13"/>
  <c r="AB50" i="13" s="1"/>
  <c r="R27" i="13"/>
  <c r="AB52" i="13" s="1"/>
  <c r="R29" i="13"/>
  <c r="AB54" i="13" s="1"/>
  <c r="R31" i="13"/>
  <c r="AB56" i="13" s="1"/>
  <c r="R33" i="13"/>
  <c r="AB58" i="13" s="1"/>
  <c r="R35" i="13"/>
  <c r="AB60" i="13" s="1"/>
  <c r="R37" i="13"/>
  <c r="AB62" i="13" s="1"/>
  <c r="R39" i="13"/>
  <c r="AB64" i="13" s="1"/>
  <c r="R41" i="13"/>
  <c r="AG66" i="13"/>
  <c r="AC66" i="13"/>
  <c r="AE64" i="13"/>
  <c r="AG62" i="13"/>
  <c r="AC62" i="13"/>
  <c r="AE60" i="13"/>
  <c r="AG58" i="13"/>
  <c r="AC58" i="13"/>
  <c r="AE56" i="13"/>
  <c r="AG54" i="13"/>
  <c r="AC54" i="13"/>
  <c r="AE52" i="13"/>
  <c r="AG50" i="13"/>
  <c r="AC50" i="13"/>
  <c r="AE48" i="13"/>
  <c r="AG46" i="13"/>
  <c r="AC46" i="13"/>
  <c r="AE44" i="13"/>
  <c r="AG42" i="13"/>
  <c r="AC42" i="13"/>
  <c r="AE40" i="13"/>
  <c r="AE66" i="13"/>
  <c r="AG64" i="13"/>
  <c r="AC64" i="13"/>
  <c r="AE62" i="13"/>
  <c r="AG60" i="13"/>
  <c r="AC60" i="13"/>
  <c r="AE58" i="13"/>
  <c r="AG56" i="13"/>
  <c r="AC56" i="13"/>
  <c r="AE54" i="13"/>
  <c r="AG52" i="13"/>
  <c r="AC52" i="13"/>
  <c r="AE50" i="13"/>
  <c r="AG48" i="13"/>
  <c r="AC48" i="13"/>
  <c r="AE46" i="13"/>
  <c r="AG44" i="13"/>
  <c r="AC44" i="13"/>
  <c r="AE42" i="13"/>
  <c r="AG40" i="13"/>
  <c r="AC40" i="13"/>
  <c r="AF43" i="13"/>
  <c r="R18" i="13"/>
  <c r="AB43" i="13" s="1"/>
  <c r="AC39" i="13"/>
  <c r="AE39" i="13"/>
  <c r="AG39" i="13"/>
  <c r="AD39" i="13"/>
  <c r="AG65" i="13"/>
  <c r="AC65" i="13"/>
  <c r="AG63" i="13"/>
  <c r="AC63" i="13"/>
  <c r="AG61" i="13"/>
  <c r="AC61" i="13"/>
  <c r="AG59" i="13"/>
  <c r="AC59" i="13"/>
  <c r="AG57" i="13"/>
  <c r="AC57" i="13"/>
  <c r="AG55" i="13"/>
  <c r="AC55" i="13"/>
  <c r="AG53" i="13"/>
  <c r="AC53" i="13"/>
  <c r="AG51" i="13"/>
  <c r="AC51" i="13"/>
  <c r="AG49" i="13"/>
  <c r="AC49" i="13"/>
  <c r="AG47" i="13"/>
  <c r="AC47" i="13"/>
  <c r="AG45" i="13"/>
  <c r="AC45" i="13"/>
  <c r="AG43" i="13"/>
  <c r="AC43" i="13"/>
  <c r="AG41" i="13"/>
  <c r="AC41" i="13"/>
  <c r="R15" i="13"/>
  <c r="AB40" i="13" s="1"/>
  <c r="AF40" i="13"/>
  <c r="AF41" i="13"/>
  <c r="AF45" i="13"/>
  <c r="AF47" i="13"/>
  <c r="AF49" i="13"/>
  <c r="AF51" i="13"/>
  <c r="AF53" i="13"/>
  <c r="AF55" i="13"/>
  <c r="AF57" i="13"/>
  <c r="AF59" i="13"/>
  <c r="AF61" i="13"/>
  <c r="AF63" i="13"/>
  <c r="AF65" i="13"/>
  <c r="AF39" i="13"/>
  <c r="AE65" i="13"/>
  <c r="AE63" i="13"/>
  <c r="AE61" i="13"/>
  <c r="AE59" i="13"/>
  <c r="AE57" i="13"/>
  <c r="AE55" i="13"/>
  <c r="AE53" i="13"/>
  <c r="AE51" i="13"/>
  <c r="AE49" i="13"/>
  <c r="AE47" i="13"/>
  <c r="AE45" i="13"/>
  <c r="AE43" i="13"/>
  <c r="AE41" i="13"/>
  <c r="AF44" i="13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G38" i="5" l="1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C10" i="5" s="1"/>
  <c r="K41" i="4"/>
  <c r="I41" i="4"/>
  <c r="F41" i="4" s="1"/>
  <c r="K40" i="4"/>
  <c r="I40" i="4"/>
  <c r="F40" i="4"/>
  <c r="K39" i="4"/>
  <c r="I39" i="4"/>
  <c r="F39" i="4" s="1"/>
  <c r="K38" i="4"/>
  <c r="I38" i="4"/>
  <c r="F38" i="4" s="1"/>
  <c r="K37" i="4"/>
  <c r="I37" i="4"/>
  <c r="F37" i="4" s="1"/>
  <c r="K36" i="4"/>
  <c r="I36" i="4"/>
  <c r="F36" i="4"/>
  <c r="K35" i="4"/>
  <c r="I35" i="4"/>
  <c r="F35" i="4" s="1"/>
  <c r="K34" i="4"/>
  <c r="I34" i="4"/>
  <c r="F34" i="4" s="1"/>
  <c r="K33" i="4"/>
  <c r="I33" i="4"/>
  <c r="F33" i="4" s="1"/>
  <c r="K32" i="4"/>
  <c r="I32" i="4"/>
  <c r="F32" i="4"/>
  <c r="K31" i="4"/>
  <c r="I31" i="4"/>
  <c r="F31" i="4" s="1"/>
  <c r="K30" i="4"/>
  <c r="I30" i="4"/>
  <c r="F30" i="4" s="1"/>
  <c r="K29" i="4"/>
  <c r="I29" i="4"/>
  <c r="F29" i="4" s="1"/>
  <c r="K28" i="4"/>
  <c r="I28" i="4"/>
  <c r="F28" i="4"/>
  <c r="K27" i="4"/>
  <c r="I27" i="4"/>
  <c r="F27" i="4" s="1"/>
  <c r="K26" i="4"/>
  <c r="I26" i="4"/>
  <c r="F26" i="4" s="1"/>
  <c r="K25" i="4"/>
  <c r="I25" i="4"/>
  <c r="F25" i="4" s="1"/>
  <c r="K24" i="4"/>
  <c r="I24" i="4"/>
  <c r="F24" i="4"/>
  <c r="K23" i="4"/>
  <c r="I23" i="4"/>
  <c r="F23" i="4" s="1"/>
  <c r="K22" i="4"/>
  <c r="I22" i="4"/>
  <c r="F22" i="4" s="1"/>
  <c r="K21" i="4"/>
  <c r="I21" i="4"/>
  <c r="F21" i="4" s="1"/>
  <c r="K20" i="4"/>
  <c r="I20" i="4"/>
  <c r="F20" i="4"/>
  <c r="K19" i="4"/>
  <c r="I19" i="4"/>
  <c r="F19" i="4" s="1"/>
  <c r="K18" i="4"/>
  <c r="I18" i="4"/>
  <c r="F18" i="4" s="1"/>
  <c r="K17" i="4"/>
  <c r="I17" i="4"/>
  <c r="F17" i="4" s="1"/>
  <c r="K16" i="4"/>
  <c r="I16" i="4"/>
  <c r="F16" i="4"/>
  <c r="K15" i="4"/>
  <c r="I15" i="4"/>
  <c r="F15" i="4" s="1"/>
  <c r="K14" i="4"/>
  <c r="I14" i="4"/>
  <c r="F14" i="4" s="1"/>
  <c r="K13" i="4"/>
  <c r="I13" i="4"/>
  <c r="F13" i="4" s="1"/>
  <c r="K12" i="4"/>
  <c r="I12" i="4"/>
  <c r="F12" i="4"/>
  <c r="K11" i="4"/>
  <c r="I11" i="4"/>
  <c r="F11" i="4" s="1"/>
  <c r="K10" i="4"/>
  <c r="I10" i="4"/>
  <c r="F10" i="4" s="1"/>
  <c r="K9" i="4"/>
  <c r="I9" i="4"/>
  <c r="F9" i="4" s="1"/>
  <c r="K8" i="4"/>
  <c r="I8" i="4"/>
  <c r="F8" i="4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11" i="5" l="1"/>
  <c r="N11" i="5" s="1"/>
  <c r="R11" i="5"/>
  <c r="C13" i="5"/>
  <c r="N13" i="5" s="1"/>
  <c r="R13" i="5"/>
  <c r="C15" i="5"/>
  <c r="N15" i="5" s="1"/>
  <c r="R15" i="5"/>
  <c r="C17" i="5"/>
  <c r="N17" i="5" s="1"/>
  <c r="R17" i="5"/>
  <c r="C19" i="5"/>
  <c r="N19" i="5" s="1"/>
  <c r="R19" i="5"/>
  <c r="C21" i="5"/>
  <c r="N21" i="5" s="1"/>
  <c r="R21" i="5"/>
  <c r="C23" i="5"/>
  <c r="N23" i="5" s="1"/>
  <c r="R23" i="5"/>
  <c r="C25" i="5"/>
  <c r="N25" i="5" s="1"/>
  <c r="R25" i="5"/>
  <c r="C27" i="5"/>
  <c r="N27" i="5" s="1"/>
  <c r="R27" i="5"/>
  <c r="C29" i="5"/>
  <c r="N29" i="5" s="1"/>
  <c r="R29" i="5"/>
  <c r="C31" i="5"/>
  <c r="N31" i="5" s="1"/>
  <c r="R31" i="5"/>
  <c r="C33" i="5"/>
  <c r="N33" i="5" s="1"/>
  <c r="R33" i="5"/>
  <c r="C35" i="5"/>
  <c r="N35" i="5" s="1"/>
  <c r="R35" i="5"/>
  <c r="C37" i="5"/>
  <c r="N37" i="5" s="1"/>
  <c r="R37" i="5"/>
  <c r="C12" i="5"/>
  <c r="N12" i="5" s="1"/>
  <c r="R12" i="5"/>
  <c r="C14" i="5"/>
  <c r="N14" i="5" s="1"/>
  <c r="R14" i="5"/>
  <c r="C16" i="5"/>
  <c r="N16" i="5" s="1"/>
  <c r="R16" i="5"/>
  <c r="C18" i="5"/>
  <c r="N18" i="5" s="1"/>
  <c r="R18" i="5"/>
  <c r="C20" i="5"/>
  <c r="N20" i="5" s="1"/>
  <c r="R20" i="5"/>
  <c r="C22" i="5"/>
  <c r="N22" i="5" s="1"/>
  <c r="R22" i="5"/>
  <c r="C24" i="5"/>
  <c r="N24" i="5" s="1"/>
  <c r="R24" i="5"/>
  <c r="C26" i="5"/>
  <c r="N26" i="5" s="1"/>
  <c r="R26" i="5"/>
  <c r="C28" i="5"/>
  <c r="N28" i="5" s="1"/>
  <c r="R28" i="5"/>
  <c r="C30" i="5"/>
  <c r="N30" i="5" s="1"/>
  <c r="R30" i="5"/>
  <c r="C32" i="5"/>
  <c r="N32" i="5" s="1"/>
  <c r="R32" i="5"/>
  <c r="C34" i="5"/>
  <c r="N34" i="5" s="1"/>
  <c r="R34" i="5"/>
  <c r="C36" i="5"/>
  <c r="N36" i="5" s="1"/>
  <c r="R36" i="5"/>
  <c r="C38" i="5"/>
  <c r="N38" i="5" s="1"/>
  <c r="R38" i="5"/>
</calcChain>
</file>

<file path=xl/sharedStrings.xml><?xml version="1.0" encoding="utf-8"?>
<sst xmlns="http://schemas.openxmlformats.org/spreadsheetml/2006/main" count="1548" uniqueCount="81">
  <si>
    <t>Pensionados por el Instituto Venezolano de los Seguros Sociales, según tipo de beneficio, años 1976-2005.</t>
  </si>
  <si>
    <t>Año</t>
  </si>
  <si>
    <t>Total</t>
  </si>
  <si>
    <t>Vejez</t>
  </si>
  <si>
    <t>Sobrevivientes</t>
  </si>
  <si>
    <t>Invalidez</t>
  </si>
  <si>
    <t>Incapacidad parcial</t>
  </si>
  <si>
    <r>
      <t>Fuente:</t>
    </r>
    <r>
      <rPr>
        <b/>
        <sz val="11"/>
        <color theme="1"/>
        <rFont val="Arial"/>
        <family val="2"/>
      </rPr>
      <t xml:space="preserve"> OCEI, Anuarios Estadísticos de Venezuela. Varios años.</t>
    </r>
  </si>
  <si>
    <r>
      <t>Vejez</t>
    </r>
    <r>
      <rPr>
        <b/>
        <vertAlign val="superscript"/>
        <sz val="11"/>
        <color rgb="FF000000"/>
        <rFont val="Arial"/>
        <family val="2"/>
      </rPr>
      <t>1</t>
    </r>
    <r>
      <rPr>
        <vertAlign val="superscript"/>
        <sz val="11"/>
        <color rgb="FF000000"/>
        <rFont val="Arial"/>
        <family val="2"/>
      </rPr>
      <t>/</t>
    </r>
  </si>
  <si>
    <t>Sobrevivencia</t>
  </si>
  <si>
    <t>Incapacidad</t>
  </si>
  <si>
    <t>Convenio Internacionales 2/</t>
  </si>
  <si>
    <t>Decretos 5.316 y 5.370</t>
  </si>
  <si>
    <r>
      <t>Fuente:</t>
    </r>
    <r>
      <rPr>
        <b/>
        <sz val="11"/>
        <color theme="1"/>
        <rFont val="Arial"/>
        <family val="2"/>
      </rPr>
      <t xml:space="preserve"> IVSS, Instituto Venezolano de los Seguros Sociales. Varios años.</t>
    </r>
  </si>
  <si>
    <t>Población total, población economicamente activa, poblacion ocupada, y beneficiarios del IVSS, periodo 1967 - 2000.</t>
  </si>
  <si>
    <t>Régimen General</t>
  </si>
  <si>
    <t>Población Total</t>
  </si>
  <si>
    <t>Población Económicamente Activa</t>
  </si>
  <si>
    <t>Población Ocupada</t>
  </si>
  <si>
    <t>Total Afiliados</t>
  </si>
  <si>
    <t>Asegurados</t>
  </si>
  <si>
    <t>Familiares</t>
  </si>
  <si>
    <t>Total Régimen General</t>
  </si>
  <si>
    <t>Total Régimen Parcial</t>
  </si>
  <si>
    <t>Total Asegurados Cotizantes</t>
  </si>
  <si>
    <r>
      <t xml:space="preserve">Fuente: </t>
    </r>
    <r>
      <rPr>
        <b/>
        <sz val="11"/>
        <color theme="1"/>
        <rFont val="Arial"/>
        <family val="2"/>
      </rPr>
      <t>Memoria y Cuenta del Ministerio del Trabajo año 2000.</t>
    </r>
  </si>
  <si>
    <t>Población Asegurada según tipo de régimen y riesgo para los años 1975 - 2003.</t>
  </si>
  <si>
    <t>POBLACIÓN ASEGURADA</t>
  </si>
  <si>
    <t>Riesgo Mínimo</t>
  </si>
  <si>
    <t>Riesgo Medio</t>
  </si>
  <si>
    <t>Riesgo Máximo</t>
  </si>
  <si>
    <t>Sub-total Régimen General</t>
  </si>
  <si>
    <t>Régimen Parcial</t>
  </si>
  <si>
    <r>
      <t xml:space="preserve">Fuente: OCEI, </t>
    </r>
    <r>
      <rPr>
        <b/>
        <sz val="11"/>
        <color theme="1"/>
        <rFont val="Arial"/>
        <family val="2"/>
      </rPr>
      <t>Anuarios Estadísticos de Venezuela. Varios años.</t>
    </r>
  </si>
  <si>
    <t>Mes</t>
  </si>
  <si>
    <t>Salario Mínimo Nacional</t>
  </si>
  <si>
    <t>Enero</t>
  </si>
  <si>
    <t>-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</si>
  <si>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</si>
  <si>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</si>
  <si>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</si>
  <si>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</si>
  <si>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</si>
  <si>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</si>
  <si>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</si>
  <si>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</si>
  <si>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</si>
  <si>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</si>
  <si>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</si>
  <si>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Cronología Salarial.</t>
  </si>
  <si>
    <t>Contribución del trabajador (4%)</t>
  </si>
  <si>
    <t>Pensión Mínima</t>
  </si>
  <si>
    <t>Contribución del empleador por Riesgo Mínimo (7%)</t>
  </si>
  <si>
    <t>Contribución del empleador por Riesgo Medio (8%)</t>
  </si>
  <si>
    <t>Contribución del empleador por Riesgo Máximo (9%)</t>
  </si>
  <si>
    <t xml:space="preserve">Beneficiarios </t>
  </si>
  <si>
    <t>OCEI</t>
  </si>
  <si>
    <t>Total de Asegurados por beneficiario</t>
  </si>
  <si>
    <t>Fuente: Cálculos Propios.</t>
  </si>
  <si>
    <t>Contribución entre el trabajador y el empleador por Tipo de Riesgo</t>
  </si>
  <si>
    <t>Fuente: www.sistematemis.com.ve/Salarios-Minimos-Venezuela.</t>
  </si>
  <si>
    <t>Riesgo Mínimo (11%)</t>
  </si>
  <si>
    <t>Riesgo Medio (12%)</t>
  </si>
  <si>
    <t>Riesgo Máximo (13%)</t>
  </si>
  <si>
    <t>Total Contribución  por Tipo de Riesgo</t>
  </si>
  <si>
    <t>POBLACIÓN BENEFICIARIA</t>
  </si>
  <si>
    <t>Número de Asegurados Cotizantes Necesarios para Sostener el Sistema por Tipo de Riesgo</t>
  </si>
  <si>
    <t>http://www.sistematemis.com.ve/Salarios-Minimos-Venezuela</t>
  </si>
  <si>
    <t>Pensionados por el Instituto Venezolano de los Seguros Sociales, según tipo de beneficio, años 1990-2012.</t>
  </si>
  <si>
    <t>Total de trabajadores Activos, 2013 - 2017</t>
  </si>
  <si>
    <t>Trabajadores Cotizantes</t>
  </si>
  <si>
    <t>Trabajadores - Continuación Facultativa</t>
  </si>
  <si>
    <t>Trabajadores - No Dependientes</t>
  </si>
  <si>
    <r>
      <t>Vejez</t>
    </r>
    <r>
      <rPr>
        <b/>
        <vertAlign val="superscript"/>
        <sz val="11"/>
        <color rgb="FF000000"/>
        <rFont val="Arial"/>
        <family val="2"/>
      </rPr>
      <t/>
    </r>
  </si>
  <si>
    <t>Convenio Internacionales</t>
  </si>
  <si>
    <r>
      <t>Fuente:</t>
    </r>
    <r>
      <rPr>
        <b/>
        <sz val="12"/>
        <color theme="1"/>
        <rFont val="Arial"/>
        <family val="2"/>
      </rPr>
      <t xml:space="preserve"> IVSS, Instituto Venezolano de los Seguros Sociales, 2013-2017.</t>
    </r>
  </si>
  <si>
    <r>
      <t>Fuente:</t>
    </r>
    <r>
      <rPr>
        <b/>
        <sz val="12"/>
        <color theme="1"/>
        <rFont val="Arial"/>
        <family val="2"/>
      </rPr>
      <t xml:space="preserve"> OCEI, Anuarios Estadísticos de Venezuela, 1976-2003. IVSS, Instituto Venezolano de los Seguros Sociales, 2013-2017.</t>
    </r>
  </si>
  <si>
    <t>Fuente: OCEI, Anuarios Estadísticos de Venezuela, 1976-2003. IVSS, Instituto Venezolano de los Seguros Sociales, 2013-2017.</t>
  </si>
  <si>
    <t>Fuente: Gacetas Oficiales, 1974-2018.</t>
  </si>
  <si>
    <t>Fuente: Cálculos Propios. Varios años.</t>
  </si>
  <si>
    <t>Total de Asegurados cotizantes necesarios por cada beneficiario según tipo de Riesgo y Régimen, 1976-2017,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</si>
</sst>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#,##0.000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charset val="1"/>
    </font>
    <font>
      <b/>
      <sz val="11"/>
      <color theme="1"/>
      <name val="Arial"/>
      <family val="2"/>
    </font>
    <font>
      <b/>
      <vertAlign val="superscript"/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3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/>
    <xf numFmtId="0" fontId="0" fillId="0" borderId="0" xfId="0" applyAlignment="1"/>
    <xf numFmtId="3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/>
    <xf numFmtId="3" fontId="3" fillId="0" borderId="0" xfId="0" applyNumberFormat="1" applyFont="1" applyAlignment="1">
      <alignment horizontal="center"/>
    </xf>
    <xf numFmtId="3" fontId="4" fillId="0" borderId="0" xfId="0" applyNumberFormat="1" applyFont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2" fontId="4" fillId="0" borderId="0" xfId="0" applyNumberFormat="1" applyFont="1" applyAlignment="1"/>
    <xf numFmtId="3" fontId="4" fillId="0" borderId="0" xfId="0" applyNumberFormat="1" applyFont="1" applyAlignment="1">
      <alignment horizontal="center"/>
    </xf>
    <xf numFmtId="3" fontId="3" fillId="0" borderId="0" xfId="0" applyNumberFormat="1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3" fontId="4" fillId="0" borderId="0" xfId="0" applyNumberFormat="1" applyFont="1" applyAlignment="1"/>
    <xf numFmtId="3" fontId="3" fillId="0" borderId="0" xfId="0" applyNumberFormat="1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3" fontId="3" fillId="0" borderId="0" xfId="0" applyNumberFormat="1" applyFont="1" applyAlignment="1"/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0" xfId="0" applyFont="1" applyBorder="1" applyAlignment="1">
      <alignment horizontal="center" wrapText="1" readingOrder="1"/>
    </xf>
    <xf numFmtId="3" fontId="9" fillId="0" borderId="0" xfId="0" applyNumberFormat="1" applyFont="1" applyBorder="1" applyAlignment="1">
      <alignment horizontal="center" wrapText="1" readingOrder="1"/>
    </xf>
    <xf numFmtId="0" fontId="9" fillId="0" borderId="0" xfId="0" applyFont="1" applyBorder="1" applyAlignment="1">
      <alignment horizontal="center" wrapText="1" readingOrder="1"/>
    </xf>
    <xf numFmtId="0" fontId="4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wrapText="1" readingOrder="1"/>
    </xf>
    <xf numFmtId="3" fontId="9" fillId="0" borderId="0" xfId="0" applyNumberFormat="1" applyFont="1" applyFill="1" applyBorder="1" applyAlignment="1">
      <alignment horizontal="center" wrapText="1" readingOrder="1"/>
    </xf>
    <xf numFmtId="0" fontId="9" fillId="0" borderId="0" xfId="0" applyFont="1" applyFill="1" applyBorder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1"/>
    </xf>
    <xf numFmtId="3" fontId="9" fillId="0" borderId="2" xfId="0" applyNumberFormat="1" applyFont="1" applyBorder="1" applyAlignment="1">
      <alignment horizontal="center" wrapText="1" readingOrder="1"/>
    </xf>
    <xf numFmtId="3" fontId="3" fillId="0" borderId="0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4" fillId="0" borderId="0" xfId="0" applyNumberFormat="1" applyFont="1"/>
    <xf numFmtId="3" fontId="6" fillId="0" borderId="0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3" fillId="0" borderId="0" xfId="0" applyNumberFormat="1" applyFont="1"/>
    <xf numFmtId="3" fontId="4" fillId="0" borderId="0" xfId="0" applyNumberFormat="1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2" xfId="0" applyNumberFormat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Alignment="1">
      <alignment horizontal="center"/>
    </xf>
    <xf numFmtId="3" fontId="4" fillId="3" borderId="0" xfId="0" applyNumberFormat="1" applyFont="1" applyFill="1" applyBorder="1" applyAlignment="1">
      <alignment horizontal="center"/>
    </xf>
    <xf numFmtId="3" fontId="4" fillId="3" borderId="0" xfId="0" applyNumberFormat="1" applyFont="1" applyFill="1" applyAlignment="1">
      <alignment horizontal="center"/>
    </xf>
    <xf numFmtId="3" fontId="3" fillId="3" borderId="0" xfId="0" applyNumberFormat="1" applyFont="1" applyFill="1" applyBorder="1" applyAlignment="1">
      <alignment horizontal="center"/>
    </xf>
    <xf numFmtId="3" fontId="6" fillId="3" borderId="0" xfId="0" applyNumberFormat="1" applyFont="1" applyFill="1" applyAlignment="1">
      <alignment horizontal="center"/>
    </xf>
    <xf numFmtId="3" fontId="6" fillId="3" borderId="0" xfId="0" applyNumberFormat="1" applyFont="1" applyFill="1" applyBorder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3" fontId="4" fillId="3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3" fontId="11" fillId="0" borderId="0" xfId="0" applyNumberFormat="1" applyFont="1"/>
    <xf numFmtId="3" fontId="12" fillId="0" borderId="0" xfId="0" applyNumberFormat="1" applyFont="1"/>
    <xf numFmtId="3" fontId="12" fillId="0" borderId="0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166" fontId="11" fillId="0" borderId="3" xfId="0" applyNumberFormat="1" applyFont="1" applyBorder="1" applyAlignment="1">
      <alignment horizontal="center"/>
    </xf>
    <xf numFmtId="166" fontId="11" fillId="0" borderId="0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left"/>
    </xf>
    <xf numFmtId="3" fontId="11" fillId="0" borderId="0" xfId="0" applyNumberFormat="1" applyFont="1" applyBorder="1" applyAlignment="1">
      <alignment horizontal="center"/>
    </xf>
    <xf numFmtId="3" fontId="12" fillId="0" borderId="0" xfId="0" applyNumberFormat="1" applyFont="1" applyFill="1" applyAlignment="1">
      <alignment horizontal="center"/>
    </xf>
    <xf numFmtId="3" fontId="11" fillId="0" borderId="0" xfId="0" applyNumberFormat="1" applyFont="1" applyFill="1" applyAlignment="1">
      <alignment horizontal="center"/>
    </xf>
    <xf numFmtId="3" fontId="12" fillId="0" borderId="0" xfId="0" applyNumberFormat="1" applyFont="1" applyFill="1" applyBorder="1" applyAlignment="1">
      <alignment horizontal="center"/>
    </xf>
    <xf numFmtId="3" fontId="12" fillId="0" borderId="2" xfId="0" applyNumberFormat="1" applyFont="1" applyFill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left"/>
    </xf>
    <xf numFmtId="3" fontId="11" fillId="0" borderId="0" xfId="0" applyNumberFormat="1" applyFont="1" applyFill="1" applyBorder="1" applyAlignment="1">
      <alignment horizontal="center"/>
    </xf>
    <xf numFmtId="3" fontId="11" fillId="0" borderId="2" xfId="0" applyNumberFormat="1" applyFont="1" applyFill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4" fontId="11" fillId="0" borderId="5" xfId="0" applyNumberFormat="1" applyFont="1" applyBorder="1" applyAlignment="1">
      <alignment horizontal="center" vertical="center" wrapText="1"/>
    </xf>
    <xf numFmtId="4" fontId="11" fillId="0" borderId="6" xfId="0" applyNumberFormat="1" applyFont="1" applyBorder="1" applyAlignment="1">
      <alignment horizontal="center" vertical="center" wrapText="1"/>
    </xf>
    <xf numFmtId="4" fontId="11" fillId="0" borderId="7" xfId="0" applyNumberFormat="1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4" fontId="10" fillId="4" borderId="4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4" fontId="11" fillId="2" borderId="5" xfId="0" applyNumberFormat="1" applyFont="1" applyFill="1" applyBorder="1" applyAlignment="1">
      <alignment horizontal="center" vertical="center" wrapText="1"/>
    </xf>
    <xf numFmtId="4" fontId="11" fillId="2" borderId="6" xfId="0" applyNumberFormat="1" applyFont="1" applyFill="1" applyBorder="1" applyAlignment="1">
      <alignment horizontal="center" vertical="center" wrapText="1"/>
    </xf>
    <xf numFmtId="4" fontId="11" fillId="2" borderId="7" xfId="0" applyNumberFormat="1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165" fontId="11" fillId="2" borderId="7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3" fontId="11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Border="1" applyAlignment="1">
      <alignment horizontal="center"/>
    </xf>
    <xf numFmtId="3" fontId="11" fillId="2" borderId="0" xfId="0" applyNumberFormat="1" applyFont="1" applyFill="1" applyBorder="1" applyAlignment="1">
      <alignment horizontal="center"/>
    </xf>
    <xf numFmtId="3" fontId="10" fillId="2" borderId="2" xfId="0" applyNumberFormat="1" applyFont="1" applyFill="1" applyBorder="1" applyAlignment="1">
      <alignment horizontal="center"/>
    </xf>
    <xf numFmtId="3" fontId="11" fillId="2" borderId="2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/>
    </xf>
    <xf numFmtId="3" fontId="12" fillId="2" borderId="0" xfId="0" applyNumberFormat="1" applyFont="1" applyFill="1" applyBorder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3" fontId="10" fillId="0" borderId="0" xfId="0" applyNumberFormat="1" applyFont="1"/>
    <xf numFmtId="3" fontId="3" fillId="0" borderId="1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2" fontId="10" fillId="7" borderId="8" xfId="0" applyNumberFormat="1" applyFont="1" applyFill="1" applyBorder="1" applyAlignment="1">
      <alignment horizontal="center" vertical="center" wrapText="1"/>
    </xf>
    <xf numFmtId="2" fontId="10" fillId="7" borderId="9" xfId="0" applyNumberFormat="1" applyFont="1" applyFill="1" applyBorder="1" applyAlignment="1">
      <alignment horizontal="center" vertical="center" wrapText="1"/>
    </xf>
    <xf numFmtId="2" fontId="10" fillId="7" borderId="10" xfId="0" applyNumberFormat="1" applyFont="1" applyFill="1" applyBorder="1" applyAlignment="1">
      <alignment horizontal="center" vertical="center" wrapText="1"/>
    </xf>
    <xf numFmtId="2" fontId="10" fillId="8" borderId="5" xfId="0" applyNumberFormat="1" applyFont="1" applyFill="1" applyBorder="1" applyAlignment="1">
      <alignment horizontal="center" vertical="center" wrapText="1"/>
    </xf>
    <xf numFmtId="2" fontId="10" fillId="8" borderId="6" xfId="0" applyNumberFormat="1" applyFont="1" applyFill="1" applyBorder="1" applyAlignment="1">
      <alignment horizontal="center" vertical="center" wrapText="1"/>
    </xf>
    <xf numFmtId="2" fontId="10" fillId="8" borderId="7" xfId="0" applyNumberFormat="1" applyFont="1" applyFill="1" applyBorder="1" applyAlignment="1">
      <alignment horizontal="center" vertical="center" wrapText="1"/>
    </xf>
    <xf numFmtId="2" fontId="10" fillId="5" borderId="11" xfId="0" applyNumberFormat="1" applyFont="1" applyFill="1" applyBorder="1" applyAlignment="1">
      <alignment horizontal="center" vertical="center" wrapText="1"/>
    </xf>
    <xf numFmtId="2" fontId="10" fillId="5" borderId="12" xfId="0" applyNumberFormat="1" applyFont="1" applyFill="1" applyBorder="1" applyAlignment="1">
      <alignment horizontal="center" vertical="center" wrapText="1"/>
    </xf>
    <xf numFmtId="2" fontId="10" fillId="5" borderId="6" xfId="0" applyNumberFormat="1" applyFont="1" applyFill="1" applyBorder="1" applyAlignment="1">
      <alignment horizontal="center" vertical="center" wrapText="1"/>
    </xf>
    <xf numFmtId="2" fontId="10" fillId="5" borderId="7" xfId="0" applyNumberFormat="1" applyFont="1" applyFill="1" applyBorder="1" applyAlignment="1">
      <alignment horizontal="center" vertical="center" wrapText="1"/>
    </xf>
    <xf numFmtId="2" fontId="10" fillId="8" borderId="13" xfId="0" applyNumberFormat="1" applyFont="1" applyFill="1" applyBorder="1" applyAlignment="1">
      <alignment horizontal="center" vertical="center" wrapText="1"/>
    </xf>
    <xf numFmtId="2" fontId="10" fillId="8" borderId="3" xfId="0" applyNumberFormat="1" applyFont="1" applyFill="1" applyBorder="1" applyAlignment="1">
      <alignment horizontal="center" vertical="center" wrapText="1"/>
    </xf>
    <xf numFmtId="2" fontId="10" fillId="8" borderId="14" xfId="0" applyNumberFormat="1" applyFont="1" applyFill="1" applyBorder="1" applyAlignment="1">
      <alignment horizontal="center" vertical="center" wrapText="1"/>
    </xf>
    <xf numFmtId="2" fontId="10" fillId="8" borderId="12" xfId="0" applyNumberFormat="1" applyFont="1" applyFill="1" applyBorder="1" applyAlignment="1">
      <alignment horizontal="center" vertical="center" wrapText="1"/>
    </xf>
    <xf numFmtId="2" fontId="10" fillId="8" borderId="1" xfId="0" applyNumberFormat="1" applyFont="1" applyFill="1" applyBorder="1" applyAlignment="1">
      <alignment horizontal="center" vertical="center" wrapText="1"/>
    </xf>
    <xf numFmtId="2" fontId="10" fillId="8" borderId="15" xfId="0" applyNumberFormat="1" applyFont="1" applyFill="1" applyBorder="1" applyAlignment="1">
      <alignment horizontal="center" vertical="center" wrapText="1"/>
    </xf>
    <xf numFmtId="2" fontId="10" fillId="5" borderId="8" xfId="0" applyNumberFormat="1" applyFont="1" applyFill="1" applyBorder="1" applyAlignment="1">
      <alignment horizontal="center" vertical="center" wrapText="1"/>
    </xf>
    <xf numFmtId="2" fontId="10" fillId="5" borderId="9" xfId="0" applyNumberFormat="1" applyFont="1" applyFill="1" applyBorder="1" applyAlignment="1">
      <alignment horizontal="center" vertical="center" wrapText="1"/>
    </xf>
    <xf numFmtId="4" fontId="10" fillId="6" borderId="5" xfId="0" applyNumberFormat="1" applyFont="1" applyFill="1" applyBorder="1" applyAlignment="1">
      <alignment horizontal="center" vertical="center" wrapText="1"/>
    </xf>
    <xf numFmtId="4" fontId="10" fillId="6" borderId="6" xfId="0" applyNumberFormat="1" applyFont="1" applyFill="1" applyBorder="1" applyAlignment="1">
      <alignment horizontal="center" vertical="center" wrapText="1"/>
    </xf>
    <xf numFmtId="4" fontId="10" fillId="6" borderId="7" xfId="0" applyNumberFormat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2" fontId="10" fillId="7" borderId="6" xfId="0" applyNumberFormat="1" applyFont="1" applyFill="1" applyBorder="1" applyAlignment="1">
      <alignment horizontal="center" vertical="center" wrapText="1"/>
    </xf>
    <xf numFmtId="2" fontId="10" fillId="7" borderId="7" xfId="0" applyNumberFormat="1" applyFont="1" applyFill="1" applyBorder="1" applyAlignment="1">
      <alignment horizontal="center" vertical="center" wrapText="1"/>
    </xf>
    <xf numFmtId="2" fontId="10" fillId="7" borderId="11" xfId="0" applyNumberFormat="1" applyFont="1" applyFill="1" applyBorder="1" applyAlignment="1">
      <alignment horizontal="center" vertical="center" wrapText="1"/>
    </xf>
    <xf numFmtId="2" fontId="10" fillId="7" borderId="12" xfId="0" applyNumberFormat="1" applyFont="1" applyFill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65" fontId="0" fillId="0" borderId="0" xfId="0" applyNumberFormat="1"/>
    <xf numFmtId="3" fontId="0" fillId="0" borderId="0" xfId="0" applyNumberFormat="1"/>
    <xf numFmtId="3" fontId="4" fillId="2" borderId="0" xfId="0" applyNumberFormat="1" applyFont="1" applyFill="1" applyAlignment="1">
      <alignment horizontal="center"/>
    </xf>
    <xf numFmtId="0" fontId="6" fillId="0" borderId="0" xfId="0" applyFont="1" applyBorder="1"/>
    <xf numFmtId="0" fontId="4" fillId="0" borderId="0" xfId="0" applyFont="1" applyBorder="1"/>
    <xf numFmtId="0" fontId="13" fillId="9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3" fontId="6" fillId="0" borderId="4" xfId="0" applyNumberFormat="1" applyFont="1" applyFill="1" applyBorder="1" applyAlignment="1">
      <alignment horizontal="center"/>
    </xf>
    <xf numFmtId="3" fontId="4" fillId="0" borderId="4" xfId="0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3" fontId="12" fillId="0" borderId="0" xfId="0" applyNumberFormat="1" applyFont="1" applyBorder="1" applyAlignment="1">
      <alignment horizontal="left" wrapText="1"/>
    </xf>
    <xf numFmtId="3" fontId="10" fillId="2" borderId="0" xfId="0" applyNumberFormat="1" applyFont="1" applyFill="1" applyBorder="1" applyAlignment="1">
      <alignment horizontal="left" wrapText="1"/>
    </xf>
    <xf numFmtId="0" fontId="11" fillId="0" borderId="0" xfId="0" applyFont="1" applyBorder="1"/>
    <xf numFmtId="3" fontId="11" fillId="0" borderId="2" xfId="0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3:AH71"/>
  <sheetViews>
    <sheetView showGridLines="0" zoomScale="70" zoomScaleNormal="70" workbookViewId="0">
      <selection activeCell="B6" sqref="B6:G38"/>
    </sheetView>
  </sheetViews>
  <sheetFormatPr baseColWidth="10" defaultRowHeight="15" x14ac:dyDescent="0.25"/>
  <cols>
    <col min="1" max="1" width="11.42578125" style="2"/>
    <col min="2" max="2" width="12.42578125" style="10" customWidth="1"/>
    <col min="3" max="4" width="12.42578125" style="14" customWidth="1"/>
    <col min="5" max="5" width="18.5703125" style="14" bestFit="1" customWidth="1"/>
    <col min="6" max="6" width="12.42578125" style="14" customWidth="1"/>
    <col min="7" max="7" width="24.42578125" style="14" bestFit="1" customWidth="1"/>
    <col min="8" max="8" width="12.42578125" style="22" customWidth="1"/>
    <col min="9" max="17" width="12.42578125" style="3" customWidth="1"/>
    <col min="18" max="18" width="24.7109375" style="3" bestFit="1" customWidth="1"/>
    <col min="19" max="24" width="11.42578125" style="4"/>
  </cols>
  <sheetData>
    <row r="3" spans="2:34" x14ac:dyDescent="0.25">
      <c r="B3" s="1" t="s">
        <v>0</v>
      </c>
      <c r="C3" s="2"/>
      <c r="D3" s="2"/>
      <c r="E3" s="2"/>
      <c r="F3" s="2"/>
      <c r="G3" s="2"/>
      <c r="H3" s="2"/>
    </row>
    <row r="6" spans="2:34" x14ac:dyDescent="0.25"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6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2:34" x14ac:dyDescent="0.25">
      <c r="B7" s="53">
        <v>1976</v>
      </c>
      <c r="C7" s="54">
        <f t="shared" ref="C7:C36" si="0">G7+F7+E7+D7</f>
        <v>56221</v>
      </c>
      <c r="D7" s="11">
        <v>32270</v>
      </c>
      <c r="E7" s="11">
        <v>11295</v>
      </c>
      <c r="F7" s="11">
        <v>9342</v>
      </c>
      <c r="G7" s="11">
        <v>3314</v>
      </c>
      <c r="H7" s="12"/>
    </row>
    <row r="8" spans="2:34" x14ac:dyDescent="0.25">
      <c r="B8" s="53">
        <v>1977</v>
      </c>
      <c r="C8" s="54">
        <f t="shared" si="0"/>
        <v>64889</v>
      </c>
      <c r="D8" s="11">
        <v>37346</v>
      </c>
      <c r="E8" s="11">
        <v>13094</v>
      </c>
      <c r="F8" s="11">
        <v>10812</v>
      </c>
      <c r="G8" s="11">
        <v>3637</v>
      </c>
      <c r="H8" s="12"/>
    </row>
    <row r="9" spans="2:34" x14ac:dyDescent="0.25">
      <c r="B9" s="53">
        <v>1978</v>
      </c>
      <c r="C9" s="54">
        <f t="shared" si="0"/>
        <v>75214</v>
      </c>
      <c r="D9" s="11">
        <v>43288</v>
      </c>
      <c r="E9" s="11">
        <v>15175</v>
      </c>
      <c r="F9" s="11">
        <v>12533</v>
      </c>
      <c r="G9" s="11">
        <v>4218</v>
      </c>
      <c r="H9" s="12"/>
      <c r="N9" s="13"/>
    </row>
    <row r="10" spans="2:34" x14ac:dyDescent="0.25">
      <c r="B10" s="53">
        <v>1979</v>
      </c>
      <c r="C10" s="54">
        <f t="shared" si="0"/>
        <v>86562</v>
      </c>
      <c r="D10" s="11">
        <v>48660</v>
      </c>
      <c r="E10" s="11">
        <v>17438</v>
      </c>
      <c r="F10" s="11">
        <v>15601</v>
      </c>
      <c r="G10" s="11">
        <v>4863</v>
      </c>
      <c r="H10" s="12"/>
      <c r="N10" s="13"/>
    </row>
    <row r="11" spans="2:34" x14ac:dyDescent="0.25">
      <c r="B11" s="53">
        <v>1980</v>
      </c>
      <c r="C11" s="55">
        <f t="shared" si="0"/>
        <v>97203</v>
      </c>
      <c r="D11" s="14">
        <v>53026</v>
      </c>
      <c r="E11" s="14">
        <v>20274</v>
      </c>
      <c r="F11" s="14">
        <v>18591</v>
      </c>
      <c r="G11" s="14">
        <v>5312</v>
      </c>
      <c r="H11" s="12"/>
      <c r="N11" s="13"/>
    </row>
    <row r="12" spans="2:34" x14ac:dyDescent="0.25">
      <c r="B12" s="53">
        <v>1981</v>
      </c>
      <c r="C12" s="55">
        <f t="shared" si="0"/>
        <v>110837</v>
      </c>
      <c r="D12" s="14">
        <v>59185</v>
      </c>
      <c r="E12" s="14">
        <v>23662</v>
      </c>
      <c r="F12" s="14">
        <v>22166</v>
      </c>
      <c r="G12" s="14">
        <v>5824</v>
      </c>
      <c r="H12" s="12"/>
      <c r="N12" s="13"/>
    </row>
    <row r="13" spans="2:34" x14ac:dyDescent="0.25">
      <c r="B13" s="53">
        <v>1982</v>
      </c>
      <c r="C13" s="55">
        <f t="shared" si="0"/>
        <v>114163</v>
      </c>
      <c r="D13" s="14">
        <v>60232</v>
      </c>
      <c r="E13" s="14">
        <v>24741</v>
      </c>
      <c r="F13" s="14">
        <v>23332</v>
      </c>
      <c r="G13" s="14">
        <v>5858</v>
      </c>
      <c r="H13" s="12"/>
      <c r="N13" s="13"/>
    </row>
    <row r="14" spans="2:34" ht="15" customHeight="1" x14ac:dyDescent="0.25">
      <c r="B14" s="53">
        <v>1983</v>
      </c>
      <c r="C14" s="55">
        <f t="shared" si="0"/>
        <v>134245</v>
      </c>
      <c r="D14" s="14">
        <v>68420</v>
      </c>
      <c r="E14" s="14">
        <v>29496</v>
      </c>
      <c r="F14" s="14">
        <v>29355</v>
      </c>
      <c r="G14" s="14">
        <v>6974</v>
      </c>
      <c r="H14" s="12"/>
      <c r="N14" s="13"/>
    </row>
    <row r="15" spans="2:34" ht="15" customHeight="1" x14ac:dyDescent="0.25">
      <c r="B15" s="53">
        <v>1984</v>
      </c>
      <c r="C15" s="55">
        <f t="shared" si="0"/>
        <v>144965</v>
      </c>
      <c r="D15" s="14">
        <v>73296</v>
      </c>
      <c r="E15" s="14">
        <v>32100</v>
      </c>
      <c r="F15" s="14">
        <v>32196</v>
      </c>
      <c r="G15" s="14">
        <v>7373</v>
      </c>
      <c r="H15" s="12"/>
      <c r="N15" s="13"/>
    </row>
    <row r="16" spans="2:34" ht="15" customHeight="1" x14ac:dyDescent="0.25">
      <c r="B16" s="53">
        <v>1985</v>
      </c>
      <c r="C16" s="55">
        <f t="shared" si="0"/>
        <v>158961</v>
      </c>
      <c r="D16" s="14">
        <v>80538</v>
      </c>
      <c r="E16" s="14">
        <v>35865</v>
      </c>
      <c r="F16" s="14">
        <v>34698</v>
      </c>
      <c r="G16" s="14">
        <v>7860</v>
      </c>
      <c r="H16" s="12"/>
      <c r="N16" s="13"/>
    </row>
    <row r="17" spans="2:24" ht="15" customHeight="1" x14ac:dyDescent="0.25">
      <c r="B17" s="53">
        <v>1986</v>
      </c>
      <c r="C17" s="55">
        <f t="shared" si="0"/>
        <v>175741</v>
      </c>
      <c r="D17" s="14">
        <v>91820</v>
      </c>
      <c r="E17" s="14">
        <v>37433</v>
      </c>
      <c r="F17" s="14">
        <v>38004</v>
      </c>
      <c r="G17" s="14">
        <v>8484</v>
      </c>
      <c r="H17" s="12"/>
      <c r="N17" s="13"/>
    </row>
    <row r="18" spans="2:24" ht="15" customHeight="1" x14ac:dyDescent="0.25">
      <c r="B18" s="53">
        <v>1987</v>
      </c>
      <c r="C18" s="55">
        <f t="shared" si="0"/>
        <v>195820</v>
      </c>
      <c r="D18" s="14">
        <v>99783</v>
      </c>
      <c r="E18" s="14">
        <v>44382</v>
      </c>
      <c r="F18" s="14">
        <v>42386</v>
      </c>
      <c r="G18" s="14">
        <v>9269</v>
      </c>
      <c r="H18" s="3"/>
      <c r="K18" s="13"/>
      <c r="P18" s="4"/>
      <c r="Q18" s="4"/>
      <c r="R18" s="4"/>
      <c r="V18"/>
      <c r="W18"/>
      <c r="X18"/>
    </row>
    <row r="19" spans="2:24" ht="15" customHeight="1" x14ac:dyDescent="0.25">
      <c r="B19" s="53">
        <v>1988</v>
      </c>
      <c r="C19" s="55">
        <f t="shared" si="0"/>
        <v>207085</v>
      </c>
      <c r="D19" s="14">
        <v>106235</v>
      </c>
      <c r="E19" s="14">
        <v>45559</v>
      </c>
      <c r="F19" s="14">
        <v>44523</v>
      </c>
      <c r="G19" s="14">
        <v>10768</v>
      </c>
      <c r="H19" s="3"/>
      <c r="K19" s="13"/>
      <c r="P19" s="4"/>
      <c r="Q19" s="4"/>
      <c r="R19" s="4"/>
      <c r="V19"/>
      <c r="W19"/>
      <c r="X19"/>
    </row>
    <row r="20" spans="2:24" ht="15" customHeight="1" x14ac:dyDescent="0.25">
      <c r="B20" s="53">
        <v>1989</v>
      </c>
      <c r="C20" s="55">
        <f t="shared" si="0"/>
        <v>222938</v>
      </c>
      <c r="D20" s="14">
        <v>115041</v>
      </c>
      <c r="E20" s="14">
        <v>51429</v>
      </c>
      <c r="F20" s="14">
        <v>46523</v>
      </c>
      <c r="G20" s="14">
        <v>9945</v>
      </c>
      <c r="H20" s="3"/>
      <c r="K20" s="13"/>
      <c r="P20" s="4"/>
      <c r="Q20" s="4"/>
      <c r="R20" s="4"/>
      <c r="V20"/>
      <c r="W20"/>
      <c r="X20"/>
    </row>
    <row r="21" spans="2:24" ht="15" customHeight="1" x14ac:dyDescent="0.25">
      <c r="B21" s="53">
        <v>1990</v>
      </c>
      <c r="C21" s="55">
        <f t="shared" si="0"/>
        <v>235415</v>
      </c>
      <c r="D21" s="16">
        <v>126408</v>
      </c>
      <c r="E21" s="16">
        <v>52859</v>
      </c>
      <c r="F21" s="16">
        <v>46126</v>
      </c>
      <c r="G21" s="16">
        <v>10022</v>
      </c>
      <c r="H21" s="3"/>
      <c r="K21" s="13"/>
      <c r="P21" s="4"/>
      <c r="Q21" s="4"/>
      <c r="R21" s="4"/>
      <c r="V21"/>
      <c r="W21"/>
      <c r="X21"/>
    </row>
    <row r="22" spans="2:24" ht="15" customHeight="1" x14ac:dyDescent="0.25">
      <c r="B22" s="53">
        <v>1991</v>
      </c>
      <c r="C22" s="55">
        <f t="shared" si="0"/>
        <v>268153</v>
      </c>
      <c r="D22" s="16">
        <v>151815</v>
      </c>
      <c r="E22" s="16">
        <v>57070</v>
      </c>
      <c r="F22" s="16">
        <v>48656</v>
      </c>
      <c r="G22" s="16">
        <v>10612</v>
      </c>
      <c r="H22" s="3"/>
      <c r="K22" s="13"/>
      <c r="P22" s="4"/>
      <c r="Q22" s="4"/>
      <c r="R22" s="4"/>
      <c r="V22"/>
      <c r="W22"/>
      <c r="X22"/>
    </row>
    <row r="23" spans="2:24" ht="15" customHeight="1" x14ac:dyDescent="0.25">
      <c r="B23" s="53">
        <v>1992</v>
      </c>
      <c r="C23" s="55">
        <f t="shared" si="0"/>
        <v>289224</v>
      </c>
      <c r="D23" s="16">
        <v>167083</v>
      </c>
      <c r="E23" s="16">
        <v>60305</v>
      </c>
      <c r="F23" s="16">
        <v>51576</v>
      </c>
      <c r="G23" s="16">
        <v>10260</v>
      </c>
      <c r="H23" s="3"/>
      <c r="K23" s="13"/>
      <c r="P23" s="4"/>
      <c r="Q23" s="4"/>
      <c r="R23" s="4"/>
      <c r="V23"/>
      <c r="W23"/>
      <c r="X23"/>
    </row>
    <row r="24" spans="2:24" ht="15" customHeight="1" x14ac:dyDescent="0.25">
      <c r="B24" s="53">
        <v>1993</v>
      </c>
      <c r="C24" s="55">
        <f t="shared" si="0"/>
        <v>305924</v>
      </c>
      <c r="D24" s="16">
        <v>178711</v>
      </c>
      <c r="E24" s="16">
        <v>63171</v>
      </c>
      <c r="F24" s="16">
        <v>53584</v>
      </c>
      <c r="G24" s="16">
        <v>10458</v>
      </c>
      <c r="H24" s="3"/>
      <c r="K24" s="13"/>
      <c r="P24" s="4"/>
      <c r="Q24" s="4"/>
      <c r="R24" s="4"/>
      <c r="V24"/>
      <c r="W24"/>
      <c r="X24"/>
    </row>
    <row r="25" spans="2:24" ht="15" customHeight="1" x14ac:dyDescent="0.25">
      <c r="B25" s="53">
        <v>1994</v>
      </c>
      <c r="C25" s="55">
        <f t="shared" si="0"/>
        <v>305760</v>
      </c>
      <c r="D25" s="16">
        <v>178836</v>
      </c>
      <c r="E25" s="16">
        <v>63619</v>
      </c>
      <c r="F25" s="16">
        <v>52875</v>
      </c>
      <c r="G25" s="16">
        <v>10430</v>
      </c>
      <c r="H25" s="3"/>
      <c r="K25" s="13"/>
      <c r="P25" s="4"/>
      <c r="Q25" s="4"/>
      <c r="R25" s="4"/>
      <c r="V25"/>
      <c r="W25"/>
      <c r="X25"/>
    </row>
    <row r="26" spans="2:24" ht="15" customHeight="1" x14ac:dyDescent="0.25">
      <c r="B26" s="53">
        <v>1995</v>
      </c>
      <c r="C26" s="55">
        <f t="shared" si="0"/>
        <v>311025</v>
      </c>
      <c r="D26" s="16">
        <v>182883</v>
      </c>
      <c r="E26" s="16">
        <v>63760</v>
      </c>
      <c r="F26" s="16">
        <v>52563</v>
      </c>
      <c r="G26" s="16">
        <v>11819</v>
      </c>
      <c r="H26" s="3"/>
      <c r="K26" s="13"/>
      <c r="P26" s="4"/>
      <c r="Q26" s="4"/>
      <c r="R26" s="4"/>
      <c r="V26"/>
      <c r="W26"/>
      <c r="X26"/>
    </row>
    <row r="27" spans="2:24" ht="15" customHeight="1" x14ac:dyDescent="0.25">
      <c r="B27" s="53">
        <v>1996</v>
      </c>
      <c r="C27" s="55">
        <f t="shared" si="0"/>
        <v>324185</v>
      </c>
      <c r="D27" s="16">
        <v>198725</v>
      </c>
      <c r="E27" s="16">
        <v>59974</v>
      </c>
      <c r="F27" s="16">
        <v>55436</v>
      </c>
      <c r="G27" s="16">
        <v>10050</v>
      </c>
      <c r="H27" s="3"/>
      <c r="K27" s="13"/>
      <c r="P27" s="4"/>
      <c r="Q27" s="4"/>
      <c r="R27" s="4"/>
      <c r="V27"/>
      <c r="W27"/>
      <c r="X27"/>
    </row>
    <row r="28" spans="2:24" ht="15" customHeight="1" x14ac:dyDescent="0.25">
      <c r="B28" s="53">
        <v>1997</v>
      </c>
      <c r="C28" s="55">
        <f t="shared" si="0"/>
        <v>331531</v>
      </c>
      <c r="D28" s="16">
        <v>204256</v>
      </c>
      <c r="E28" s="16">
        <v>61400</v>
      </c>
      <c r="F28" s="16">
        <v>55730</v>
      </c>
      <c r="G28" s="16">
        <v>10145</v>
      </c>
      <c r="H28" s="3"/>
      <c r="K28" s="13"/>
      <c r="P28" s="4"/>
      <c r="Q28" s="4"/>
      <c r="R28" s="4"/>
      <c r="V28"/>
      <c r="W28"/>
      <c r="X28"/>
    </row>
    <row r="29" spans="2:24" ht="15" customHeight="1" x14ac:dyDescent="0.25">
      <c r="B29" s="53">
        <v>1998</v>
      </c>
      <c r="C29" s="55">
        <f t="shared" si="0"/>
        <v>387007</v>
      </c>
      <c r="D29" s="16">
        <v>245469</v>
      </c>
      <c r="E29" s="16">
        <v>68816</v>
      </c>
      <c r="F29" s="16">
        <v>62213</v>
      </c>
      <c r="G29" s="16">
        <v>10509</v>
      </c>
      <c r="H29" s="3"/>
      <c r="K29" s="13"/>
      <c r="P29" s="4"/>
      <c r="Q29" s="4"/>
      <c r="R29" s="4"/>
      <c r="V29"/>
      <c r="W29"/>
      <c r="X29"/>
    </row>
    <row r="30" spans="2:24" ht="15" customHeight="1" x14ac:dyDescent="0.25">
      <c r="B30" s="53">
        <v>1999</v>
      </c>
      <c r="C30" s="55">
        <f t="shared" si="0"/>
        <v>475114</v>
      </c>
      <c r="D30" s="16">
        <v>309809</v>
      </c>
      <c r="E30" s="16">
        <v>82934</v>
      </c>
      <c r="F30" s="16">
        <v>71136</v>
      </c>
      <c r="G30" s="16">
        <v>11235</v>
      </c>
      <c r="H30" s="3"/>
      <c r="K30" s="13"/>
      <c r="P30" s="4"/>
      <c r="Q30" s="4"/>
      <c r="R30" s="4"/>
      <c r="V30"/>
      <c r="W30"/>
      <c r="X30"/>
    </row>
    <row r="31" spans="2:24" ht="15" customHeight="1" x14ac:dyDescent="0.25">
      <c r="B31" s="53">
        <v>2000</v>
      </c>
      <c r="C31" s="55">
        <f t="shared" si="0"/>
        <v>512514</v>
      </c>
      <c r="D31" s="16">
        <v>332428</v>
      </c>
      <c r="E31" s="16">
        <v>92597</v>
      </c>
      <c r="F31" s="16">
        <v>76002</v>
      </c>
      <c r="G31" s="16">
        <v>11487</v>
      </c>
      <c r="H31" s="3"/>
      <c r="K31" s="13"/>
      <c r="P31" s="4"/>
      <c r="Q31" s="4"/>
      <c r="R31" s="4"/>
      <c r="V31"/>
      <c r="W31"/>
      <c r="X31"/>
    </row>
    <row r="32" spans="2:24" ht="15" customHeight="1" x14ac:dyDescent="0.25">
      <c r="B32" s="53">
        <v>2001</v>
      </c>
      <c r="C32" s="55">
        <f t="shared" si="0"/>
        <v>536348</v>
      </c>
      <c r="D32" s="16">
        <v>348319</v>
      </c>
      <c r="E32" s="16">
        <v>97924</v>
      </c>
      <c r="F32" s="16">
        <v>78479</v>
      </c>
      <c r="G32" s="16">
        <v>11626</v>
      </c>
      <c r="H32" s="3"/>
      <c r="K32" s="13"/>
      <c r="P32" s="4"/>
      <c r="Q32" s="4"/>
      <c r="R32" s="4"/>
      <c r="V32"/>
      <c r="W32"/>
      <c r="X32"/>
    </row>
    <row r="33" spans="2:24" ht="15" customHeight="1" x14ac:dyDescent="0.25">
      <c r="B33" s="56">
        <v>2002</v>
      </c>
      <c r="C33" s="54">
        <f t="shared" si="0"/>
        <v>538840</v>
      </c>
      <c r="D33" s="19">
        <v>352148</v>
      </c>
      <c r="E33" s="19">
        <v>96973</v>
      </c>
      <c r="F33" s="19">
        <v>78224</v>
      </c>
      <c r="G33" s="19">
        <v>11495</v>
      </c>
      <c r="H33" s="3"/>
      <c r="K33" s="13"/>
      <c r="P33" s="4"/>
      <c r="Q33" s="4"/>
      <c r="R33" s="4"/>
      <c r="V33"/>
      <c r="W33"/>
      <c r="X33"/>
    </row>
    <row r="34" spans="2:24" ht="15" customHeight="1" x14ac:dyDescent="0.25">
      <c r="B34" s="56">
        <v>2003</v>
      </c>
      <c r="C34" s="54">
        <f t="shared" si="0"/>
        <v>626795</v>
      </c>
      <c r="D34" s="19">
        <v>423122</v>
      </c>
      <c r="E34" s="19">
        <v>105155</v>
      </c>
      <c r="F34" s="19">
        <v>86648</v>
      </c>
      <c r="G34" s="19">
        <v>11870</v>
      </c>
      <c r="H34" s="3"/>
      <c r="K34" s="13"/>
      <c r="P34" s="4"/>
      <c r="Q34" s="4"/>
      <c r="R34" s="4"/>
      <c r="V34"/>
      <c r="W34"/>
      <c r="X34"/>
    </row>
    <row r="35" spans="2:24" ht="15" customHeight="1" x14ac:dyDescent="0.25">
      <c r="B35" s="18">
        <v>2004</v>
      </c>
      <c r="C35" s="19">
        <f t="shared" si="0"/>
        <v>757679</v>
      </c>
      <c r="D35" s="19">
        <v>522291</v>
      </c>
      <c r="E35" s="19">
        <v>126355</v>
      </c>
      <c r="F35" s="19">
        <v>96249</v>
      </c>
      <c r="G35" s="19">
        <v>12784</v>
      </c>
      <c r="H35" s="3"/>
      <c r="K35" s="13"/>
      <c r="P35" s="4"/>
      <c r="Q35" s="4"/>
      <c r="R35" s="4"/>
      <c r="V35"/>
      <c r="W35"/>
      <c r="X35"/>
    </row>
    <row r="36" spans="2:24" ht="15" customHeight="1" thickBot="1" x14ac:dyDescent="0.3">
      <c r="B36" s="20">
        <v>2005</v>
      </c>
      <c r="C36" s="21">
        <f t="shared" si="0"/>
        <v>822415</v>
      </c>
      <c r="D36" s="21">
        <v>572622</v>
      </c>
      <c r="E36" s="21">
        <v>135918</v>
      </c>
      <c r="F36" s="21">
        <v>100900</v>
      </c>
      <c r="G36" s="21">
        <v>12975</v>
      </c>
      <c r="H36" s="3"/>
      <c r="K36" s="13"/>
      <c r="P36" s="4"/>
      <c r="Q36" s="4"/>
      <c r="R36" s="4"/>
      <c r="V36"/>
      <c r="W36"/>
      <c r="X36"/>
    </row>
    <row r="37" spans="2:24" ht="15" customHeight="1" thickTop="1" x14ac:dyDescent="0.25">
      <c r="F37" s="22"/>
      <c r="G37" s="22"/>
      <c r="H37" s="3"/>
      <c r="P37" s="4"/>
      <c r="Q37" s="4"/>
      <c r="R37" s="4"/>
      <c r="V37"/>
      <c r="W37"/>
      <c r="X37"/>
    </row>
    <row r="38" spans="2:24" ht="15" customHeight="1" x14ac:dyDescent="0.25">
      <c r="B38" s="23" t="s">
        <v>7</v>
      </c>
      <c r="C38" s="17"/>
      <c r="D38" s="3"/>
      <c r="E38" s="3"/>
      <c r="F38" s="3"/>
      <c r="H38" s="3"/>
      <c r="P38" s="4"/>
      <c r="Q38" s="4"/>
      <c r="R38" s="4"/>
      <c r="V38"/>
      <c r="W38"/>
      <c r="X38"/>
    </row>
    <row r="39" spans="2:24" ht="15" customHeight="1" x14ac:dyDescent="0.25">
      <c r="B39" s="23"/>
      <c r="C39" s="17"/>
      <c r="D39" s="3"/>
      <c r="E39" s="3"/>
      <c r="F39" s="3"/>
      <c r="H39" s="3"/>
      <c r="P39" s="4"/>
      <c r="Q39" s="4"/>
      <c r="R39" s="4"/>
      <c r="V39"/>
      <c r="W39"/>
      <c r="X39"/>
    </row>
    <row r="40" spans="2:24" ht="15" customHeight="1" x14ac:dyDescent="0.25">
      <c r="H40" s="3"/>
      <c r="P40" s="4"/>
      <c r="Q40" s="4"/>
      <c r="R40" s="4"/>
      <c r="V40"/>
      <c r="W40"/>
      <c r="X40"/>
    </row>
    <row r="41" spans="2:24" ht="15" customHeight="1" x14ac:dyDescent="0.25">
      <c r="B41" s="24" t="s">
        <v>1</v>
      </c>
      <c r="C41" s="24" t="s">
        <v>2</v>
      </c>
      <c r="D41" s="24" t="s">
        <v>8</v>
      </c>
      <c r="E41" s="25" t="s">
        <v>9</v>
      </c>
      <c r="F41" s="24" t="s">
        <v>5</v>
      </c>
      <c r="G41" s="24" t="s">
        <v>10</v>
      </c>
      <c r="H41" s="24" t="s">
        <v>11</v>
      </c>
      <c r="I41" s="24" t="s">
        <v>12</v>
      </c>
      <c r="P41" s="4"/>
      <c r="Q41" s="4"/>
      <c r="R41" s="4"/>
      <c r="V41"/>
      <c r="W41"/>
      <c r="X41"/>
    </row>
    <row r="42" spans="2:24" ht="15" customHeight="1" x14ac:dyDescent="0.25">
      <c r="B42" s="26">
        <v>1990</v>
      </c>
      <c r="C42" s="27">
        <f t="shared" ref="C42:C69" si="1">+D42+E42+F42+G42+H42+I42</f>
        <v>234300</v>
      </c>
      <c r="D42" s="27">
        <v>126182</v>
      </c>
      <c r="E42" s="27">
        <v>52440</v>
      </c>
      <c r="F42" s="27">
        <v>46026</v>
      </c>
      <c r="G42" s="27">
        <v>9652</v>
      </c>
      <c r="H42" s="28">
        <v>0</v>
      </c>
      <c r="I42" s="28">
        <v>0</v>
      </c>
      <c r="P42" s="4"/>
      <c r="Q42" s="4"/>
      <c r="R42" s="4"/>
      <c r="V42"/>
      <c r="W42"/>
      <c r="X42"/>
    </row>
    <row r="43" spans="2:24" ht="15" customHeight="1" x14ac:dyDescent="0.25">
      <c r="B43" s="26">
        <v>1991</v>
      </c>
      <c r="C43" s="27">
        <f t="shared" si="1"/>
        <v>265891</v>
      </c>
      <c r="D43" s="27">
        <v>151331</v>
      </c>
      <c r="E43" s="27">
        <v>56230</v>
      </c>
      <c r="F43" s="27">
        <v>48448</v>
      </c>
      <c r="G43" s="27">
        <v>9882</v>
      </c>
      <c r="H43" s="28">
        <v>0</v>
      </c>
      <c r="I43" s="28">
        <v>0</v>
      </c>
      <c r="P43" s="4"/>
      <c r="Q43" s="4"/>
      <c r="R43" s="4"/>
      <c r="V43"/>
      <c r="W43"/>
      <c r="X43"/>
    </row>
    <row r="44" spans="2:24" ht="15" customHeight="1" x14ac:dyDescent="0.25">
      <c r="B44" s="26">
        <v>1992</v>
      </c>
      <c r="C44" s="27">
        <f t="shared" si="1"/>
        <v>289244</v>
      </c>
      <c r="D44" s="27">
        <v>167083</v>
      </c>
      <c r="E44" s="27">
        <v>60317</v>
      </c>
      <c r="F44" s="27">
        <v>51584</v>
      </c>
      <c r="G44" s="27">
        <v>10260</v>
      </c>
      <c r="H44" s="28">
        <v>0</v>
      </c>
      <c r="I44" s="28">
        <v>0</v>
      </c>
      <c r="P44" s="4"/>
      <c r="Q44" s="4"/>
      <c r="R44" s="4"/>
      <c r="V44"/>
      <c r="W44"/>
      <c r="X44"/>
    </row>
    <row r="45" spans="2:24" ht="15" customHeight="1" x14ac:dyDescent="0.25">
      <c r="B45" s="26">
        <v>1993</v>
      </c>
      <c r="C45" s="27">
        <f t="shared" si="1"/>
        <v>305984</v>
      </c>
      <c r="D45" s="27">
        <v>178771</v>
      </c>
      <c r="E45" s="27">
        <v>63171</v>
      </c>
      <c r="F45" s="27">
        <v>53584</v>
      </c>
      <c r="G45" s="27">
        <v>10458</v>
      </c>
      <c r="H45" s="28">
        <v>0</v>
      </c>
      <c r="I45" s="28">
        <v>0</v>
      </c>
      <c r="K45" s="2"/>
      <c r="L45" s="2"/>
      <c r="M45" s="2"/>
      <c r="N45" s="2"/>
      <c r="O45" s="2"/>
      <c r="P45"/>
      <c r="Q45" s="4"/>
      <c r="R45" s="4"/>
      <c r="V45"/>
      <c r="W45"/>
      <c r="X45"/>
    </row>
    <row r="46" spans="2:24" ht="15" customHeight="1" x14ac:dyDescent="0.25">
      <c r="B46" s="26">
        <v>1994</v>
      </c>
      <c r="C46" s="27">
        <f t="shared" si="1"/>
        <v>315760</v>
      </c>
      <c r="D46" s="27">
        <v>178836</v>
      </c>
      <c r="E46" s="27">
        <v>73619</v>
      </c>
      <c r="F46" s="27">
        <v>52875</v>
      </c>
      <c r="G46" s="27">
        <v>10430</v>
      </c>
      <c r="H46" s="28">
        <v>0</v>
      </c>
      <c r="I46" s="28">
        <v>0</v>
      </c>
      <c r="J46" s="2"/>
      <c r="K46" s="2"/>
      <c r="L46" s="2"/>
      <c r="M46" s="2"/>
      <c r="N46" s="2"/>
      <c r="O46" s="2"/>
      <c r="P46"/>
      <c r="Q46" s="4"/>
      <c r="R46" s="4"/>
      <c r="V46"/>
      <c r="W46"/>
      <c r="X46"/>
    </row>
    <row r="47" spans="2:24" ht="15" customHeight="1" x14ac:dyDescent="0.25">
      <c r="B47" s="26">
        <v>1995</v>
      </c>
      <c r="C47" s="27">
        <f t="shared" si="1"/>
        <v>316190</v>
      </c>
      <c r="D47" s="27">
        <v>186372</v>
      </c>
      <c r="E47" s="27">
        <v>65560</v>
      </c>
      <c r="F47" s="27">
        <v>53074</v>
      </c>
      <c r="G47" s="27">
        <v>11184</v>
      </c>
      <c r="H47" s="28">
        <v>0</v>
      </c>
      <c r="I47" s="28">
        <v>0</v>
      </c>
      <c r="J47" s="2"/>
      <c r="K47" s="2"/>
      <c r="L47" s="2"/>
      <c r="M47" s="2"/>
      <c r="N47" s="2"/>
      <c r="O47" s="2"/>
      <c r="P47"/>
      <c r="Q47" s="4"/>
      <c r="R47" s="4"/>
      <c r="V47"/>
      <c r="W47"/>
      <c r="X47"/>
    </row>
    <row r="48" spans="2:24" ht="15" customHeight="1" x14ac:dyDescent="0.25">
      <c r="B48" s="26">
        <v>1996</v>
      </c>
      <c r="C48" s="27">
        <f t="shared" si="1"/>
        <v>324185</v>
      </c>
      <c r="D48" s="27">
        <v>198725</v>
      </c>
      <c r="E48" s="27">
        <v>59974</v>
      </c>
      <c r="F48" s="27">
        <v>55436</v>
      </c>
      <c r="G48" s="27">
        <v>10050</v>
      </c>
      <c r="H48" s="28">
        <v>0</v>
      </c>
      <c r="I48" s="28">
        <v>0</v>
      </c>
      <c r="J48" s="2"/>
      <c r="K48" s="2"/>
      <c r="L48" s="2"/>
      <c r="M48" s="2"/>
      <c r="N48" s="2"/>
      <c r="O48" s="2"/>
      <c r="P48"/>
      <c r="Q48" s="4"/>
      <c r="R48" s="4"/>
      <c r="V48"/>
      <c r="W48"/>
      <c r="X48"/>
    </row>
    <row r="49" spans="2:24" ht="15" customHeight="1" x14ac:dyDescent="0.25">
      <c r="B49" s="26">
        <v>1997</v>
      </c>
      <c r="C49" s="27">
        <f t="shared" si="1"/>
        <v>331667</v>
      </c>
      <c r="D49" s="27">
        <v>204354</v>
      </c>
      <c r="E49" s="27">
        <v>61413</v>
      </c>
      <c r="F49" s="27">
        <v>55756</v>
      </c>
      <c r="G49" s="27">
        <v>10144</v>
      </c>
      <c r="H49" s="28">
        <v>0</v>
      </c>
      <c r="I49" s="28">
        <v>0</v>
      </c>
      <c r="J49" s="2"/>
      <c r="K49" s="2"/>
      <c r="L49" s="2"/>
      <c r="M49" s="2"/>
      <c r="N49" s="2"/>
      <c r="O49" s="2"/>
      <c r="P49"/>
      <c r="Q49" s="4"/>
      <c r="R49" s="4"/>
      <c r="V49"/>
      <c r="W49"/>
      <c r="X49"/>
    </row>
    <row r="50" spans="2:24" x14ac:dyDescent="0.25">
      <c r="B50" s="26">
        <v>1998</v>
      </c>
      <c r="C50" s="27">
        <f t="shared" si="1"/>
        <v>387007</v>
      </c>
      <c r="D50" s="27">
        <v>245469</v>
      </c>
      <c r="E50" s="27">
        <v>68816</v>
      </c>
      <c r="F50" s="27">
        <v>62213</v>
      </c>
      <c r="G50" s="27">
        <v>10509</v>
      </c>
      <c r="H50" s="28">
        <v>0</v>
      </c>
      <c r="I50" s="28">
        <v>0</v>
      </c>
      <c r="J50" s="2"/>
      <c r="K50" s="2"/>
      <c r="L50" s="2"/>
      <c r="M50" s="2"/>
      <c r="N50" s="2"/>
      <c r="O50" s="2"/>
      <c r="P50"/>
      <c r="Q50" s="4"/>
      <c r="R50" s="4"/>
      <c r="V50"/>
      <c r="W50"/>
      <c r="X50"/>
    </row>
    <row r="51" spans="2:24" x14ac:dyDescent="0.25">
      <c r="B51" s="26">
        <v>1999</v>
      </c>
      <c r="C51" s="27">
        <f t="shared" si="1"/>
        <v>475114</v>
      </c>
      <c r="D51" s="27">
        <v>309809</v>
      </c>
      <c r="E51" s="27">
        <v>82934</v>
      </c>
      <c r="F51" s="27">
        <v>71136</v>
      </c>
      <c r="G51" s="27">
        <v>11235</v>
      </c>
      <c r="H51" s="28">
        <v>0</v>
      </c>
      <c r="I51" s="28">
        <v>0</v>
      </c>
      <c r="J51" s="2"/>
      <c r="K51" s="2"/>
      <c r="L51" s="2"/>
      <c r="M51" s="2"/>
      <c r="N51" s="2"/>
      <c r="O51" s="2"/>
      <c r="P51"/>
      <c r="Q51" s="4"/>
      <c r="R51" s="4"/>
      <c r="V51"/>
      <c r="W51"/>
      <c r="X51"/>
    </row>
    <row r="52" spans="2:24" x14ac:dyDescent="0.25">
      <c r="B52" s="26">
        <v>2000</v>
      </c>
      <c r="C52" s="27">
        <f t="shared" si="1"/>
        <v>512514</v>
      </c>
      <c r="D52" s="27">
        <v>332428</v>
      </c>
      <c r="E52" s="27">
        <v>92597</v>
      </c>
      <c r="F52" s="27">
        <v>76002</v>
      </c>
      <c r="G52" s="27">
        <v>11487</v>
      </c>
      <c r="H52" s="28">
        <v>0</v>
      </c>
      <c r="I52" s="28">
        <v>0</v>
      </c>
      <c r="J52" s="2"/>
      <c r="K52" s="2"/>
      <c r="L52" s="2"/>
      <c r="M52" s="2"/>
      <c r="N52" s="2"/>
      <c r="O52" s="2"/>
      <c r="P52" s="2"/>
      <c r="Q52" s="2"/>
      <c r="R52" s="2"/>
      <c r="S52"/>
    </row>
    <row r="53" spans="2:24" x14ac:dyDescent="0.25">
      <c r="B53" s="26">
        <v>2001</v>
      </c>
      <c r="C53" s="27">
        <f t="shared" si="1"/>
        <v>536347</v>
      </c>
      <c r="D53" s="27">
        <v>348319</v>
      </c>
      <c r="E53" s="27">
        <v>97924</v>
      </c>
      <c r="F53" s="27">
        <v>78479</v>
      </c>
      <c r="G53" s="27">
        <v>11625</v>
      </c>
      <c r="H53" s="28">
        <v>0</v>
      </c>
      <c r="I53" s="28">
        <v>0</v>
      </c>
      <c r="J53" s="2"/>
      <c r="K53" s="2"/>
      <c r="L53" s="2"/>
      <c r="M53" s="2"/>
      <c r="N53" s="2"/>
      <c r="O53" s="2"/>
      <c r="P53" s="2"/>
      <c r="Q53" s="2"/>
      <c r="R53" s="2"/>
      <c r="S53"/>
    </row>
    <row r="54" spans="2:24" x14ac:dyDescent="0.25">
      <c r="B54" s="26">
        <v>2002</v>
      </c>
      <c r="C54" s="27">
        <f t="shared" si="1"/>
        <v>538840</v>
      </c>
      <c r="D54" s="27">
        <v>352148</v>
      </c>
      <c r="E54" s="27">
        <v>96973</v>
      </c>
      <c r="F54" s="27">
        <v>78224</v>
      </c>
      <c r="G54" s="27">
        <v>11495</v>
      </c>
      <c r="H54" s="28">
        <v>0</v>
      </c>
      <c r="I54" s="28">
        <v>0</v>
      </c>
      <c r="J54" s="2"/>
      <c r="K54" s="2"/>
      <c r="L54" s="2"/>
      <c r="M54" s="2"/>
      <c r="N54" s="2"/>
      <c r="O54" s="2"/>
      <c r="P54" s="2"/>
      <c r="Q54" s="2"/>
      <c r="R54" s="2"/>
      <c r="S54"/>
    </row>
    <row r="55" spans="2:24" x14ac:dyDescent="0.25">
      <c r="B55" s="26">
        <v>2003</v>
      </c>
      <c r="C55" s="27">
        <f t="shared" si="1"/>
        <v>626795</v>
      </c>
      <c r="D55" s="27">
        <v>423122</v>
      </c>
      <c r="E55" s="27">
        <v>105155</v>
      </c>
      <c r="F55" s="27">
        <v>86648</v>
      </c>
      <c r="G55" s="27">
        <v>11870</v>
      </c>
      <c r="H55" s="28">
        <v>0</v>
      </c>
      <c r="I55" s="28">
        <v>0</v>
      </c>
      <c r="J55" s="2"/>
      <c r="K55" s="2"/>
      <c r="L55" s="2"/>
      <c r="M55" s="2"/>
      <c r="N55" s="2"/>
      <c r="O55" s="2"/>
      <c r="P55" s="2"/>
      <c r="Q55" s="2"/>
      <c r="R55" s="2"/>
      <c r="S55"/>
    </row>
    <row r="56" spans="2:24" x14ac:dyDescent="0.25">
      <c r="B56" s="26">
        <v>2004</v>
      </c>
      <c r="C56" s="27">
        <f t="shared" si="1"/>
        <v>762060</v>
      </c>
      <c r="D56" s="27">
        <v>526401</v>
      </c>
      <c r="E56" s="27">
        <v>126481</v>
      </c>
      <c r="F56" s="27">
        <v>96556</v>
      </c>
      <c r="G56" s="27">
        <v>12622</v>
      </c>
      <c r="H56" s="28">
        <v>0</v>
      </c>
      <c r="I56" s="28">
        <v>0</v>
      </c>
      <c r="J56" s="2"/>
      <c r="K56" s="2"/>
      <c r="L56" s="2"/>
      <c r="M56" s="2"/>
      <c r="N56" s="2"/>
      <c r="O56" s="2"/>
      <c r="P56" s="2"/>
      <c r="Q56" s="2"/>
      <c r="R56" s="2"/>
      <c r="S56"/>
    </row>
    <row r="57" spans="2:24" x14ac:dyDescent="0.25">
      <c r="B57" s="30">
        <v>2005</v>
      </c>
      <c r="C57" s="31">
        <f t="shared" si="1"/>
        <v>822415</v>
      </c>
      <c r="D57" s="31">
        <v>572622</v>
      </c>
      <c r="E57" s="31">
        <v>135918</v>
      </c>
      <c r="F57" s="31">
        <v>100900</v>
      </c>
      <c r="G57" s="31">
        <v>12975</v>
      </c>
      <c r="H57" s="32">
        <v>0</v>
      </c>
      <c r="I57" s="28">
        <v>0</v>
      </c>
      <c r="J57" s="2"/>
      <c r="K57" s="2"/>
      <c r="L57" s="2"/>
      <c r="M57" s="2"/>
      <c r="N57" s="2"/>
      <c r="O57" s="2"/>
      <c r="P57" s="2"/>
      <c r="Q57" s="2"/>
      <c r="R57" s="2"/>
      <c r="S57"/>
    </row>
    <row r="58" spans="2:24" x14ac:dyDescent="0.25">
      <c r="B58" s="26">
        <v>2006</v>
      </c>
      <c r="C58" s="27">
        <f t="shared" si="1"/>
        <v>966375</v>
      </c>
      <c r="D58" s="27">
        <v>695239</v>
      </c>
      <c r="E58" s="27">
        <v>147497</v>
      </c>
      <c r="F58" s="27">
        <v>110288</v>
      </c>
      <c r="G58" s="27">
        <v>13277</v>
      </c>
      <c r="H58" s="28">
        <v>74</v>
      </c>
      <c r="I58" s="28">
        <v>0</v>
      </c>
      <c r="J58" s="2"/>
      <c r="K58" s="2"/>
      <c r="L58" s="2"/>
      <c r="M58" s="2"/>
      <c r="N58" s="2"/>
      <c r="O58" s="2"/>
      <c r="P58" s="2"/>
      <c r="Q58" s="2"/>
      <c r="R58" s="2"/>
      <c r="S58"/>
    </row>
    <row r="59" spans="2:24" x14ac:dyDescent="0.25">
      <c r="B59" s="26">
        <v>2007</v>
      </c>
      <c r="C59" s="27">
        <f t="shared" si="1"/>
        <v>1181949</v>
      </c>
      <c r="D59" s="27">
        <v>885272</v>
      </c>
      <c r="E59" s="27">
        <v>159534</v>
      </c>
      <c r="F59" s="27">
        <v>121698</v>
      </c>
      <c r="G59" s="27">
        <v>13337</v>
      </c>
      <c r="H59" s="27">
        <v>2108</v>
      </c>
      <c r="I59" s="28">
        <v>0</v>
      </c>
      <c r="J59" s="2"/>
      <c r="K59" s="2"/>
      <c r="L59" s="2"/>
      <c r="M59" s="2"/>
      <c r="N59" s="2"/>
      <c r="O59" s="2"/>
      <c r="P59" s="2"/>
      <c r="Q59" s="2"/>
      <c r="R59" s="2"/>
      <c r="S59"/>
    </row>
    <row r="60" spans="2:24" x14ac:dyDescent="0.25">
      <c r="B60" s="26">
        <v>2008</v>
      </c>
      <c r="C60" s="27">
        <f t="shared" si="1"/>
        <v>1394277</v>
      </c>
      <c r="D60" s="27">
        <v>954482</v>
      </c>
      <c r="E60" s="27">
        <v>172599</v>
      </c>
      <c r="F60" s="27">
        <v>133776</v>
      </c>
      <c r="G60" s="27">
        <v>13593</v>
      </c>
      <c r="H60" s="27">
        <v>3938</v>
      </c>
      <c r="I60" s="27">
        <v>115889</v>
      </c>
      <c r="J60" s="2"/>
      <c r="K60" s="2"/>
      <c r="L60" s="2"/>
      <c r="M60" s="2"/>
      <c r="N60" s="2"/>
      <c r="O60" s="2"/>
      <c r="P60" s="2"/>
      <c r="Q60" s="2"/>
      <c r="R60" s="2"/>
      <c r="S60"/>
    </row>
    <row r="61" spans="2:24" x14ac:dyDescent="0.25">
      <c r="B61" s="26">
        <v>2009</v>
      </c>
      <c r="C61" s="27">
        <f>+D61+E61+F61+G61+H61+I61</f>
        <v>1500553</v>
      </c>
      <c r="D61" s="27">
        <v>1046949</v>
      </c>
      <c r="E61" s="27">
        <v>181169</v>
      </c>
      <c r="F61" s="27">
        <v>146753</v>
      </c>
      <c r="G61" s="27">
        <v>13375</v>
      </c>
      <c r="H61" s="27">
        <v>4378</v>
      </c>
      <c r="I61" s="27">
        <v>107929</v>
      </c>
      <c r="J61" s="2"/>
      <c r="K61" s="2"/>
      <c r="L61" s="2"/>
      <c r="M61" s="2"/>
      <c r="N61" s="2"/>
      <c r="O61" s="2"/>
      <c r="P61" s="2"/>
      <c r="Q61" s="2"/>
      <c r="R61" s="2"/>
      <c r="S61"/>
    </row>
    <row r="62" spans="2:24" x14ac:dyDescent="0.25">
      <c r="B62" s="26">
        <v>2010</v>
      </c>
      <c r="C62" s="27">
        <f t="shared" si="1"/>
        <v>1721983</v>
      </c>
      <c r="D62" s="27">
        <v>1233450</v>
      </c>
      <c r="E62" s="27">
        <v>195506</v>
      </c>
      <c r="F62" s="27">
        <v>167230</v>
      </c>
      <c r="G62" s="27">
        <v>13606</v>
      </c>
      <c r="H62" s="27">
        <v>5435</v>
      </c>
      <c r="I62" s="27">
        <v>106756</v>
      </c>
      <c r="J62" s="2"/>
      <c r="K62" s="2"/>
      <c r="L62" s="2"/>
      <c r="M62" s="2"/>
      <c r="N62" s="2"/>
      <c r="O62" s="2"/>
      <c r="P62" s="2"/>
      <c r="Q62" s="2"/>
      <c r="R62" s="2"/>
      <c r="S62"/>
    </row>
    <row r="63" spans="2:24" x14ac:dyDescent="0.25">
      <c r="B63" s="26">
        <v>2011</v>
      </c>
      <c r="C63" s="27">
        <f t="shared" si="1"/>
        <v>1926503</v>
      </c>
      <c r="D63" s="27">
        <v>1406230</v>
      </c>
      <c r="E63" s="27">
        <v>213785</v>
      </c>
      <c r="F63" s="27">
        <v>178899</v>
      </c>
      <c r="G63" s="27">
        <v>13774</v>
      </c>
      <c r="H63" s="27">
        <v>6891</v>
      </c>
      <c r="I63" s="27">
        <v>106924</v>
      </c>
      <c r="J63" s="2"/>
      <c r="K63" s="2"/>
      <c r="L63" s="2"/>
      <c r="M63" s="2"/>
      <c r="N63" s="2"/>
      <c r="O63" s="2"/>
      <c r="P63" s="2"/>
      <c r="Q63" s="2"/>
      <c r="R63" s="2"/>
      <c r="S63"/>
    </row>
    <row r="64" spans="2:24" x14ac:dyDescent="0.25">
      <c r="B64" s="26">
        <v>2012</v>
      </c>
      <c r="C64" s="27">
        <f t="shared" si="1"/>
        <v>2436306</v>
      </c>
      <c r="D64" s="27">
        <v>1889480</v>
      </c>
      <c r="E64" s="27">
        <v>219849</v>
      </c>
      <c r="F64" s="27">
        <v>199204</v>
      </c>
      <c r="G64" s="27">
        <v>13287</v>
      </c>
      <c r="H64" s="27">
        <v>7992</v>
      </c>
      <c r="I64" s="27">
        <v>106494</v>
      </c>
      <c r="J64" s="2"/>
      <c r="K64" s="2"/>
      <c r="L64" s="2"/>
      <c r="M64" s="2"/>
      <c r="N64" s="2"/>
      <c r="O64" s="2"/>
      <c r="P64" s="2"/>
      <c r="Q64" s="2"/>
      <c r="R64" s="2"/>
      <c r="S64"/>
    </row>
    <row r="65" spans="2:19" x14ac:dyDescent="0.25">
      <c r="B65" s="26">
        <v>2013</v>
      </c>
      <c r="C65" s="27">
        <f t="shared" si="1"/>
        <v>2517401</v>
      </c>
      <c r="D65" s="27">
        <v>1243565</v>
      </c>
      <c r="E65" s="27">
        <v>233511</v>
      </c>
      <c r="F65" s="27">
        <v>204290</v>
      </c>
      <c r="G65" s="27">
        <v>13299</v>
      </c>
      <c r="H65" s="28">
        <v>9442</v>
      </c>
      <c r="I65" s="28">
        <v>813294</v>
      </c>
      <c r="J65" s="2"/>
      <c r="K65" s="2"/>
      <c r="L65" s="2"/>
      <c r="M65" s="2"/>
      <c r="N65" s="2"/>
      <c r="O65" s="2"/>
      <c r="P65" s="2"/>
      <c r="Q65" s="2"/>
      <c r="R65" s="2"/>
      <c r="S65"/>
    </row>
    <row r="66" spans="2:19" x14ac:dyDescent="0.25">
      <c r="B66" s="26">
        <v>2014</v>
      </c>
      <c r="C66" s="27">
        <f t="shared" si="1"/>
        <v>2575074</v>
      </c>
      <c r="D66" s="31">
        <v>1314228</v>
      </c>
      <c r="E66" s="31">
        <v>248178</v>
      </c>
      <c r="F66" s="31">
        <v>207237</v>
      </c>
      <c r="G66" s="31">
        <v>12766</v>
      </c>
      <c r="H66" s="32">
        <v>10604</v>
      </c>
      <c r="I66" s="28">
        <v>782061</v>
      </c>
      <c r="J66" s="2"/>
      <c r="K66" s="2"/>
      <c r="L66" s="2"/>
      <c r="M66" s="2"/>
      <c r="N66" s="2"/>
      <c r="O66" s="2"/>
      <c r="P66" s="2"/>
      <c r="Q66" s="2"/>
      <c r="R66" s="2"/>
      <c r="S66"/>
    </row>
    <row r="67" spans="2:19" x14ac:dyDescent="0.25">
      <c r="B67" s="26">
        <v>2015</v>
      </c>
      <c r="C67" s="27">
        <f t="shared" si="1"/>
        <v>2855731</v>
      </c>
      <c r="D67" s="27">
        <v>1568085</v>
      </c>
      <c r="E67" s="27">
        <v>270455</v>
      </c>
      <c r="F67" s="27">
        <v>214420</v>
      </c>
      <c r="G67" s="27">
        <v>13045</v>
      </c>
      <c r="H67" s="28">
        <v>11446</v>
      </c>
      <c r="I67" s="28">
        <v>778280</v>
      </c>
      <c r="J67" s="2"/>
      <c r="K67" s="2"/>
      <c r="L67" s="2"/>
      <c r="M67" s="2"/>
      <c r="N67" s="2"/>
      <c r="O67" s="2"/>
      <c r="P67" s="2"/>
      <c r="Q67" s="2"/>
      <c r="R67" s="2"/>
      <c r="S67"/>
    </row>
    <row r="68" spans="2:19" x14ac:dyDescent="0.25">
      <c r="B68" s="26">
        <v>2016</v>
      </c>
      <c r="C68" s="27">
        <f t="shared" si="1"/>
        <v>2967920</v>
      </c>
      <c r="D68" s="27">
        <v>1669952</v>
      </c>
      <c r="E68" s="27">
        <v>287157</v>
      </c>
      <c r="F68" s="27">
        <v>234663</v>
      </c>
      <c r="G68" s="27">
        <v>13521</v>
      </c>
      <c r="H68" s="27">
        <v>11636</v>
      </c>
      <c r="I68" s="28">
        <v>750991</v>
      </c>
      <c r="J68" s="2"/>
      <c r="K68" s="2"/>
      <c r="L68" s="2"/>
      <c r="M68" s="2"/>
      <c r="N68" s="2"/>
      <c r="O68" s="2"/>
      <c r="P68" s="2"/>
      <c r="Q68" s="2"/>
      <c r="R68" s="2"/>
      <c r="S68"/>
    </row>
    <row r="69" spans="2:19" ht="15.75" thickBot="1" x14ac:dyDescent="0.3">
      <c r="B69" s="33">
        <v>2017</v>
      </c>
      <c r="C69" s="34">
        <f t="shared" si="1"/>
        <v>3566281</v>
      </c>
      <c r="D69" s="34">
        <v>2255745</v>
      </c>
      <c r="E69" s="34">
        <v>314929</v>
      </c>
      <c r="F69" s="34">
        <v>262859</v>
      </c>
      <c r="G69" s="34">
        <v>13637</v>
      </c>
      <c r="H69" s="34">
        <v>11859</v>
      </c>
      <c r="I69" s="34">
        <v>707252</v>
      </c>
      <c r="J69" s="2"/>
      <c r="K69" s="2"/>
      <c r="L69" s="2"/>
      <c r="M69" s="2"/>
      <c r="N69" s="2"/>
      <c r="O69" s="2"/>
      <c r="P69" s="2"/>
      <c r="Q69" s="2"/>
      <c r="R69" s="2"/>
      <c r="S69"/>
    </row>
    <row r="70" spans="2:19" ht="15.75" thickTop="1" x14ac:dyDescent="0.25">
      <c r="B70" s="22"/>
      <c r="C70" s="22"/>
      <c r="D70" s="22"/>
      <c r="E70" s="22"/>
      <c r="F70" s="22"/>
      <c r="G70" s="22"/>
      <c r="H70" s="29"/>
      <c r="I70" s="22"/>
      <c r="J70" s="2"/>
    </row>
    <row r="71" spans="2:19" x14ac:dyDescent="0.25">
      <c r="B71" s="1" t="s">
        <v>13</v>
      </c>
      <c r="C71" s="22"/>
      <c r="D71" s="22"/>
      <c r="E71" s="22"/>
      <c r="F71" s="22"/>
      <c r="G71" s="22"/>
      <c r="I71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1:K43"/>
  <sheetViews>
    <sheetView showGridLines="0" topLeftCell="A10" zoomScale="85" zoomScaleNormal="85" workbookViewId="0">
      <selection activeCell="N14" sqref="N14"/>
    </sheetView>
  </sheetViews>
  <sheetFormatPr baseColWidth="10" defaultRowHeight="15" x14ac:dyDescent="0.25"/>
  <cols>
    <col min="2" max="2" width="8.140625" style="14" customWidth="1"/>
    <col min="3" max="3" width="12.140625" style="14" customWidth="1"/>
    <col min="4" max="4" width="17.42578125" style="14" customWidth="1"/>
    <col min="5" max="5" width="11.140625" style="14" customWidth="1"/>
    <col min="6" max="6" width="10.42578125" style="14" bestFit="1" customWidth="1"/>
    <col min="7" max="7" width="13" style="14" bestFit="1" customWidth="1"/>
    <col min="8" max="8" width="11.28515625" style="14" bestFit="1" customWidth="1"/>
    <col min="9" max="9" width="10.42578125" style="14" bestFit="1" customWidth="1"/>
    <col min="10" max="10" width="10.140625" style="14" customWidth="1"/>
    <col min="11" max="11" width="13" style="14" customWidth="1"/>
  </cols>
  <sheetData>
    <row r="1" spans="2:11" x14ac:dyDescent="0.25">
      <c r="B1" s="2"/>
      <c r="C1" s="2"/>
      <c r="D1" s="2"/>
      <c r="E1" s="2"/>
      <c r="F1" s="2"/>
      <c r="G1" s="2"/>
      <c r="H1" s="2"/>
      <c r="I1" s="2"/>
      <c r="J1" s="2"/>
      <c r="K1" s="2"/>
    </row>
    <row r="3" spans="2:11" x14ac:dyDescent="0.25">
      <c r="B3" s="1" t="s">
        <v>14</v>
      </c>
      <c r="C3" s="2"/>
      <c r="D3" s="2"/>
      <c r="E3" s="2"/>
      <c r="F3" s="2"/>
      <c r="G3" s="2"/>
      <c r="H3" s="2"/>
      <c r="I3" s="2"/>
      <c r="J3" s="2"/>
      <c r="K3" s="2"/>
    </row>
    <row r="6" spans="2:11" x14ac:dyDescent="0.25">
      <c r="B6" s="35"/>
      <c r="C6" s="35"/>
      <c r="D6" s="35"/>
      <c r="E6" s="35"/>
      <c r="F6" s="35"/>
      <c r="G6" s="114" t="s">
        <v>15</v>
      </c>
      <c r="H6" s="114"/>
      <c r="I6" s="114"/>
      <c r="J6" s="35"/>
      <c r="K6" s="2"/>
    </row>
    <row r="7" spans="2:11" ht="45.75" customHeight="1" x14ac:dyDescent="0.25">
      <c r="B7" s="36" t="s">
        <v>1</v>
      </c>
      <c r="C7" s="37" t="s">
        <v>16</v>
      </c>
      <c r="D7" s="37" t="s">
        <v>17</v>
      </c>
      <c r="E7" s="37" t="s">
        <v>18</v>
      </c>
      <c r="F7" s="37" t="s">
        <v>19</v>
      </c>
      <c r="G7" s="36" t="s">
        <v>20</v>
      </c>
      <c r="H7" s="36" t="s">
        <v>21</v>
      </c>
      <c r="I7" s="37" t="s">
        <v>22</v>
      </c>
      <c r="J7" s="37" t="s">
        <v>23</v>
      </c>
      <c r="K7" s="37" t="s">
        <v>24</v>
      </c>
    </row>
    <row r="8" spans="2:11" x14ac:dyDescent="0.25">
      <c r="B8" s="38">
        <v>1967</v>
      </c>
      <c r="C8" s="14">
        <v>9591323</v>
      </c>
      <c r="D8" s="14">
        <v>2899290</v>
      </c>
      <c r="E8" s="14">
        <v>2683583</v>
      </c>
      <c r="F8" s="39">
        <f>+I8+J8</f>
        <v>1467836</v>
      </c>
      <c r="G8" s="14">
        <v>256023</v>
      </c>
      <c r="H8" s="14">
        <v>1048454</v>
      </c>
      <c r="I8" s="14">
        <f>+G8+H8</f>
        <v>1304477</v>
      </c>
      <c r="J8" s="14">
        <v>163359</v>
      </c>
      <c r="K8" s="14">
        <f>+G8+J8</f>
        <v>419382</v>
      </c>
    </row>
    <row r="9" spans="2:11" x14ac:dyDescent="0.25">
      <c r="B9" s="38">
        <v>1968</v>
      </c>
      <c r="C9" s="14">
        <v>9911812</v>
      </c>
      <c r="D9" s="14">
        <v>3047642</v>
      </c>
      <c r="E9" s="14">
        <v>2881851</v>
      </c>
      <c r="F9" s="11">
        <f t="shared" ref="F9:F41" si="0">+I9+J9</f>
        <v>1564493</v>
      </c>
      <c r="G9" s="14">
        <v>267985</v>
      </c>
      <c r="H9" s="14">
        <v>1117495</v>
      </c>
      <c r="I9" s="14">
        <f t="shared" ref="I9:I41" si="1">+G9+H9</f>
        <v>1385480</v>
      </c>
      <c r="J9" s="14">
        <v>179013</v>
      </c>
      <c r="K9" s="14">
        <f t="shared" ref="K9:K41" si="2">+G9+J9</f>
        <v>446998</v>
      </c>
    </row>
    <row r="10" spans="2:11" x14ac:dyDescent="0.25">
      <c r="B10" s="38">
        <v>1969</v>
      </c>
      <c r="C10" s="14">
        <v>10247303</v>
      </c>
      <c r="D10" s="14">
        <v>3173881</v>
      </c>
      <c r="E10" s="14">
        <v>2960597</v>
      </c>
      <c r="F10" s="11">
        <f t="shared" si="0"/>
        <v>1941857</v>
      </c>
      <c r="G10" s="14">
        <v>557004</v>
      </c>
      <c r="H10" s="14">
        <v>1201861</v>
      </c>
      <c r="I10" s="14">
        <f t="shared" si="1"/>
        <v>1758865</v>
      </c>
      <c r="J10" s="14">
        <v>182992</v>
      </c>
      <c r="K10" s="14">
        <f t="shared" si="2"/>
        <v>739996</v>
      </c>
    </row>
    <row r="11" spans="2:11" x14ac:dyDescent="0.25">
      <c r="B11" s="38">
        <v>1970</v>
      </c>
      <c r="C11" s="14">
        <v>10604071</v>
      </c>
      <c r="D11" s="14">
        <v>3306262</v>
      </c>
      <c r="E11" s="14">
        <v>3103919</v>
      </c>
      <c r="F11" s="11">
        <f t="shared" si="0"/>
        <v>2063176</v>
      </c>
      <c r="G11" s="14">
        <v>611784</v>
      </c>
      <c r="H11" s="14">
        <v>1254590</v>
      </c>
      <c r="I11" s="14">
        <f t="shared" si="1"/>
        <v>1866374</v>
      </c>
      <c r="J11" s="14">
        <v>196802</v>
      </c>
      <c r="K11" s="14">
        <f t="shared" si="2"/>
        <v>808586</v>
      </c>
    </row>
    <row r="12" spans="2:11" x14ac:dyDescent="0.25">
      <c r="B12" s="38">
        <v>1971</v>
      </c>
      <c r="C12" s="14">
        <v>10984195</v>
      </c>
      <c r="D12" s="14">
        <v>3446861</v>
      </c>
      <c r="E12" s="14">
        <v>3274863</v>
      </c>
      <c r="F12" s="11">
        <f t="shared" si="0"/>
        <v>2208077</v>
      </c>
      <c r="G12" s="14">
        <v>657358</v>
      </c>
      <c r="H12" s="14">
        <v>1344974</v>
      </c>
      <c r="I12" s="14">
        <f t="shared" si="1"/>
        <v>2002332</v>
      </c>
      <c r="J12" s="14">
        <v>205745</v>
      </c>
      <c r="K12" s="14">
        <f t="shared" si="2"/>
        <v>863103</v>
      </c>
    </row>
    <row r="13" spans="2:11" x14ac:dyDescent="0.25">
      <c r="B13" s="38">
        <v>1972</v>
      </c>
      <c r="C13" s="14">
        <v>11383490</v>
      </c>
      <c r="D13" s="14">
        <v>3598721</v>
      </c>
      <c r="E13" s="14">
        <v>3397912</v>
      </c>
      <c r="F13" s="11">
        <f t="shared" si="0"/>
        <v>2365333</v>
      </c>
      <c r="G13" s="14">
        <v>707196</v>
      </c>
      <c r="H13" s="14">
        <v>1445714</v>
      </c>
      <c r="I13" s="14">
        <f t="shared" si="1"/>
        <v>2152910</v>
      </c>
      <c r="J13" s="14">
        <v>212423</v>
      </c>
      <c r="K13" s="14">
        <f t="shared" si="2"/>
        <v>919619</v>
      </c>
    </row>
    <row r="14" spans="2:11" x14ac:dyDescent="0.25">
      <c r="B14" s="38">
        <v>1973</v>
      </c>
      <c r="C14" s="14">
        <v>11798839</v>
      </c>
      <c r="D14" s="14">
        <v>3740111</v>
      </c>
      <c r="E14" s="14">
        <v>3513835</v>
      </c>
      <c r="F14" s="11">
        <f t="shared" si="0"/>
        <v>2572270</v>
      </c>
      <c r="G14" s="14">
        <v>772364</v>
      </c>
      <c r="H14" s="14">
        <v>1575087</v>
      </c>
      <c r="I14" s="14">
        <f t="shared" si="1"/>
        <v>2347451</v>
      </c>
      <c r="J14" s="14">
        <v>224819</v>
      </c>
      <c r="K14" s="14">
        <f t="shared" si="2"/>
        <v>997183</v>
      </c>
    </row>
    <row r="15" spans="2:11" x14ac:dyDescent="0.25">
      <c r="B15" s="38">
        <v>1974</v>
      </c>
      <c r="C15" s="14">
        <v>12227127</v>
      </c>
      <c r="D15" s="14">
        <v>3900225</v>
      </c>
      <c r="E15" s="14">
        <v>3589377</v>
      </c>
      <c r="F15" s="11">
        <f t="shared" si="0"/>
        <v>2791379</v>
      </c>
      <c r="G15" s="14">
        <v>839082</v>
      </c>
      <c r="H15" s="14">
        <v>1717370</v>
      </c>
      <c r="I15" s="14">
        <f t="shared" si="1"/>
        <v>2556452</v>
      </c>
      <c r="J15" s="14">
        <v>234927</v>
      </c>
      <c r="K15" s="14">
        <f t="shared" si="2"/>
        <v>1074009</v>
      </c>
    </row>
    <row r="16" spans="2:11" x14ac:dyDescent="0.25">
      <c r="B16" s="38">
        <v>1975</v>
      </c>
      <c r="C16" s="14">
        <v>12665236</v>
      </c>
      <c r="D16" s="14">
        <v>4065380</v>
      </c>
      <c r="E16" s="14">
        <v>3804383</v>
      </c>
      <c r="F16" s="11">
        <f t="shared" si="0"/>
        <v>3110735</v>
      </c>
      <c r="G16" s="14">
        <v>924930</v>
      </c>
      <c r="H16" s="14">
        <v>1928010</v>
      </c>
      <c r="I16" s="14">
        <f t="shared" si="1"/>
        <v>2852940</v>
      </c>
      <c r="J16" s="14">
        <v>257795</v>
      </c>
      <c r="K16" s="14">
        <f t="shared" si="2"/>
        <v>1182725</v>
      </c>
    </row>
    <row r="17" spans="2:11" x14ac:dyDescent="0.25">
      <c r="B17" s="38">
        <v>1976</v>
      </c>
      <c r="C17" s="14">
        <v>13118979</v>
      </c>
      <c r="D17" s="14">
        <v>4238518</v>
      </c>
      <c r="E17" s="14">
        <v>4000294</v>
      </c>
      <c r="F17" s="11">
        <f t="shared" si="0"/>
        <v>3289081</v>
      </c>
      <c r="G17" s="14">
        <v>989183</v>
      </c>
      <c r="H17" s="14">
        <v>2023618</v>
      </c>
      <c r="I17" s="14">
        <f t="shared" si="1"/>
        <v>3012801</v>
      </c>
      <c r="J17" s="14">
        <v>276280</v>
      </c>
      <c r="K17" s="14">
        <f t="shared" si="2"/>
        <v>1265463</v>
      </c>
    </row>
    <row r="18" spans="2:11" x14ac:dyDescent="0.25">
      <c r="B18" s="38">
        <v>1977</v>
      </c>
      <c r="C18" s="14">
        <v>13590433</v>
      </c>
      <c r="D18" s="14">
        <v>4408017</v>
      </c>
      <c r="E18" s="14">
        <v>4208116</v>
      </c>
      <c r="F18" s="11">
        <f t="shared" si="0"/>
        <v>3592173</v>
      </c>
      <c r="G18" s="14">
        <v>1075696</v>
      </c>
      <c r="H18" s="14">
        <v>2207460</v>
      </c>
      <c r="I18" s="14">
        <f t="shared" si="1"/>
        <v>3283156</v>
      </c>
      <c r="J18" s="14">
        <v>309017</v>
      </c>
      <c r="K18" s="14">
        <f t="shared" si="2"/>
        <v>1384713</v>
      </c>
    </row>
    <row r="19" spans="2:11" x14ac:dyDescent="0.25">
      <c r="B19" s="38">
        <v>1978</v>
      </c>
      <c r="C19" s="14">
        <v>14070880</v>
      </c>
      <c r="D19" s="14">
        <v>4569816</v>
      </c>
      <c r="E19" s="14">
        <v>4373811</v>
      </c>
      <c r="F19" s="11">
        <f t="shared" si="0"/>
        <v>3956343</v>
      </c>
      <c r="G19" s="14">
        <v>1190766</v>
      </c>
      <c r="H19" s="14">
        <v>2443354</v>
      </c>
      <c r="I19" s="14">
        <f t="shared" si="1"/>
        <v>3634120</v>
      </c>
      <c r="J19" s="14">
        <v>322223</v>
      </c>
      <c r="K19" s="14">
        <f t="shared" si="2"/>
        <v>1512989</v>
      </c>
    </row>
    <row r="20" spans="2:11" x14ac:dyDescent="0.25">
      <c r="B20" s="38">
        <v>1979</v>
      </c>
      <c r="C20" s="14">
        <v>14551602</v>
      </c>
      <c r="D20" s="14">
        <v>4787816</v>
      </c>
      <c r="E20" s="14">
        <v>4519415</v>
      </c>
      <c r="F20" s="11">
        <f t="shared" si="0"/>
        <v>4482981</v>
      </c>
      <c r="G20" s="14">
        <v>1184263</v>
      </c>
      <c r="H20" s="14">
        <v>2960658</v>
      </c>
      <c r="I20" s="14">
        <f t="shared" si="1"/>
        <v>4144921</v>
      </c>
      <c r="J20" s="14">
        <v>338060</v>
      </c>
      <c r="K20" s="14">
        <f t="shared" si="2"/>
        <v>1522323</v>
      </c>
    </row>
    <row r="21" spans="2:11" x14ac:dyDescent="0.25">
      <c r="B21" s="38">
        <v>1980</v>
      </c>
      <c r="C21" s="14">
        <v>15023880</v>
      </c>
      <c r="D21" s="14">
        <v>4971585</v>
      </c>
      <c r="E21" s="14">
        <v>4690385</v>
      </c>
      <c r="F21" s="11">
        <f t="shared" si="0"/>
        <v>4713026</v>
      </c>
      <c r="G21" s="14">
        <v>1220649</v>
      </c>
      <c r="H21" s="14">
        <v>3051623</v>
      </c>
      <c r="I21" s="14">
        <f t="shared" si="1"/>
        <v>4272272</v>
      </c>
      <c r="J21" s="14">
        <v>440754</v>
      </c>
      <c r="K21" s="14">
        <f t="shared" si="2"/>
        <v>1661403</v>
      </c>
    </row>
    <row r="22" spans="2:11" x14ac:dyDescent="0.25">
      <c r="B22" s="38">
        <v>1981</v>
      </c>
      <c r="C22" s="14">
        <v>15484656</v>
      </c>
      <c r="D22" s="14">
        <v>5126588</v>
      </c>
      <c r="E22" s="14">
        <v>4801229</v>
      </c>
      <c r="F22" s="11">
        <f t="shared" si="0"/>
        <v>5011475</v>
      </c>
      <c r="G22" s="14">
        <v>1285350</v>
      </c>
      <c r="H22" s="14">
        <v>3213375</v>
      </c>
      <c r="I22" s="14">
        <f t="shared" si="1"/>
        <v>4498725</v>
      </c>
      <c r="J22" s="14">
        <v>512750</v>
      </c>
      <c r="K22" s="14">
        <f t="shared" si="2"/>
        <v>1798100</v>
      </c>
    </row>
    <row r="23" spans="2:11" x14ac:dyDescent="0.25">
      <c r="B23" s="38">
        <v>1982</v>
      </c>
      <c r="C23" s="14">
        <v>15939742</v>
      </c>
      <c r="D23" s="14">
        <v>5312887</v>
      </c>
      <c r="E23" s="14">
        <v>4927254</v>
      </c>
      <c r="F23" s="11">
        <f t="shared" si="0"/>
        <v>5079178</v>
      </c>
      <c r="G23" s="14">
        <v>1296915</v>
      </c>
      <c r="H23" s="14">
        <v>3242288</v>
      </c>
      <c r="I23" s="14">
        <f t="shared" si="1"/>
        <v>4539203</v>
      </c>
      <c r="J23" s="14">
        <v>539975</v>
      </c>
      <c r="K23" s="14">
        <f t="shared" si="2"/>
        <v>1836890</v>
      </c>
    </row>
    <row r="24" spans="2:11" x14ac:dyDescent="0.25">
      <c r="B24" s="38">
        <v>1983</v>
      </c>
      <c r="C24" s="14">
        <v>16393726</v>
      </c>
      <c r="D24" s="14">
        <v>5500140</v>
      </c>
      <c r="E24" s="14">
        <v>4934014</v>
      </c>
      <c r="F24" s="11">
        <f t="shared" si="0"/>
        <v>4812239</v>
      </c>
      <c r="G24" s="14">
        <v>1216780</v>
      </c>
      <c r="H24" s="14">
        <v>3041950</v>
      </c>
      <c r="I24" s="14">
        <f t="shared" si="1"/>
        <v>4258730</v>
      </c>
      <c r="J24" s="14">
        <v>553509</v>
      </c>
      <c r="K24" s="14">
        <f t="shared" si="2"/>
        <v>1770289</v>
      </c>
    </row>
    <row r="25" spans="2:11" x14ac:dyDescent="0.25">
      <c r="B25" s="38">
        <v>1984</v>
      </c>
      <c r="C25" s="14">
        <v>16851195</v>
      </c>
      <c r="D25" s="14">
        <v>5690375</v>
      </c>
      <c r="E25" s="14">
        <v>4938002</v>
      </c>
      <c r="F25" s="11">
        <f t="shared" si="0"/>
        <v>4981187</v>
      </c>
      <c r="G25" s="14">
        <v>1265836</v>
      </c>
      <c r="H25" s="14">
        <v>3164590</v>
      </c>
      <c r="I25" s="14">
        <f t="shared" si="1"/>
        <v>4430426</v>
      </c>
      <c r="J25" s="14">
        <v>550761</v>
      </c>
      <c r="K25" s="14">
        <f t="shared" si="2"/>
        <v>1816597</v>
      </c>
    </row>
    <row r="26" spans="2:11" x14ac:dyDescent="0.25">
      <c r="B26" s="38">
        <v>1985</v>
      </c>
      <c r="C26" s="14">
        <v>17316738</v>
      </c>
      <c r="D26" s="14">
        <v>5886755</v>
      </c>
      <c r="E26" s="14">
        <v>5106116</v>
      </c>
      <c r="F26" s="11">
        <f t="shared" si="0"/>
        <v>5231664</v>
      </c>
      <c r="G26" s="14">
        <v>1334241</v>
      </c>
      <c r="H26" s="14">
        <v>3335306</v>
      </c>
      <c r="I26" s="14">
        <f t="shared" si="1"/>
        <v>4669547</v>
      </c>
      <c r="J26" s="14">
        <v>562117</v>
      </c>
      <c r="K26" s="14">
        <f t="shared" si="2"/>
        <v>1896358</v>
      </c>
    </row>
    <row r="27" spans="2:11" x14ac:dyDescent="0.25">
      <c r="B27" s="38">
        <v>1986</v>
      </c>
      <c r="C27" s="14">
        <v>17791411</v>
      </c>
      <c r="D27" s="14">
        <v>6089405</v>
      </c>
      <c r="E27" s="14">
        <v>5396009</v>
      </c>
      <c r="F27" s="11">
        <f t="shared" si="0"/>
        <v>5633508</v>
      </c>
      <c r="G27" s="14">
        <v>1454089</v>
      </c>
      <c r="H27" s="14">
        <v>3635223</v>
      </c>
      <c r="I27" s="14">
        <f t="shared" si="1"/>
        <v>5089312</v>
      </c>
      <c r="J27" s="14">
        <v>544196</v>
      </c>
      <c r="K27" s="14">
        <f t="shared" si="2"/>
        <v>1998285</v>
      </c>
    </row>
    <row r="28" spans="2:11" x14ac:dyDescent="0.25">
      <c r="B28" s="38">
        <v>1987</v>
      </c>
      <c r="C28" s="14">
        <v>18272157</v>
      </c>
      <c r="D28" s="14">
        <v>6299642</v>
      </c>
      <c r="E28" s="14">
        <v>5693178</v>
      </c>
      <c r="F28" s="11">
        <f t="shared" si="0"/>
        <v>6042731</v>
      </c>
      <c r="G28" s="14">
        <v>1557430</v>
      </c>
      <c r="H28" s="14">
        <v>3893575</v>
      </c>
      <c r="I28" s="14">
        <f t="shared" si="1"/>
        <v>5451005</v>
      </c>
      <c r="J28" s="14">
        <v>591726</v>
      </c>
      <c r="K28" s="14">
        <f t="shared" si="2"/>
        <v>2149156</v>
      </c>
    </row>
    <row r="29" spans="2:11" x14ac:dyDescent="0.25">
      <c r="B29" s="38">
        <v>1988</v>
      </c>
      <c r="C29" s="14">
        <v>18757389</v>
      </c>
      <c r="D29" s="14">
        <v>6512285</v>
      </c>
      <c r="E29" s="14">
        <v>6035434</v>
      </c>
      <c r="F29" s="11">
        <f t="shared" si="0"/>
        <v>6652286</v>
      </c>
      <c r="G29" s="14">
        <v>1727374</v>
      </c>
      <c r="H29" s="14">
        <v>4318435</v>
      </c>
      <c r="I29" s="14">
        <f t="shared" si="1"/>
        <v>6045809</v>
      </c>
      <c r="J29" s="14">
        <v>606477</v>
      </c>
      <c r="K29" s="14">
        <f t="shared" si="2"/>
        <v>2333851</v>
      </c>
    </row>
    <row r="30" spans="2:11" x14ac:dyDescent="0.25">
      <c r="B30" s="38">
        <v>1989</v>
      </c>
      <c r="C30" s="14">
        <v>19245521</v>
      </c>
      <c r="D30" s="14">
        <v>6800136</v>
      </c>
      <c r="E30" s="14">
        <v>6177065</v>
      </c>
      <c r="F30" s="11">
        <f t="shared" si="0"/>
        <v>6582892</v>
      </c>
      <c r="G30" s="14">
        <v>1712338</v>
      </c>
      <c r="H30" s="14">
        <v>4280845</v>
      </c>
      <c r="I30" s="14">
        <f t="shared" si="1"/>
        <v>5993183</v>
      </c>
      <c r="J30" s="14">
        <v>589709</v>
      </c>
      <c r="K30" s="14">
        <f t="shared" si="2"/>
        <v>2302047</v>
      </c>
    </row>
    <row r="31" spans="2:11" x14ac:dyDescent="0.25">
      <c r="B31" s="38">
        <v>1990</v>
      </c>
      <c r="C31" s="14">
        <v>19325222</v>
      </c>
      <c r="D31" s="14">
        <v>7143911</v>
      </c>
      <c r="E31" s="14">
        <v>6402237</v>
      </c>
      <c r="F31" s="11">
        <f t="shared" si="0"/>
        <v>6939066</v>
      </c>
      <c r="G31" s="14">
        <v>1802949</v>
      </c>
      <c r="H31" s="14">
        <v>4507372</v>
      </c>
      <c r="I31" s="14">
        <f t="shared" si="1"/>
        <v>6310321</v>
      </c>
      <c r="J31" s="14">
        <v>628745</v>
      </c>
      <c r="K31" s="14">
        <f t="shared" si="2"/>
        <v>2431694</v>
      </c>
    </row>
    <row r="32" spans="2:11" x14ac:dyDescent="0.25">
      <c r="B32" s="38">
        <v>1991</v>
      </c>
      <c r="C32" s="14">
        <v>19786504</v>
      </c>
      <c r="D32" s="14">
        <v>7355583</v>
      </c>
      <c r="E32" s="14">
        <v>6654556</v>
      </c>
      <c r="F32" s="11">
        <f t="shared" si="0"/>
        <v>7189656</v>
      </c>
      <c r="G32" s="14">
        <v>1866085</v>
      </c>
      <c r="H32" s="14">
        <v>4665213</v>
      </c>
      <c r="I32" s="14">
        <f t="shared" si="1"/>
        <v>6531298</v>
      </c>
      <c r="J32" s="14">
        <v>658358</v>
      </c>
      <c r="K32" s="14">
        <f t="shared" si="2"/>
        <v>2524443</v>
      </c>
    </row>
    <row r="33" spans="2:11" x14ac:dyDescent="0.25">
      <c r="B33" s="38">
        <v>1992</v>
      </c>
      <c r="C33" s="14">
        <v>20248826</v>
      </c>
      <c r="D33" s="14">
        <v>7481497</v>
      </c>
      <c r="E33" s="14">
        <v>6855909</v>
      </c>
      <c r="F33" s="11">
        <f t="shared" si="0"/>
        <v>6877267</v>
      </c>
      <c r="G33" s="14">
        <v>1756195</v>
      </c>
      <c r="H33" s="14">
        <v>4428978</v>
      </c>
      <c r="I33" s="14">
        <f t="shared" si="1"/>
        <v>6185173</v>
      </c>
      <c r="J33" s="14">
        <v>692094</v>
      </c>
      <c r="K33" s="14">
        <f t="shared" si="2"/>
        <v>2448289</v>
      </c>
    </row>
    <row r="34" spans="2:11" x14ac:dyDescent="0.25">
      <c r="B34" s="38">
        <v>1993</v>
      </c>
      <c r="C34" s="14">
        <v>20814087</v>
      </c>
      <c r="D34" s="14">
        <v>7532674</v>
      </c>
      <c r="E34" s="14">
        <v>7034828</v>
      </c>
      <c r="F34" s="11">
        <f t="shared" si="0"/>
        <v>7614088</v>
      </c>
      <c r="G34" s="14">
        <v>1954135</v>
      </c>
      <c r="H34" s="14">
        <v>4885338</v>
      </c>
      <c r="I34" s="14">
        <f t="shared" si="1"/>
        <v>6839473</v>
      </c>
      <c r="J34" s="14">
        <v>774615</v>
      </c>
      <c r="K34" s="14">
        <f t="shared" si="2"/>
        <v>2728750</v>
      </c>
    </row>
    <row r="35" spans="2:11" x14ac:dyDescent="0.25">
      <c r="B35" s="38">
        <v>1994</v>
      </c>
      <c r="C35" s="14">
        <v>21177149</v>
      </c>
      <c r="D35" s="14">
        <v>7953848</v>
      </c>
      <c r="E35" s="14">
        <v>7246388</v>
      </c>
      <c r="F35" s="11">
        <f t="shared" si="0"/>
        <v>8290817</v>
      </c>
      <c r="G35" s="14">
        <v>2259299</v>
      </c>
      <c r="H35" s="14">
        <v>5648248</v>
      </c>
      <c r="I35" s="14">
        <f t="shared" si="1"/>
        <v>7907547</v>
      </c>
      <c r="J35" s="14">
        <v>383270</v>
      </c>
      <c r="K35" s="14">
        <f t="shared" si="2"/>
        <v>2642569</v>
      </c>
    </row>
    <row r="36" spans="2:11" x14ac:dyDescent="0.25">
      <c r="B36" s="38">
        <v>1995</v>
      </c>
      <c r="C36" s="14">
        <v>21644121</v>
      </c>
      <c r="D36" s="14">
        <v>8104527</v>
      </c>
      <c r="E36" s="14">
        <v>7383665</v>
      </c>
      <c r="F36" s="11">
        <f t="shared" si="0"/>
        <v>7672251</v>
      </c>
      <c r="G36" s="14">
        <v>2087225</v>
      </c>
      <c r="H36" s="14">
        <v>5218063</v>
      </c>
      <c r="I36" s="14">
        <f t="shared" si="1"/>
        <v>7305288</v>
      </c>
      <c r="J36" s="14">
        <v>366963</v>
      </c>
      <c r="K36" s="14">
        <f t="shared" si="2"/>
        <v>2454188</v>
      </c>
    </row>
    <row r="37" spans="2:11" x14ac:dyDescent="0.25">
      <c r="B37" s="38">
        <v>1996</v>
      </c>
      <c r="C37" s="14">
        <v>22311094</v>
      </c>
      <c r="D37" s="14">
        <v>9024627</v>
      </c>
      <c r="E37" s="14">
        <v>7985451</v>
      </c>
      <c r="F37" s="11">
        <f t="shared" si="0"/>
        <v>7385483</v>
      </c>
      <c r="G37" s="14">
        <v>2005159</v>
      </c>
      <c r="H37" s="14">
        <v>5012898</v>
      </c>
      <c r="I37" s="14">
        <f t="shared" si="1"/>
        <v>7018057</v>
      </c>
      <c r="J37" s="14">
        <v>367426</v>
      </c>
      <c r="K37" s="14">
        <f t="shared" si="2"/>
        <v>2372585</v>
      </c>
    </row>
    <row r="38" spans="2:11" x14ac:dyDescent="0.25">
      <c r="B38" s="38">
        <v>1997</v>
      </c>
      <c r="C38" s="14">
        <v>22784025</v>
      </c>
      <c r="D38" s="14">
        <v>9507125</v>
      </c>
      <c r="E38" s="14">
        <v>8642748</v>
      </c>
      <c r="F38" s="11">
        <f t="shared" si="0"/>
        <v>7411513</v>
      </c>
      <c r="G38" s="14">
        <v>2009185</v>
      </c>
      <c r="H38" s="14">
        <v>5022963</v>
      </c>
      <c r="I38" s="14">
        <f t="shared" si="1"/>
        <v>7032148</v>
      </c>
      <c r="J38" s="14">
        <v>379365</v>
      </c>
      <c r="K38" s="14">
        <f t="shared" si="2"/>
        <v>2388550</v>
      </c>
    </row>
    <row r="39" spans="2:11" x14ac:dyDescent="0.25">
      <c r="B39" s="38">
        <v>1998</v>
      </c>
      <c r="C39" s="14">
        <v>23014824</v>
      </c>
      <c r="D39" s="14">
        <v>9699330</v>
      </c>
      <c r="E39" s="14">
        <v>8605139</v>
      </c>
      <c r="F39" s="11">
        <f t="shared" si="0"/>
        <v>7298790</v>
      </c>
      <c r="G39" s="14">
        <v>1972185</v>
      </c>
      <c r="H39" s="14">
        <v>4930463</v>
      </c>
      <c r="I39" s="14">
        <f t="shared" si="1"/>
        <v>6902648</v>
      </c>
      <c r="J39" s="14">
        <v>396142</v>
      </c>
      <c r="K39" s="14">
        <f t="shared" si="2"/>
        <v>2368327</v>
      </c>
    </row>
    <row r="40" spans="2:11" x14ac:dyDescent="0.25">
      <c r="B40" s="41">
        <v>1999</v>
      </c>
      <c r="C40" s="11">
        <v>23706711</v>
      </c>
      <c r="D40" s="11">
        <v>10197282</v>
      </c>
      <c r="E40" s="11">
        <v>8667689</v>
      </c>
      <c r="F40" s="11">
        <f t="shared" si="0"/>
        <v>6864828</v>
      </c>
      <c r="G40" s="11">
        <v>1868317</v>
      </c>
      <c r="H40" s="11">
        <v>4670793</v>
      </c>
      <c r="I40" s="11">
        <f t="shared" si="1"/>
        <v>6539110</v>
      </c>
      <c r="J40" s="11">
        <v>325718</v>
      </c>
      <c r="K40" s="11">
        <f t="shared" si="2"/>
        <v>2194035</v>
      </c>
    </row>
    <row r="41" spans="2:11" ht="15.75" thickBot="1" x14ac:dyDescent="0.3">
      <c r="B41" s="42">
        <v>2000</v>
      </c>
      <c r="C41" s="43">
        <v>24169711</v>
      </c>
      <c r="D41" s="43">
        <v>10555556</v>
      </c>
      <c r="E41" s="43">
        <v>9183334</v>
      </c>
      <c r="F41" s="43">
        <f t="shared" si="0"/>
        <v>6778582</v>
      </c>
      <c r="G41" s="43">
        <v>1846275</v>
      </c>
      <c r="H41" s="43">
        <v>4615688</v>
      </c>
      <c r="I41" s="43">
        <f t="shared" si="1"/>
        <v>6461963</v>
      </c>
      <c r="J41" s="43">
        <v>316619</v>
      </c>
      <c r="K41" s="43">
        <f t="shared" si="2"/>
        <v>2162894</v>
      </c>
    </row>
    <row r="42" spans="2:11" ht="15.75" thickTop="1" x14ac:dyDescent="0.25"/>
    <row r="43" spans="2:11" x14ac:dyDescent="0.25">
      <c r="B43" s="1" t="s">
        <v>25</v>
      </c>
    </row>
  </sheetData>
  <mergeCells count="1">
    <mergeCell ref="G6:I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1:S108"/>
  <sheetViews>
    <sheetView showGridLines="0" zoomScale="70" zoomScaleNormal="70" workbookViewId="0">
      <selection activeCell="M6" sqref="M6:S41"/>
    </sheetView>
  </sheetViews>
  <sheetFormatPr baseColWidth="10" defaultRowHeight="15" x14ac:dyDescent="0.25"/>
  <cols>
    <col min="2" max="3" width="11.42578125" style="40"/>
    <col min="4" max="4" width="17.85546875" style="40" bestFit="1" customWidth="1"/>
    <col min="5" max="5" width="16.85546875" style="40" bestFit="1" customWidth="1"/>
    <col min="6" max="6" width="18.28515625" style="40" bestFit="1" customWidth="1"/>
    <col min="7" max="7" width="33" style="40" bestFit="1" customWidth="1"/>
    <col min="8" max="8" width="20.140625" style="40" bestFit="1" customWidth="1"/>
    <col min="9" max="9" width="11.42578125" style="2"/>
    <col min="10" max="10" width="11.42578125" customWidth="1"/>
    <col min="14" max="14" width="9.42578125" customWidth="1"/>
    <col min="15" max="15" width="9.7109375" customWidth="1"/>
    <col min="16" max="16" width="9.5703125" customWidth="1"/>
    <col min="17" max="17" width="10.140625" customWidth="1"/>
    <col min="18" max="19" width="18.140625" customWidth="1"/>
  </cols>
  <sheetData>
    <row r="1" spans="2:19" x14ac:dyDescent="0.25">
      <c r="B1" s="2"/>
      <c r="C1" s="2"/>
      <c r="D1" s="2"/>
      <c r="E1" s="2"/>
      <c r="F1" s="2"/>
      <c r="G1" s="2"/>
      <c r="H1" s="2"/>
    </row>
    <row r="3" spans="2:19" x14ac:dyDescent="0.25">
      <c r="B3" s="44" t="s">
        <v>26</v>
      </c>
      <c r="C3" s="44"/>
      <c r="D3" s="2"/>
      <c r="E3" s="2"/>
      <c r="F3" s="2"/>
      <c r="G3" s="2"/>
      <c r="H3" s="2"/>
    </row>
    <row r="6" spans="2:19" x14ac:dyDescent="0.25">
      <c r="B6" s="44" t="s">
        <v>27</v>
      </c>
      <c r="C6" s="44"/>
      <c r="D6" s="2"/>
      <c r="E6" s="2"/>
      <c r="F6" s="2"/>
      <c r="G6" s="2"/>
      <c r="H6" s="2"/>
      <c r="M6" s="52" t="s">
        <v>57</v>
      </c>
      <c r="O6" s="52"/>
      <c r="P6" s="52"/>
      <c r="Q6" s="52"/>
      <c r="R6" s="52"/>
      <c r="S6" s="52"/>
    </row>
    <row r="7" spans="2:19" ht="15" customHeight="1" x14ac:dyDescent="0.25">
      <c r="B7" s="44"/>
      <c r="C7" s="44"/>
      <c r="D7" s="2"/>
      <c r="E7" s="2"/>
      <c r="F7" s="2"/>
      <c r="G7" s="2"/>
      <c r="H7" s="2"/>
      <c r="K7" s="14"/>
      <c r="L7" s="14"/>
      <c r="M7" s="38"/>
    </row>
    <row r="8" spans="2:19" x14ac:dyDescent="0.25">
      <c r="B8" s="35"/>
      <c r="C8" s="35"/>
      <c r="D8" s="114" t="s">
        <v>15</v>
      </c>
      <c r="E8" s="114"/>
      <c r="F8" s="114"/>
      <c r="G8" s="35"/>
      <c r="H8" s="35"/>
      <c r="K8" s="14"/>
      <c r="L8" s="14"/>
      <c r="M8" s="38"/>
      <c r="O8" s="114" t="s">
        <v>15</v>
      </c>
      <c r="P8" s="114"/>
      <c r="Q8" s="114"/>
    </row>
    <row r="9" spans="2:19" x14ac:dyDescent="0.25">
      <c r="B9" s="5" t="s">
        <v>1</v>
      </c>
      <c r="C9" s="5" t="s">
        <v>2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32</v>
      </c>
      <c r="K9" s="14"/>
      <c r="L9" s="14"/>
      <c r="M9" s="115" t="s">
        <v>1</v>
      </c>
      <c r="N9" s="115" t="s">
        <v>2</v>
      </c>
      <c r="O9" s="117" t="s">
        <v>28</v>
      </c>
      <c r="P9" s="117" t="s">
        <v>29</v>
      </c>
      <c r="Q9" s="117" t="s">
        <v>30</v>
      </c>
      <c r="R9" s="115" t="s">
        <v>22</v>
      </c>
      <c r="S9" s="115" t="s">
        <v>23</v>
      </c>
    </row>
    <row r="10" spans="2:19" x14ac:dyDescent="0.25">
      <c r="B10" s="38">
        <v>1975</v>
      </c>
      <c r="C10" s="14">
        <f t="shared" ref="C10:C38" si="0">G10+H10</f>
        <v>1200725</v>
      </c>
      <c r="D10" s="45">
        <v>254395</v>
      </c>
      <c r="E10" s="14">
        <v>483334</v>
      </c>
      <c r="F10" s="14">
        <v>205201</v>
      </c>
      <c r="G10" s="14">
        <f t="shared" ref="G10:G38" si="1">D10+E10+F10</f>
        <v>942930</v>
      </c>
      <c r="H10" s="14">
        <v>257795</v>
      </c>
      <c r="J10" s="48" t="s">
        <v>55</v>
      </c>
      <c r="M10" s="116"/>
      <c r="N10" s="116"/>
      <c r="O10" s="116"/>
      <c r="P10" s="116"/>
      <c r="Q10" s="116"/>
      <c r="R10" s="116"/>
      <c r="S10" s="116"/>
    </row>
    <row r="11" spans="2:19" x14ac:dyDescent="0.25">
      <c r="B11" s="57">
        <v>1976</v>
      </c>
      <c r="C11" s="55">
        <f t="shared" si="0"/>
        <v>1265464</v>
      </c>
      <c r="D11" s="61">
        <v>264924</v>
      </c>
      <c r="E11" s="55">
        <v>502137</v>
      </c>
      <c r="F11" s="55">
        <v>222123</v>
      </c>
      <c r="G11" s="55">
        <f t="shared" si="1"/>
        <v>989184</v>
      </c>
      <c r="H11" s="55">
        <v>276280</v>
      </c>
      <c r="J11" s="10">
        <v>1976</v>
      </c>
      <c r="K11" s="11">
        <v>56221</v>
      </c>
      <c r="M11" s="10">
        <v>1976</v>
      </c>
      <c r="N11" s="50">
        <f t="shared" ref="N11:N38" si="2">+C11/$K11</f>
        <v>22.508742284911332</v>
      </c>
      <c r="O11" s="50">
        <f t="shared" ref="O11:O38" si="3">+D11/$K11</f>
        <v>4.7121893954216398</v>
      </c>
      <c r="P11" s="50">
        <f t="shared" ref="P11:P38" si="4">+E11/$K11</f>
        <v>8.9314846765443523</v>
      </c>
      <c r="Q11" s="50">
        <f t="shared" ref="Q11:Q38" si="5">+F11/$K11</f>
        <v>3.9508902367442769</v>
      </c>
      <c r="R11" s="50">
        <f t="shared" ref="R11:R38" si="6">+G11/$K11</f>
        <v>17.594564308710268</v>
      </c>
      <c r="S11" s="50">
        <f t="shared" ref="S11:S38" si="7">+H11/$K11</f>
        <v>4.9141779762010636</v>
      </c>
    </row>
    <row r="12" spans="2:19" x14ac:dyDescent="0.25">
      <c r="B12" s="57">
        <v>1977</v>
      </c>
      <c r="C12" s="55">
        <f t="shared" si="0"/>
        <v>1384713</v>
      </c>
      <c r="D12" s="61">
        <v>281842</v>
      </c>
      <c r="E12" s="55">
        <v>534645</v>
      </c>
      <c r="F12" s="55">
        <v>259209</v>
      </c>
      <c r="G12" s="55">
        <f t="shared" si="1"/>
        <v>1075696</v>
      </c>
      <c r="H12" s="55">
        <v>309017</v>
      </c>
      <c r="J12" s="10">
        <v>1977</v>
      </c>
      <c r="K12" s="11">
        <v>64889</v>
      </c>
      <c r="L12" s="11"/>
      <c r="M12" s="10">
        <v>1977</v>
      </c>
      <c r="N12" s="50">
        <f t="shared" si="2"/>
        <v>21.339718596372265</v>
      </c>
      <c r="O12" s="50">
        <f t="shared" si="3"/>
        <v>4.3434480420410235</v>
      </c>
      <c r="P12" s="50">
        <f t="shared" si="4"/>
        <v>8.2393780147636733</v>
      </c>
      <c r="Q12" s="50">
        <f t="shared" si="5"/>
        <v>3.9946524064171123</v>
      </c>
      <c r="R12" s="50">
        <f t="shared" si="6"/>
        <v>16.577478463221809</v>
      </c>
      <c r="S12" s="50">
        <f t="shared" si="7"/>
        <v>4.7622401331504571</v>
      </c>
    </row>
    <row r="13" spans="2:19" x14ac:dyDescent="0.25">
      <c r="B13" s="57">
        <v>1978</v>
      </c>
      <c r="C13" s="55">
        <f t="shared" si="0"/>
        <v>1512989</v>
      </c>
      <c r="D13" s="55">
        <v>306726</v>
      </c>
      <c r="E13" s="55">
        <v>590281</v>
      </c>
      <c r="F13" s="55">
        <v>293759</v>
      </c>
      <c r="G13" s="55">
        <f t="shared" si="1"/>
        <v>1190766</v>
      </c>
      <c r="H13" s="55">
        <v>322223</v>
      </c>
      <c r="J13" s="10">
        <v>1978</v>
      </c>
      <c r="K13" s="11">
        <v>75214</v>
      </c>
      <c r="L13" s="11"/>
      <c r="M13" s="10">
        <v>1978</v>
      </c>
      <c r="N13" s="50">
        <f t="shared" si="2"/>
        <v>20.115789613635759</v>
      </c>
      <c r="O13" s="50">
        <f t="shared" si="3"/>
        <v>4.0780439811737175</v>
      </c>
      <c r="P13" s="50">
        <f t="shared" si="4"/>
        <v>7.8480203153668198</v>
      </c>
      <c r="Q13" s="50">
        <f t="shared" si="5"/>
        <v>3.9056425665434626</v>
      </c>
      <c r="R13" s="50">
        <f t="shared" si="6"/>
        <v>15.831706863083999</v>
      </c>
      <c r="S13" s="50">
        <f t="shared" si="7"/>
        <v>4.2840827505517591</v>
      </c>
    </row>
    <row r="14" spans="2:19" x14ac:dyDescent="0.25">
      <c r="B14" s="57">
        <v>1979</v>
      </c>
      <c r="C14" s="55">
        <f t="shared" si="0"/>
        <v>1522323</v>
      </c>
      <c r="D14" s="55">
        <v>307664</v>
      </c>
      <c r="E14" s="55">
        <v>586206</v>
      </c>
      <c r="F14" s="55">
        <v>290393</v>
      </c>
      <c r="G14" s="55">
        <f t="shared" si="1"/>
        <v>1184263</v>
      </c>
      <c r="H14" s="55">
        <v>338060</v>
      </c>
      <c r="J14" s="10">
        <v>1979</v>
      </c>
      <c r="K14" s="11">
        <v>86562</v>
      </c>
      <c r="L14" s="11"/>
      <c r="M14" s="10">
        <v>1979</v>
      </c>
      <c r="N14" s="50">
        <f t="shared" si="2"/>
        <v>17.586504470783947</v>
      </c>
      <c r="O14" s="50">
        <f t="shared" si="3"/>
        <v>3.5542616852660522</v>
      </c>
      <c r="P14" s="50">
        <f t="shared" si="4"/>
        <v>6.7720939904346018</v>
      </c>
      <c r="Q14" s="50">
        <f t="shared" si="5"/>
        <v>3.3547399551766364</v>
      </c>
      <c r="R14" s="50">
        <f t="shared" si="6"/>
        <v>13.681095630877291</v>
      </c>
      <c r="S14" s="50">
        <f t="shared" si="7"/>
        <v>3.9054088399066567</v>
      </c>
    </row>
    <row r="15" spans="2:19" x14ac:dyDescent="0.25">
      <c r="B15" s="57">
        <v>1980</v>
      </c>
      <c r="C15" s="55">
        <f t="shared" si="0"/>
        <v>1727927</v>
      </c>
      <c r="D15" s="55">
        <v>328955</v>
      </c>
      <c r="E15" s="55">
        <v>594450</v>
      </c>
      <c r="F15" s="55">
        <v>323431</v>
      </c>
      <c r="G15" s="55">
        <f t="shared" si="1"/>
        <v>1246836</v>
      </c>
      <c r="H15" s="55">
        <v>481091</v>
      </c>
      <c r="J15" s="10">
        <v>1980</v>
      </c>
      <c r="K15" s="14">
        <v>97203</v>
      </c>
      <c r="L15" s="11"/>
      <c r="M15" s="10">
        <v>1980</v>
      </c>
      <c r="N15" s="50">
        <f t="shared" si="2"/>
        <v>17.776478092239952</v>
      </c>
      <c r="O15" s="50">
        <f t="shared" si="3"/>
        <v>3.3842062487783298</v>
      </c>
      <c r="P15" s="50">
        <f t="shared" si="4"/>
        <v>6.1155519891361374</v>
      </c>
      <c r="Q15" s="50">
        <f t="shared" si="5"/>
        <v>3.3273767270557495</v>
      </c>
      <c r="R15" s="50">
        <f t="shared" si="6"/>
        <v>12.827134964970217</v>
      </c>
      <c r="S15" s="50">
        <f t="shared" si="7"/>
        <v>4.9493431272697341</v>
      </c>
    </row>
    <row r="16" spans="2:19" x14ac:dyDescent="0.25">
      <c r="B16" s="57">
        <v>1981</v>
      </c>
      <c r="C16" s="55">
        <f t="shared" si="0"/>
        <v>1798100</v>
      </c>
      <c r="D16" s="55">
        <v>342959</v>
      </c>
      <c r="E16" s="55">
        <v>606941</v>
      </c>
      <c r="F16" s="55">
        <v>335450</v>
      </c>
      <c r="G16" s="55">
        <f t="shared" si="1"/>
        <v>1285350</v>
      </c>
      <c r="H16" s="55">
        <v>512750</v>
      </c>
      <c r="J16" s="10">
        <v>1981</v>
      </c>
      <c r="K16" s="14">
        <v>110837</v>
      </c>
      <c r="L16" s="14"/>
      <c r="M16" s="10">
        <v>1981</v>
      </c>
      <c r="N16" s="50">
        <f t="shared" si="2"/>
        <v>16.222921948446817</v>
      </c>
      <c r="O16" s="50">
        <f t="shared" si="3"/>
        <v>3.0942645506464448</v>
      </c>
      <c r="P16" s="50">
        <f t="shared" si="4"/>
        <v>5.4759782383139202</v>
      </c>
      <c r="Q16" s="50">
        <f t="shared" si="5"/>
        <v>3.0265164159982678</v>
      </c>
      <c r="R16" s="50">
        <f t="shared" si="6"/>
        <v>11.596759204958634</v>
      </c>
      <c r="S16" s="50">
        <f t="shared" si="7"/>
        <v>4.6261627434881856</v>
      </c>
    </row>
    <row r="17" spans="2:19" x14ac:dyDescent="0.25">
      <c r="B17" s="57">
        <v>1982</v>
      </c>
      <c r="C17" s="55">
        <f t="shared" si="0"/>
        <v>1836890</v>
      </c>
      <c r="D17" s="55">
        <v>361363</v>
      </c>
      <c r="E17" s="55">
        <v>603734</v>
      </c>
      <c r="F17" s="55">
        <v>331818</v>
      </c>
      <c r="G17" s="55">
        <f t="shared" si="1"/>
        <v>1296915</v>
      </c>
      <c r="H17" s="55">
        <v>539975</v>
      </c>
      <c r="J17" s="10">
        <v>1982</v>
      </c>
      <c r="K17" s="14">
        <v>114163</v>
      </c>
      <c r="L17" s="14"/>
      <c r="M17" s="10">
        <v>1982</v>
      </c>
      <c r="N17" s="50">
        <f t="shared" si="2"/>
        <v>16.090064206441667</v>
      </c>
      <c r="O17" s="50">
        <f t="shared" si="3"/>
        <v>3.1653250177377958</v>
      </c>
      <c r="P17" s="50">
        <f t="shared" si="4"/>
        <v>5.2883508667431656</v>
      </c>
      <c r="Q17" s="50">
        <f t="shared" si="5"/>
        <v>2.9065283848532362</v>
      </c>
      <c r="R17" s="50">
        <f t="shared" si="6"/>
        <v>11.360204269334197</v>
      </c>
      <c r="S17" s="50">
        <f t="shared" si="7"/>
        <v>4.7298599371074692</v>
      </c>
    </row>
    <row r="18" spans="2:19" x14ac:dyDescent="0.25">
      <c r="B18" s="57">
        <v>1983</v>
      </c>
      <c r="C18" s="55">
        <f t="shared" si="0"/>
        <v>1770289</v>
      </c>
      <c r="D18" s="55">
        <v>358037</v>
      </c>
      <c r="E18" s="55">
        <v>574242</v>
      </c>
      <c r="F18" s="55">
        <v>284501</v>
      </c>
      <c r="G18" s="55">
        <f t="shared" si="1"/>
        <v>1216780</v>
      </c>
      <c r="H18" s="55">
        <v>553509</v>
      </c>
      <c r="J18" s="10">
        <v>1983</v>
      </c>
      <c r="K18" s="14">
        <v>134245</v>
      </c>
      <c r="L18" s="14"/>
      <c r="M18" s="10">
        <v>1983</v>
      </c>
      <c r="N18" s="50">
        <f t="shared" si="2"/>
        <v>13.187001378077396</v>
      </c>
      <c r="O18" s="50">
        <f t="shared" si="3"/>
        <v>2.6670416030392192</v>
      </c>
      <c r="P18" s="50">
        <f t="shared" si="4"/>
        <v>4.2775671347163771</v>
      </c>
      <c r="Q18" s="50">
        <f t="shared" si="5"/>
        <v>2.1192670118067714</v>
      </c>
      <c r="R18" s="50">
        <f t="shared" si="6"/>
        <v>9.0638757495623672</v>
      </c>
      <c r="S18" s="50">
        <f t="shared" si="7"/>
        <v>4.1231256285150284</v>
      </c>
    </row>
    <row r="19" spans="2:19" x14ac:dyDescent="0.25">
      <c r="B19" s="57">
        <v>1984</v>
      </c>
      <c r="C19" s="55">
        <f t="shared" si="0"/>
        <v>1816597</v>
      </c>
      <c r="D19" s="55">
        <v>377819</v>
      </c>
      <c r="E19" s="55">
        <v>608739</v>
      </c>
      <c r="F19" s="55">
        <v>279278</v>
      </c>
      <c r="G19" s="55">
        <f t="shared" si="1"/>
        <v>1265836</v>
      </c>
      <c r="H19" s="55">
        <v>550761</v>
      </c>
      <c r="J19" s="10">
        <v>1984</v>
      </c>
      <c r="K19" s="14">
        <v>144965</v>
      </c>
      <c r="L19" s="14"/>
      <c r="M19" s="10">
        <v>1984</v>
      </c>
      <c r="N19" s="50">
        <f t="shared" si="2"/>
        <v>12.531279964129272</v>
      </c>
      <c r="O19" s="50">
        <f t="shared" si="3"/>
        <v>2.6062773772979684</v>
      </c>
      <c r="P19" s="50">
        <f t="shared" si="4"/>
        <v>4.1992136032835514</v>
      </c>
      <c r="Q19" s="50">
        <f t="shared" si="5"/>
        <v>1.9265201945297141</v>
      </c>
      <c r="R19" s="50">
        <f t="shared" si="6"/>
        <v>8.7320111751112339</v>
      </c>
      <c r="S19" s="50">
        <f t="shared" si="7"/>
        <v>3.799268789018039</v>
      </c>
    </row>
    <row r="20" spans="2:19" x14ac:dyDescent="0.25">
      <c r="B20" s="57">
        <v>1985</v>
      </c>
      <c r="C20" s="55">
        <f t="shared" si="0"/>
        <v>1896358</v>
      </c>
      <c r="D20" s="55">
        <v>401293</v>
      </c>
      <c r="E20" s="55">
        <v>640793</v>
      </c>
      <c r="F20" s="55">
        <v>292155</v>
      </c>
      <c r="G20" s="55">
        <f t="shared" si="1"/>
        <v>1334241</v>
      </c>
      <c r="H20" s="55">
        <v>562117</v>
      </c>
      <c r="J20" s="10">
        <v>1985</v>
      </c>
      <c r="K20" s="14">
        <v>158961</v>
      </c>
      <c r="L20" s="14"/>
      <c r="M20" s="10">
        <v>1985</v>
      </c>
      <c r="N20" s="50">
        <f t="shared" si="2"/>
        <v>11.92970602852272</v>
      </c>
      <c r="O20" s="50">
        <f t="shared" si="3"/>
        <v>2.5244745566522608</v>
      </c>
      <c r="P20" s="50">
        <f t="shared" si="4"/>
        <v>4.0311334226634203</v>
      </c>
      <c r="Q20" s="50">
        <f t="shared" si="5"/>
        <v>1.8379036367410875</v>
      </c>
      <c r="R20" s="50">
        <f t="shared" si="6"/>
        <v>8.3935116160567684</v>
      </c>
      <c r="S20" s="50">
        <f t="shared" si="7"/>
        <v>3.5361944124659508</v>
      </c>
    </row>
    <row r="21" spans="2:19" x14ac:dyDescent="0.25">
      <c r="B21" s="57">
        <v>1986</v>
      </c>
      <c r="C21" s="55">
        <f t="shared" si="0"/>
        <v>1998285</v>
      </c>
      <c r="D21" s="55">
        <v>437690</v>
      </c>
      <c r="E21" s="55">
        <v>692543</v>
      </c>
      <c r="F21" s="55">
        <v>323856</v>
      </c>
      <c r="G21" s="55">
        <f t="shared" si="1"/>
        <v>1454089</v>
      </c>
      <c r="H21" s="55">
        <v>544196</v>
      </c>
      <c r="J21" s="10">
        <v>1986</v>
      </c>
      <c r="K21" s="14">
        <v>175741</v>
      </c>
      <c r="L21" s="14"/>
      <c r="M21" s="10">
        <v>1986</v>
      </c>
      <c r="N21" s="50">
        <f t="shared" si="2"/>
        <v>11.370624953767191</v>
      </c>
      <c r="O21" s="50">
        <f t="shared" si="3"/>
        <v>2.4905400561052913</v>
      </c>
      <c r="P21" s="50">
        <f t="shared" si="4"/>
        <v>3.9407025110816485</v>
      </c>
      <c r="Q21" s="50">
        <f t="shared" si="5"/>
        <v>1.8428027608810693</v>
      </c>
      <c r="R21" s="50">
        <f t="shared" si="6"/>
        <v>8.2740453280680093</v>
      </c>
      <c r="S21" s="50">
        <f t="shared" si="7"/>
        <v>3.0965796256991824</v>
      </c>
    </row>
    <row r="22" spans="2:19" x14ac:dyDescent="0.25">
      <c r="B22" s="57">
        <v>1987</v>
      </c>
      <c r="C22" s="55">
        <f t="shared" si="0"/>
        <v>2149156</v>
      </c>
      <c r="D22" s="55">
        <v>469770</v>
      </c>
      <c r="E22" s="55">
        <v>732358</v>
      </c>
      <c r="F22" s="55">
        <v>355302</v>
      </c>
      <c r="G22" s="55">
        <f t="shared" si="1"/>
        <v>1557430</v>
      </c>
      <c r="H22" s="55">
        <v>591726</v>
      </c>
      <c r="J22" s="10">
        <v>1987</v>
      </c>
      <c r="K22" s="14">
        <v>195820</v>
      </c>
      <c r="L22" s="14"/>
      <c r="M22" s="10">
        <v>1987</v>
      </c>
      <c r="N22" s="50">
        <f t="shared" si="2"/>
        <v>10.975160862016137</v>
      </c>
      <c r="O22" s="50">
        <f t="shared" si="3"/>
        <v>2.3989888673271373</v>
      </c>
      <c r="P22" s="50">
        <f t="shared" si="4"/>
        <v>3.7399550607700949</v>
      </c>
      <c r="Q22" s="50">
        <f t="shared" si="5"/>
        <v>1.8144316208763149</v>
      </c>
      <c r="R22" s="50">
        <f t="shared" si="6"/>
        <v>7.9533755489735469</v>
      </c>
      <c r="S22" s="50">
        <f t="shared" si="7"/>
        <v>3.02178531304259</v>
      </c>
    </row>
    <row r="23" spans="2:19" x14ac:dyDescent="0.25">
      <c r="B23" s="57">
        <v>1988</v>
      </c>
      <c r="C23" s="55">
        <f t="shared" si="0"/>
        <v>2333851</v>
      </c>
      <c r="D23" s="55">
        <v>516138</v>
      </c>
      <c r="E23" s="55">
        <v>804221</v>
      </c>
      <c r="F23" s="55">
        <v>407015</v>
      </c>
      <c r="G23" s="55">
        <f t="shared" si="1"/>
        <v>1727374</v>
      </c>
      <c r="H23" s="55">
        <v>606477</v>
      </c>
      <c r="J23" s="10">
        <v>1988</v>
      </c>
      <c r="K23" s="14">
        <v>207085</v>
      </c>
      <c r="L23" s="14"/>
      <c r="M23" s="10">
        <v>1988</v>
      </c>
      <c r="N23" s="50">
        <f t="shared" si="2"/>
        <v>11.270014728251684</v>
      </c>
      <c r="O23" s="50">
        <f t="shared" si="3"/>
        <v>2.4923968418765243</v>
      </c>
      <c r="P23" s="50">
        <f t="shared" si="4"/>
        <v>3.8835309172561994</v>
      </c>
      <c r="Q23" s="50">
        <f t="shared" si="5"/>
        <v>1.9654489702296158</v>
      </c>
      <c r="R23" s="50">
        <f t="shared" si="6"/>
        <v>8.3413767293623398</v>
      </c>
      <c r="S23" s="50">
        <f t="shared" si="7"/>
        <v>2.9286379988893452</v>
      </c>
    </row>
    <row r="24" spans="2:19" x14ac:dyDescent="0.25">
      <c r="B24" s="57">
        <v>1989</v>
      </c>
      <c r="C24" s="55">
        <f t="shared" si="0"/>
        <v>2302047</v>
      </c>
      <c r="D24" s="55">
        <v>533729</v>
      </c>
      <c r="E24" s="55">
        <v>770291</v>
      </c>
      <c r="F24" s="55">
        <v>408318</v>
      </c>
      <c r="G24" s="55">
        <f t="shared" si="1"/>
        <v>1712338</v>
      </c>
      <c r="H24" s="55">
        <v>589709</v>
      </c>
      <c r="J24" s="10">
        <v>1989</v>
      </c>
      <c r="K24" s="14">
        <v>222938</v>
      </c>
      <c r="L24" s="14"/>
      <c r="M24" s="10">
        <v>1989</v>
      </c>
      <c r="N24" s="50">
        <f t="shared" si="2"/>
        <v>10.325951609864626</v>
      </c>
      <c r="O24" s="50">
        <f t="shared" si="3"/>
        <v>2.3940692030968251</v>
      </c>
      <c r="P24" s="50">
        <f t="shared" si="4"/>
        <v>3.4551803640474033</v>
      </c>
      <c r="Q24" s="50">
        <f t="shared" si="5"/>
        <v>1.8315316365985161</v>
      </c>
      <c r="R24" s="50">
        <f t="shared" si="6"/>
        <v>7.680781203742745</v>
      </c>
      <c r="S24" s="50">
        <f t="shared" si="7"/>
        <v>2.6451704061218813</v>
      </c>
    </row>
    <row r="25" spans="2:19" x14ac:dyDescent="0.25">
      <c r="B25" s="57">
        <v>1990</v>
      </c>
      <c r="C25" s="55">
        <f t="shared" si="0"/>
        <v>2431694</v>
      </c>
      <c r="D25" s="55">
        <v>560843</v>
      </c>
      <c r="E25" s="55">
        <v>809097</v>
      </c>
      <c r="F25" s="55">
        <v>433009</v>
      </c>
      <c r="G25" s="55">
        <f t="shared" si="1"/>
        <v>1802949</v>
      </c>
      <c r="H25" s="55">
        <v>628745</v>
      </c>
      <c r="J25" s="15">
        <v>1990</v>
      </c>
      <c r="K25" s="16">
        <v>235415</v>
      </c>
      <c r="L25" s="14"/>
      <c r="M25" s="15">
        <v>1990</v>
      </c>
      <c r="N25" s="50">
        <f t="shared" si="2"/>
        <v>10.32939277446212</v>
      </c>
      <c r="O25" s="50">
        <f t="shared" si="3"/>
        <v>2.3823588131597391</v>
      </c>
      <c r="P25" s="50">
        <f t="shared" si="4"/>
        <v>3.4368965444003146</v>
      </c>
      <c r="Q25" s="50">
        <f t="shared" si="5"/>
        <v>1.8393432873861053</v>
      </c>
      <c r="R25" s="50">
        <f t="shared" si="6"/>
        <v>7.6585986449461592</v>
      </c>
      <c r="S25" s="50">
        <f t="shared" si="7"/>
        <v>2.670794129515961</v>
      </c>
    </row>
    <row r="26" spans="2:19" x14ac:dyDescent="0.25">
      <c r="B26" s="57">
        <v>1991</v>
      </c>
      <c r="C26" s="55">
        <f t="shared" si="0"/>
        <v>2524443</v>
      </c>
      <c r="D26" s="55">
        <v>581478</v>
      </c>
      <c r="E26" s="55">
        <v>835227</v>
      </c>
      <c r="F26" s="55">
        <v>449380</v>
      </c>
      <c r="G26" s="55">
        <f t="shared" si="1"/>
        <v>1866085</v>
      </c>
      <c r="H26" s="55">
        <v>658358</v>
      </c>
      <c r="J26" s="15">
        <v>1991</v>
      </c>
      <c r="K26" s="16">
        <v>268153</v>
      </c>
      <c r="L26" s="16"/>
      <c r="M26" s="15">
        <v>1991</v>
      </c>
      <c r="N26" s="50">
        <f t="shared" si="2"/>
        <v>9.4141889145375952</v>
      </c>
      <c r="O26" s="50">
        <f t="shared" si="3"/>
        <v>2.168456067991035</v>
      </c>
      <c r="P26" s="50">
        <f t="shared" si="4"/>
        <v>3.1147404653313595</v>
      </c>
      <c r="Q26" s="50">
        <f t="shared" si="5"/>
        <v>1.675834318467442</v>
      </c>
      <c r="R26" s="50">
        <f t="shared" si="6"/>
        <v>6.9590308517898363</v>
      </c>
      <c r="S26" s="50">
        <f t="shared" si="7"/>
        <v>2.4551580627477598</v>
      </c>
    </row>
    <row r="27" spans="2:19" x14ac:dyDescent="0.25">
      <c r="B27" s="57">
        <v>1992</v>
      </c>
      <c r="C27" s="55">
        <f t="shared" si="0"/>
        <v>2448289</v>
      </c>
      <c r="D27" s="55">
        <v>548054</v>
      </c>
      <c r="E27" s="55">
        <v>784067</v>
      </c>
      <c r="F27" s="55">
        <v>424074</v>
      </c>
      <c r="G27" s="55">
        <f t="shared" si="1"/>
        <v>1756195</v>
      </c>
      <c r="H27" s="55">
        <v>692094</v>
      </c>
      <c r="J27" s="15">
        <v>1992</v>
      </c>
      <c r="K27" s="16">
        <v>289224</v>
      </c>
      <c r="L27" s="16"/>
      <c r="M27" s="15">
        <v>1992</v>
      </c>
      <c r="N27" s="50">
        <f t="shared" si="2"/>
        <v>8.4650271070173986</v>
      </c>
      <c r="O27" s="50">
        <f t="shared" si="3"/>
        <v>1.8949119021934555</v>
      </c>
      <c r="P27" s="50">
        <f t="shared" si="4"/>
        <v>2.7109333941858216</v>
      </c>
      <c r="Q27" s="50">
        <f t="shared" si="5"/>
        <v>1.4662476143058667</v>
      </c>
      <c r="R27" s="50">
        <f t="shared" si="6"/>
        <v>6.0720929106851438</v>
      </c>
      <c r="S27" s="50">
        <f t="shared" si="7"/>
        <v>2.3929341963322548</v>
      </c>
    </row>
    <row r="28" spans="2:19" x14ac:dyDescent="0.25">
      <c r="B28" s="57">
        <v>1993</v>
      </c>
      <c r="C28" s="55">
        <f t="shared" si="0"/>
        <v>2728750</v>
      </c>
      <c r="D28" s="55">
        <v>625988</v>
      </c>
      <c r="E28" s="55">
        <v>846956</v>
      </c>
      <c r="F28" s="55">
        <v>481191</v>
      </c>
      <c r="G28" s="55">
        <f t="shared" si="1"/>
        <v>1954135</v>
      </c>
      <c r="H28" s="55">
        <v>774615</v>
      </c>
      <c r="J28" s="15">
        <v>1993</v>
      </c>
      <c r="K28" s="16">
        <v>305924</v>
      </c>
      <c r="L28" s="16"/>
      <c r="M28" s="15">
        <v>1993</v>
      </c>
      <c r="N28" s="50">
        <f t="shared" si="2"/>
        <v>8.9196990102116871</v>
      </c>
      <c r="O28" s="50">
        <f t="shared" si="3"/>
        <v>2.0462206299603825</v>
      </c>
      <c r="P28" s="50">
        <f t="shared" si="4"/>
        <v>2.7685176710555561</v>
      </c>
      <c r="Q28" s="50">
        <f t="shared" si="5"/>
        <v>1.5729102652946483</v>
      </c>
      <c r="R28" s="50">
        <f t="shared" si="6"/>
        <v>6.3876485663105873</v>
      </c>
      <c r="S28" s="50">
        <f t="shared" si="7"/>
        <v>2.5320504439010998</v>
      </c>
    </row>
    <row r="29" spans="2:19" x14ac:dyDescent="0.25">
      <c r="B29" s="57">
        <v>1994</v>
      </c>
      <c r="C29" s="55">
        <f t="shared" si="0"/>
        <v>2642569</v>
      </c>
      <c r="D29" s="55">
        <v>990904</v>
      </c>
      <c r="E29" s="55">
        <v>819890</v>
      </c>
      <c r="F29" s="55">
        <v>448505</v>
      </c>
      <c r="G29" s="55">
        <f t="shared" si="1"/>
        <v>2259299</v>
      </c>
      <c r="H29" s="55">
        <v>383270</v>
      </c>
      <c r="J29" s="15">
        <v>1994</v>
      </c>
      <c r="K29" s="16">
        <v>305760</v>
      </c>
      <c r="L29" s="16"/>
      <c r="M29" s="15">
        <v>1994</v>
      </c>
      <c r="N29" s="50">
        <f t="shared" si="2"/>
        <v>8.6426249345892199</v>
      </c>
      <c r="O29" s="50">
        <f t="shared" si="3"/>
        <v>3.2407901622187336</v>
      </c>
      <c r="P29" s="50">
        <f t="shared" si="4"/>
        <v>2.6814822082679224</v>
      </c>
      <c r="Q29" s="50">
        <f t="shared" si="5"/>
        <v>1.4668530873888017</v>
      </c>
      <c r="R29" s="50">
        <f t="shared" si="6"/>
        <v>7.3891254578754575</v>
      </c>
      <c r="S29" s="50">
        <f t="shared" si="7"/>
        <v>1.2534994767137624</v>
      </c>
    </row>
    <row r="30" spans="2:19" x14ac:dyDescent="0.25">
      <c r="B30" s="57">
        <v>1995</v>
      </c>
      <c r="C30" s="55">
        <f t="shared" si="0"/>
        <v>2354328</v>
      </c>
      <c r="D30" s="55">
        <v>889124</v>
      </c>
      <c r="E30" s="55">
        <v>712062</v>
      </c>
      <c r="F30" s="55">
        <v>393494</v>
      </c>
      <c r="G30" s="55">
        <f t="shared" si="1"/>
        <v>1994680</v>
      </c>
      <c r="H30" s="55">
        <v>359648</v>
      </c>
      <c r="J30" s="15">
        <v>1995</v>
      </c>
      <c r="K30" s="16">
        <v>311025</v>
      </c>
      <c r="L30" s="16"/>
      <c r="M30" s="15">
        <v>1995</v>
      </c>
      <c r="N30" s="50">
        <f t="shared" si="2"/>
        <v>7.5695780081986976</v>
      </c>
      <c r="O30" s="50">
        <f t="shared" si="3"/>
        <v>2.8586898159311951</v>
      </c>
      <c r="P30" s="50">
        <f t="shared" si="4"/>
        <v>2.2894043887147335</v>
      </c>
      <c r="Q30" s="50">
        <f t="shared" si="5"/>
        <v>1.2651523189454223</v>
      </c>
      <c r="R30" s="50">
        <f t="shared" si="6"/>
        <v>6.4132465235913516</v>
      </c>
      <c r="S30" s="50">
        <f t="shared" si="7"/>
        <v>1.1563314846073467</v>
      </c>
    </row>
    <row r="31" spans="2:19" x14ac:dyDescent="0.25">
      <c r="B31" s="57">
        <v>1996</v>
      </c>
      <c r="C31" s="55">
        <f t="shared" si="0"/>
        <v>2372585</v>
      </c>
      <c r="D31" s="55">
        <v>968359</v>
      </c>
      <c r="E31" s="55">
        <v>677114</v>
      </c>
      <c r="F31" s="55">
        <v>359686</v>
      </c>
      <c r="G31" s="55">
        <f t="shared" si="1"/>
        <v>2005159</v>
      </c>
      <c r="H31" s="55">
        <v>367426</v>
      </c>
      <c r="J31" s="15">
        <v>1996</v>
      </c>
      <c r="K31" s="16">
        <v>324185</v>
      </c>
      <c r="L31" s="16"/>
      <c r="M31" s="15">
        <v>1996</v>
      </c>
      <c r="N31" s="50">
        <f t="shared" si="2"/>
        <v>7.318614371423724</v>
      </c>
      <c r="O31" s="50">
        <f t="shared" si="3"/>
        <v>2.9870567731387943</v>
      </c>
      <c r="P31" s="50">
        <f t="shared" si="4"/>
        <v>2.0886654225210912</v>
      </c>
      <c r="Q31" s="50">
        <f t="shared" si="5"/>
        <v>1.1095084596758025</v>
      </c>
      <c r="R31" s="50">
        <f t="shared" si="6"/>
        <v>6.1852306553356877</v>
      </c>
      <c r="S31" s="50">
        <f t="shared" si="7"/>
        <v>1.1333837160880362</v>
      </c>
    </row>
    <row r="32" spans="2:19" x14ac:dyDescent="0.25">
      <c r="B32" s="57">
        <v>1997</v>
      </c>
      <c r="C32" s="55">
        <f t="shared" si="0"/>
        <v>2383484</v>
      </c>
      <c r="D32" s="55">
        <v>973531</v>
      </c>
      <c r="E32" s="55">
        <v>668709</v>
      </c>
      <c r="F32" s="55">
        <v>365162</v>
      </c>
      <c r="G32" s="55">
        <f t="shared" si="1"/>
        <v>2007402</v>
      </c>
      <c r="H32" s="55">
        <v>376082</v>
      </c>
      <c r="J32" s="15">
        <v>1997</v>
      </c>
      <c r="K32" s="16">
        <v>331531</v>
      </c>
      <c r="L32" s="16"/>
      <c r="M32" s="15">
        <v>1997</v>
      </c>
      <c r="N32" s="50">
        <f t="shared" si="2"/>
        <v>7.189324678536849</v>
      </c>
      <c r="O32" s="50">
        <f t="shared" si="3"/>
        <v>2.9364704959717192</v>
      </c>
      <c r="P32" s="50">
        <f t="shared" si="4"/>
        <v>2.0170330979606734</v>
      </c>
      <c r="Q32" s="50">
        <f t="shared" si="5"/>
        <v>1.1014414941589172</v>
      </c>
      <c r="R32" s="50">
        <f t="shared" si="6"/>
        <v>6.0549450880913094</v>
      </c>
      <c r="S32" s="50">
        <f t="shared" si="7"/>
        <v>1.1343795904455389</v>
      </c>
    </row>
    <row r="33" spans="2:19" x14ac:dyDescent="0.25">
      <c r="B33" s="57">
        <v>1998</v>
      </c>
      <c r="C33" s="55">
        <f t="shared" si="0"/>
        <v>2368327</v>
      </c>
      <c r="D33" s="55">
        <v>971762</v>
      </c>
      <c r="E33" s="55">
        <v>621738</v>
      </c>
      <c r="F33" s="55">
        <v>378685</v>
      </c>
      <c r="G33" s="55">
        <f t="shared" si="1"/>
        <v>1972185</v>
      </c>
      <c r="H33" s="55">
        <v>396142</v>
      </c>
      <c r="J33" s="15">
        <v>1998</v>
      </c>
      <c r="K33" s="16">
        <v>387007</v>
      </c>
      <c r="L33" s="16"/>
      <c r="M33" s="15">
        <v>1998</v>
      </c>
      <c r="N33" s="50">
        <f t="shared" si="2"/>
        <v>6.1195973199451172</v>
      </c>
      <c r="O33" s="50">
        <f t="shared" si="3"/>
        <v>2.510967501879811</v>
      </c>
      <c r="P33" s="50">
        <f t="shared" si="4"/>
        <v>1.6065290808693382</v>
      </c>
      <c r="Q33" s="50">
        <f t="shared" si="5"/>
        <v>0.97849651298296925</v>
      </c>
      <c r="R33" s="50">
        <f t="shared" si="6"/>
        <v>5.0959930957321182</v>
      </c>
      <c r="S33" s="50">
        <f t="shared" si="7"/>
        <v>1.0236042242129988</v>
      </c>
    </row>
    <row r="34" spans="2:19" x14ac:dyDescent="0.25">
      <c r="B34" s="57">
        <v>1999</v>
      </c>
      <c r="C34" s="55">
        <f t="shared" si="0"/>
        <v>2194035</v>
      </c>
      <c r="D34" s="55">
        <v>960271</v>
      </c>
      <c r="E34" s="55">
        <v>571268</v>
      </c>
      <c r="F34" s="55">
        <v>336778</v>
      </c>
      <c r="G34" s="55">
        <f t="shared" si="1"/>
        <v>1868317</v>
      </c>
      <c r="H34" s="55">
        <v>325718</v>
      </c>
      <c r="J34" s="15">
        <v>1999</v>
      </c>
      <c r="K34" s="16">
        <v>475114</v>
      </c>
      <c r="L34" s="16"/>
      <c r="M34" s="15">
        <v>1999</v>
      </c>
      <c r="N34" s="50">
        <f t="shared" si="2"/>
        <v>4.6179127535707218</v>
      </c>
      <c r="O34" s="50">
        <f t="shared" si="3"/>
        <v>2.0211380847543956</v>
      </c>
      <c r="P34" s="50">
        <f t="shared" si="4"/>
        <v>1.2023809022676664</v>
      </c>
      <c r="Q34" s="50">
        <f t="shared" si="5"/>
        <v>0.70883619510264906</v>
      </c>
      <c r="R34" s="50">
        <f t="shared" si="6"/>
        <v>3.9323551821247111</v>
      </c>
      <c r="S34" s="50">
        <f t="shared" si="7"/>
        <v>0.68555757144601082</v>
      </c>
    </row>
    <row r="35" spans="2:19" x14ac:dyDescent="0.25">
      <c r="B35" s="57">
        <v>2000</v>
      </c>
      <c r="C35" s="55">
        <f t="shared" si="0"/>
        <v>2247626</v>
      </c>
      <c r="D35" s="55">
        <v>980107</v>
      </c>
      <c r="E35" s="55">
        <v>589182</v>
      </c>
      <c r="F35" s="55">
        <v>346361</v>
      </c>
      <c r="G35" s="55">
        <f t="shared" si="1"/>
        <v>1915650</v>
      </c>
      <c r="H35" s="55">
        <v>331976</v>
      </c>
      <c r="J35" s="15">
        <v>2000</v>
      </c>
      <c r="K35" s="16">
        <v>512514</v>
      </c>
      <c r="L35" s="16"/>
      <c r="M35" s="15">
        <v>2000</v>
      </c>
      <c r="N35" s="50">
        <f t="shared" si="2"/>
        <v>4.3854919085137185</v>
      </c>
      <c r="O35" s="50">
        <f t="shared" si="3"/>
        <v>1.9123516625887294</v>
      </c>
      <c r="P35" s="50">
        <f t="shared" si="4"/>
        <v>1.1495920111450615</v>
      </c>
      <c r="Q35" s="50">
        <f t="shared" si="5"/>
        <v>0.6758078803700972</v>
      </c>
      <c r="R35" s="50">
        <f t="shared" si="6"/>
        <v>3.7377515541038879</v>
      </c>
      <c r="S35" s="50">
        <f t="shared" si="7"/>
        <v>0.6477403544098308</v>
      </c>
    </row>
    <row r="36" spans="2:19" x14ac:dyDescent="0.25">
      <c r="B36" s="58">
        <v>2001</v>
      </c>
      <c r="C36" s="54">
        <f t="shared" si="0"/>
        <v>2283088</v>
      </c>
      <c r="D36" s="54">
        <v>1014303</v>
      </c>
      <c r="E36" s="54">
        <v>582792</v>
      </c>
      <c r="F36" s="54">
        <v>356262</v>
      </c>
      <c r="G36" s="54">
        <f t="shared" si="1"/>
        <v>1953357</v>
      </c>
      <c r="H36" s="54">
        <v>329731</v>
      </c>
      <c r="J36" s="15">
        <v>2001</v>
      </c>
      <c r="K36" s="16">
        <v>536348</v>
      </c>
      <c r="L36" s="16"/>
      <c r="M36" s="15">
        <v>2001</v>
      </c>
      <c r="N36" s="50">
        <f t="shared" si="2"/>
        <v>4.2567288402305969</v>
      </c>
      <c r="O36" s="50">
        <f t="shared" si="3"/>
        <v>1.8911285210348505</v>
      </c>
      <c r="P36" s="50">
        <f t="shared" si="4"/>
        <v>1.0865930328816364</v>
      </c>
      <c r="Q36" s="50">
        <f t="shared" si="5"/>
        <v>0.66423665232274565</v>
      </c>
      <c r="R36" s="50">
        <f t="shared" si="6"/>
        <v>3.6419582062392326</v>
      </c>
      <c r="S36" s="50">
        <f t="shared" si="7"/>
        <v>0.61477063399136378</v>
      </c>
    </row>
    <row r="37" spans="2:19" x14ac:dyDescent="0.25">
      <c r="B37" s="58">
        <v>2002</v>
      </c>
      <c r="C37" s="54">
        <f t="shared" si="0"/>
        <v>2297570</v>
      </c>
      <c r="D37" s="54">
        <v>1026531</v>
      </c>
      <c r="E37" s="54">
        <v>574353</v>
      </c>
      <c r="F37" s="54">
        <v>362327</v>
      </c>
      <c r="G37" s="54">
        <f t="shared" si="1"/>
        <v>1963211</v>
      </c>
      <c r="H37" s="54">
        <v>334359</v>
      </c>
      <c r="J37" s="18">
        <v>2002</v>
      </c>
      <c r="K37" s="19">
        <v>538840</v>
      </c>
      <c r="L37" s="16"/>
      <c r="M37" s="18">
        <v>2002</v>
      </c>
      <c r="N37" s="50">
        <f t="shared" si="2"/>
        <v>4.263918788508648</v>
      </c>
      <c r="O37" s="50">
        <f t="shared" si="3"/>
        <v>1.9050757182094871</v>
      </c>
      <c r="P37" s="50">
        <f t="shared" si="4"/>
        <v>1.0659063915076832</v>
      </c>
      <c r="Q37" s="50">
        <f t="shared" si="5"/>
        <v>0.67242038452973052</v>
      </c>
      <c r="R37" s="50">
        <f t="shared" si="6"/>
        <v>3.6434024942469008</v>
      </c>
      <c r="S37" s="50">
        <f t="shared" si="7"/>
        <v>0.62051629426174748</v>
      </c>
    </row>
    <row r="38" spans="2:19" ht="15.75" thickBot="1" x14ac:dyDescent="0.3">
      <c r="B38" s="59">
        <v>2003</v>
      </c>
      <c r="C38" s="60">
        <f t="shared" si="0"/>
        <v>2301660</v>
      </c>
      <c r="D38" s="60">
        <v>1035116</v>
      </c>
      <c r="E38" s="60">
        <v>555586</v>
      </c>
      <c r="F38" s="60">
        <v>364776</v>
      </c>
      <c r="G38" s="60">
        <f t="shared" si="1"/>
        <v>1955478</v>
      </c>
      <c r="H38" s="60">
        <v>346182</v>
      </c>
      <c r="J38" s="20">
        <v>2003</v>
      </c>
      <c r="K38" s="21">
        <v>626795</v>
      </c>
      <c r="L38" s="19"/>
      <c r="M38" s="20">
        <v>2003</v>
      </c>
      <c r="N38" s="51">
        <f t="shared" si="2"/>
        <v>3.6721097009389037</v>
      </c>
      <c r="O38" s="51">
        <f t="shared" si="3"/>
        <v>1.6514426566899865</v>
      </c>
      <c r="P38" s="51">
        <f t="shared" si="4"/>
        <v>0.88639188251342149</v>
      </c>
      <c r="Q38" s="51">
        <f t="shared" si="5"/>
        <v>0.58197018163833469</v>
      </c>
      <c r="R38" s="51">
        <f t="shared" si="6"/>
        <v>3.1198047208417425</v>
      </c>
      <c r="S38" s="51">
        <f t="shared" si="7"/>
        <v>0.552304980097161</v>
      </c>
    </row>
    <row r="39" spans="2:19" ht="15.75" thickTop="1" x14ac:dyDescent="0.25">
      <c r="B39" s="14"/>
      <c r="C39" s="14"/>
      <c r="D39" s="14"/>
      <c r="E39" s="14"/>
      <c r="F39" s="14"/>
      <c r="G39" s="14"/>
      <c r="H39" s="14"/>
      <c r="K39" s="14"/>
      <c r="L39" s="19"/>
      <c r="M39" s="14"/>
      <c r="N39" s="14"/>
    </row>
    <row r="40" spans="2:19" x14ac:dyDescent="0.25">
      <c r="B40" s="1" t="s">
        <v>33</v>
      </c>
      <c r="C40" s="14"/>
      <c r="D40" s="14"/>
      <c r="E40" s="14"/>
      <c r="F40" s="14"/>
      <c r="G40" s="14"/>
      <c r="H40" s="14"/>
      <c r="J40" s="49" t="s">
        <v>56</v>
      </c>
      <c r="K40" s="14"/>
      <c r="L40" s="14"/>
      <c r="M40" s="62" t="s">
        <v>58</v>
      </c>
      <c r="N40" s="14"/>
    </row>
    <row r="41" spans="2:19" x14ac:dyDescent="0.25">
      <c r="K41" s="14"/>
      <c r="L41" s="14"/>
      <c r="M41" s="14"/>
      <c r="N41" s="14"/>
    </row>
    <row r="42" spans="2:19" x14ac:dyDescent="0.25">
      <c r="K42" s="14"/>
      <c r="L42" s="14"/>
      <c r="M42" s="14"/>
      <c r="N42" s="14"/>
    </row>
    <row r="43" spans="2:19" x14ac:dyDescent="0.25">
      <c r="K43" s="14"/>
      <c r="L43" s="14"/>
      <c r="M43" s="14"/>
      <c r="N43" s="14"/>
    </row>
    <row r="44" spans="2:19" x14ac:dyDescent="0.25">
      <c r="K44" s="14"/>
      <c r="L44" s="14"/>
      <c r="M44" s="14"/>
      <c r="N44" s="14"/>
    </row>
    <row r="45" spans="2:19" x14ac:dyDescent="0.25">
      <c r="K45" s="14"/>
      <c r="L45" s="14"/>
      <c r="M45" s="14"/>
      <c r="N45" s="14"/>
    </row>
    <row r="46" spans="2:19" x14ac:dyDescent="0.25">
      <c r="K46" s="14"/>
      <c r="L46" s="14"/>
      <c r="M46" s="14"/>
      <c r="N46" s="14"/>
    </row>
    <row r="47" spans="2:19" x14ac:dyDescent="0.25">
      <c r="K47" s="14"/>
      <c r="L47" s="14"/>
      <c r="M47" s="14"/>
      <c r="N47" s="14"/>
    </row>
    <row r="48" spans="2:19" x14ac:dyDescent="0.25">
      <c r="L48" s="14"/>
      <c r="M48" s="14"/>
      <c r="N48" s="14"/>
    </row>
    <row r="73" spans="2:8" x14ac:dyDescent="0.25">
      <c r="B73" s="14"/>
      <c r="C73" s="14"/>
      <c r="D73" s="14"/>
      <c r="E73" s="14"/>
      <c r="F73" s="14"/>
      <c r="G73" s="14"/>
      <c r="H73" s="14"/>
    </row>
    <row r="74" spans="2:8" x14ac:dyDescent="0.25">
      <c r="B74" s="14"/>
      <c r="C74" s="14"/>
      <c r="D74" s="14"/>
      <c r="E74" s="14"/>
      <c r="F74" s="14"/>
      <c r="G74" s="14"/>
      <c r="H74" s="14"/>
    </row>
    <row r="75" spans="2:8" x14ac:dyDescent="0.25">
      <c r="F75" s="14"/>
      <c r="G75" s="14"/>
      <c r="H75" s="14"/>
    </row>
    <row r="76" spans="2:8" x14ac:dyDescent="0.25">
      <c r="F76" s="14"/>
      <c r="G76" s="14"/>
      <c r="H76" s="14"/>
    </row>
    <row r="77" spans="2:8" x14ac:dyDescent="0.25">
      <c r="F77" s="14"/>
      <c r="G77" s="14"/>
      <c r="H77" s="14"/>
    </row>
    <row r="78" spans="2:8" x14ac:dyDescent="0.25">
      <c r="F78" s="14"/>
      <c r="G78" s="14"/>
      <c r="H78" s="14"/>
    </row>
    <row r="79" spans="2:8" x14ac:dyDescent="0.25">
      <c r="F79" s="14"/>
      <c r="G79" s="14"/>
      <c r="H79" s="14"/>
    </row>
    <row r="80" spans="2:8" x14ac:dyDescent="0.25">
      <c r="F80" s="14"/>
      <c r="G80" s="14"/>
      <c r="H80" s="14"/>
    </row>
    <row r="81" spans="6:8" x14ac:dyDescent="0.25">
      <c r="F81" s="14"/>
      <c r="G81" s="14"/>
      <c r="H81" s="14"/>
    </row>
    <row r="82" spans="6:8" x14ac:dyDescent="0.25">
      <c r="F82" s="14"/>
      <c r="G82" s="14"/>
      <c r="H82" s="14"/>
    </row>
    <row r="83" spans="6:8" x14ac:dyDescent="0.25">
      <c r="F83" s="14"/>
      <c r="G83" s="14"/>
      <c r="H83" s="14"/>
    </row>
    <row r="84" spans="6:8" x14ac:dyDescent="0.25">
      <c r="F84" s="14"/>
      <c r="G84" s="14"/>
      <c r="H84" s="14"/>
    </row>
    <row r="85" spans="6:8" x14ac:dyDescent="0.25">
      <c r="F85" s="14"/>
      <c r="G85" s="14"/>
      <c r="H85" s="14"/>
    </row>
    <row r="86" spans="6:8" x14ac:dyDescent="0.25">
      <c r="F86" s="14"/>
      <c r="G86" s="14"/>
      <c r="H86" s="14"/>
    </row>
    <row r="87" spans="6:8" x14ac:dyDescent="0.25">
      <c r="F87" s="14"/>
      <c r="G87" s="14"/>
      <c r="H87" s="14"/>
    </row>
    <row r="88" spans="6:8" x14ac:dyDescent="0.25">
      <c r="F88" s="14"/>
      <c r="G88" s="14"/>
      <c r="H88" s="14"/>
    </row>
    <row r="89" spans="6:8" x14ac:dyDescent="0.25">
      <c r="F89" s="14"/>
      <c r="G89" s="14"/>
      <c r="H89" s="14"/>
    </row>
    <row r="90" spans="6:8" x14ac:dyDescent="0.25">
      <c r="F90" s="14"/>
      <c r="G90" s="14"/>
      <c r="H90" s="14"/>
    </row>
    <row r="91" spans="6:8" x14ac:dyDescent="0.25">
      <c r="F91" s="14"/>
      <c r="G91" s="14"/>
      <c r="H91" s="14"/>
    </row>
    <row r="92" spans="6:8" x14ac:dyDescent="0.25">
      <c r="F92" s="14"/>
      <c r="G92" s="14"/>
      <c r="H92" s="14"/>
    </row>
    <row r="93" spans="6:8" x14ac:dyDescent="0.25">
      <c r="F93" s="14"/>
      <c r="G93" s="14"/>
      <c r="H93" s="14"/>
    </row>
    <row r="94" spans="6:8" x14ac:dyDescent="0.25">
      <c r="F94" s="14"/>
      <c r="G94" s="14"/>
      <c r="H94" s="14"/>
    </row>
    <row r="95" spans="6:8" x14ac:dyDescent="0.25">
      <c r="F95" s="14"/>
      <c r="G95" s="14"/>
      <c r="H95" s="14"/>
    </row>
    <row r="96" spans="6:8" x14ac:dyDescent="0.25">
      <c r="F96" s="14"/>
      <c r="G96" s="14"/>
      <c r="H96" s="14"/>
    </row>
    <row r="97" spans="2:8" x14ac:dyDescent="0.25">
      <c r="F97" s="14"/>
      <c r="G97" s="14"/>
      <c r="H97" s="14"/>
    </row>
    <row r="98" spans="2:8" x14ac:dyDescent="0.25">
      <c r="F98" s="14"/>
      <c r="G98" s="14"/>
      <c r="H98" s="14"/>
    </row>
    <row r="99" spans="2:8" x14ac:dyDescent="0.25">
      <c r="F99" s="14"/>
      <c r="G99" s="14"/>
      <c r="H99" s="14"/>
    </row>
    <row r="100" spans="2:8" x14ac:dyDescent="0.25">
      <c r="F100" s="14"/>
      <c r="G100" s="14"/>
      <c r="H100" s="14"/>
    </row>
    <row r="101" spans="2:8" x14ac:dyDescent="0.25">
      <c r="F101" s="14"/>
      <c r="G101" s="14"/>
      <c r="H101" s="14"/>
    </row>
    <row r="102" spans="2:8" x14ac:dyDescent="0.25">
      <c r="F102" s="14"/>
      <c r="G102" s="14"/>
      <c r="H102" s="14"/>
    </row>
    <row r="103" spans="2:8" x14ac:dyDescent="0.25">
      <c r="F103" s="14"/>
      <c r="G103" s="14"/>
      <c r="H103" s="14"/>
    </row>
    <row r="104" spans="2:8" x14ac:dyDescent="0.25">
      <c r="F104" s="14"/>
      <c r="G104" s="14"/>
      <c r="H104" s="14"/>
    </row>
    <row r="105" spans="2:8" x14ac:dyDescent="0.25">
      <c r="F105" s="14"/>
      <c r="G105" s="14"/>
      <c r="H105" s="14"/>
    </row>
    <row r="106" spans="2:8" x14ac:dyDescent="0.25">
      <c r="F106" s="14"/>
      <c r="G106" s="14"/>
      <c r="H106" s="14"/>
    </row>
    <row r="107" spans="2:8" x14ac:dyDescent="0.25">
      <c r="B107" s="14"/>
      <c r="C107" s="14"/>
      <c r="D107" s="14"/>
      <c r="E107" s="14"/>
      <c r="F107" s="14"/>
      <c r="G107" s="14"/>
      <c r="H107" s="14"/>
    </row>
    <row r="108" spans="2:8" x14ac:dyDescent="0.25">
      <c r="B108" s="14"/>
      <c r="C108" s="14"/>
      <c r="D108" s="14"/>
      <c r="E108" s="14"/>
      <c r="F108" s="14"/>
      <c r="G108" s="14"/>
      <c r="H108" s="14"/>
    </row>
  </sheetData>
  <mergeCells count="9">
    <mergeCell ref="S9:S10"/>
    <mergeCell ref="N9:N10"/>
    <mergeCell ref="M9:M10"/>
    <mergeCell ref="D8:F8"/>
    <mergeCell ref="O8:Q8"/>
    <mergeCell ref="R9:R10"/>
    <mergeCell ref="O9:O10"/>
    <mergeCell ref="P9:P10"/>
    <mergeCell ref="Q9:Q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47"/>
  <sheetViews>
    <sheetView showGridLines="0" zoomScale="70" zoomScaleNormal="70" workbookViewId="0">
      <selection activeCell="C554" sqref="C554"/>
    </sheetView>
  </sheetViews>
  <sheetFormatPr baseColWidth="10" defaultRowHeight="15" customHeight="1" x14ac:dyDescent="0.25"/>
  <cols>
    <col min="1" max="1" width="11.42578125" style="2"/>
    <col min="2" max="2" width="11.42578125" style="46"/>
    <col min="3" max="3" width="13" style="2" bestFit="1" customWidth="1"/>
    <col min="4" max="4" width="28.140625" style="2" bestFit="1" customWidth="1"/>
    <col min="5" max="23" width="11.42578125" style="2"/>
  </cols>
  <sheetData>
    <row r="2" spans="1:23" ht="15" customHeight="1" x14ac:dyDescent="0.25">
      <c r="B2" s="46" t="s">
        <v>49</v>
      </c>
    </row>
    <row r="3" spans="1:23" s="47" customFormat="1" ht="15" customHeight="1" x14ac:dyDescent="0.25">
      <c r="A3" s="22"/>
      <c r="B3" s="46"/>
      <c r="C3" s="2"/>
      <c r="D3" s="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15" customHeight="1" x14ac:dyDescent="0.25">
      <c r="B4" s="92" t="s">
        <v>1</v>
      </c>
      <c r="C4" s="92" t="s">
        <v>34</v>
      </c>
      <c r="D4" s="93" t="s">
        <v>35</v>
      </c>
    </row>
    <row r="5" spans="1:23" ht="15" customHeight="1" x14ac:dyDescent="0.25">
      <c r="B5" s="119">
        <v>1974</v>
      </c>
      <c r="C5" s="86" t="s">
        <v>36</v>
      </c>
      <c r="D5" s="89" t="s">
        <v>37</v>
      </c>
    </row>
    <row r="6" spans="1:23" ht="15" customHeight="1" x14ac:dyDescent="0.25">
      <c r="B6" s="120"/>
      <c r="C6" s="87" t="s">
        <v>38</v>
      </c>
      <c r="D6" s="90" t="s">
        <v>37</v>
      </c>
    </row>
    <row r="7" spans="1:23" ht="15" customHeight="1" x14ac:dyDescent="0.25">
      <c r="B7" s="120"/>
      <c r="C7" s="87" t="s">
        <v>39</v>
      </c>
      <c r="D7" s="90" t="s">
        <v>37</v>
      </c>
    </row>
    <row r="8" spans="1:23" ht="15" customHeight="1" x14ac:dyDescent="0.25">
      <c r="B8" s="120"/>
      <c r="C8" s="87" t="s">
        <v>40</v>
      </c>
      <c r="D8" s="90" t="s">
        <v>37</v>
      </c>
    </row>
    <row r="9" spans="1:23" ht="15" customHeight="1" x14ac:dyDescent="0.25">
      <c r="B9" s="120"/>
      <c r="C9" s="87" t="s">
        <v>41</v>
      </c>
      <c r="D9" s="90" t="s">
        <v>37</v>
      </c>
    </row>
    <row r="10" spans="1:23" ht="15" customHeight="1" x14ac:dyDescent="0.25">
      <c r="B10" s="120"/>
      <c r="C10" s="87" t="s">
        <v>42</v>
      </c>
      <c r="D10" s="90">
        <v>0.45</v>
      </c>
    </row>
    <row r="11" spans="1:23" ht="15" customHeight="1" x14ac:dyDescent="0.25">
      <c r="B11" s="120"/>
      <c r="C11" s="87" t="s">
        <v>43</v>
      </c>
      <c r="D11" s="90">
        <v>0.45</v>
      </c>
    </row>
    <row r="12" spans="1:23" ht="15" customHeight="1" x14ac:dyDescent="0.25">
      <c r="B12" s="120"/>
      <c r="C12" s="87" t="s">
        <v>44</v>
      </c>
      <c r="D12" s="90">
        <v>0.45</v>
      </c>
    </row>
    <row r="13" spans="1:23" ht="15" customHeight="1" x14ac:dyDescent="0.25">
      <c r="B13" s="120"/>
      <c r="C13" s="87" t="s">
        <v>45</v>
      </c>
      <c r="D13" s="90">
        <v>0.45</v>
      </c>
    </row>
    <row r="14" spans="1:23" ht="15" customHeight="1" x14ac:dyDescent="0.25">
      <c r="B14" s="120"/>
      <c r="C14" s="87" t="s">
        <v>46</v>
      </c>
      <c r="D14" s="90">
        <v>0.45</v>
      </c>
    </row>
    <row r="15" spans="1:23" ht="15" customHeight="1" x14ac:dyDescent="0.25">
      <c r="B15" s="120"/>
      <c r="C15" s="87" t="s">
        <v>47</v>
      </c>
      <c r="D15" s="90">
        <v>0.45</v>
      </c>
    </row>
    <row r="16" spans="1:23" ht="15" customHeight="1" x14ac:dyDescent="0.25">
      <c r="B16" s="121"/>
      <c r="C16" s="88" t="s">
        <v>48</v>
      </c>
      <c r="D16" s="91">
        <v>0.45</v>
      </c>
    </row>
    <row r="17" spans="2:4" ht="15" customHeight="1" x14ac:dyDescent="0.25">
      <c r="B17" s="119">
        <v>1975</v>
      </c>
      <c r="C17" s="86" t="s">
        <v>36</v>
      </c>
      <c r="D17" s="89">
        <v>0.45</v>
      </c>
    </row>
    <row r="18" spans="2:4" ht="15" customHeight="1" x14ac:dyDescent="0.25">
      <c r="B18" s="120"/>
      <c r="C18" s="87" t="s">
        <v>38</v>
      </c>
      <c r="D18" s="90">
        <v>0.45</v>
      </c>
    </row>
    <row r="19" spans="2:4" ht="15" customHeight="1" x14ac:dyDescent="0.25">
      <c r="B19" s="120"/>
      <c r="C19" s="87" t="s">
        <v>39</v>
      </c>
      <c r="D19" s="90">
        <v>0.45</v>
      </c>
    </row>
    <row r="20" spans="2:4" ht="15" customHeight="1" x14ac:dyDescent="0.25">
      <c r="B20" s="120"/>
      <c r="C20" s="87" t="s">
        <v>40</v>
      </c>
      <c r="D20" s="90">
        <v>0.45</v>
      </c>
    </row>
    <row r="21" spans="2:4" ht="15" customHeight="1" x14ac:dyDescent="0.25">
      <c r="B21" s="120"/>
      <c r="C21" s="87" t="s">
        <v>41</v>
      </c>
      <c r="D21" s="90">
        <v>0.45</v>
      </c>
    </row>
    <row r="22" spans="2:4" ht="15" customHeight="1" x14ac:dyDescent="0.25">
      <c r="B22" s="120"/>
      <c r="C22" s="87" t="s">
        <v>42</v>
      </c>
      <c r="D22" s="90">
        <v>0.45</v>
      </c>
    </row>
    <row r="23" spans="2:4" ht="15" customHeight="1" x14ac:dyDescent="0.25">
      <c r="B23" s="120"/>
      <c r="C23" s="87" t="s">
        <v>43</v>
      </c>
      <c r="D23" s="90">
        <v>0.45</v>
      </c>
    </row>
    <row r="24" spans="2:4" ht="15" customHeight="1" x14ac:dyDescent="0.25">
      <c r="B24" s="120"/>
      <c r="C24" s="87" t="s">
        <v>44</v>
      </c>
      <c r="D24" s="90">
        <v>0.45</v>
      </c>
    </row>
    <row r="25" spans="2:4" ht="15" customHeight="1" x14ac:dyDescent="0.25">
      <c r="B25" s="120"/>
      <c r="C25" s="87" t="s">
        <v>45</v>
      </c>
      <c r="D25" s="90">
        <v>0.45</v>
      </c>
    </row>
    <row r="26" spans="2:4" ht="15" customHeight="1" x14ac:dyDescent="0.25">
      <c r="B26" s="120"/>
      <c r="C26" s="87" t="s">
        <v>46</v>
      </c>
      <c r="D26" s="90">
        <v>0.45</v>
      </c>
    </row>
    <row r="27" spans="2:4" ht="15" customHeight="1" x14ac:dyDescent="0.25">
      <c r="B27" s="120"/>
      <c r="C27" s="87" t="s">
        <v>47</v>
      </c>
      <c r="D27" s="90">
        <v>0.45</v>
      </c>
    </row>
    <row r="28" spans="2:4" ht="15" customHeight="1" x14ac:dyDescent="0.25">
      <c r="B28" s="121"/>
      <c r="C28" s="88" t="s">
        <v>48</v>
      </c>
      <c r="D28" s="91">
        <v>0.45</v>
      </c>
    </row>
    <row r="29" spans="2:4" ht="15" customHeight="1" x14ac:dyDescent="0.25">
      <c r="B29" s="119">
        <v>1976</v>
      </c>
      <c r="C29" s="86" t="s">
        <v>36</v>
      </c>
      <c r="D29" s="89">
        <v>0.45</v>
      </c>
    </row>
    <row r="30" spans="2:4" ht="15" customHeight="1" x14ac:dyDescent="0.25">
      <c r="B30" s="120"/>
      <c r="C30" s="87" t="s">
        <v>38</v>
      </c>
      <c r="D30" s="90">
        <v>0.45</v>
      </c>
    </row>
    <row r="31" spans="2:4" ht="15" customHeight="1" x14ac:dyDescent="0.25">
      <c r="B31" s="120"/>
      <c r="C31" s="87" t="s">
        <v>39</v>
      </c>
      <c r="D31" s="90">
        <v>0.45</v>
      </c>
    </row>
    <row r="32" spans="2:4" ht="15" customHeight="1" x14ac:dyDescent="0.25">
      <c r="B32" s="120"/>
      <c r="C32" s="87" t="s">
        <v>40</v>
      </c>
      <c r="D32" s="90">
        <v>0.45</v>
      </c>
    </row>
    <row r="33" spans="2:4" ht="15" customHeight="1" x14ac:dyDescent="0.25">
      <c r="B33" s="120"/>
      <c r="C33" s="87" t="s">
        <v>41</v>
      </c>
      <c r="D33" s="90">
        <v>0.45</v>
      </c>
    </row>
    <row r="34" spans="2:4" ht="15" customHeight="1" x14ac:dyDescent="0.25">
      <c r="B34" s="120"/>
      <c r="C34" s="87" t="s">
        <v>42</v>
      </c>
      <c r="D34" s="90">
        <v>0.45</v>
      </c>
    </row>
    <row r="35" spans="2:4" ht="15" customHeight="1" x14ac:dyDescent="0.25">
      <c r="B35" s="120"/>
      <c r="C35" s="87" t="s">
        <v>43</v>
      </c>
      <c r="D35" s="90">
        <v>0.45</v>
      </c>
    </row>
    <row r="36" spans="2:4" ht="15" customHeight="1" x14ac:dyDescent="0.25">
      <c r="B36" s="120"/>
      <c r="C36" s="87" t="s">
        <v>44</v>
      </c>
      <c r="D36" s="90">
        <v>0.45</v>
      </c>
    </row>
    <row r="37" spans="2:4" ht="15" customHeight="1" x14ac:dyDescent="0.25">
      <c r="B37" s="120"/>
      <c r="C37" s="87" t="s">
        <v>45</v>
      </c>
      <c r="D37" s="90">
        <v>0.45</v>
      </c>
    </row>
    <row r="38" spans="2:4" ht="15" customHeight="1" x14ac:dyDescent="0.25">
      <c r="B38" s="120"/>
      <c r="C38" s="87" t="s">
        <v>46</v>
      </c>
      <c r="D38" s="90">
        <v>0.45</v>
      </c>
    </row>
    <row r="39" spans="2:4" ht="15" customHeight="1" x14ac:dyDescent="0.25">
      <c r="B39" s="120"/>
      <c r="C39" s="87" t="s">
        <v>47</v>
      </c>
      <c r="D39" s="90">
        <v>0.45</v>
      </c>
    </row>
    <row r="40" spans="2:4" ht="15" customHeight="1" x14ac:dyDescent="0.25">
      <c r="B40" s="121"/>
      <c r="C40" s="88" t="s">
        <v>48</v>
      </c>
      <c r="D40" s="91">
        <v>0.45</v>
      </c>
    </row>
    <row r="41" spans="2:4" ht="15" customHeight="1" x14ac:dyDescent="0.25">
      <c r="B41" s="119">
        <v>1977</v>
      </c>
      <c r="C41" s="86" t="s">
        <v>36</v>
      </c>
      <c r="D41" s="89">
        <v>0.45</v>
      </c>
    </row>
    <row r="42" spans="2:4" ht="15" customHeight="1" x14ac:dyDescent="0.25">
      <c r="B42" s="120"/>
      <c r="C42" s="87" t="s">
        <v>38</v>
      </c>
      <c r="D42" s="90">
        <v>0.45</v>
      </c>
    </row>
    <row r="43" spans="2:4" ht="15" customHeight="1" x14ac:dyDescent="0.25">
      <c r="B43" s="120"/>
      <c r="C43" s="87" t="s">
        <v>39</v>
      </c>
      <c r="D43" s="90">
        <v>0.45</v>
      </c>
    </row>
    <row r="44" spans="2:4" ht="15" customHeight="1" x14ac:dyDescent="0.25">
      <c r="B44" s="120"/>
      <c r="C44" s="87" t="s">
        <v>40</v>
      </c>
      <c r="D44" s="90">
        <v>0.45</v>
      </c>
    </row>
    <row r="45" spans="2:4" ht="15" customHeight="1" x14ac:dyDescent="0.25">
      <c r="B45" s="120"/>
      <c r="C45" s="87" t="s">
        <v>41</v>
      </c>
      <c r="D45" s="90">
        <v>0.45</v>
      </c>
    </row>
    <row r="46" spans="2:4" ht="15" customHeight="1" x14ac:dyDescent="0.25">
      <c r="B46" s="120"/>
      <c r="C46" s="87" t="s">
        <v>42</v>
      </c>
      <c r="D46" s="90">
        <v>0.45</v>
      </c>
    </row>
    <row r="47" spans="2:4" ht="15" customHeight="1" x14ac:dyDescent="0.25">
      <c r="B47" s="120"/>
      <c r="C47" s="87" t="s">
        <v>43</v>
      </c>
      <c r="D47" s="90">
        <v>0.45</v>
      </c>
    </row>
    <row r="48" spans="2:4" ht="15" customHeight="1" x14ac:dyDescent="0.25">
      <c r="B48" s="120"/>
      <c r="C48" s="87" t="s">
        <v>44</v>
      </c>
      <c r="D48" s="90">
        <v>0.45</v>
      </c>
    </row>
    <row r="49" spans="2:4" ht="15" customHeight="1" x14ac:dyDescent="0.25">
      <c r="B49" s="120"/>
      <c r="C49" s="87" t="s">
        <v>45</v>
      </c>
      <c r="D49" s="90">
        <v>0.45</v>
      </c>
    </row>
    <row r="50" spans="2:4" ht="15" customHeight="1" x14ac:dyDescent="0.25">
      <c r="B50" s="120"/>
      <c r="C50" s="87" t="s">
        <v>46</v>
      </c>
      <c r="D50" s="90">
        <v>0.45</v>
      </c>
    </row>
    <row r="51" spans="2:4" ht="15" customHeight="1" x14ac:dyDescent="0.25">
      <c r="B51" s="120"/>
      <c r="C51" s="87" t="s">
        <v>47</v>
      </c>
      <c r="D51" s="90">
        <v>0.45</v>
      </c>
    </row>
    <row r="52" spans="2:4" ht="15" customHeight="1" x14ac:dyDescent="0.25">
      <c r="B52" s="121"/>
      <c r="C52" s="88" t="s">
        <v>48</v>
      </c>
      <c r="D52" s="91">
        <v>0.45</v>
      </c>
    </row>
    <row r="53" spans="2:4" ht="15" customHeight="1" x14ac:dyDescent="0.25">
      <c r="B53" s="119">
        <v>1978</v>
      </c>
      <c r="C53" s="86" t="s">
        <v>36</v>
      </c>
      <c r="D53" s="89">
        <v>0.45</v>
      </c>
    </row>
    <row r="54" spans="2:4" ht="15" customHeight="1" x14ac:dyDescent="0.25">
      <c r="B54" s="120"/>
      <c r="C54" s="87" t="s">
        <v>38</v>
      </c>
      <c r="D54" s="90">
        <v>0.45</v>
      </c>
    </row>
    <row r="55" spans="2:4" ht="15" customHeight="1" x14ac:dyDescent="0.25">
      <c r="B55" s="120"/>
      <c r="C55" s="87" t="s">
        <v>39</v>
      </c>
      <c r="D55" s="90">
        <v>0.45</v>
      </c>
    </row>
    <row r="56" spans="2:4" ht="15" customHeight="1" x14ac:dyDescent="0.25">
      <c r="B56" s="120"/>
      <c r="C56" s="87" t="s">
        <v>40</v>
      </c>
      <c r="D56" s="90">
        <v>0.45</v>
      </c>
    </row>
    <row r="57" spans="2:4" ht="15" customHeight="1" x14ac:dyDescent="0.25">
      <c r="B57" s="120">
        <v>1978</v>
      </c>
      <c r="C57" s="87" t="s">
        <v>41</v>
      </c>
      <c r="D57" s="90">
        <v>0.45</v>
      </c>
    </row>
    <row r="58" spans="2:4" ht="15" customHeight="1" x14ac:dyDescent="0.25">
      <c r="B58" s="120"/>
      <c r="C58" s="87" t="s">
        <v>42</v>
      </c>
      <c r="D58" s="90">
        <v>0.45</v>
      </c>
    </row>
    <row r="59" spans="2:4" ht="15" customHeight="1" x14ac:dyDescent="0.25">
      <c r="B59" s="120"/>
      <c r="C59" s="87" t="s">
        <v>43</v>
      </c>
      <c r="D59" s="90">
        <v>0.45</v>
      </c>
    </row>
    <row r="60" spans="2:4" ht="15" customHeight="1" x14ac:dyDescent="0.25">
      <c r="B60" s="120"/>
      <c r="C60" s="87" t="s">
        <v>44</v>
      </c>
      <c r="D60" s="90">
        <v>0.45</v>
      </c>
    </row>
    <row r="61" spans="2:4" ht="15" customHeight="1" x14ac:dyDescent="0.25">
      <c r="B61" s="120"/>
      <c r="C61" s="87" t="s">
        <v>45</v>
      </c>
      <c r="D61" s="90">
        <v>0.45</v>
      </c>
    </row>
    <row r="62" spans="2:4" ht="15" customHeight="1" x14ac:dyDescent="0.25">
      <c r="B62" s="120"/>
      <c r="C62" s="87" t="s">
        <v>46</v>
      </c>
      <c r="D62" s="90">
        <v>0.45</v>
      </c>
    </row>
    <row r="63" spans="2:4" ht="15" customHeight="1" x14ac:dyDescent="0.25">
      <c r="B63" s="120"/>
      <c r="C63" s="87" t="s">
        <v>47</v>
      </c>
      <c r="D63" s="90">
        <v>0.45</v>
      </c>
    </row>
    <row r="64" spans="2:4" ht="15" customHeight="1" x14ac:dyDescent="0.25">
      <c r="B64" s="121"/>
      <c r="C64" s="88" t="s">
        <v>48</v>
      </c>
      <c r="D64" s="91">
        <v>0.45</v>
      </c>
    </row>
    <row r="65" spans="2:4" ht="15" customHeight="1" x14ac:dyDescent="0.25">
      <c r="B65" s="119">
        <v>1979</v>
      </c>
      <c r="C65" s="86" t="s">
        <v>36</v>
      </c>
      <c r="D65" s="89">
        <v>0.45</v>
      </c>
    </row>
    <row r="66" spans="2:4" ht="15" customHeight="1" x14ac:dyDescent="0.25">
      <c r="B66" s="120"/>
      <c r="C66" s="87" t="s">
        <v>38</v>
      </c>
      <c r="D66" s="90">
        <v>0.45</v>
      </c>
    </row>
    <row r="67" spans="2:4" ht="15" customHeight="1" x14ac:dyDescent="0.25">
      <c r="B67" s="120"/>
      <c r="C67" s="87" t="s">
        <v>39</v>
      </c>
      <c r="D67" s="90">
        <v>0.45</v>
      </c>
    </row>
    <row r="68" spans="2:4" ht="15" customHeight="1" x14ac:dyDescent="0.25">
      <c r="B68" s="120"/>
      <c r="C68" s="87" t="s">
        <v>40</v>
      </c>
      <c r="D68" s="90">
        <v>0.45</v>
      </c>
    </row>
    <row r="69" spans="2:4" ht="15" customHeight="1" x14ac:dyDescent="0.25">
      <c r="B69" s="120"/>
      <c r="C69" s="87" t="s">
        <v>41</v>
      </c>
      <c r="D69" s="90">
        <v>0.45</v>
      </c>
    </row>
    <row r="70" spans="2:4" ht="15" customHeight="1" x14ac:dyDescent="0.25">
      <c r="B70" s="120"/>
      <c r="C70" s="87" t="s">
        <v>42</v>
      </c>
      <c r="D70" s="90">
        <v>0.45</v>
      </c>
    </row>
    <row r="71" spans="2:4" ht="15" customHeight="1" x14ac:dyDescent="0.25">
      <c r="B71" s="120"/>
      <c r="C71" s="87" t="s">
        <v>43</v>
      </c>
      <c r="D71" s="90">
        <v>0.45</v>
      </c>
    </row>
    <row r="72" spans="2:4" ht="15" customHeight="1" x14ac:dyDescent="0.25">
      <c r="B72" s="120"/>
      <c r="C72" s="87" t="s">
        <v>44</v>
      </c>
      <c r="D72" s="90">
        <v>0.45</v>
      </c>
    </row>
    <row r="73" spans="2:4" ht="15" customHeight="1" x14ac:dyDescent="0.25">
      <c r="B73" s="120"/>
      <c r="C73" s="87" t="s">
        <v>45</v>
      </c>
      <c r="D73" s="90">
        <v>0.45</v>
      </c>
    </row>
    <row r="74" spans="2:4" ht="15" customHeight="1" x14ac:dyDescent="0.25">
      <c r="B74" s="120"/>
      <c r="C74" s="87" t="s">
        <v>46</v>
      </c>
      <c r="D74" s="90">
        <v>0.45</v>
      </c>
    </row>
    <row r="75" spans="2:4" ht="15" customHeight="1" x14ac:dyDescent="0.25">
      <c r="B75" s="120"/>
      <c r="C75" s="87" t="s">
        <v>47</v>
      </c>
      <c r="D75" s="90">
        <v>0.45</v>
      </c>
    </row>
    <row r="76" spans="2:4" ht="15" customHeight="1" x14ac:dyDescent="0.25">
      <c r="B76" s="121"/>
      <c r="C76" s="88" t="s">
        <v>48</v>
      </c>
      <c r="D76" s="91">
        <v>0.45</v>
      </c>
    </row>
    <row r="77" spans="2:4" ht="15" customHeight="1" x14ac:dyDescent="0.25">
      <c r="B77" s="119">
        <v>1980</v>
      </c>
      <c r="C77" s="86" t="s">
        <v>36</v>
      </c>
      <c r="D77" s="89">
        <v>0.9</v>
      </c>
    </row>
    <row r="78" spans="2:4" ht="15" customHeight="1" x14ac:dyDescent="0.25">
      <c r="B78" s="120"/>
      <c r="C78" s="87" t="s">
        <v>38</v>
      </c>
      <c r="D78" s="90">
        <v>0.9</v>
      </c>
    </row>
    <row r="79" spans="2:4" ht="15" customHeight="1" x14ac:dyDescent="0.25">
      <c r="B79" s="120"/>
      <c r="C79" s="87" t="s">
        <v>39</v>
      </c>
      <c r="D79" s="90">
        <v>0.9</v>
      </c>
    </row>
    <row r="80" spans="2:4" ht="15" customHeight="1" x14ac:dyDescent="0.25">
      <c r="B80" s="120"/>
      <c r="C80" s="87" t="s">
        <v>40</v>
      </c>
      <c r="D80" s="90">
        <v>0.9</v>
      </c>
    </row>
    <row r="81" spans="2:4" ht="15" customHeight="1" x14ac:dyDescent="0.25">
      <c r="B81" s="120"/>
      <c r="C81" s="87" t="s">
        <v>41</v>
      </c>
      <c r="D81" s="90">
        <v>0.9</v>
      </c>
    </row>
    <row r="82" spans="2:4" ht="15" customHeight="1" x14ac:dyDescent="0.25">
      <c r="B82" s="120"/>
      <c r="C82" s="87" t="s">
        <v>42</v>
      </c>
      <c r="D82" s="90">
        <v>0.9</v>
      </c>
    </row>
    <row r="83" spans="2:4" ht="15" customHeight="1" x14ac:dyDescent="0.25">
      <c r="B83" s="120"/>
      <c r="C83" s="87" t="s">
        <v>43</v>
      </c>
      <c r="D83" s="90">
        <v>0.9</v>
      </c>
    </row>
    <row r="84" spans="2:4" ht="15" customHeight="1" x14ac:dyDescent="0.25">
      <c r="B84" s="120"/>
      <c r="C84" s="87" t="s">
        <v>44</v>
      </c>
      <c r="D84" s="90">
        <v>0.9</v>
      </c>
    </row>
    <row r="85" spans="2:4" ht="15" customHeight="1" x14ac:dyDescent="0.25">
      <c r="B85" s="120"/>
      <c r="C85" s="87" t="s">
        <v>45</v>
      </c>
      <c r="D85" s="90">
        <v>0.9</v>
      </c>
    </row>
    <row r="86" spans="2:4" ht="15" customHeight="1" x14ac:dyDescent="0.25">
      <c r="B86" s="120"/>
      <c r="C86" s="87" t="s">
        <v>46</v>
      </c>
      <c r="D86" s="90">
        <v>0.9</v>
      </c>
    </row>
    <row r="87" spans="2:4" ht="15" customHeight="1" x14ac:dyDescent="0.25">
      <c r="B87" s="120"/>
      <c r="C87" s="87" t="s">
        <v>47</v>
      </c>
      <c r="D87" s="90">
        <v>0.9</v>
      </c>
    </row>
    <row r="88" spans="2:4" ht="15" customHeight="1" x14ac:dyDescent="0.25">
      <c r="B88" s="121"/>
      <c r="C88" s="88" t="s">
        <v>48</v>
      </c>
      <c r="D88" s="91">
        <v>0.9</v>
      </c>
    </row>
    <row r="89" spans="2:4" ht="15" customHeight="1" x14ac:dyDescent="0.25">
      <c r="B89" s="119">
        <v>1981</v>
      </c>
      <c r="C89" s="86" t="s">
        <v>36</v>
      </c>
      <c r="D89" s="89">
        <v>0.9</v>
      </c>
    </row>
    <row r="90" spans="2:4" ht="15" customHeight="1" x14ac:dyDescent="0.25">
      <c r="B90" s="120"/>
      <c r="C90" s="87" t="s">
        <v>38</v>
      </c>
      <c r="D90" s="90">
        <v>0.9</v>
      </c>
    </row>
    <row r="91" spans="2:4" ht="15" customHeight="1" x14ac:dyDescent="0.25">
      <c r="B91" s="120"/>
      <c r="C91" s="87" t="s">
        <v>39</v>
      </c>
      <c r="D91" s="90">
        <v>0.9</v>
      </c>
    </row>
    <row r="92" spans="2:4" ht="15" customHeight="1" x14ac:dyDescent="0.25">
      <c r="B92" s="120"/>
      <c r="C92" s="87" t="s">
        <v>40</v>
      </c>
      <c r="D92" s="90">
        <v>0.9</v>
      </c>
    </row>
    <row r="93" spans="2:4" ht="15" customHeight="1" x14ac:dyDescent="0.25">
      <c r="B93" s="120"/>
      <c r="C93" s="87" t="s">
        <v>41</v>
      </c>
      <c r="D93" s="90">
        <v>0.9</v>
      </c>
    </row>
    <row r="94" spans="2:4" ht="15" customHeight="1" x14ac:dyDescent="0.25">
      <c r="B94" s="120"/>
      <c r="C94" s="87" t="s">
        <v>42</v>
      </c>
      <c r="D94" s="90">
        <v>0.9</v>
      </c>
    </row>
    <row r="95" spans="2:4" ht="15" customHeight="1" x14ac:dyDescent="0.25">
      <c r="B95" s="120"/>
      <c r="C95" s="87" t="s">
        <v>43</v>
      </c>
      <c r="D95" s="90">
        <v>0.9</v>
      </c>
    </row>
    <row r="96" spans="2:4" ht="15" customHeight="1" x14ac:dyDescent="0.25">
      <c r="B96" s="120"/>
      <c r="C96" s="87" t="s">
        <v>44</v>
      </c>
      <c r="D96" s="90">
        <v>0.9</v>
      </c>
    </row>
    <row r="97" spans="2:4" ht="15" customHeight="1" x14ac:dyDescent="0.25">
      <c r="B97" s="120"/>
      <c r="C97" s="87" t="s">
        <v>45</v>
      </c>
      <c r="D97" s="90">
        <v>0.9</v>
      </c>
    </row>
    <row r="98" spans="2:4" ht="15" customHeight="1" x14ac:dyDescent="0.25">
      <c r="B98" s="120"/>
      <c r="C98" s="87" t="s">
        <v>46</v>
      </c>
      <c r="D98" s="90">
        <v>0.9</v>
      </c>
    </row>
    <row r="99" spans="2:4" ht="15" customHeight="1" x14ac:dyDescent="0.25">
      <c r="B99" s="120"/>
      <c r="C99" s="87" t="s">
        <v>47</v>
      </c>
      <c r="D99" s="90">
        <v>0.9</v>
      </c>
    </row>
    <row r="100" spans="2:4" ht="15" customHeight="1" x14ac:dyDescent="0.25">
      <c r="B100" s="121"/>
      <c r="C100" s="88" t="s">
        <v>48</v>
      </c>
      <c r="D100" s="91">
        <v>0.9</v>
      </c>
    </row>
    <row r="101" spans="2:4" ht="15" customHeight="1" x14ac:dyDescent="0.25">
      <c r="B101" s="119">
        <v>1982</v>
      </c>
      <c r="C101" s="86" t="s">
        <v>36</v>
      </c>
      <c r="D101" s="89">
        <v>0.9</v>
      </c>
    </row>
    <row r="102" spans="2:4" ht="15" customHeight="1" x14ac:dyDescent="0.25">
      <c r="B102" s="120"/>
      <c r="C102" s="87" t="s">
        <v>38</v>
      </c>
      <c r="D102" s="90">
        <v>0.9</v>
      </c>
    </row>
    <row r="103" spans="2:4" ht="15" customHeight="1" x14ac:dyDescent="0.25">
      <c r="B103" s="120"/>
      <c r="C103" s="87" t="s">
        <v>39</v>
      </c>
      <c r="D103" s="90">
        <v>0.9</v>
      </c>
    </row>
    <row r="104" spans="2:4" ht="15" customHeight="1" x14ac:dyDescent="0.25">
      <c r="B104" s="120"/>
      <c r="C104" s="87" t="s">
        <v>40</v>
      </c>
      <c r="D104" s="90">
        <v>0.9</v>
      </c>
    </row>
    <row r="105" spans="2:4" ht="15" customHeight="1" x14ac:dyDescent="0.25">
      <c r="B105" s="120"/>
      <c r="C105" s="87" t="s">
        <v>41</v>
      </c>
      <c r="D105" s="90">
        <v>0.9</v>
      </c>
    </row>
    <row r="106" spans="2:4" ht="15" customHeight="1" x14ac:dyDescent="0.25">
      <c r="B106" s="120"/>
      <c r="C106" s="87" t="s">
        <v>42</v>
      </c>
      <c r="D106" s="90">
        <v>0.9</v>
      </c>
    </row>
    <row r="107" spans="2:4" ht="15" customHeight="1" x14ac:dyDescent="0.25">
      <c r="B107" s="120"/>
      <c r="C107" s="87" t="s">
        <v>43</v>
      </c>
      <c r="D107" s="90">
        <v>0.9</v>
      </c>
    </row>
    <row r="108" spans="2:4" ht="15" customHeight="1" x14ac:dyDescent="0.25">
      <c r="B108" s="120"/>
      <c r="C108" s="87" t="s">
        <v>44</v>
      </c>
      <c r="D108" s="90">
        <v>0.9</v>
      </c>
    </row>
    <row r="109" spans="2:4" ht="15" customHeight="1" x14ac:dyDescent="0.25">
      <c r="B109" s="120"/>
      <c r="C109" s="87" t="s">
        <v>45</v>
      </c>
      <c r="D109" s="90">
        <v>0.9</v>
      </c>
    </row>
    <row r="110" spans="2:4" ht="15" customHeight="1" x14ac:dyDescent="0.25">
      <c r="B110" s="120"/>
      <c r="C110" s="87" t="s">
        <v>46</v>
      </c>
      <c r="D110" s="90">
        <v>0.9</v>
      </c>
    </row>
    <row r="111" spans="2:4" ht="15" customHeight="1" x14ac:dyDescent="0.25">
      <c r="B111" s="120"/>
      <c r="C111" s="87" t="s">
        <v>47</v>
      </c>
      <c r="D111" s="90">
        <v>0.9</v>
      </c>
    </row>
    <row r="112" spans="2:4" ht="15" customHeight="1" x14ac:dyDescent="0.25">
      <c r="B112" s="121"/>
      <c r="C112" s="88" t="s">
        <v>48</v>
      </c>
      <c r="D112" s="91">
        <v>0.9</v>
      </c>
    </row>
    <row r="113" spans="2:4" ht="15" customHeight="1" x14ac:dyDescent="0.25">
      <c r="B113" s="119">
        <v>1983</v>
      </c>
      <c r="C113" s="86" t="s">
        <v>36</v>
      </c>
      <c r="D113" s="89">
        <v>0.9</v>
      </c>
    </row>
    <row r="114" spans="2:4" ht="15" customHeight="1" x14ac:dyDescent="0.25">
      <c r="B114" s="120"/>
      <c r="C114" s="87" t="s">
        <v>38</v>
      </c>
      <c r="D114" s="90">
        <v>0.9</v>
      </c>
    </row>
    <row r="115" spans="2:4" ht="15" customHeight="1" x14ac:dyDescent="0.25">
      <c r="B115" s="120"/>
      <c r="C115" s="87" t="s">
        <v>39</v>
      </c>
      <c r="D115" s="90">
        <v>0.9</v>
      </c>
    </row>
    <row r="116" spans="2:4" ht="15" customHeight="1" x14ac:dyDescent="0.25">
      <c r="B116" s="120"/>
      <c r="C116" s="87" t="s">
        <v>40</v>
      </c>
      <c r="D116" s="90">
        <v>0.9</v>
      </c>
    </row>
    <row r="117" spans="2:4" ht="15" customHeight="1" x14ac:dyDescent="0.25">
      <c r="B117" s="120"/>
      <c r="C117" s="87" t="s">
        <v>41</v>
      </c>
      <c r="D117" s="90">
        <v>0.9</v>
      </c>
    </row>
    <row r="118" spans="2:4" ht="15" customHeight="1" x14ac:dyDescent="0.25">
      <c r="B118" s="120"/>
      <c r="C118" s="87" t="s">
        <v>42</v>
      </c>
      <c r="D118" s="90">
        <v>0.9</v>
      </c>
    </row>
    <row r="119" spans="2:4" ht="15" customHeight="1" x14ac:dyDescent="0.25">
      <c r="B119" s="120"/>
      <c r="C119" s="87" t="s">
        <v>43</v>
      </c>
      <c r="D119" s="90">
        <v>0.9</v>
      </c>
    </row>
    <row r="120" spans="2:4" ht="15" customHeight="1" x14ac:dyDescent="0.25">
      <c r="B120" s="120"/>
      <c r="C120" s="87" t="s">
        <v>44</v>
      </c>
      <c r="D120" s="90">
        <v>0.9</v>
      </c>
    </row>
    <row r="121" spans="2:4" ht="15" customHeight="1" x14ac:dyDescent="0.25">
      <c r="B121" s="120"/>
      <c r="C121" s="87" t="s">
        <v>45</v>
      </c>
      <c r="D121" s="90">
        <v>0.9</v>
      </c>
    </row>
    <row r="122" spans="2:4" ht="15" customHeight="1" x14ac:dyDescent="0.25">
      <c r="B122" s="120"/>
      <c r="C122" s="87" t="s">
        <v>46</v>
      </c>
      <c r="D122" s="90">
        <v>0.9</v>
      </c>
    </row>
    <row r="123" spans="2:4" ht="15" customHeight="1" x14ac:dyDescent="0.25">
      <c r="B123" s="120"/>
      <c r="C123" s="87" t="s">
        <v>47</v>
      </c>
      <c r="D123" s="90">
        <v>0.9</v>
      </c>
    </row>
    <row r="124" spans="2:4" ht="15" customHeight="1" x14ac:dyDescent="0.25">
      <c r="B124" s="121"/>
      <c r="C124" s="88" t="s">
        <v>48</v>
      </c>
      <c r="D124" s="91">
        <v>0.9</v>
      </c>
    </row>
    <row r="125" spans="2:4" ht="15" customHeight="1" x14ac:dyDescent="0.25">
      <c r="B125" s="119">
        <v>1984</v>
      </c>
      <c r="C125" s="86" t="s">
        <v>36</v>
      </c>
      <c r="D125" s="89">
        <v>0.9</v>
      </c>
    </row>
    <row r="126" spans="2:4" ht="15" customHeight="1" x14ac:dyDescent="0.25">
      <c r="B126" s="120"/>
      <c r="C126" s="87" t="s">
        <v>38</v>
      </c>
      <c r="D126" s="90">
        <v>0.9</v>
      </c>
    </row>
    <row r="127" spans="2:4" ht="15" customHeight="1" x14ac:dyDescent="0.25">
      <c r="B127" s="120"/>
      <c r="C127" s="87" t="s">
        <v>39</v>
      </c>
      <c r="D127" s="90">
        <v>0.9</v>
      </c>
    </row>
    <row r="128" spans="2:4" ht="15" customHeight="1" x14ac:dyDescent="0.25">
      <c r="B128" s="120"/>
      <c r="C128" s="87" t="s">
        <v>40</v>
      </c>
      <c r="D128" s="90">
        <v>0.9</v>
      </c>
    </row>
    <row r="129" spans="2:4" ht="15" customHeight="1" x14ac:dyDescent="0.25">
      <c r="B129" s="120"/>
      <c r="C129" s="87" t="s">
        <v>41</v>
      </c>
      <c r="D129" s="90">
        <v>0.9</v>
      </c>
    </row>
    <row r="130" spans="2:4" ht="15" customHeight="1" x14ac:dyDescent="0.25">
      <c r="B130" s="120"/>
      <c r="C130" s="87" t="s">
        <v>42</v>
      </c>
      <c r="D130" s="90">
        <v>0.9</v>
      </c>
    </row>
    <row r="131" spans="2:4" ht="15" customHeight="1" x14ac:dyDescent="0.25">
      <c r="B131" s="120"/>
      <c r="C131" s="87" t="s">
        <v>43</v>
      </c>
      <c r="D131" s="90">
        <v>0.9</v>
      </c>
    </row>
    <row r="132" spans="2:4" ht="15" customHeight="1" x14ac:dyDescent="0.25">
      <c r="B132" s="120"/>
      <c r="C132" s="87" t="s">
        <v>44</v>
      </c>
      <c r="D132" s="90">
        <v>0.9</v>
      </c>
    </row>
    <row r="133" spans="2:4" ht="15" customHeight="1" x14ac:dyDescent="0.25">
      <c r="B133" s="120"/>
      <c r="C133" s="87" t="s">
        <v>45</v>
      </c>
      <c r="D133" s="90">
        <v>0.9</v>
      </c>
    </row>
    <row r="134" spans="2:4" ht="15" customHeight="1" x14ac:dyDescent="0.25">
      <c r="B134" s="120"/>
      <c r="C134" s="87" t="s">
        <v>46</v>
      </c>
      <c r="D134" s="90">
        <v>0.9</v>
      </c>
    </row>
    <row r="135" spans="2:4" ht="15" customHeight="1" x14ac:dyDescent="0.25">
      <c r="B135" s="120"/>
      <c r="C135" s="87" t="s">
        <v>47</v>
      </c>
      <c r="D135" s="90">
        <v>0.9</v>
      </c>
    </row>
    <row r="136" spans="2:4" ht="15" customHeight="1" x14ac:dyDescent="0.25">
      <c r="B136" s="121"/>
      <c r="C136" s="88" t="s">
        <v>48</v>
      </c>
      <c r="D136" s="91">
        <v>0.9</v>
      </c>
    </row>
    <row r="137" spans="2:4" ht="15" customHeight="1" x14ac:dyDescent="0.25">
      <c r="B137" s="119">
        <v>1985</v>
      </c>
      <c r="C137" s="86" t="s">
        <v>36</v>
      </c>
      <c r="D137" s="89">
        <v>0.9</v>
      </c>
    </row>
    <row r="138" spans="2:4" ht="15" customHeight="1" x14ac:dyDescent="0.25">
      <c r="B138" s="120"/>
      <c r="C138" s="87" t="s">
        <v>38</v>
      </c>
      <c r="D138" s="90">
        <v>0.9</v>
      </c>
    </row>
    <row r="139" spans="2:4" ht="15" customHeight="1" x14ac:dyDescent="0.25">
      <c r="B139" s="120"/>
      <c r="C139" s="87" t="s">
        <v>39</v>
      </c>
      <c r="D139" s="90">
        <v>0.9</v>
      </c>
    </row>
    <row r="140" spans="2:4" ht="15" customHeight="1" x14ac:dyDescent="0.25">
      <c r="B140" s="120"/>
      <c r="C140" s="87" t="s">
        <v>40</v>
      </c>
      <c r="D140" s="90">
        <v>0.9</v>
      </c>
    </row>
    <row r="141" spans="2:4" ht="15" customHeight="1" x14ac:dyDescent="0.25">
      <c r="B141" s="120"/>
      <c r="C141" s="87" t="s">
        <v>41</v>
      </c>
      <c r="D141" s="90">
        <v>0.9</v>
      </c>
    </row>
    <row r="142" spans="2:4" ht="15" customHeight="1" x14ac:dyDescent="0.25">
      <c r="B142" s="120"/>
      <c r="C142" s="87" t="s">
        <v>42</v>
      </c>
      <c r="D142" s="90">
        <v>0.9</v>
      </c>
    </row>
    <row r="143" spans="2:4" ht="15" customHeight="1" x14ac:dyDescent="0.25">
      <c r="B143" s="120"/>
      <c r="C143" s="87" t="s">
        <v>43</v>
      </c>
      <c r="D143" s="90">
        <v>0.9</v>
      </c>
    </row>
    <row r="144" spans="2:4" ht="15" customHeight="1" x14ac:dyDescent="0.25">
      <c r="B144" s="120"/>
      <c r="C144" s="87" t="s">
        <v>44</v>
      </c>
      <c r="D144" s="90">
        <v>0.9</v>
      </c>
    </row>
    <row r="145" spans="2:4" ht="15" customHeight="1" x14ac:dyDescent="0.25">
      <c r="B145" s="120"/>
      <c r="C145" s="87" t="s">
        <v>45</v>
      </c>
      <c r="D145" s="90">
        <v>0.9</v>
      </c>
    </row>
    <row r="146" spans="2:4" ht="15" customHeight="1" x14ac:dyDescent="0.25">
      <c r="B146" s="120"/>
      <c r="C146" s="87" t="s">
        <v>46</v>
      </c>
      <c r="D146" s="90">
        <v>0.9</v>
      </c>
    </row>
    <row r="147" spans="2:4" ht="15" customHeight="1" x14ac:dyDescent="0.25">
      <c r="B147" s="120"/>
      <c r="C147" s="87" t="s">
        <v>47</v>
      </c>
      <c r="D147" s="90">
        <v>0.9</v>
      </c>
    </row>
    <row r="148" spans="2:4" ht="15" customHeight="1" x14ac:dyDescent="0.25">
      <c r="B148" s="121"/>
      <c r="C148" s="88" t="s">
        <v>48</v>
      </c>
      <c r="D148" s="91">
        <v>0.9</v>
      </c>
    </row>
    <row r="149" spans="2:4" ht="15" customHeight="1" x14ac:dyDescent="0.25">
      <c r="B149" s="119">
        <v>1986</v>
      </c>
      <c r="C149" s="86" t="s">
        <v>36</v>
      </c>
      <c r="D149" s="89">
        <v>0.9</v>
      </c>
    </row>
    <row r="150" spans="2:4" ht="15" customHeight="1" x14ac:dyDescent="0.25">
      <c r="B150" s="120"/>
      <c r="C150" s="87" t="s">
        <v>38</v>
      </c>
      <c r="D150" s="90">
        <v>0.9</v>
      </c>
    </row>
    <row r="151" spans="2:4" ht="15" customHeight="1" x14ac:dyDescent="0.25">
      <c r="B151" s="120"/>
      <c r="C151" s="87" t="s">
        <v>39</v>
      </c>
      <c r="D151" s="90">
        <v>0.9</v>
      </c>
    </row>
    <row r="152" spans="2:4" ht="15" customHeight="1" x14ac:dyDescent="0.25">
      <c r="B152" s="120"/>
      <c r="C152" s="87" t="s">
        <v>40</v>
      </c>
      <c r="D152" s="90">
        <v>0.9</v>
      </c>
    </row>
    <row r="153" spans="2:4" ht="15" customHeight="1" x14ac:dyDescent="0.25">
      <c r="B153" s="120"/>
      <c r="C153" s="87" t="s">
        <v>41</v>
      </c>
      <c r="D153" s="90">
        <v>0.9</v>
      </c>
    </row>
    <row r="154" spans="2:4" ht="15" customHeight="1" x14ac:dyDescent="0.25">
      <c r="B154" s="120"/>
      <c r="C154" s="87" t="s">
        <v>42</v>
      </c>
      <c r="D154" s="90">
        <v>0.9</v>
      </c>
    </row>
    <row r="155" spans="2:4" ht="15" customHeight="1" x14ac:dyDescent="0.25">
      <c r="B155" s="120"/>
      <c r="C155" s="87" t="s">
        <v>43</v>
      </c>
      <c r="D155" s="90">
        <v>0.9</v>
      </c>
    </row>
    <row r="156" spans="2:4" ht="15" customHeight="1" x14ac:dyDescent="0.25">
      <c r="B156" s="120"/>
      <c r="C156" s="87" t="s">
        <v>44</v>
      </c>
      <c r="D156" s="90">
        <v>0.9</v>
      </c>
    </row>
    <row r="157" spans="2:4" ht="15" customHeight="1" x14ac:dyDescent="0.25">
      <c r="B157" s="120"/>
      <c r="C157" s="87" t="s">
        <v>45</v>
      </c>
      <c r="D157" s="90">
        <v>0.9</v>
      </c>
    </row>
    <row r="158" spans="2:4" ht="15" customHeight="1" x14ac:dyDescent="0.25">
      <c r="B158" s="120"/>
      <c r="C158" s="87" t="s">
        <v>46</v>
      </c>
      <c r="D158" s="90">
        <v>0.9</v>
      </c>
    </row>
    <row r="159" spans="2:4" ht="15" customHeight="1" x14ac:dyDescent="0.25">
      <c r="B159" s="120"/>
      <c r="C159" s="87" t="s">
        <v>47</v>
      </c>
      <c r="D159" s="90">
        <v>0.9</v>
      </c>
    </row>
    <row r="160" spans="2:4" ht="15" customHeight="1" x14ac:dyDescent="0.25">
      <c r="B160" s="121"/>
      <c r="C160" s="88" t="s">
        <v>48</v>
      </c>
      <c r="D160" s="91">
        <v>0.9</v>
      </c>
    </row>
    <row r="161" spans="2:4" ht="15" customHeight="1" x14ac:dyDescent="0.25">
      <c r="B161" s="119">
        <v>1987</v>
      </c>
      <c r="C161" s="86" t="s">
        <v>36</v>
      </c>
      <c r="D161" s="89">
        <v>2.0099999999999998</v>
      </c>
    </row>
    <row r="162" spans="2:4" ht="15" customHeight="1" x14ac:dyDescent="0.25">
      <c r="B162" s="120"/>
      <c r="C162" s="87" t="s">
        <v>38</v>
      </c>
      <c r="D162" s="90">
        <v>2.0099999999999998</v>
      </c>
    </row>
    <row r="163" spans="2:4" ht="15" customHeight="1" x14ac:dyDescent="0.25">
      <c r="B163" s="120"/>
      <c r="C163" s="87" t="s">
        <v>39</v>
      </c>
      <c r="D163" s="90">
        <v>2.0099999999999998</v>
      </c>
    </row>
    <row r="164" spans="2:4" ht="15" customHeight="1" x14ac:dyDescent="0.25">
      <c r="B164" s="120"/>
      <c r="C164" s="87" t="s">
        <v>40</v>
      </c>
      <c r="D164" s="90">
        <v>2.0099999999999998</v>
      </c>
    </row>
    <row r="165" spans="2:4" ht="15" customHeight="1" x14ac:dyDescent="0.25">
      <c r="B165" s="120"/>
      <c r="C165" s="87" t="s">
        <v>41</v>
      </c>
      <c r="D165" s="90">
        <v>2.0099999999999998</v>
      </c>
    </row>
    <row r="166" spans="2:4" ht="15" customHeight="1" x14ac:dyDescent="0.25">
      <c r="B166" s="120"/>
      <c r="C166" s="87" t="s">
        <v>42</v>
      </c>
      <c r="D166" s="90">
        <v>2.0099999999999998</v>
      </c>
    </row>
    <row r="167" spans="2:4" ht="15" customHeight="1" x14ac:dyDescent="0.25">
      <c r="B167" s="120"/>
      <c r="C167" s="87" t="s">
        <v>43</v>
      </c>
      <c r="D167" s="90">
        <v>2.0099999999999998</v>
      </c>
    </row>
    <row r="168" spans="2:4" ht="15" customHeight="1" x14ac:dyDescent="0.25">
      <c r="B168" s="120"/>
      <c r="C168" s="87" t="s">
        <v>44</v>
      </c>
      <c r="D168" s="90">
        <v>2.0099999999999998</v>
      </c>
    </row>
    <row r="169" spans="2:4" ht="15" customHeight="1" x14ac:dyDescent="0.25">
      <c r="B169" s="120"/>
      <c r="C169" s="87" t="s">
        <v>45</v>
      </c>
      <c r="D169" s="90">
        <v>2.0099999999999998</v>
      </c>
    </row>
    <row r="170" spans="2:4" ht="15" customHeight="1" x14ac:dyDescent="0.25">
      <c r="B170" s="120"/>
      <c r="C170" s="87" t="s">
        <v>46</v>
      </c>
      <c r="D170" s="90">
        <v>2.0099999999999998</v>
      </c>
    </row>
    <row r="171" spans="2:4" ht="15" customHeight="1" x14ac:dyDescent="0.25">
      <c r="B171" s="120"/>
      <c r="C171" s="87" t="s">
        <v>47</v>
      </c>
      <c r="D171" s="90">
        <v>2.0099999999999998</v>
      </c>
    </row>
    <row r="172" spans="2:4" ht="15" customHeight="1" x14ac:dyDescent="0.25">
      <c r="B172" s="121"/>
      <c r="C172" s="88" t="s">
        <v>48</v>
      </c>
      <c r="D172" s="91">
        <v>2.0099999999999998</v>
      </c>
    </row>
    <row r="173" spans="2:4" ht="15" customHeight="1" x14ac:dyDescent="0.25">
      <c r="B173" s="119">
        <v>1988</v>
      </c>
      <c r="C173" s="86" t="s">
        <v>36</v>
      </c>
      <c r="D173" s="89">
        <v>2.0099999999999998</v>
      </c>
    </row>
    <row r="174" spans="2:4" ht="15" customHeight="1" x14ac:dyDescent="0.25">
      <c r="B174" s="120"/>
      <c r="C174" s="87" t="s">
        <v>38</v>
      </c>
      <c r="D174" s="90">
        <v>2.0099999999999998</v>
      </c>
    </row>
    <row r="175" spans="2:4" ht="15" customHeight="1" x14ac:dyDescent="0.25">
      <c r="B175" s="120"/>
      <c r="C175" s="87" t="s">
        <v>39</v>
      </c>
      <c r="D175" s="90">
        <v>2.0099999999999998</v>
      </c>
    </row>
    <row r="176" spans="2:4" ht="15" customHeight="1" x14ac:dyDescent="0.25">
      <c r="B176" s="120"/>
      <c r="C176" s="87" t="s">
        <v>40</v>
      </c>
      <c r="D176" s="90">
        <v>2.0099999999999998</v>
      </c>
    </row>
    <row r="177" spans="2:4" ht="15" customHeight="1" x14ac:dyDescent="0.25">
      <c r="B177" s="120"/>
      <c r="C177" s="87" t="s">
        <v>41</v>
      </c>
      <c r="D177" s="90">
        <v>2.0099999999999998</v>
      </c>
    </row>
    <row r="178" spans="2:4" ht="15" customHeight="1" x14ac:dyDescent="0.25">
      <c r="B178" s="120"/>
      <c r="C178" s="87" t="s">
        <v>42</v>
      </c>
      <c r="D178" s="90">
        <v>2.0099999999999998</v>
      </c>
    </row>
    <row r="179" spans="2:4" ht="15" customHeight="1" x14ac:dyDescent="0.25">
      <c r="B179" s="120"/>
      <c r="C179" s="87" t="s">
        <v>43</v>
      </c>
      <c r="D179" s="90">
        <v>2.0099999999999998</v>
      </c>
    </row>
    <row r="180" spans="2:4" ht="15" customHeight="1" x14ac:dyDescent="0.25">
      <c r="B180" s="120"/>
      <c r="C180" s="87" t="s">
        <v>44</v>
      </c>
      <c r="D180" s="90">
        <v>2.0099999999999998</v>
      </c>
    </row>
    <row r="181" spans="2:4" ht="15" customHeight="1" x14ac:dyDescent="0.25">
      <c r="B181" s="120"/>
      <c r="C181" s="87" t="s">
        <v>45</v>
      </c>
      <c r="D181" s="90">
        <v>2.0099999999999998</v>
      </c>
    </row>
    <row r="182" spans="2:4" ht="15" customHeight="1" x14ac:dyDescent="0.25">
      <c r="B182" s="120"/>
      <c r="C182" s="87" t="s">
        <v>46</v>
      </c>
      <c r="D182" s="90">
        <v>2.0099999999999998</v>
      </c>
    </row>
    <row r="183" spans="2:4" ht="15" customHeight="1" x14ac:dyDescent="0.25">
      <c r="B183" s="120"/>
      <c r="C183" s="87" t="s">
        <v>47</v>
      </c>
      <c r="D183" s="90">
        <v>2.0099999999999998</v>
      </c>
    </row>
    <row r="184" spans="2:4" ht="15" customHeight="1" x14ac:dyDescent="0.25">
      <c r="B184" s="121"/>
      <c r="C184" s="88" t="s">
        <v>48</v>
      </c>
      <c r="D184" s="91">
        <v>2.0099999999999998</v>
      </c>
    </row>
    <row r="185" spans="2:4" ht="15" customHeight="1" x14ac:dyDescent="0.25">
      <c r="B185" s="119">
        <v>1989</v>
      </c>
      <c r="C185" s="86" t="s">
        <v>36</v>
      </c>
      <c r="D185" s="89">
        <v>2.0099999999999998</v>
      </c>
    </row>
    <row r="186" spans="2:4" ht="15" customHeight="1" x14ac:dyDescent="0.25">
      <c r="B186" s="120"/>
      <c r="C186" s="87" t="s">
        <v>38</v>
      </c>
      <c r="D186" s="90">
        <v>2.0099999999999998</v>
      </c>
    </row>
    <row r="187" spans="2:4" ht="15" customHeight="1" x14ac:dyDescent="0.25">
      <c r="B187" s="120"/>
      <c r="C187" s="87" t="s">
        <v>39</v>
      </c>
      <c r="D187" s="90">
        <v>2.0099999999999998</v>
      </c>
    </row>
    <row r="188" spans="2:4" ht="15" customHeight="1" x14ac:dyDescent="0.25">
      <c r="B188" s="120"/>
      <c r="C188" s="87" t="s">
        <v>40</v>
      </c>
      <c r="D188" s="90">
        <v>4</v>
      </c>
    </row>
    <row r="189" spans="2:4" ht="15" customHeight="1" x14ac:dyDescent="0.25">
      <c r="B189" s="120"/>
      <c r="C189" s="87" t="s">
        <v>41</v>
      </c>
      <c r="D189" s="90">
        <v>4</v>
      </c>
    </row>
    <row r="190" spans="2:4" ht="15" customHeight="1" x14ac:dyDescent="0.25">
      <c r="B190" s="120"/>
      <c r="C190" s="87" t="s">
        <v>42</v>
      </c>
      <c r="D190" s="90">
        <v>4</v>
      </c>
    </row>
    <row r="191" spans="2:4" ht="15" customHeight="1" x14ac:dyDescent="0.25">
      <c r="B191" s="120"/>
      <c r="C191" s="87" t="s">
        <v>43</v>
      </c>
      <c r="D191" s="90">
        <v>4</v>
      </c>
    </row>
    <row r="192" spans="2:4" ht="15" customHeight="1" x14ac:dyDescent="0.25">
      <c r="B192" s="120"/>
      <c r="C192" s="87" t="s">
        <v>44</v>
      </c>
      <c r="D192" s="90">
        <v>4</v>
      </c>
    </row>
    <row r="193" spans="2:4" ht="15" customHeight="1" x14ac:dyDescent="0.25">
      <c r="B193" s="120"/>
      <c r="C193" s="87" t="s">
        <v>45</v>
      </c>
      <c r="D193" s="90">
        <v>4</v>
      </c>
    </row>
    <row r="194" spans="2:4" ht="15" customHeight="1" x14ac:dyDescent="0.25">
      <c r="B194" s="120"/>
      <c r="C194" s="87" t="s">
        <v>46</v>
      </c>
      <c r="D194" s="90">
        <v>4</v>
      </c>
    </row>
    <row r="195" spans="2:4" ht="15" customHeight="1" x14ac:dyDescent="0.25">
      <c r="B195" s="120"/>
      <c r="C195" s="87" t="s">
        <v>47</v>
      </c>
      <c r="D195" s="90">
        <v>4</v>
      </c>
    </row>
    <row r="196" spans="2:4" ht="15" customHeight="1" x14ac:dyDescent="0.25">
      <c r="B196" s="121"/>
      <c r="C196" s="88" t="s">
        <v>48</v>
      </c>
      <c r="D196" s="91">
        <v>4</v>
      </c>
    </row>
    <row r="197" spans="2:4" ht="15" customHeight="1" x14ac:dyDescent="0.25">
      <c r="B197" s="119">
        <v>1990</v>
      </c>
      <c r="C197" s="86" t="s">
        <v>36</v>
      </c>
      <c r="D197" s="89">
        <v>4</v>
      </c>
    </row>
    <row r="198" spans="2:4" ht="15" customHeight="1" x14ac:dyDescent="0.25">
      <c r="B198" s="120"/>
      <c r="C198" s="87" t="s">
        <v>38</v>
      </c>
      <c r="D198" s="90">
        <v>4</v>
      </c>
    </row>
    <row r="199" spans="2:4" ht="15" customHeight="1" x14ac:dyDescent="0.25">
      <c r="B199" s="120"/>
      <c r="C199" s="87" t="s">
        <v>39</v>
      </c>
      <c r="D199" s="90">
        <v>4</v>
      </c>
    </row>
    <row r="200" spans="2:4" ht="15" customHeight="1" x14ac:dyDescent="0.25">
      <c r="B200" s="120"/>
      <c r="C200" s="87" t="s">
        <v>40</v>
      </c>
      <c r="D200" s="90">
        <v>4</v>
      </c>
    </row>
    <row r="201" spans="2:4" ht="15" customHeight="1" x14ac:dyDescent="0.25">
      <c r="B201" s="120"/>
      <c r="C201" s="87" t="s">
        <v>41</v>
      </c>
      <c r="D201" s="90">
        <v>4</v>
      </c>
    </row>
    <row r="202" spans="2:4" ht="15" customHeight="1" x14ac:dyDescent="0.25">
      <c r="B202" s="120"/>
      <c r="C202" s="87" t="s">
        <v>42</v>
      </c>
      <c r="D202" s="90">
        <v>4</v>
      </c>
    </row>
    <row r="203" spans="2:4" ht="15" customHeight="1" x14ac:dyDescent="0.25">
      <c r="B203" s="120"/>
      <c r="C203" s="87" t="s">
        <v>43</v>
      </c>
      <c r="D203" s="90">
        <v>4</v>
      </c>
    </row>
    <row r="204" spans="2:4" ht="15" customHeight="1" x14ac:dyDescent="0.25">
      <c r="B204" s="120"/>
      <c r="C204" s="87" t="s">
        <v>44</v>
      </c>
      <c r="D204" s="90">
        <v>4</v>
      </c>
    </row>
    <row r="205" spans="2:4" ht="15" customHeight="1" x14ac:dyDescent="0.25">
      <c r="B205" s="120"/>
      <c r="C205" s="87" t="s">
        <v>45</v>
      </c>
      <c r="D205" s="90">
        <v>4</v>
      </c>
    </row>
    <row r="206" spans="2:4" ht="15" customHeight="1" x14ac:dyDescent="0.25">
      <c r="B206" s="120"/>
      <c r="C206" s="87" t="s">
        <v>46</v>
      </c>
      <c r="D206" s="90">
        <v>4</v>
      </c>
    </row>
    <row r="207" spans="2:4" ht="15" customHeight="1" x14ac:dyDescent="0.25">
      <c r="B207" s="120"/>
      <c r="C207" s="87" t="s">
        <v>47</v>
      </c>
      <c r="D207" s="90">
        <v>4</v>
      </c>
    </row>
    <row r="208" spans="2:4" ht="15" customHeight="1" x14ac:dyDescent="0.25">
      <c r="B208" s="121"/>
      <c r="C208" s="88" t="s">
        <v>48</v>
      </c>
      <c r="D208" s="91">
        <v>4</v>
      </c>
    </row>
    <row r="209" spans="2:4" ht="15" customHeight="1" x14ac:dyDescent="0.25">
      <c r="B209" s="119">
        <v>1991</v>
      </c>
      <c r="C209" s="86" t="s">
        <v>36</v>
      </c>
      <c r="D209" s="89">
        <v>4</v>
      </c>
    </row>
    <row r="210" spans="2:4" ht="15" customHeight="1" x14ac:dyDescent="0.25">
      <c r="B210" s="120"/>
      <c r="C210" s="87" t="s">
        <v>38</v>
      </c>
      <c r="D210" s="90">
        <v>4</v>
      </c>
    </row>
    <row r="211" spans="2:4" ht="15" customHeight="1" x14ac:dyDescent="0.25">
      <c r="B211" s="120"/>
      <c r="C211" s="87" t="s">
        <v>39</v>
      </c>
      <c r="D211" s="90">
        <v>4</v>
      </c>
    </row>
    <row r="212" spans="2:4" ht="15" customHeight="1" x14ac:dyDescent="0.25">
      <c r="B212" s="120"/>
      <c r="C212" s="87" t="s">
        <v>40</v>
      </c>
      <c r="D212" s="90">
        <v>4</v>
      </c>
    </row>
    <row r="213" spans="2:4" ht="15" customHeight="1" x14ac:dyDescent="0.25">
      <c r="B213" s="120"/>
      <c r="C213" s="87" t="s">
        <v>41</v>
      </c>
      <c r="D213" s="90">
        <v>6</v>
      </c>
    </row>
    <row r="214" spans="2:4" ht="15" customHeight="1" x14ac:dyDescent="0.25">
      <c r="B214" s="120"/>
      <c r="C214" s="87" t="s">
        <v>42</v>
      </c>
      <c r="D214" s="90">
        <v>6</v>
      </c>
    </row>
    <row r="215" spans="2:4" ht="15" customHeight="1" x14ac:dyDescent="0.25">
      <c r="B215" s="120"/>
      <c r="C215" s="87" t="s">
        <v>43</v>
      </c>
      <c r="D215" s="90">
        <v>6</v>
      </c>
    </row>
    <row r="216" spans="2:4" ht="15" customHeight="1" x14ac:dyDescent="0.25">
      <c r="B216" s="120"/>
      <c r="C216" s="87" t="s">
        <v>44</v>
      </c>
      <c r="D216" s="90">
        <v>6</v>
      </c>
    </row>
    <row r="217" spans="2:4" ht="15" customHeight="1" x14ac:dyDescent="0.25">
      <c r="B217" s="120"/>
      <c r="C217" s="87" t="s">
        <v>45</v>
      </c>
      <c r="D217" s="90">
        <v>6</v>
      </c>
    </row>
    <row r="218" spans="2:4" ht="15" customHeight="1" x14ac:dyDescent="0.25">
      <c r="B218" s="120"/>
      <c r="C218" s="87" t="s">
        <v>46</v>
      </c>
      <c r="D218" s="90">
        <v>6</v>
      </c>
    </row>
    <row r="219" spans="2:4" ht="15" customHeight="1" x14ac:dyDescent="0.25">
      <c r="B219" s="120"/>
      <c r="C219" s="87" t="s">
        <v>47</v>
      </c>
      <c r="D219" s="90">
        <v>6</v>
      </c>
    </row>
    <row r="220" spans="2:4" ht="15" customHeight="1" x14ac:dyDescent="0.25">
      <c r="B220" s="121"/>
      <c r="C220" s="88" t="s">
        <v>48</v>
      </c>
      <c r="D220" s="91">
        <v>8</v>
      </c>
    </row>
    <row r="221" spans="2:4" ht="15" customHeight="1" x14ac:dyDescent="0.25">
      <c r="B221" s="119">
        <v>1992</v>
      </c>
      <c r="C221" s="86" t="s">
        <v>36</v>
      </c>
      <c r="D221" s="89">
        <v>8</v>
      </c>
    </row>
    <row r="222" spans="2:4" ht="15" customHeight="1" x14ac:dyDescent="0.25">
      <c r="B222" s="120"/>
      <c r="C222" s="87" t="s">
        <v>38</v>
      </c>
      <c r="D222" s="90">
        <v>9</v>
      </c>
    </row>
    <row r="223" spans="2:4" ht="15" customHeight="1" x14ac:dyDescent="0.25">
      <c r="B223" s="120"/>
      <c r="C223" s="87" t="s">
        <v>39</v>
      </c>
      <c r="D223" s="90">
        <v>9</v>
      </c>
    </row>
    <row r="224" spans="2:4" ht="15" customHeight="1" x14ac:dyDescent="0.25">
      <c r="B224" s="120"/>
      <c r="C224" s="87" t="s">
        <v>40</v>
      </c>
      <c r="D224" s="90">
        <v>9</v>
      </c>
    </row>
    <row r="225" spans="2:4" ht="15" customHeight="1" x14ac:dyDescent="0.25">
      <c r="B225" s="120"/>
      <c r="C225" s="87" t="s">
        <v>41</v>
      </c>
      <c r="D225" s="90">
        <v>9</v>
      </c>
    </row>
    <row r="226" spans="2:4" ht="15" customHeight="1" x14ac:dyDescent="0.25">
      <c r="B226" s="120"/>
      <c r="C226" s="87" t="s">
        <v>42</v>
      </c>
      <c r="D226" s="90">
        <v>9</v>
      </c>
    </row>
    <row r="227" spans="2:4" ht="15" customHeight="1" x14ac:dyDescent="0.25">
      <c r="B227" s="120"/>
      <c r="C227" s="87" t="s">
        <v>43</v>
      </c>
      <c r="D227" s="90">
        <v>9</v>
      </c>
    </row>
    <row r="228" spans="2:4" ht="15" customHeight="1" x14ac:dyDescent="0.25">
      <c r="B228" s="120"/>
      <c r="C228" s="87" t="s">
        <v>44</v>
      </c>
      <c r="D228" s="90">
        <v>9</v>
      </c>
    </row>
    <row r="229" spans="2:4" ht="15" customHeight="1" x14ac:dyDescent="0.25">
      <c r="B229" s="120"/>
      <c r="C229" s="87" t="s">
        <v>45</v>
      </c>
      <c r="D229" s="90">
        <v>9</v>
      </c>
    </row>
    <row r="230" spans="2:4" ht="15" customHeight="1" x14ac:dyDescent="0.25">
      <c r="B230" s="120"/>
      <c r="C230" s="87" t="s">
        <v>46</v>
      </c>
      <c r="D230" s="90">
        <v>9</v>
      </c>
    </row>
    <row r="231" spans="2:4" ht="15" customHeight="1" x14ac:dyDescent="0.25">
      <c r="B231" s="120"/>
      <c r="C231" s="87" t="s">
        <v>47</v>
      </c>
      <c r="D231" s="90">
        <v>9</v>
      </c>
    </row>
    <row r="232" spans="2:4" ht="15" customHeight="1" x14ac:dyDescent="0.25">
      <c r="B232" s="121"/>
      <c r="C232" s="88" t="s">
        <v>48</v>
      </c>
      <c r="D232" s="91">
        <v>9</v>
      </c>
    </row>
    <row r="233" spans="2:4" ht="15" customHeight="1" x14ac:dyDescent="0.25">
      <c r="B233" s="119">
        <v>1993</v>
      </c>
      <c r="C233" s="86" t="s">
        <v>36</v>
      </c>
      <c r="D233" s="89">
        <v>9</v>
      </c>
    </row>
    <row r="234" spans="2:4" ht="15" customHeight="1" x14ac:dyDescent="0.25">
      <c r="B234" s="120"/>
      <c r="C234" s="87" t="s">
        <v>38</v>
      </c>
      <c r="D234" s="90">
        <v>9</v>
      </c>
    </row>
    <row r="235" spans="2:4" ht="15" customHeight="1" x14ac:dyDescent="0.25">
      <c r="B235" s="120"/>
      <c r="C235" s="87" t="s">
        <v>39</v>
      </c>
      <c r="D235" s="90">
        <v>9</v>
      </c>
    </row>
    <row r="236" spans="2:4" ht="15" customHeight="1" x14ac:dyDescent="0.25">
      <c r="B236" s="120"/>
      <c r="C236" s="87" t="s">
        <v>40</v>
      </c>
      <c r="D236" s="90">
        <v>9</v>
      </c>
    </row>
    <row r="237" spans="2:4" ht="15" customHeight="1" x14ac:dyDescent="0.25">
      <c r="B237" s="120"/>
      <c r="C237" s="87" t="s">
        <v>41</v>
      </c>
      <c r="D237" s="90">
        <v>9</v>
      </c>
    </row>
    <row r="238" spans="2:4" ht="15" customHeight="1" x14ac:dyDescent="0.25">
      <c r="B238" s="120"/>
      <c r="C238" s="87" t="s">
        <v>42</v>
      </c>
      <c r="D238" s="90">
        <v>9</v>
      </c>
    </row>
    <row r="239" spans="2:4" ht="15" customHeight="1" x14ac:dyDescent="0.25">
      <c r="B239" s="120"/>
      <c r="C239" s="87" t="s">
        <v>43</v>
      </c>
      <c r="D239" s="90">
        <v>9</v>
      </c>
    </row>
    <row r="240" spans="2:4" ht="15" customHeight="1" x14ac:dyDescent="0.25">
      <c r="B240" s="120"/>
      <c r="C240" s="87" t="s">
        <v>44</v>
      </c>
      <c r="D240" s="90">
        <v>9</v>
      </c>
    </row>
    <row r="241" spans="2:4" ht="15" customHeight="1" x14ac:dyDescent="0.25">
      <c r="B241" s="120"/>
      <c r="C241" s="87" t="s">
        <v>45</v>
      </c>
      <c r="D241" s="90">
        <v>9</v>
      </c>
    </row>
    <row r="242" spans="2:4" ht="15" customHeight="1" x14ac:dyDescent="0.25">
      <c r="B242" s="120"/>
      <c r="C242" s="87" t="s">
        <v>46</v>
      </c>
      <c r="D242" s="90">
        <v>9</v>
      </c>
    </row>
    <row r="243" spans="2:4" ht="15" customHeight="1" x14ac:dyDescent="0.25">
      <c r="B243" s="120"/>
      <c r="C243" s="87" t="s">
        <v>47</v>
      </c>
      <c r="D243" s="90">
        <v>9</v>
      </c>
    </row>
    <row r="244" spans="2:4" ht="15" customHeight="1" x14ac:dyDescent="0.25">
      <c r="B244" s="121"/>
      <c r="C244" s="88" t="s">
        <v>48</v>
      </c>
      <c r="D244" s="91">
        <v>9</v>
      </c>
    </row>
    <row r="245" spans="2:4" ht="15" customHeight="1" x14ac:dyDescent="0.25">
      <c r="B245" s="119">
        <v>1994</v>
      </c>
      <c r="C245" s="86" t="s">
        <v>36</v>
      </c>
      <c r="D245" s="89">
        <v>9</v>
      </c>
    </row>
    <row r="246" spans="2:4" ht="15" customHeight="1" x14ac:dyDescent="0.25">
      <c r="B246" s="120"/>
      <c r="C246" s="87" t="s">
        <v>38</v>
      </c>
      <c r="D246" s="90">
        <v>9</v>
      </c>
    </row>
    <row r="247" spans="2:4" ht="15" customHeight="1" x14ac:dyDescent="0.25">
      <c r="B247" s="120"/>
      <c r="C247" s="87" t="s">
        <v>39</v>
      </c>
      <c r="D247" s="90">
        <v>9</v>
      </c>
    </row>
    <row r="248" spans="2:4" ht="15" customHeight="1" x14ac:dyDescent="0.25">
      <c r="B248" s="120"/>
      <c r="C248" s="87" t="s">
        <v>40</v>
      </c>
      <c r="D248" s="90">
        <v>15</v>
      </c>
    </row>
    <row r="249" spans="2:4" ht="15" customHeight="1" x14ac:dyDescent="0.25">
      <c r="B249" s="120"/>
      <c r="C249" s="87" t="s">
        <v>41</v>
      </c>
      <c r="D249" s="90">
        <v>15</v>
      </c>
    </row>
    <row r="250" spans="2:4" ht="15" customHeight="1" x14ac:dyDescent="0.25">
      <c r="B250" s="120"/>
      <c r="C250" s="87" t="s">
        <v>42</v>
      </c>
      <c r="D250" s="90">
        <v>15</v>
      </c>
    </row>
    <row r="251" spans="2:4" ht="15" customHeight="1" x14ac:dyDescent="0.25">
      <c r="B251" s="120"/>
      <c r="C251" s="87" t="s">
        <v>43</v>
      </c>
      <c r="D251" s="90">
        <v>15</v>
      </c>
    </row>
    <row r="252" spans="2:4" ht="15" customHeight="1" x14ac:dyDescent="0.25">
      <c r="B252" s="120"/>
      <c r="C252" s="87" t="s">
        <v>44</v>
      </c>
      <c r="D252" s="90">
        <v>15</v>
      </c>
    </row>
    <row r="253" spans="2:4" ht="15" customHeight="1" x14ac:dyDescent="0.25">
      <c r="B253" s="120"/>
      <c r="C253" s="87" t="s">
        <v>45</v>
      </c>
      <c r="D253" s="90">
        <v>15</v>
      </c>
    </row>
    <row r="254" spans="2:4" ht="15" customHeight="1" x14ac:dyDescent="0.25">
      <c r="B254" s="120"/>
      <c r="C254" s="87" t="s">
        <v>46</v>
      </c>
      <c r="D254" s="90">
        <v>15</v>
      </c>
    </row>
    <row r="255" spans="2:4" ht="15" customHeight="1" x14ac:dyDescent="0.25">
      <c r="B255" s="120"/>
      <c r="C255" s="87" t="s">
        <v>47</v>
      </c>
      <c r="D255" s="90">
        <v>15</v>
      </c>
    </row>
    <row r="256" spans="2:4" ht="15" customHeight="1" x14ac:dyDescent="0.25">
      <c r="B256" s="121"/>
      <c r="C256" s="88" t="s">
        <v>48</v>
      </c>
      <c r="D256" s="91">
        <v>15</v>
      </c>
    </row>
    <row r="257" spans="2:4" ht="15" customHeight="1" x14ac:dyDescent="0.25">
      <c r="B257" s="119">
        <v>1995</v>
      </c>
      <c r="C257" s="86" t="s">
        <v>36</v>
      </c>
      <c r="D257" s="89">
        <v>15</v>
      </c>
    </row>
    <row r="258" spans="2:4" ht="15" customHeight="1" x14ac:dyDescent="0.25">
      <c r="B258" s="120"/>
      <c r="C258" s="87" t="s">
        <v>38</v>
      </c>
      <c r="D258" s="90">
        <v>15</v>
      </c>
    </row>
    <row r="259" spans="2:4" ht="15" customHeight="1" x14ac:dyDescent="0.25">
      <c r="B259" s="120"/>
      <c r="C259" s="87" t="s">
        <v>39</v>
      </c>
      <c r="D259" s="90">
        <v>15</v>
      </c>
    </row>
    <row r="260" spans="2:4" ht="15" customHeight="1" x14ac:dyDescent="0.25">
      <c r="B260" s="120"/>
      <c r="C260" s="87" t="s">
        <v>40</v>
      </c>
      <c r="D260" s="90">
        <v>15</v>
      </c>
    </row>
    <row r="261" spans="2:4" ht="15" customHeight="1" x14ac:dyDescent="0.25">
      <c r="B261" s="120"/>
      <c r="C261" s="87" t="s">
        <v>41</v>
      </c>
      <c r="D261" s="90">
        <v>15</v>
      </c>
    </row>
    <row r="262" spans="2:4" ht="15" customHeight="1" x14ac:dyDescent="0.25">
      <c r="B262" s="120"/>
      <c r="C262" s="87" t="s">
        <v>42</v>
      </c>
      <c r="D262" s="90">
        <v>15</v>
      </c>
    </row>
    <row r="263" spans="2:4" ht="15" customHeight="1" x14ac:dyDescent="0.25">
      <c r="B263" s="120"/>
      <c r="C263" s="87" t="s">
        <v>43</v>
      </c>
      <c r="D263" s="90">
        <v>15</v>
      </c>
    </row>
    <row r="264" spans="2:4" ht="15" customHeight="1" x14ac:dyDescent="0.25">
      <c r="B264" s="120"/>
      <c r="C264" s="87" t="s">
        <v>44</v>
      </c>
      <c r="D264" s="90">
        <v>15</v>
      </c>
    </row>
    <row r="265" spans="2:4" ht="15" customHeight="1" x14ac:dyDescent="0.25">
      <c r="B265" s="120"/>
      <c r="C265" s="87" t="s">
        <v>45</v>
      </c>
      <c r="D265" s="90">
        <v>15</v>
      </c>
    </row>
    <row r="266" spans="2:4" ht="15" customHeight="1" x14ac:dyDescent="0.25">
      <c r="B266" s="120"/>
      <c r="C266" s="87" t="s">
        <v>46</v>
      </c>
      <c r="D266" s="90">
        <v>15</v>
      </c>
    </row>
    <row r="267" spans="2:4" ht="15" customHeight="1" x14ac:dyDescent="0.25">
      <c r="B267" s="120"/>
      <c r="C267" s="87" t="s">
        <v>47</v>
      </c>
      <c r="D267" s="90">
        <v>15</v>
      </c>
    </row>
    <row r="268" spans="2:4" ht="15" customHeight="1" x14ac:dyDescent="0.25">
      <c r="B268" s="121"/>
      <c r="C268" s="88" t="s">
        <v>48</v>
      </c>
      <c r="D268" s="91">
        <v>15</v>
      </c>
    </row>
    <row r="269" spans="2:4" ht="15" customHeight="1" x14ac:dyDescent="0.25">
      <c r="B269" s="119">
        <v>1996</v>
      </c>
      <c r="C269" s="86" t="s">
        <v>36</v>
      </c>
      <c r="D269" s="89">
        <v>15</v>
      </c>
    </row>
    <row r="270" spans="2:4" ht="15" customHeight="1" x14ac:dyDescent="0.25">
      <c r="B270" s="120"/>
      <c r="C270" s="87" t="s">
        <v>38</v>
      </c>
      <c r="D270" s="90">
        <v>15</v>
      </c>
    </row>
    <row r="271" spans="2:4" ht="15" customHeight="1" x14ac:dyDescent="0.25">
      <c r="B271" s="120"/>
      <c r="C271" s="87" t="s">
        <v>39</v>
      </c>
      <c r="D271" s="90">
        <v>15</v>
      </c>
    </row>
    <row r="272" spans="2:4" ht="15" customHeight="1" x14ac:dyDescent="0.25">
      <c r="B272" s="120"/>
      <c r="C272" s="87" t="s">
        <v>40</v>
      </c>
      <c r="D272" s="90">
        <v>15</v>
      </c>
    </row>
    <row r="273" spans="2:4" ht="15" customHeight="1" x14ac:dyDescent="0.25">
      <c r="B273" s="120"/>
      <c r="C273" s="87" t="s">
        <v>41</v>
      </c>
      <c r="D273" s="90">
        <v>15</v>
      </c>
    </row>
    <row r="274" spans="2:4" ht="15" customHeight="1" x14ac:dyDescent="0.25">
      <c r="B274" s="120"/>
      <c r="C274" s="87" t="s">
        <v>42</v>
      </c>
      <c r="D274" s="90">
        <v>15</v>
      </c>
    </row>
    <row r="275" spans="2:4" ht="15" customHeight="1" x14ac:dyDescent="0.25">
      <c r="B275" s="120"/>
      <c r="C275" s="87" t="s">
        <v>43</v>
      </c>
      <c r="D275" s="90">
        <v>15</v>
      </c>
    </row>
    <row r="276" spans="2:4" ht="15" customHeight="1" x14ac:dyDescent="0.25">
      <c r="B276" s="120"/>
      <c r="C276" s="87" t="s">
        <v>44</v>
      </c>
      <c r="D276" s="90">
        <v>15</v>
      </c>
    </row>
    <row r="277" spans="2:4" ht="15" customHeight="1" x14ac:dyDescent="0.25">
      <c r="B277" s="120"/>
      <c r="C277" s="87" t="s">
        <v>45</v>
      </c>
      <c r="D277" s="90">
        <v>15</v>
      </c>
    </row>
    <row r="278" spans="2:4" ht="15" customHeight="1" x14ac:dyDescent="0.25">
      <c r="B278" s="120"/>
      <c r="C278" s="87" t="s">
        <v>46</v>
      </c>
      <c r="D278" s="90">
        <v>15</v>
      </c>
    </row>
    <row r="279" spans="2:4" ht="15" customHeight="1" x14ac:dyDescent="0.25">
      <c r="B279" s="120"/>
      <c r="C279" s="87" t="s">
        <v>47</v>
      </c>
      <c r="D279" s="90">
        <v>15</v>
      </c>
    </row>
    <row r="280" spans="2:4" ht="15" customHeight="1" x14ac:dyDescent="0.25">
      <c r="B280" s="121"/>
      <c r="C280" s="88" t="s">
        <v>48</v>
      </c>
      <c r="D280" s="91">
        <v>15</v>
      </c>
    </row>
    <row r="281" spans="2:4" ht="15" customHeight="1" x14ac:dyDescent="0.25">
      <c r="B281" s="119">
        <v>1997</v>
      </c>
      <c r="C281" s="86" t="s">
        <v>36</v>
      </c>
      <c r="D281" s="89">
        <v>15</v>
      </c>
    </row>
    <row r="282" spans="2:4" ht="15" customHeight="1" x14ac:dyDescent="0.25">
      <c r="B282" s="120"/>
      <c r="C282" s="87" t="s">
        <v>38</v>
      </c>
      <c r="D282" s="90">
        <v>15</v>
      </c>
    </row>
    <row r="283" spans="2:4" ht="15" customHeight="1" x14ac:dyDescent="0.25">
      <c r="B283" s="120"/>
      <c r="C283" s="87" t="s">
        <v>39</v>
      </c>
      <c r="D283" s="90">
        <v>15</v>
      </c>
    </row>
    <row r="284" spans="2:4" ht="15" customHeight="1" x14ac:dyDescent="0.25">
      <c r="B284" s="120"/>
      <c r="C284" s="87" t="s">
        <v>40</v>
      </c>
      <c r="D284" s="90">
        <v>15</v>
      </c>
    </row>
    <row r="285" spans="2:4" ht="15" customHeight="1" x14ac:dyDescent="0.25">
      <c r="B285" s="120"/>
      <c r="C285" s="87" t="s">
        <v>41</v>
      </c>
      <c r="D285" s="90">
        <v>15</v>
      </c>
    </row>
    <row r="286" spans="2:4" ht="15" customHeight="1" x14ac:dyDescent="0.25">
      <c r="B286" s="120"/>
      <c r="C286" s="87" t="s">
        <v>42</v>
      </c>
      <c r="D286" s="90">
        <v>75</v>
      </c>
    </row>
    <row r="287" spans="2:4" ht="15" customHeight="1" x14ac:dyDescent="0.25">
      <c r="B287" s="120"/>
      <c r="C287" s="87" t="s">
        <v>43</v>
      </c>
      <c r="D287" s="90">
        <v>75</v>
      </c>
    </row>
    <row r="288" spans="2:4" ht="15" customHeight="1" x14ac:dyDescent="0.25">
      <c r="B288" s="120"/>
      <c r="C288" s="87" t="s">
        <v>44</v>
      </c>
      <c r="D288" s="90">
        <v>75</v>
      </c>
    </row>
    <row r="289" spans="2:4" ht="15" customHeight="1" x14ac:dyDescent="0.25">
      <c r="B289" s="120"/>
      <c r="C289" s="87" t="s">
        <v>45</v>
      </c>
      <c r="D289" s="90">
        <v>75</v>
      </c>
    </row>
    <row r="290" spans="2:4" ht="15" customHeight="1" x14ac:dyDescent="0.25">
      <c r="B290" s="120"/>
      <c r="C290" s="87" t="s">
        <v>46</v>
      </c>
      <c r="D290" s="90">
        <v>75</v>
      </c>
    </row>
    <row r="291" spans="2:4" ht="15" customHeight="1" x14ac:dyDescent="0.25">
      <c r="B291" s="120"/>
      <c r="C291" s="87" t="s">
        <v>47</v>
      </c>
      <c r="D291" s="90">
        <v>75</v>
      </c>
    </row>
    <row r="292" spans="2:4" ht="15" customHeight="1" x14ac:dyDescent="0.25">
      <c r="B292" s="121"/>
      <c r="C292" s="88" t="s">
        <v>48</v>
      </c>
      <c r="D292" s="91">
        <v>75</v>
      </c>
    </row>
    <row r="293" spans="2:4" ht="15" customHeight="1" x14ac:dyDescent="0.25">
      <c r="B293" s="119">
        <v>1998</v>
      </c>
      <c r="C293" s="86" t="s">
        <v>36</v>
      </c>
      <c r="D293" s="89">
        <v>75</v>
      </c>
    </row>
    <row r="294" spans="2:4" ht="15" customHeight="1" x14ac:dyDescent="0.25">
      <c r="B294" s="120"/>
      <c r="C294" s="87" t="s">
        <v>38</v>
      </c>
      <c r="D294" s="90">
        <v>75</v>
      </c>
    </row>
    <row r="295" spans="2:4" ht="15" customHeight="1" x14ac:dyDescent="0.25">
      <c r="B295" s="120"/>
      <c r="C295" s="87" t="s">
        <v>39</v>
      </c>
      <c r="D295" s="90">
        <v>75</v>
      </c>
    </row>
    <row r="296" spans="2:4" ht="15" customHeight="1" x14ac:dyDescent="0.25">
      <c r="B296" s="120"/>
      <c r="C296" s="87" t="s">
        <v>40</v>
      </c>
      <c r="D296" s="90">
        <v>75</v>
      </c>
    </row>
    <row r="297" spans="2:4" ht="15" customHeight="1" x14ac:dyDescent="0.25">
      <c r="B297" s="120"/>
      <c r="C297" s="87" t="s">
        <v>41</v>
      </c>
      <c r="D297" s="90">
        <v>100</v>
      </c>
    </row>
    <row r="298" spans="2:4" ht="15" customHeight="1" x14ac:dyDescent="0.25">
      <c r="B298" s="120"/>
      <c r="C298" s="87" t="s">
        <v>42</v>
      </c>
      <c r="D298" s="90">
        <v>100</v>
      </c>
    </row>
    <row r="299" spans="2:4" ht="15" customHeight="1" x14ac:dyDescent="0.25">
      <c r="B299" s="120"/>
      <c r="C299" s="87" t="s">
        <v>43</v>
      </c>
      <c r="D299" s="90">
        <v>100</v>
      </c>
    </row>
    <row r="300" spans="2:4" ht="15" customHeight="1" x14ac:dyDescent="0.25">
      <c r="B300" s="120"/>
      <c r="C300" s="87" t="s">
        <v>44</v>
      </c>
      <c r="D300" s="90">
        <v>100</v>
      </c>
    </row>
    <row r="301" spans="2:4" ht="15" customHeight="1" x14ac:dyDescent="0.25">
      <c r="B301" s="120"/>
      <c r="C301" s="87" t="s">
        <v>45</v>
      </c>
      <c r="D301" s="90">
        <v>100</v>
      </c>
    </row>
    <row r="302" spans="2:4" ht="15" customHeight="1" x14ac:dyDescent="0.25">
      <c r="B302" s="120"/>
      <c r="C302" s="87" t="s">
        <v>46</v>
      </c>
      <c r="D302" s="90">
        <v>100</v>
      </c>
    </row>
    <row r="303" spans="2:4" ht="15" customHeight="1" x14ac:dyDescent="0.25">
      <c r="B303" s="120"/>
      <c r="C303" s="87" t="s">
        <v>47</v>
      </c>
      <c r="D303" s="90">
        <v>100</v>
      </c>
    </row>
    <row r="304" spans="2:4" ht="15" customHeight="1" x14ac:dyDescent="0.25">
      <c r="B304" s="121"/>
      <c r="C304" s="88" t="s">
        <v>48</v>
      </c>
      <c r="D304" s="91">
        <v>100</v>
      </c>
    </row>
    <row r="305" spans="2:4" ht="15" customHeight="1" x14ac:dyDescent="0.25">
      <c r="B305" s="119">
        <v>1999</v>
      </c>
      <c r="C305" s="86" t="s">
        <v>36</v>
      </c>
      <c r="D305" s="89">
        <v>100</v>
      </c>
    </row>
    <row r="306" spans="2:4" ht="15" customHeight="1" x14ac:dyDescent="0.25">
      <c r="B306" s="120"/>
      <c r="C306" s="87" t="s">
        <v>38</v>
      </c>
      <c r="D306" s="90">
        <v>100</v>
      </c>
    </row>
    <row r="307" spans="2:4" ht="15" customHeight="1" x14ac:dyDescent="0.25">
      <c r="B307" s="120"/>
      <c r="C307" s="87" t="s">
        <v>39</v>
      </c>
      <c r="D307" s="90">
        <v>100</v>
      </c>
    </row>
    <row r="308" spans="2:4" ht="15" customHeight="1" x14ac:dyDescent="0.25">
      <c r="B308" s="120"/>
      <c r="C308" s="87" t="s">
        <v>40</v>
      </c>
      <c r="D308" s="90">
        <v>100</v>
      </c>
    </row>
    <row r="309" spans="2:4" ht="15" customHeight="1" x14ac:dyDescent="0.25">
      <c r="B309" s="120"/>
      <c r="C309" s="87" t="s">
        <v>41</v>
      </c>
      <c r="D309" s="90">
        <v>120</v>
      </c>
    </row>
    <row r="310" spans="2:4" ht="15" customHeight="1" x14ac:dyDescent="0.25">
      <c r="B310" s="120"/>
      <c r="C310" s="87" t="s">
        <v>42</v>
      </c>
      <c r="D310" s="90">
        <v>120</v>
      </c>
    </row>
    <row r="311" spans="2:4" ht="15" customHeight="1" x14ac:dyDescent="0.25">
      <c r="B311" s="120"/>
      <c r="C311" s="87" t="s">
        <v>43</v>
      </c>
      <c r="D311" s="90">
        <v>120</v>
      </c>
    </row>
    <row r="312" spans="2:4" ht="15" customHeight="1" x14ac:dyDescent="0.25">
      <c r="B312" s="120"/>
      <c r="C312" s="87" t="s">
        <v>44</v>
      </c>
      <c r="D312" s="90">
        <v>120</v>
      </c>
    </row>
    <row r="313" spans="2:4" ht="15" customHeight="1" x14ac:dyDescent="0.25">
      <c r="B313" s="120"/>
      <c r="C313" s="87" t="s">
        <v>45</v>
      </c>
      <c r="D313" s="90">
        <v>120</v>
      </c>
    </row>
    <row r="314" spans="2:4" ht="15" customHeight="1" x14ac:dyDescent="0.25">
      <c r="B314" s="120"/>
      <c r="C314" s="87" t="s">
        <v>46</v>
      </c>
      <c r="D314" s="90">
        <v>120</v>
      </c>
    </row>
    <row r="315" spans="2:4" ht="15" customHeight="1" x14ac:dyDescent="0.25">
      <c r="B315" s="120"/>
      <c r="C315" s="87" t="s">
        <v>47</v>
      </c>
      <c r="D315" s="90">
        <v>120</v>
      </c>
    </row>
    <row r="316" spans="2:4" ht="15" customHeight="1" x14ac:dyDescent="0.25">
      <c r="B316" s="121"/>
      <c r="C316" s="88" t="s">
        <v>48</v>
      </c>
      <c r="D316" s="91">
        <v>120</v>
      </c>
    </row>
    <row r="317" spans="2:4" ht="15" customHeight="1" x14ac:dyDescent="0.25">
      <c r="B317" s="119">
        <v>2000</v>
      </c>
      <c r="C317" s="86" t="s">
        <v>36</v>
      </c>
      <c r="D317" s="89">
        <v>120</v>
      </c>
    </row>
    <row r="318" spans="2:4" ht="15" customHeight="1" x14ac:dyDescent="0.25">
      <c r="B318" s="120"/>
      <c r="C318" s="87" t="s">
        <v>38</v>
      </c>
      <c r="D318" s="90">
        <v>120</v>
      </c>
    </row>
    <row r="319" spans="2:4" ht="15" customHeight="1" x14ac:dyDescent="0.25">
      <c r="B319" s="120"/>
      <c r="C319" s="87" t="s">
        <v>39</v>
      </c>
      <c r="D319" s="90">
        <v>120</v>
      </c>
    </row>
    <row r="320" spans="2:4" ht="15" customHeight="1" x14ac:dyDescent="0.25">
      <c r="B320" s="120"/>
      <c r="C320" s="87" t="s">
        <v>40</v>
      </c>
      <c r="D320" s="90">
        <v>120</v>
      </c>
    </row>
    <row r="321" spans="2:4" ht="15" customHeight="1" x14ac:dyDescent="0.25">
      <c r="B321" s="120"/>
      <c r="C321" s="87" t="s">
        <v>41</v>
      </c>
      <c r="D321" s="90">
        <v>144</v>
      </c>
    </row>
    <row r="322" spans="2:4" ht="15" customHeight="1" x14ac:dyDescent="0.25">
      <c r="B322" s="120"/>
      <c r="C322" s="87" t="s">
        <v>42</v>
      </c>
      <c r="D322" s="90">
        <v>144</v>
      </c>
    </row>
    <row r="323" spans="2:4" ht="15" customHeight="1" x14ac:dyDescent="0.25">
      <c r="B323" s="120"/>
      <c r="C323" s="87" t="s">
        <v>43</v>
      </c>
      <c r="D323" s="90">
        <v>144</v>
      </c>
    </row>
    <row r="324" spans="2:4" ht="15" customHeight="1" x14ac:dyDescent="0.25">
      <c r="B324" s="120"/>
      <c r="C324" s="87" t="s">
        <v>44</v>
      </c>
      <c r="D324" s="90">
        <v>144</v>
      </c>
    </row>
    <row r="325" spans="2:4" ht="15" customHeight="1" x14ac:dyDescent="0.25">
      <c r="B325" s="120"/>
      <c r="C325" s="87" t="s">
        <v>45</v>
      </c>
      <c r="D325" s="90">
        <v>144</v>
      </c>
    </row>
    <row r="326" spans="2:4" ht="15" customHeight="1" x14ac:dyDescent="0.25">
      <c r="B326" s="120"/>
      <c r="C326" s="87" t="s">
        <v>46</v>
      </c>
      <c r="D326" s="90">
        <v>144</v>
      </c>
    </row>
    <row r="327" spans="2:4" ht="15" customHeight="1" x14ac:dyDescent="0.25">
      <c r="B327" s="120"/>
      <c r="C327" s="87" t="s">
        <v>47</v>
      </c>
      <c r="D327" s="90">
        <v>144</v>
      </c>
    </row>
    <row r="328" spans="2:4" ht="15" customHeight="1" x14ac:dyDescent="0.25">
      <c r="B328" s="121"/>
      <c r="C328" s="88" t="s">
        <v>48</v>
      </c>
      <c r="D328" s="91">
        <v>144</v>
      </c>
    </row>
    <row r="329" spans="2:4" ht="15" customHeight="1" x14ac:dyDescent="0.25">
      <c r="B329" s="119">
        <v>2001</v>
      </c>
      <c r="C329" s="86" t="s">
        <v>36</v>
      </c>
      <c r="D329" s="89">
        <v>144</v>
      </c>
    </row>
    <row r="330" spans="2:4" ht="15" customHeight="1" x14ac:dyDescent="0.25">
      <c r="B330" s="120"/>
      <c r="C330" s="87" t="s">
        <v>38</v>
      </c>
      <c r="D330" s="90">
        <v>144</v>
      </c>
    </row>
    <row r="331" spans="2:4" ht="15" customHeight="1" x14ac:dyDescent="0.25">
      <c r="B331" s="120"/>
      <c r="C331" s="87" t="s">
        <v>39</v>
      </c>
      <c r="D331" s="90">
        <v>144</v>
      </c>
    </row>
    <row r="332" spans="2:4" ht="15" customHeight="1" x14ac:dyDescent="0.25">
      <c r="B332" s="120"/>
      <c r="C332" s="87" t="s">
        <v>40</v>
      </c>
      <c r="D332" s="90">
        <v>144</v>
      </c>
    </row>
    <row r="333" spans="2:4" ht="15" customHeight="1" x14ac:dyDescent="0.25">
      <c r="B333" s="120"/>
      <c r="C333" s="87" t="s">
        <v>41</v>
      </c>
      <c r="D333" s="90">
        <v>158.4</v>
      </c>
    </row>
    <row r="334" spans="2:4" ht="15" customHeight="1" x14ac:dyDescent="0.25">
      <c r="B334" s="120"/>
      <c r="C334" s="87" t="s">
        <v>42</v>
      </c>
      <c r="D334" s="90">
        <v>158.4</v>
      </c>
    </row>
    <row r="335" spans="2:4" ht="15" customHeight="1" x14ac:dyDescent="0.25">
      <c r="B335" s="120"/>
      <c r="C335" s="87" t="s">
        <v>43</v>
      </c>
      <c r="D335" s="90">
        <v>158.4</v>
      </c>
    </row>
    <row r="336" spans="2:4" ht="15" customHeight="1" x14ac:dyDescent="0.25">
      <c r="B336" s="120"/>
      <c r="C336" s="87" t="s">
        <v>44</v>
      </c>
      <c r="D336" s="90">
        <v>158.4</v>
      </c>
    </row>
    <row r="337" spans="2:4" ht="15" customHeight="1" x14ac:dyDescent="0.25">
      <c r="B337" s="120"/>
      <c r="C337" s="87" t="s">
        <v>45</v>
      </c>
      <c r="D337" s="90">
        <v>158.4</v>
      </c>
    </row>
    <row r="338" spans="2:4" ht="15" customHeight="1" x14ac:dyDescent="0.25">
      <c r="B338" s="120"/>
      <c r="C338" s="87" t="s">
        <v>46</v>
      </c>
      <c r="D338" s="90">
        <v>158.4</v>
      </c>
    </row>
    <row r="339" spans="2:4" ht="15" customHeight="1" x14ac:dyDescent="0.25">
      <c r="B339" s="120"/>
      <c r="C339" s="87" t="s">
        <v>47</v>
      </c>
      <c r="D339" s="90">
        <v>158.4</v>
      </c>
    </row>
    <row r="340" spans="2:4" ht="15" customHeight="1" x14ac:dyDescent="0.25">
      <c r="B340" s="121"/>
      <c r="C340" s="88" t="s">
        <v>48</v>
      </c>
      <c r="D340" s="91">
        <v>158.4</v>
      </c>
    </row>
    <row r="341" spans="2:4" ht="15" customHeight="1" x14ac:dyDescent="0.25">
      <c r="B341" s="119">
        <v>2002</v>
      </c>
      <c r="C341" s="86" t="s">
        <v>36</v>
      </c>
      <c r="D341" s="89">
        <v>158.4</v>
      </c>
    </row>
    <row r="342" spans="2:4" ht="15" customHeight="1" x14ac:dyDescent="0.25">
      <c r="B342" s="120"/>
      <c r="C342" s="87" t="s">
        <v>38</v>
      </c>
      <c r="D342" s="90">
        <v>158.4</v>
      </c>
    </row>
    <row r="343" spans="2:4" ht="15" customHeight="1" x14ac:dyDescent="0.25">
      <c r="B343" s="120"/>
      <c r="C343" s="87" t="s">
        <v>39</v>
      </c>
      <c r="D343" s="90">
        <v>158.4</v>
      </c>
    </row>
    <row r="344" spans="2:4" ht="15" customHeight="1" x14ac:dyDescent="0.25">
      <c r="B344" s="120"/>
      <c r="C344" s="87" t="s">
        <v>40</v>
      </c>
      <c r="D344" s="90">
        <v>158.4</v>
      </c>
    </row>
    <row r="345" spans="2:4" ht="15" customHeight="1" x14ac:dyDescent="0.25">
      <c r="B345" s="120"/>
      <c r="C345" s="87" t="s">
        <v>41</v>
      </c>
      <c r="D345" s="90">
        <v>190.08</v>
      </c>
    </row>
    <row r="346" spans="2:4" ht="15" customHeight="1" x14ac:dyDescent="0.25">
      <c r="B346" s="120"/>
      <c r="C346" s="87" t="s">
        <v>42</v>
      </c>
      <c r="D346" s="90">
        <v>190.08</v>
      </c>
    </row>
    <row r="347" spans="2:4" ht="15" customHeight="1" x14ac:dyDescent="0.25">
      <c r="B347" s="120"/>
      <c r="C347" s="87" t="s">
        <v>43</v>
      </c>
      <c r="D347" s="90">
        <v>190.08</v>
      </c>
    </row>
    <row r="348" spans="2:4" ht="15" customHeight="1" x14ac:dyDescent="0.25">
      <c r="B348" s="120"/>
      <c r="C348" s="87" t="s">
        <v>44</v>
      </c>
      <c r="D348" s="90">
        <v>190.08</v>
      </c>
    </row>
    <row r="349" spans="2:4" ht="15" customHeight="1" x14ac:dyDescent="0.25">
      <c r="B349" s="120"/>
      <c r="C349" s="87" t="s">
        <v>45</v>
      </c>
      <c r="D349" s="90">
        <v>190.08</v>
      </c>
    </row>
    <row r="350" spans="2:4" ht="15" customHeight="1" x14ac:dyDescent="0.25">
      <c r="B350" s="120"/>
      <c r="C350" s="87" t="s">
        <v>46</v>
      </c>
      <c r="D350" s="90">
        <v>190.08</v>
      </c>
    </row>
    <row r="351" spans="2:4" ht="15" customHeight="1" x14ac:dyDescent="0.25">
      <c r="B351" s="120"/>
      <c r="C351" s="87" t="s">
        <v>47</v>
      </c>
      <c r="D351" s="90">
        <v>190.08</v>
      </c>
    </row>
    <row r="352" spans="2:4" ht="15" customHeight="1" x14ac:dyDescent="0.25">
      <c r="B352" s="121"/>
      <c r="C352" s="88" t="s">
        <v>48</v>
      </c>
      <c r="D352" s="91">
        <v>190.08</v>
      </c>
    </row>
    <row r="353" spans="2:4" ht="15" customHeight="1" x14ac:dyDescent="0.25">
      <c r="B353" s="119">
        <v>2003</v>
      </c>
      <c r="C353" s="86" t="s">
        <v>36</v>
      </c>
      <c r="D353" s="89">
        <v>190.08</v>
      </c>
    </row>
    <row r="354" spans="2:4" ht="15" customHeight="1" x14ac:dyDescent="0.25">
      <c r="B354" s="120"/>
      <c r="C354" s="87" t="s">
        <v>38</v>
      </c>
      <c r="D354" s="90">
        <v>190.08</v>
      </c>
    </row>
    <row r="355" spans="2:4" ht="15" customHeight="1" x14ac:dyDescent="0.25">
      <c r="B355" s="120"/>
      <c r="C355" s="87" t="s">
        <v>39</v>
      </c>
      <c r="D355" s="90">
        <v>190.08</v>
      </c>
    </row>
    <row r="356" spans="2:4" ht="15" customHeight="1" x14ac:dyDescent="0.25">
      <c r="B356" s="120"/>
      <c r="C356" s="87" t="s">
        <v>40</v>
      </c>
      <c r="D356" s="90">
        <v>190.08</v>
      </c>
    </row>
    <row r="357" spans="2:4" ht="15" customHeight="1" x14ac:dyDescent="0.25">
      <c r="B357" s="120"/>
      <c r="C357" s="87" t="s">
        <v>41</v>
      </c>
      <c r="D357" s="90">
        <v>190.08</v>
      </c>
    </row>
    <row r="358" spans="2:4" ht="15" customHeight="1" x14ac:dyDescent="0.25">
      <c r="B358" s="120"/>
      <c r="C358" s="87" t="s">
        <v>42</v>
      </c>
      <c r="D358" s="90">
        <v>190.08</v>
      </c>
    </row>
    <row r="359" spans="2:4" ht="15" customHeight="1" x14ac:dyDescent="0.25">
      <c r="B359" s="120"/>
      <c r="C359" s="87" t="s">
        <v>43</v>
      </c>
      <c r="D359" s="90">
        <v>209.09</v>
      </c>
    </row>
    <row r="360" spans="2:4" ht="15" customHeight="1" x14ac:dyDescent="0.25">
      <c r="B360" s="120"/>
      <c r="C360" s="87" t="s">
        <v>44</v>
      </c>
      <c r="D360" s="90">
        <v>209.09</v>
      </c>
    </row>
    <row r="361" spans="2:4" ht="15" customHeight="1" x14ac:dyDescent="0.25">
      <c r="B361" s="120"/>
      <c r="C361" s="87" t="s">
        <v>45</v>
      </c>
      <c r="D361" s="90">
        <v>209.09</v>
      </c>
    </row>
    <row r="362" spans="2:4" ht="15" customHeight="1" x14ac:dyDescent="0.25">
      <c r="B362" s="120"/>
      <c r="C362" s="87" t="s">
        <v>46</v>
      </c>
      <c r="D362" s="90">
        <v>247.10400000000001</v>
      </c>
    </row>
    <row r="363" spans="2:4" ht="15" customHeight="1" x14ac:dyDescent="0.25">
      <c r="B363" s="120"/>
      <c r="C363" s="87" t="s">
        <v>47</v>
      </c>
      <c r="D363" s="90">
        <v>247.10400000000001</v>
      </c>
    </row>
    <row r="364" spans="2:4" ht="15" customHeight="1" x14ac:dyDescent="0.25">
      <c r="B364" s="121"/>
      <c r="C364" s="88" t="s">
        <v>48</v>
      </c>
      <c r="D364" s="91">
        <v>247.10400000000001</v>
      </c>
    </row>
    <row r="365" spans="2:4" ht="15" customHeight="1" x14ac:dyDescent="0.25">
      <c r="B365" s="119">
        <v>2004</v>
      </c>
      <c r="C365" s="86" t="s">
        <v>36</v>
      </c>
      <c r="D365" s="89">
        <v>247.10400000000001</v>
      </c>
    </row>
    <row r="366" spans="2:4" ht="15" customHeight="1" x14ac:dyDescent="0.25">
      <c r="B366" s="120"/>
      <c r="C366" s="87" t="s">
        <v>38</v>
      </c>
      <c r="D366" s="90">
        <v>247.10400000000001</v>
      </c>
    </row>
    <row r="367" spans="2:4" ht="15" customHeight="1" x14ac:dyDescent="0.25">
      <c r="B367" s="120"/>
      <c r="C367" s="87" t="s">
        <v>39</v>
      </c>
      <c r="D367" s="90">
        <v>247.10400000000001</v>
      </c>
    </row>
    <row r="368" spans="2:4" ht="15" customHeight="1" x14ac:dyDescent="0.25">
      <c r="B368" s="120"/>
      <c r="C368" s="87" t="s">
        <v>40</v>
      </c>
      <c r="D368" s="90">
        <v>247.10400000000001</v>
      </c>
    </row>
    <row r="369" spans="2:4" ht="15" customHeight="1" x14ac:dyDescent="0.25">
      <c r="B369" s="120"/>
      <c r="C369" s="87" t="s">
        <v>41</v>
      </c>
      <c r="D369" s="90">
        <v>296.52</v>
      </c>
    </row>
    <row r="370" spans="2:4" ht="15" customHeight="1" x14ac:dyDescent="0.25">
      <c r="B370" s="120"/>
      <c r="C370" s="87" t="s">
        <v>42</v>
      </c>
      <c r="D370" s="90">
        <v>296.52</v>
      </c>
    </row>
    <row r="371" spans="2:4" ht="15" customHeight="1" x14ac:dyDescent="0.25">
      <c r="B371" s="120"/>
      <c r="C371" s="87" t="s">
        <v>43</v>
      </c>
      <c r="D371" s="90">
        <v>296.52</v>
      </c>
    </row>
    <row r="372" spans="2:4" ht="15" customHeight="1" x14ac:dyDescent="0.25">
      <c r="B372" s="120"/>
      <c r="C372" s="87" t="s">
        <v>44</v>
      </c>
      <c r="D372" s="90">
        <v>321.24</v>
      </c>
    </row>
    <row r="373" spans="2:4" ht="15" customHeight="1" x14ac:dyDescent="0.25">
      <c r="B373" s="120"/>
      <c r="C373" s="87" t="s">
        <v>45</v>
      </c>
      <c r="D373" s="90">
        <v>321.24</v>
      </c>
    </row>
    <row r="374" spans="2:4" ht="15" customHeight="1" x14ac:dyDescent="0.25">
      <c r="B374" s="120"/>
      <c r="C374" s="87" t="s">
        <v>46</v>
      </c>
      <c r="D374" s="90">
        <v>321.24</v>
      </c>
    </row>
    <row r="375" spans="2:4" ht="15" customHeight="1" x14ac:dyDescent="0.25">
      <c r="B375" s="120"/>
      <c r="C375" s="87" t="s">
        <v>47</v>
      </c>
      <c r="D375" s="90">
        <v>321.24</v>
      </c>
    </row>
    <row r="376" spans="2:4" ht="15" customHeight="1" x14ac:dyDescent="0.25">
      <c r="B376" s="121"/>
      <c r="C376" s="88" t="s">
        <v>48</v>
      </c>
      <c r="D376" s="91">
        <v>321.24</v>
      </c>
    </row>
    <row r="377" spans="2:4" ht="15" customHeight="1" x14ac:dyDescent="0.25">
      <c r="B377" s="119">
        <v>2005</v>
      </c>
      <c r="C377" s="86" t="s">
        <v>36</v>
      </c>
      <c r="D377" s="89">
        <v>321.24</v>
      </c>
    </row>
    <row r="378" spans="2:4" ht="15" customHeight="1" x14ac:dyDescent="0.25">
      <c r="B378" s="120"/>
      <c r="C378" s="87" t="s">
        <v>38</v>
      </c>
      <c r="D378" s="90">
        <v>321.24</v>
      </c>
    </row>
    <row r="379" spans="2:4" ht="15" customHeight="1" x14ac:dyDescent="0.25">
      <c r="B379" s="120"/>
      <c r="C379" s="87" t="s">
        <v>39</v>
      </c>
      <c r="D379" s="90">
        <v>321.24</v>
      </c>
    </row>
    <row r="380" spans="2:4" ht="15" customHeight="1" x14ac:dyDescent="0.25">
      <c r="B380" s="120"/>
      <c r="C380" s="87" t="s">
        <v>40</v>
      </c>
      <c r="D380" s="90">
        <v>321.24</v>
      </c>
    </row>
    <row r="381" spans="2:4" ht="15" customHeight="1" x14ac:dyDescent="0.25">
      <c r="B381" s="120"/>
      <c r="C381" s="87" t="s">
        <v>41</v>
      </c>
      <c r="D381" s="90">
        <v>405</v>
      </c>
    </row>
    <row r="382" spans="2:4" ht="15" customHeight="1" x14ac:dyDescent="0.25">
      <c r="B382" s="120"/>
      <c r="C382" s="87" t="s">
        <v>42</v>
      </c>
      <c r="D382" s="90">
        <v>405</v>
      </c>
    </row>
    <row r="383" spans="2:4" ht="15" customHeight="1" x14ac:dyDescent="0.25">
      <c r="B383" s="120"/>
      <c r="C383" s="87" t="s">
        <v>43</v>
      </c>
      <c r="D383" s="90">
        <v>405</v>
      </c>
    </row>
    <row r="384" spans="2:4" ht="15" customHeight="1" x14ac:dyDescent="0.25">
      <c r="B384" s="120"/>
      <c r="C384" s="87" t="s">
        <v>44</v>
      </c>
      <c r="D384" s="90">
        <v>405</v>
      </c>
    </row>
    <row r="385" spans="2:4" ht="15" customHeight="1" x14ac:dyDescent="0.25">
      <c r="B385" s="120"/>
      <c r="C385" s="87" t="s">
        <v>45</v>
      </c>
      <c r="D385" s="90">
        <v>405</v>
      </c>
    </row>
    <row r="386" spans="2:4" ht="15" customHeight="1" x14ac:dyDescent="0.25">
      <c r="B386" s="120"/>
      <c r="C386" s="87" t="s">
        <v>46</v>
      </c>
      <c r="D386" s="90">
        <v>405</v>
      </c>
    </row>
    <row r="387" spans="2:4" ht="15" customHeight="1" x14ac:dyDescent="0.25">
      <c r="B387" s="120"/>
      <c r="C387" s="87" t="s">
        <v>47</v>
      </c>
      <c r="D387" s="90">
        <v>405</v>
      </c>
    </row>
    <row r="388" spans="2:4" ht="15" customHeight="1" x14ac:dyDescent="0.25">
      <c r="B388" s="121"/>
      <c r="C388" s="88" t="s">
        <v>48</v>
      </c>
      <c r="D388" s="91">
        <v>405</v>
      </c>
    </row>
    <row r="389" spans="2:4" ht="15" customHeight="1" x14ac:dyDescent="0.25">
      <c r="B389" s="119">
        <v>2006</v>
      </c>
      <c r="C389" s="86" t="s">
        <v>36</v>
      </c>
      <c r="D389" s="89">
        <v>405</v>
      </c>
    </row>
    <row r="390" spans="2:4" ht="15" customHeight="1" x14ac:dyDescent="0.25">
      <c r="B390" s="120"/>
      <c r="C390" s="87" t="s">
        <v>38</v>
      </c>
      <c r="D390" s="90">
        <v>465.75</v>
      </c>
    </row>
    <row r="391" spans="2:4" ht="15" customHeight="1" x14ac:dyDescent="0.25">
      <c r="B391" s="120"/>
      <c r="C391" s="87" t="s">
        <v>39</v>
      </c>
      <c r="D391" s="90">
        <v>465.75</v>
      </c>
    </row>
    <row r="392" spans="2:4" ht="15" customHeight="1" x14ac:dyDescent="0.25">
      <c r="B392" s="120"/>
      <c r="C392" s="87" t="s">
        <v>40</v>
      </c>
      <c r="D392" s="90">
        <v>465.75</v>
      </c>
    </row>
    <row r="393" spans="2:4" ht="15" customHeight="1" x14ac:dyDescent="0.25">
      <c r="B393" s="120"/>
      <c r="C393" s="87" t="s">
        <v>41</v>
      </c>
      <c r="D393" s="90">
        <v>465.75</v>
      </c>
    </row>
    <row r="394" spans="2:4" ht="15" customHeight="1" x14ac:dyDescent="0.25">
      <c r="B394" s="120"/>
      <c r="C394" s="87" t="s">
        <v>42</v>
      </c>
      <c r="D394" s="90">
        <v>465.75</v>
      </c>
    </row>
    <row r="395" spans="2:4" ht="15" customHeight="1" x14ac:dyDescent="0.25">
      <c r="B395" s="120"/>
      <c r="C395" s="87" t="s">
        <v>43</v>
      </c>
      <c r="D395" s="90">
        <v>465.75</v>
      </c>
    </row>
    <row r="396" spans="2:4" ht="15" customHeight="1" x14ac:dyDescent="0.25">
      <c r="B396" s="120"/>
      <c r="C396" s="87" t="s">
        <v>44</v>
      </c>
      <c r="D396" s="90">
        <v>465.75</v>
      </c>
    </row>
    <row r="397" spans="2:4" ht="15" customHeight="1" x14ac:dyDescent="0.25">
      <c r="B397" s="120"/>
      <c r="C397" s="87" t="s">
        <v>45</v>
      </c>
      <c r="D397" s="90">
        <v>512.33000000000004</v>
      </c>
    </row>
    <row r="398" spans="2:4" ht="15" customHeight="1" x14ac:dyDescent="0.25">
      <c r="B398" s="120"/>
      <c r="C398" s="87" t="s">
        <v>46</v>
      </c>
      <c r="D398" s="90">
        <v>512.33000000000004</v>
      </c>
    </row>
    <row r="399" spans="2:4" ht="15" customHeight="1" x14ac:dyDescent="0.25">
      <c r="B399" s="120"/>
      <c r="C399" s="87" t="s">
        <v>47</v>
      </c>
      <c r="D399" s="90">
        <v>512.33000000000004</v>
      </c>
    </row>
    <row r="400" spans="2:4" ht="15" customHeight="1" x14ac:dyDescent="0.25">
      <c r="B400" s="121"/>
      <c r="C400" s="88" t="s">
        <v>48</v>
      </c>
      <c r="D400" s="91">
        <v>512.33000000000004</v>
      </c>
    </row>
    <row r="401" spans="2:4" ht="15" customHeight="1" x14ac:dyDescent="0.25">
      <c r="B401" s="119">
        <v>2007</v>
      </c>
      <c r="C401" s="86" t="s">
        <v>36</v>
      </c>
      <c r="D401" s="89">
        <v>512.33000000000004</v>
      </c>
    </row>
    <row r="402" spans="2:4" ht="15" customHeight="1" x14ac:dyDescent="0.25">
      <c r="B402" s="120"/>
      <c r="C402" s="87" t="s">
        <v>38</v>
      </c>
      <c r="D402" s="90">
        <v>512.33000000000004</v>
      </c>
    </row>
    <row r="403" spans="2:4" ht="15" customHeight="1" x14ac:dyDescent="0.25">
      <c r="B403" s="120"/>
      <c r="C403" s="87" t="s">
        <v>39</v>
      </c>
      <c r="D403" s="90">
        <v>512.33000000000004</v>
      </c>
    </row>
    <row r="404" spans="2:4" ht="15" customHeight="1" x14ac:dyDescent="0.25">
      <c r="B404" s="120"/>
      <c r="C404" s="87" t="s">
        <v>40</v>
      </c>
      <c r="D404" s="90">
        <v>512.33000000000004</v>
      </c>
    </row>
    <row r="405" spans="2:4" ht="15" customHeight="1" x14ac:dyDescent="0.25">
      <c r="B405" s="120"/>
      <c r="C405" s="87" t="s">
        <v>41</v>
      </c>
      <c r="D405" s="90">
        <v>614.79</v>
      </c>
    </row>
    <row r="406" spans="2:4" ht="15" customHeight="1" x14ac:dyDescent="0.25">
      <c r="B406" s="120"/>
      <c r="C406" s="87" t="s">
        <v>42</v>
      </c>
      <c r="D406" s="90">
        <v>614.79</v>
      </c>
    </row>
    <row r="407" spans="2:4" ht="15" customHeight="1" x14ac:dyDescent="0.25">
      <c r="B407" s="120"/>
      <c r="C407" s="87" t="s">
        <v>43</v>
      </c>
      <c r="D407" s="90">
        <v>614.79</v>
      </c>
    </row>
    <row r="408" spans="2:4" ht="15" customHeight="1" x14ac:dyDescent="0.25">
      <c r="B408" s="120"/>
      <c r="C408" s="87" t="s">
        <v>44</v>
      </c>
      <c r="D408" s="90">
        <v>614.79</v>
      </c>
    </row>
    <row r="409" spans="2:4" ht="15" customHeight="1" x14ac:dyDescent="0.25">
      <c r="B409" s="120"/>
      <c r="C409" s="87" t="s">
        <v>45</v>
      </c>
      <c r="D409" s="90">
        <v>614.79</v>
      </c>
    </row>
    <row r="410" spans="2:4" ht="15" customHeight="1" x14ac:dyDescent="0.25">
      <c r="B410" s="120"/>
      <c r="C410" s="87" t="s">
        <v>46</v>
      </c>
      <c r="D410" s="90">
        <v>614.79</v>
      </c>
    </row>
    <row r="411" spans="2:4" ht="15" customHeight="1" x14ac:dyDescent="0.25">
      <c r="B411" s="120"/>
      <c r="C411" s="87" t="s">
        <v>47</v>
      </c>
      <c r="D411" s="90">
        <v>614.79</v>
      </c>
    </row>
    <row r="412" spans="2:4" ht="15" customHeight="1" x14ac:dyDescent="0.25">
      <c r="B412" s="121"/>
      <c r="C412" s="88" t="s">
        <v>48</v>
      </c>
      <c r="D412" s="91">
        <v>614.79</v>
      </c>
    </row>
    <row r="413" spans="2:4" ht="15" customHeight="1" x14ac:dyDescent="0.25">
      <c r="B413" s="119">
        <v>2008</v>
      </c>
      <c r="C413" s="86" t="s">
        <v>36</v>
      </c>
      <c r="D413" s="89">
        <v>614.79</v>
      </c>
    </row>
    <row r="414" spans="2:4" ht="15" customHeight="1" x14ac:dyDescent="0.25">
      <c r="B414" s="120"/>
      <c r="C414" s="87" t="s">
        <v>38</v>
      </c>
      <c r="D414" s="90">
        <v>614.79</v>
      </c>
    </row>
    <row r="415" spans="2:4" ht="15" customHeight="1" x14ac:dyDescent="0.25">
      <c r="B415" s="120"/>
      <c r="C415" s="87" t="s">
        <v>39</v>
      </c>
      <c r="D415" s="90">
        <v>614.79</v>
      </c>
    </row>
    <row r="416" spans="2:4" ht="15" customHeight="1" x14ac:dyDescent="0.25">
      <c r="B416" s="120"/>
      <c r="C416" s="87" t="s">
        <v>40</v>
      </c>
      <c r="D416" s="90">
        <v>614.79</v>
      </c>
    </row>
    <row r="417" spans="2:4" ht="15" customHeight="1" x14ac:dyDescent="0.25">
      <c r="B417" s="120"/>
      <c r="C417" s="87" t="s">
        <v>41</v>
      </c>
      <c r="D417" s="90">
        <v>799.23</v>
      </c>
    </row>
    <row r="418" spans="2:4" ht="15" customHeight="1" x14ac:dyDescent="0.25">
      <c r="B418" s="120"/>
      <c r="C418" s="87" t="s">
        <v>42</v>
      </c>
      <c r="D418" s="90">
        <v>799.23</v>
      </c>
    </row>
    <row r="419" spans="2:4" ht="15" customHeight="1" x14ac:dyDescent="0.25">
      <c r="B419" s="120"/>
      <c r="C419" s="87" t="s">
        <v>43</v>
      </c>
      <c r="D419" s="90">
        <v>799.23</v>
      </c>
    </row>
    <row r="420" spans="2:4" ht="15" customHeight="1" x14ac:dyDescent="0.25">
      <c r="B420" s="120"/>
      <c r="C420" s="87" t="s">
        <v>44</v>
      </c>
      <c r="D420" s="90">
        <v>799.23</v>
      </c>
    </row>
    <row r="421" spans="2:4" ht="15" customHeight="1" x14ac:dyDescent="0.25">
      <c r="B421" s="120"/>
      <c r="C421" s="87" t="s">
        <v>45</v>
      </c>
      <c r="D421" s="90">
        <v>799.23</v>
      </c>
    </row>
    <row r="422" spans="2:4" ht="15" customHeight="1" x14ac:dyDescent="0.25">
      <c r="B422" s="120"/>
      <c r="C422" s="87" t="s">
        <v>46</v>
      </c>
      <c r="D422" s="90">
        <v>799.23</v>
      </c>
    </row>
    <row r="423" spans="2:4" ht="15" customHeight="1" x14ac:dyDescent="0.25">
      <c r="B423" s="120"/>
      <c r="C423" s="87" t="s">
        <v>47</v>
      </c>
      <c r="D423" s="90">
        <v>799.23</v>
      </c>
    </row>
    <row r="424" spans="2:4" ht="15" customHeight="1" x14ac:dyDescent="0.25">
      <c r="B424" s="121"/>
      <c r="C424" s="88" t="s">
        <v>48</v>
      </c>
      <c r="D424" s="91">
        <v>799.23</v>
      </c>
    </row>
    <row r="425" spans="2:4" ht="15" customHeight="1" x14ac:dyDescent="0.25">
      <c r="B425" s="119">
        <v>2009</v>
      </c>
      <c r="C425" s="86" t="s">
        <v>36</v>
      </c>
      <c r="D425" s="89">
        <v>799.23</v>
      </c>
    </row>
    <row r="426" spans="2:4" ht="15" customHeight="1" x14ac:dyDescent="0.25">
      <c r="B426" s="120"/>
      <c r="C426" s="87" t="s">
        <v>38</v>
      </c>
      <c r="D426" s="90">
        <v>799.23</v>
      </c>
    </row>
    <row r="427" spans="2:4" ht="15" customHeight="1" x14ac:dyDescent="0.25">
      <c r="B427" s="120"/>
      <c r="C427" s="87" t="s">
        <v>39</v>
      </c>
      <c r="D427" s="90">
        <v>799.23</v>
      </c>
    </row>
    <row r="428" spans="2:4" ht="15" customHeight="1" x14ac:dyDescent="0.25">
      <c r="B428" s="120"/>
      <c r="C428" s="87" t="s">
        <v>40</v>
      </c>
      <c r="D428" s="90">
        <v>799.23</v>
      </c>
    </row>
    <row r="429" spans="2:4" ht="15" customHeight="1" x14ac:dyDescent="0.25">
      <c r="B429" s="120"/>
      <c r="C429" s="87" t="s">
        <v>41</v>
      </c>
      <c r="D429" s="90">
        <v>879.3</v>
      </c>
    </row>
    <row r="430" spans="2:4" ht="15" customHeight="1" x14ac:dyDescent="0.25">
      <c r="B430" s="120"/>
      <c r="C430" s="87" t="s">
        <v>42</v>
      </c>
      <c r="D430" s="90">
        <v>879.3</v>
      </c>
    </row>
    <row r="431" spans="2:4" ht="15" customHeight="1" x14ac:dyDescent="0.25">
      <c r="B431" s="120"/>
      <c r="C431" s="87" t="s">
        <v>43</v>
      </c>
      <c r="D431" s="90">
        <v>879.3</v>
      </c>
    </row>
    <row r="432" spans="2:4" ht="15" customHeight="1" x14ac:dyDescent="0.25">
      <c r="B432" s="120"/>
      <c r="C432" s="87" t="s">
        <v>44</v>
      </c>
      <c r="D432" s="90">
        <v>879.3</v>
      </c>
    </row>
    <row r="433" spans="2:4" ht="15" customHeight="1" x14ac:dyDescent="0.25">
      <c r="B433" s="120"/>
      <c r="C433" s="87" t="s">
        <v>45</v>
      </c>
      <c r="D433" s="90">
        <v>967.5</v>
      </c>
    </row>
    <row r="434" spans="2:4" ht="15" customHeight="1" x14ac:dyDescent="0.25">
      <c r="B434" s="120"/>
      <c r="C434" s="87" t="s">
        <v>46</v>
      </c>
      <c r="D434" s="90">
        <v>967.5</v>
      </c>
    </row>
    <row r="435" spans="2:4" ht="15" customHeight="1" x14ac:dyDescent="0.25">
      <c r="B435" s="120"/>
      <c r="C435" s="87" t="s">
        <v>47</v>
      </c>
      <c r="D435" s="90">
        <v>967.5</v>
      </c>
    </row>
    <row r="436" spans="2:4" ht="15" customHeight="1" x14ac:dyDescent="0.25">
      <c r="B436" s="121"/>
      <c r="C436" s="88" t="s">
        <v>48</v>
      </c>
      <c r="D436" s="91">
        <v>967.5</v>
      </c>
    </row>
    <row r="437" spans="2:4" ht="15" customHeight="1" x14ac:dyDescent="0.25">
      <c r="B437" s="119">
        <v>2010</v>
      </c>
      <c r="C437" s="86" t="s">
        <v>36</v>
      </c>
      <c r="D437" s="89">
        <v>967.5</v>
      </c>
    </row>
    <row r="438" spans="2:4" ht="15" customHeight="1" x14ac:dyDescent="0.25">
      <c r="B438" s="120"/>
      <c r="C438" s="87" t="s">
        <v>38</v>
      </c>
      <c r="D438" s="90">
        <v>967.5</v>
      </c>
    </row>
    <row r="439" spans="2:4" ht="15" customHeight="1" x14ac:dyDescent="0.25">
      <c r="B439" s="120"/>
      <c r="C439" s="87" t="s">
        <v>39</v>
      </c>
      <c r="D439" s="90">
        <v>1064.25</v>
      </c>
    </row>
    <row r="440" spans="2:4" ht="15" customHeight="1" x14ac:dyDescent="0.25">
      <c r="B440" s="120"/>
      <c r="C440" s="87" t="s">
        <v>40</v>
      </c>
      <c r="D440" s="90">
        <v>1064.25</v>
      </c>
    </row>
    <row r="441" spans="2:4" ht="15" customHeight="1" x14ac:dyDescent="0.25">
      <c r="B441" s="120"/>
      <c r="C441" s="87" t="s">
        <v>41</v>
      </c>
      <c r="D441" s="90">
        <v>1064.25</v>
      </c>
    </row>
    <row r="442" spans="2:4" ht="15" customHeight="1" x14ac:dyDescent="0.25">
      <c r="B442" s="120"/>
      <c r="C442" s="87" t="s">
        <v>42</v>
      </c>
      <c r="D442" s="90">
        <v>1064.25</v>
      </c>
    </row>
    <row r="443" spans="2:4" ht="15" customHeight="1" x14ac:dyDescent="0.25">
      <c r="B443" s="120"/>
      <c r="C443" s="87" t="s">
        <v>43</v>
      </c>
      <c r="D443" s="90">
        <v>1064.25</v>
      </c>
    </row>
    <row r="444" spans="2:4" ht="15" customHeight="1" x14ac:dyDescent="0.25">
      <c r="B444" s="120"/>
      <c r="C444" s="87" t="s">
        <v>44</v>
      </c>
      <c r="D444" s="90">
        <v>1064.25</v>
      </c>
    </row>
    <row r="445" spans="2:4" ht="15" customHeight="1" x14ac:dyDescent="0.25">
      <c r="B445" s="120"/>
      <c r="C445" s="87" t="s">
        <v>45</v>
      </c>
      <c r="D445" s="90">
        <v>1223.8900000000001</v>
      </c>
    </row>
    <row r="446" spans="2:4" ht="15" customHeight="1" x14ac:dyDescent="0.25">
      <c r="B446" s="120"/>
      <c r="C446" s="87" t="s">
        <v>46</v>
      </c>
      <c r="D446" s="90">
        <v>1223.8900000000001</v>
      </c>
    </row>
    <row r="447" spans="2:4" ht="15" customHeight="1" x14ac:dyDescent="0.25">
      <c r="B447" s="120"/>
      <c r="C447" s="87" t="s">
        <v>47</v>
      </c>
      <c r="D447" s="90">
        <v>1223.8900000000001</v>
      </c>
    </row>
    <row r="448" spans="2:4" ht="15" customHeight="1" x14ac:dyDescent="0.25">
      <c r="B448" s="121"/>
      <c r="C448" s="88" t="s">
        <v>48</v>
      </c>
      <c r="D448" s="91">
        <v>1223.8900000000001</v>
      </c>
    </row>
    <row r="449" spans="2:4" ht="15" customHeight="1" x14ac:dyDescent="0.25">
      <c r="B449" s="119">
        <v>2011</v>
      </c>
      <c r="C449" s="86" t="s">
        <v>36</v>
      </c>
      <c r="D449" s="89">
        <v>1223.8900000000001</v>
      </c>
    </row>
    <row r="450" spans="2:4" ht="15" customHeight="1" x14ac:dyDescent="0.25">
      <c r="B450" s="120"/>
      <c r="C450" s="87" t="s">
        <v>38</v>
      </c>
      <c r="D450" s="90">
        <v>1223.8900000000001</v>
      </c>
    </row>
    <row r="451" spans="2:4" ht="15" customHeight="1" x14ac:dyDescent="0.25">
      <c r="B451" s="120"/>
      <c r="C451" s="87" t="s">
        <v>39</v>
      </c>
      <c r="D451" s="90">
        <v>1223.8900000000001</v>
      </c>
    </row>
    <row r="452" spans="2:4" ht="15" customHeight="1" x14ac:dyDescent="0.25">
      <c r="B452" s="120"/>
      <c r="C452" s="87" t="s">
        <v>40</v>
      </c>
      <c r="D452" s="90">
        <v>1223.8900000000001</v>
      </c>
    </row>
    <row r="453" spans="2:4" ht="15" customHeight="1" x14ac:dyDescent="0.25">
      <c r="B453" s="120"/>
      <c r="C453" s="87" t="s">
        <v>41</v>
      </c>
      <c r="D453" s="90">
        <v>1407.47</v>
      </c>
    </row>
    <row r="454" spans="2:4" ht="15" customHeight="1" x14ac:dyDescent="0.25">
      <c r="B454" s="120"/>
      <c r="C454" s="87" t="s">
        <v>42</v>
      </c>
      <c r="D454" s="90">
        <v>1407.47</v>
      </c>
    </row>
    <row r="455" spans="2:4" ht="15" customHeight="1" x14ac:dyDescent="0.25">
      <c r="B455" s="120"/>
      <c r="C455" s="87" t="s">
        <v>43</v>
      </c>
      <c r="D455" s="90">
        <v>1407.47</v>
      </c>
    </row>
    <row r="456" spans="2:4" ht="15" customHeight="1" x14ac:dyDescent="0.25">
      <c r="B456" s="120"/>
      <c r="C456" s="87" t="s">
        <v>44</v>
      </c>
      <c r="D456" s="90">
        <v>1407.47</v>
      </c>
    </row>
    <row r="457" spans="2:4" ht="15" customHeight="1" x14ac:dyDescent="0.25">
      <c r="B457" s="120"/>
      <c r="C457" s="87" t="s">
        <v>45</v>
      </c>
      <c r="D457" s="90">
        <v>1548.22</v>
      </c>
    </row>
    <row r="458" spans="2:4" ht="15" customHeight="1" x14ac:dyDescent="0.25">
      <c r="B458" s="120"/>
      <c r="C458" s="87" t="s">
        <v>46</v>
      </c>
      <c r="D458" s="90">
        <v>1548.22</v>
      </c>
    </row>
    <row r="459" spans="2:4" ht="15" customHeight="1" x14ac:dyDescent="0.25">
      <c r="B459" s="120"/>
      <c r="C459" s="87" t="s">
        <v>47</v>
      </c>
      <c r="D459" s="90">
        <v>1548.22</v>
      </c>
    </row>
    <row r="460" spans="2:4" ht="15" customHeight="1" x14ac:dyDescent="0.25">
      <c r="B460" s="121"/>
      <c r="C460" s="88" t="s">
        <v>48</v>
      </c>
      <c r="D460" s="91">
        <v>1548.22</v>
      </c>
    </row>
    <row r="461" spans="2:4" ht="15" customHeight="1" x14ac:dyDescent="0.25">
      <c r="B461" s="119">
        <v>2012</v>
      </c>
      <c r="C461" s="86" t="s">
        <v>36</v>
      </c>
      <c r="D461" s="89">
        <v>1548.22</v>
      </c>
    </row>
    <row r="462" spans="2:4" ht="15" customHeight="1" x14ac:dyDescent="0.25">
      <c r="B462" s="120"/>
      <c r="C462" s="87" t="s">
        <v>38</v>
      </c>
      <c r="D462" s="90">
        <v>1548.22</v>
      </c>
    </row>
    <row r="463" spans="2:4" ht="15" customHeight="1" x14ac:dyDescent="0.25">
      <c r="B463" s="120"/>
      <c r="C463" s="87" t="s">
        <v>39</v>
      </c>
      <c r="D463" s="90">
        <v>1548.22</v>
      </c>
    </row>
    <row r="464" spans="2:4" ht="15" customHeight="1" x14ac:dyDescent="0.25">
      <c r="B464" s="120"/>
      <c r="C464" s="87" t="s">
        <v>40</v>
      </c>
      <c r="D464" s="90">
        <v>1548.22</v>
      </c>
    </row>
    <row r="465" spans="2:4" ht="15" customHeight="1" x14ac:dyDescent="0.25">
      <c r="B465" s="120"/>
      <c r="C465" s="87" t="s">
        <v>41</v>
      </c>
      <c r="D465" s="90">
        <v>1780.45</v>
      </c>
    </row>
    <row r="466" spans="2:4" ht="15" customHeight="1" x14ac:dyDescent="0.25">
      <c r="B466" s="120"/>
      <c r="C466" s="87" t="s">
        <v>42</v>
      </c>
      <c r="D466" s="90">
        <v>1780.45</v>
      </c>
    </row>
    <row r="467" spans="2:4" ht="15" customHeight="1" x14ac:dyDescent="0.25">
      <c r="B467" s="120"/>
      <c r="C467" s="87" t="s">
        <v>43</v>
      </c>
      <c r="D467" s="90">
        <v>1780.45</v>
      </c>
    </row>
    <row r="468" spans="2:4" ht="15" customHeight="1" x14ac:dyDescent="0.25">
      <c r="B468" s="120"/>
      <c r="C468" s="87" t="s">
        <v>44</v>
      </c>
      <c r="D468" s="90">
        <v>1780.45</v>
      </c>
    </row>
    <row r="469" spans="2:4" ht="15" customHeight="1" x14ac:dyDescent="0.25">
      <c r="B469" s="120"/>
      <c r="C469" s="87" t="s">
        <v>45</v>
      </c>
      <c r="D469" s="90">
        <v>2047.52</v>
      </c>
    </row>
    <row r="470" spans="2:4" ht="15" customHeight="1" x14ac:dyDescent="0.25">
      <c r="B470" s="120"/>
      <c r="C470" s="87" t="s">
        <v>46</v>
      </c>
      <c r="D470" s="90">
        <v>2047.52</v>
      </c>
    </row>
    <row r="471" spans="2:4" ht="15" customHeight="1" x14ac:dyDescent="0.25">
      <c r="B471" s="120"/>
      <c r="C471" s="87" t="s">
        <v>47</v>
      </c>
      <c r="D471" s="90">
        <v>2047.52</v>
      </c>
    </row>
    <row r="472" spans="2:4" ht="15" customHeight="1" x14ac:dyDescent="0.25">
      <c r="B472" s="121"/>
      <c r="C472" s="88" t="s">
        <v>48</v>
      </c>
      <c r="D472" s="91">
        <v>2047.52</v>
      </c>
    </row>
    <row r="473" spans="2:4" ht="15" customHeight="1" x14ac:dyDescent="0.25">
      <c r="B473" s="119">
        <v>2013</v>
      </c>
      <c r="C473" s="86" t="s">
        <v>36</v>
      </c>
      <c r="D473" s="89">
        <v>2047.52</v>
      </c>
    </row>
    <row r="474" spans="2:4" ht="15" customHeight="1" x14ac:dyDescent="0.25">
      <c r="B474" s="120"/>
      <c r="C474" s="87" t="s">
        <v>38</v>
      </c>
      <c r="D474" s="90">
        <v>2047.52</v>
      </c>
    </row>
    <row r="475" spans="2:4" ht="15" customHeight="1" x14ac:dyDescent="0.25">
      <c r="B475" s="120"/>
      <c r="C475" s="87" t="s">
        <v>39</v>
      </c>
      <c r="D475" s="90">
        <v>2047.52</v>
      </c>
    </row>
    <row r="476" spans="2:4" ht="15" customHeight="1" x14ac:dyDescent="0.25">
      <c r="B476" s="120"/>
      <c r="C476" s="87" t="s">
        <v>40</v>
      </c>
      <c r="D476" s="90">
        <v>2047.52</v>
      </c>
    </row>
    <row r="477" spans="2:4" ht="15" customHeight="1" x14ac:dyDescent="0.25">
      <c r="B477" s="120"/>
      <c r="C477" s="87" t="s">
        <v>41</v>
      </c>
      <c r="D477" s="90">
        <v>2457</v>
      </c>
    </row>
    <row r="478" spans="2:4" ht="15" customHeight="1" x14ac:dyDescent="0.25">
      <c r="B478" s="120"/>
      <c r="C478" s="87" t="s">
        <v>42</v>
      </c>
      <c r="D478" s="90">
        <v>2457</v>
      </c>
    </row>
    <row r="479" spans="2:4" ht="15" customHeight="1" x14ac:dyDescent="0.25">
      <c r="B479" s="120"/>
      <c r="C479" s="87" t="s">
        <v>43</v>
      </c>
      <c r="D479" s="90">
        <v>2457</v>
      </c>
    </row>
    <row r="480" spans="2:4" ht="15" customHeight="1" x14ac:dyDescent="0.25">
      <c r="B480" s="120"/>
      <c r="C480" s="87" t="s">
        <v>44</v>
      </c>
      <c r="D480" s="90">
        <v>2457</v>
      </c>
    </row>
    <row r="481" spans="2:4" ht="15" customHeight="1" x14ac:dyDescent="0.25">
      <c r="B481" s="120"/>
      <c r="C481" s="87" t="s">
        <v>45</v>
      </c>
      <c r="D481" s="90">
        <v>2702.72</v>
      </c>
    </row>
    <row r="482" spans="2:4" ht="15" customHeight="1" x14ac:dyDescent="0.25">
      <c r="B482" s="120"/>
      <c r="C482" s="87" t="s">
        <v>46</v>
      </c>
      <c r="D482" s="90">
        <v>2702.72</v>
      </c>
    </row>
    <row r="483" spans="2:4" ht="15" customHeight="1" x14ac:dyDescent="0.25">
      <c r="B483" s="120"/>
      <c r="C483" s="87" t="s">
        <v>47</v>
      </c>
      <c r="D483" s="90">
        <v>2973</v>
      </c>
    </row>
    <row r="484" spans="2:4" ht="15" customHeight="1" x14ac:dyDescent="0.25">
      <c r="B484" s="121"/>
      <c r="C484" s="88" t="s">
        <v>48</v>
      </c>
      <c r="D484" s="91">
        <v>2973</v>
      </c>
    </row>
    <row r="485" spans="2:4" ht="15" customHeight="1" x14ac:dyDescent="0.25">
      <c r="B485" s="119">
        <v>2014</v>
      </c>
      <c r="C485" s="86" t="s">
        <v>36</v>
      </c>
      <c r="D485" s="89">
        <v>3270.3</v>
      </c>
    </row>
    <row r="486" spans="2:4" ht="15" customHeight="1" x14ac:dyDescent="0.25">
      <c r="B486" s="120"/>
      <c r="C486" s="87" t="s">
        <v>38</v>
      </c>
      <c r="D486" s="90">
        <v>3270.3</v>
      </c>
    </row>
    <row r="487" spans="2:4" ht="15" customHeight="1" x14ac:dyDescent="0.25">
      <c r="B487" s="120"/>
      <c r="C487" s="87" t="s">
        <v>39</v>
      </c>
      <c r="D487" s="90">
        <v>3270.3</v>
      </c>
    </row>
    <row r="488" spans="2:4" ht="15" customHeight="1" x14ac:dyDescent="0.25">
      <c r="B488" s="120"/>
      <c r="C488" s="87" t="s">
        <v>40</v>
      </c>
      <c r="D488" s="90">
        <v>3270.3</v>
      </c>
    </row>
    <row r="489" spans="2:4" ht="15" customHeight="1" x14ac:dyDescent="0.25">
      <c r="B489" s="120"/>
      <c r="C489" s="87" t="s">
        <v>41</v>
      </c>
      <c r="D489" s="90">
        <v>4251</v>
      </c>
    </row>
    <row r="490" spans="2:4" ht="15" customHeight="1" x14ac:dyDescent="0.25">
      <c r="B490" s="120"/>
      <c r="C490" s="87" t="s">
        <v>42</v>
      </c>
      <c r="D490" s="90">
        <v>4251</v>
      </c>
    </row>
    <row r="491" spans="2:4" ht="15" customHeight="1" x14ac:dyDescent="0.25">
      <c r="B491" s="120"/>
      <c r="C491" s="87" t="s">
        <v>43</v>
      </c>
      <c r="D491" s="90">
        <v>4251</v>
      </c>
    </row>
    <row r="492" spans="2:4" ht="15" customHeight="1" x14ac:dyDescent="0.25">
      <c r="B492" s="120"/>
      <c r="C492" s="87" t="s">
        <v>44</v>
      </c>
      <c r="D492" s="90">
        <v>4251</v>
      </c>
    </row>
    <row r="493" spans="2:4" ht="15" customHeight="1" x14ac:dyDescent="0.25">
      <c r="B493" s="120"/>
      <c r="C493" s="87" t="s">
        <v>45</v>
      </c>
      <c r="D493" s="90">
        <v>4251</v>
      </c>
    </row>
    <row r="494" spans="2:4" ht="15" customHeight="1" x14ac:dyDescent="0.25">
      <c r="B494" s="120"/>
      <c r="C494" s="87" t="s">
        <v>46</v>
      </c>
      <c r="D494" s="90">
        <v>4251</v>
      </c>
    </row>
    <row r="495" spans="2:4" ht="15" customHeight="1" x14ac:dyDescent="0.25">
      <c r="B495" s="120"/>
      <c r="C495" s="87" t="s">
        <v>47</v>
      </c>
      <c r="D495" s="90">
        <v>4251</v>
      </c>
    </row>
    <row r="496" spans="2:4" ht="15" customHeight="1" x14ac:dyDescent="0.25">
      <c r="B496" s="121"/>
      <c r="C496" s="88" t="s">
        <v>48</v>
      </c>
      <c r="D496" s="91">
        <v>4889.1099999999997</v>
      </c>
    </row>
    <row r="497" spans="2:4" ht="15" customHeight="1" x14ac:dyDescent="0.25">
      <c r="B497" s="119">
        <v>2015</v>
      </c>
      <c r="C497" s="86" t="s">
        <v>36</v>
      </c>
      <c r="D497" s="89">
        <v>4889.1099999999997</v>
      </c>
    </row>
    <row r="498" spans="2:4" ht="15" customHeight="1" x14ac:dyDescent="0.25">
      <c r="B498" s="120"/>
      <c r="C498" s="87" t="s">
        <v>38</v>
      </c>
      <c r="D498" s="90">
        <v>5622.48</v>
      </c>
    </row>
    <row r="499" spans="2:4" ht="15" customHeight="1" x14ac:dyDescent="0.25">
      <c r="B499" s="120"/>
      <c r="C499" s="87" t="s">
        <v>39</v>
      </c>
      <c r="D499" s="90">
        <v>5622.48</v>
      </c>
    </row>
    <row r="500" spans="2:4" ht="15" customHeight="1" x14ac:dyDescent="0.25">
      <c r="B500" s="120"/>
      <c r="C500" s="87" t="s">
        <v>40</v>
      </c>
      <c r="D500" s="90">
        <v>5622.48</v>
      </c>
    </row>
    <row r="501" spans="2:4" ht="15" customHeight="1" x14ac:dyDescent="0.25">
      <c r="B501" s="120"/>
      <c r="C501" s="87" t="s">
        <v>41</v>
      </c>
      <c r="D501" s="90">
        <v>6746.98</v>
      </c>
    </row>
    <row r="502" spans="2:4" ht="15" customHeight="1" x14ac:dyDescent="0.25">
      <c r="B502" s="120"/>
      <c r="C502" s="87" t="s">
        <v>42</v>
      </c>
      <c r="D502" s="90">
        <v>6746.98</v>
      </c>
    </row>
    <row r="503" spans="2:4" ht="15" customHeight="1" x14ac:dyDescent="0.25">
      <c r="B503" s="120"/>
      <c r="C503" s="87" t="s">
        <v>43</v>
      </c>
      <c r="D503" s="90">
        <v>7421.68</v>
      </c>
    </row>
    <row r="504" spans="2:4" ht="15" customHeight="1" x14ac:dyDescent="0.25">
      <c r="B504" s="120"/>
      <c r="C504" s="87" t="s">
        <v>44</v>
      </c>
      <c r="D504" s="90">
        <v>7421.68</v>
      </c>
    </row>
    <row r="505" spans="2:4" ht="15" customHeight="1" x14ac:dyDescent="0.25">
      <c r="B505" s="120"/>
      <c r="C505" s="87" t="s">
        <v>45</v>
      </c>
      <c r="D505" s="90">
        <v>7421.68</v>
      </c>
    </row>
    <row r="506" spans="2:4" ht="15" customHeight="1" x14ac:dyDescent="0.25">
      <c r="B506" s="120"/>
      <c r="C506" s="87" t="s">
        <v>46</v>
      </c>
      <c r="D506" s="90">
        <v>7421.68</v>
      </c>
    </row>
    <row r="507" spans="2:4" ht="15" customHeight="1" x14ac:dyDescent="0.25">
      <c r="B507" s="120"/>
      <c r="C507" s="87" t="s">
        <v>47</v>
      </c>
      <c r="D507" s="90">
        <v>9648.18</v>
      </c>
    </row>
    <row r="508" spans="2:4" ht="15" customHeight="1" x14ac:dyDescent="0.25">
      <c r="B508" s="121"/>
      <c r="C508" s="88" t="s">
        <v>48</v>
      </c>
      <c r="D508" s="91">
        <v>9648.18</v>
      </c>
    </row>
    <row r="509" spans="2:4" ht="15" customHeight="1" x14ac:dyDescent="0.25">
      <c r="B509" s="119">
        <v>2016</v>
      </c>
      <c r="C509" s="86" t="s">
        <v>36</v>
      </c>
      <c r="D509" s="89">
        <v>9648.18</v>
      </c>
    </row>
    <row r="510" spans="2:4" ht="15" customHeight="1" x14ac:dyDescent="0.25">
      <c r="B510" s="120"/>
      <c r="C510" s="87" t="s">
        <v>38</v>
      </c>
      <c r="D510" s="90">
        <v>9648.18</v>
      </c>
    </row>
    <row r="511" spans="2:4" ht="15" customHeight="1" x14ac:dyDescent="0.25">
      <c r="B511" s="120"/>
      <c r="C511" s="87" t="s">
        <v>39</v>
      </c>
      <c r="D511" s="90">
        <v>11578</v>
      </c>
    </row>
    <row r="512" spans="2:4" ht="15" customHeight="1" x14ac:dyDescent="0.25">
      <c r="B512" s="120"/>
      <c r="C512" s="87" t="s">
        <v>40</v>
      </c>
      <c r="D512" s="90">
        <v>11578</v>
      </c>
    </row>
    <row r="513" spans="2:4" ht="15" customHeight="1" x14ac:dyDescent="0.25">
      <c r="B513" s="120"/>
      <c r="C513" s="87" t="s">
        <v>41</v>
      </c>
      <c r="D513" s="90">
        <v>15051.15</v>
      </c>
    </row>
    <row r="514" spans="2:4" ht="15" customHeight="1" x14ac:dyDescent="0.25">
      <c r="B514" s="120"/>
      <c r="C514" s="87" t="s">
        <v>42</v>
      </c>
      <c r="D514" s="90">
        <v>15051.15</v>
      </c>
    </row>
    <row r="515" spans="2:4" ht="15" customHeight="1" x14ac:dyDescent="0.25">
      <c r="B515" s="120"/>
      <c r="C515" s="87" t="s">
        <v>43</v>
      </c>
      <c r="D515" s="90">
        <v>15051.15</v>
      </c>
    </row>
    <row r="516" spans="2:4" ht="15" customHeight="1" x14ac:dyDescent="0.25">
      <c r="B516" s="120"/>
      <c r="C516" s="87" t="s">
        <v>44</v>
      </c>
      <c r="D516" s="90">
        <v>15051.15</v>
      </c>
    </row>
    <row r="517" spans="2:4" ht="15" customHeight="1" x14ac:dyDescent="0.25">
      <c r="B517" s="120"/>
      <c r="C517" s="87" t="s">
        <v>45</v>
      </c>
      <c r="D517" s="90">
        <v>22576</v>
      </c>
    </row>
    <row r="518" spans="2:4" ht="15" customHeight="1" x14ac:dyDescent="0.25">
      <c r="B518" s="120"/>
      <c r="C518" s="87" t="s">
        <v>46</v>
      </c>
      <c r="D518" s="90">
        <v>22576</v>
      </c>
    </row>
    <row r="519" spans="2:4" ht="15" customHeight="1" x14ac:dyDescent="0.25">
      <c r="B519" s="120"/>
      <c r="C519" s="87" t="s">
        <v>47</v>
      </c>
      <c r="D519" s="90">
        <v>27092.1</v>
      </c>
    </row>
    <row r="520" spans="2:4" ht="15" customHeight="1" x14ac:dyDescent="0.25">
      <c r="B520" s="121"/>
      <c r="C520" s="88" t="s">
        <v>48</v>
      </c>
      <c r="D520" s="91">
        <v>27092.1</v>
      </c>
    </row>
    <row r="521" spans="2:4" ht="15" customHeight="1" x14ac:dyDescent="0.25">
      <c r="B521" s="119">
        <v>2017</v>
      </c>
      <c r="C521" s="86" t="s">
        <v>36</v>
      </c>
      <c r="D521" s="89">
        <v>40638.15</v>
      </c>
    </row>
    <row r="522" spans="2:4" ht="15" customHeight="1" x14ac:dyDescent="0.25">
      <c r="B522" s="120"/>
      <c r="C522" s="87" t="s">
        <v>38</v>
      </c>
      <c r="D522" s="90">
        <v>40638.15</v>
      </c>
    </row>
    <row r="523" spans="2:4" ht="15" customHeight="1" x14ac:dyDescent="0.25">
      <c r="B523" s="120"/>
      <c r="C523" s="87" t="s">
        <v>39</v>
      </c>
      <c r="D523" s="90">
        <v>40638.15</v>
      </c>
    </row>
    <row r="524" spans="2:4" ht="15" customHeight="1" x14ac:dyDescent="0.25">
      <c r="B524" s="120"/>
      <c r="C524" s="87" t="s">
        <v>40</v>
      </c>
      <c r="D524" s="90">
        <v>40638.15</v>
      </c>
    </row>
    <row r="525" spans="2:4" ht="15" customHeight="1" x14ac:dyDescent="0.25">
      <c r="B525" s="120"/>
      <c r="C525" s="87" t="s">
        <v>41</v>
      </c>
      <c r="D525" s="90">
        <v>65021</v>
      </c>
    </row>
    <row r="526" spans="2:4" ht="15" customHeight="1" x14ac:dyDescent="0.25">
      <c r="B526" s="120"/>
      <c r="C526" s="87" t="s">
        <v>42</v>
      </c>
      <c r="D526" s="90">
        <v>65021</v>
      </c>
    </row>
    <row r="527" spans="2:4" ht="15" customHeight="1" x14ac:dyDescent="0.25">
      <c r="B527" s="120"/>
      <c r="C527" s="87" t="s">
        <v>43</v>
      </c>
      <c r="D527" s="90">
        <v>97531</v>
      </c>
    </row>
    <row r="528" spans="2:4" ht="15" customHeight="1" x14ac:dyDescent="0.25">
      <c r="B528" s="120"/>
      <c r="C528" s="87" t="s">
        <v>44</v>
      </c>
      <c r="D528" s="90">
        <v>97531</v>
      </c>
    </row>
    <row r="529" spans="2:4" ht="15" customHeight="1" x14ac:dyDescent="0.25">
      <c r="B529" s="120"/>
      <c r="C529" s="87" t="s">
        <v>45</v>
      </c>
      <c r="D529" s="90">
        <v>136544.18</v>
      </c>
    </row>
    <row r="530" spans="2:4" ht="15" customHeight="1" x14ac:dyDescent="0.25">
      <c r="B530" s="120"/>
      <c r="C530" s="87" t="s">
        <v>46</v>
      </c>
      <c r="D530" s="90">
        <v>136544.18</v>
      </c>
    </row>
    <row r="531" spans="2:4" ht="15" customHeight="1" x14ac:dyDescent="0.25">
      <c r="B531" s="120"/>
      <c r="C531" s="87" t="s">
        <v>47</v>
      </c>
      <c r="D531" s="90">
        <v>177507.44</v>
      </c>
    </row>
    <row r="532" spans="2:4" ht="15" customHeight="1" x14ac:dyDescent="0.25">
      <c r="B532" s="121"/>
      <c r="C532" s="88" t="s">
        <v>48</v>
      </c>
      <c r="D532" s="91">
        <v>177507.44</v>
      </c>
    </row>
    <row r="533" spans="2:4" ht="15" customHeight="1" x14ac:dyDescent="0.25">
      <c r="B533" s="119">
        <v>2018</v>
      </c>
      <c r="C533" s="86" t="s">
        <v>36</v>
      </c>
      <c r="D533" s="89">
        <v>248510.41</v>
      </c>
    </row>
    <row r="534" spans="2:4" ht="15" customHeight="1" x14ac:dyDescent="0.25">
      <c r="B534" s="120"/>
      <c r="C534" s="87" t="s">
        <v>38</v>
      </c>
      <c r="D534" s="90">
        <v>392646.46</v>
      </c>
    </row>
    <row r="535" spans="2:4" ht="15" customHeight="1" x14ac:dyDescent="0.25">
      <c r="B535" s="120"/>
      <c r="C535" s="87" t="s">
        <v>39</v>
      </c>
      <c r="D535" s="90">
        <v>392646.46</v>
      </c>
    </row>
    <row r="536" spans="2:4" ht="15" customHeight="1" x14ac:dyDescent="0.25">
      <c r="B536" s="120"/>
      <c r="C536" s="87" t="s">
        <v>40</v>
      </c>
      <c r="D536" s="90">
        <v>1000000</v>
      </c>
    </row>
    <row r="537" spans="2:4" ht="15" customHeight="1" x14ac:dyDescent="0.25">
      <c r="B537" s="120"/>
      <c r="C537" s="87" t="s">
        <v>41</v>
      </c>
      <c r="D537" s="90">
        <v>1000000</v>
      </c>
    </row>
    <row r="538" spans="2:4" ht="15" customHeight="1" x14ac:dyDescent="0.25">
      <c r="B538" s="120"/>
      <c r="C538" s="87" t="s">
        <v>42</v>
      </c>
      <c r="D538" s="90">
        <v>1000000</v>
      </c>
    </row>
    <row r="539" spans="2:4" ht="15" customHeight="1" x14ac:dyDescent="0.25">
      <c r="B539" s="120"/>
      <c r="C539" s="87" t="s">
        <v>43</v>
      </c>
      <c r="D539" s="90" t="s">
        <v>37</v>
      </c>
    </row>
    <row r="540" spans="2:4" ht="15" customHeight="1" x14ac:dyDescent="0.25">
      <c r="B540" s="120"/>
      <c r="C540" s="87" t="s">
        <v>44</v>
      </c>
      <c r="D540" s="90" t="s">
        <v>37</v>
      </c>
    </row>
    <row r="541" spans="2:4" ht="15" customHeight="1" x14ac:dyDescent="0.25">
      <c r="B541" s="120"/>
      <c r="C541" s="87" t="s">
        <v>45</v>
      </c>
      <c r="D541" s="90" t="s">
        <v>37</v>
      </c>
    </row>
    <row r="542" spans="2:4" ht="15" customHeight="1" x14ac:dyDescent="0.25">
      <c r="B542" s="120"/>
      <c r="C542" s="87" t="s">
        <v>46</v>
      </c>
      <c r="D542" s="90" t="s">
        <v>37</v>
      </c>
    </row>
    <row r="543" spans="2:4" ht="15" customHeight="1" x14ac:dyDescent="0.25">
      <c r="B543" s="120"/>
      <c r="C543" s="87" t="s">
        <v>47</v>
      </c>
      <c r="D543" s="90" t="s">
        <v>37</v>
      </c>
    </row>
    <row r="544" spans="2:4" ht="15" customHeight="1" x14ac:dyDescent="0.25">
      <c r="B544" s="121"/>
      <c r="C544" s="88" t="s">
        <v>48</v>
      </c>
      <c r="D544" s="91" t="s">
        <v>37</v>
      </c>
    </row>
    <row r="546" spans="2:4" ht="15" customHeight="1" x14ac:dyDescent="0.25">
      <c r="B546" s="118" t="s">
        <v>60</v>
      </c>
      <c r="C546" s="118"/>
      <c r="D546" s="118"/>
    </row>
    <row r="547" spans="2:4" ht="15" customHeight="1" x14ac:dyDescent="0.25">
      <c r="B547" s="118"/>
      <c r="C547" s="118"/>
      <c r="D547" s="118"/>
    </row>
  </sheetData>
  <mergeCells count="46">
    <mergeCell ref="B281:B292"/>
    <mergeCell ref="B185:B196"/>
    <mergeCell ref="B197:B208"/>
    <mergeCell ref="B209:B220"/>
    <mergeCell ref="B5:B16"/>
    <mergeCell ref="B17:B28"/>
    <mergeCell ref="B29:B40"/>
    <mergeCell ref="B41:B52"/>
    <mergeCell ref="B221:B232"/>
    <mergeCell ref="B233:B244"/>
    <mergeCell ref="B245:B256"/>
    <mergeCell ref="B257:B268"/>
    <mergeCell ref="B269:B280"/>
    <mergeCell ref="B425:B436"/>
    <mergeCell ref="B293:B304"/>
    <mergeCell ref="B305:B316"/>
    <mergeCell ref="B317:B328"/>
    <mergeCell ref="B329:B340"/>
    <mergeCell ref="B341:B352"/>
    <mergeCell ref="B353:B364"/>
    <mergeCell ref="B365:B376"/>
    <mergeCell ref="B377:B388"/>
    <mergeCell ref="B389:B400"/>
    <mergeCell ref="B401:B412"/>
    <mergeCell ref="B413:B424"/>
    <mergeCell ref="B449:B460"/>
    <mergeCell ref="B461:B472"/>
    <mergeCell ref="B473:B484"/>
    <mergeCell ref="B485:B496"/>
    <mergeCell ref="B497:B508"/>
    <mergeCell ref="B546:D547"/>
    <mergeCell ref="B533:B544"/>
    <mergeCell ref="B53:B64"/>
    <mergeCell ref="B173:B184"/>
    <mergeCell ref="B65:B76"/>
    <mergeCell ref="B77:B88"/>
    <mergeCell ref="B89:B100"/>
    <mergeCell ref="B101:B112"/>
    <mergeCell ref="B113:B124"/>
    <mergeCell ref="B509:B520"/>
    <mergeCell ref="B521:B532"/>
    <mergeCell ref="B125:B136"/>
    <mergeCell ref="B137:B148"/>
    <mergeCell ref="B149:B160"/>
    <mergeCell ref="B161:B172"/>
    <mergeCell ref="B437:B448"/>
  </mergeCells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548"/>
  <sheetViews>
    <sheetView showGridLines="0" tabSelected="1" topLeftCell="O1" zoomScale="70" zoomScaleNormal="70" workbookViewId="0">
      <pane ySplit="6" topLeftCell="A24" activePane="bottomLeft" state="frozen"/>
      <selection pane="bottomLeft" activeCell="AG83" sqref="AA33:AG83"/>
    </sheetView>
  </sheetViews>
  <sheetFormatPr baseColWidth="10" defaultRowHeight="15" customHeight="1" x14ac:dyDescent="0.25"/>
  <cols>
    <col min="1" max="1" width="11.42578125" style="63"/>
    <col min="2" max="2" width="11.5703125" style="84" bestFit="1" customWidth="1"/>
    <col min="3" max="3" width="13" style="85" bestFit="1" customWidth="1"/>
    <col min="4" max="4" width="18.140625" style="85" customWidth="1"/>
    <col min="5" max="5" width="19.28515625" style="85" customWidth="1"/>
    <col min="6" max="6" width="16.5703125" style="85" customWidth="1"/>
    <col min="7" max="7" width="26.42578125" style="85" customWidth="1"/>
    <col min="8" max="8" width="26.140625" style="85" customWidth="1"/>
    <col min="9" max="9" width="26.7109375" style="85" customWidth="1"/>
    <col min="10" max="12" width="14.7109375" style="85" customWidth="1"/>
    <col min="13" max="15" width="18.7109375" style="85" customWidth="1"/>
    <col min="16" max="16" width="11.42578125" style="63"/>
    <col min="17" max="17" width="11.5703125" style="63" bestFit="1" customWidth="1"/>
    <col min="18" max="18" width="11.42578125" style="63" bestFit="1" customWidth="1"/>
    <col min="19" max="19" width="18" style="63" bestFit="1" customWidth="1"/>
    <col min="20" max="20" width="17" style="63" bestFit="1" customWidth="1"/>
    <col min="21" max="21" width="18.42578125" style="63" bestFit="1" customWidth="1"/>
    <col min="22" max="22" width="27.28515625" style="63" bestFit="1" customWidth="1"/>
    <col min="23" max="23" width="25.7109375" style="63" bestFit="1" customWidth="1"/>
    <col min="24" max="26" width="11.42578125" style="63"/>
    <col min="27" max="31" width="11.5703125" style="63" bestFit="1" customWidth="1"/>
    <col min="32" max="32" width="18" style="63" customWidth="1"/>
    <col min="33" max="33" width="17.7109375" style="63" customWidth="1"/>
    <col min="34" max="34" width="11.42578125" style="63"/>
  </cols>
  <sheetData>
    <row r="2" spans="1:34" ht="15" customHeight="1" x14ac:dyDescent="0.25">
      <c r="M2" s="132" t="s">
        <v>66</v>
      </c>
      <c r="N2" s="133"/>
      <c r="O2" s="134"/>
    </row>
    <row r="3" spans="1:34" ht="15" customHeight="1" x14ac:dyDescent="0.25">
      <c r="F3" s="122" t="s">
        <v>59</v>
      </c>
      <c r="G3" s="123"/>
      <c r="H3" s="123"/>
      <c r="I3" s="124"/>
      <c r="J3" s="138" t="s">
        <v>64</v>
      </c>
      <c r="K3" s="139"/>
      <c r="L3" s="139"/>
      <c r="M3" s="135"/>
      <c r="N3" s="136"/>
      <c r="O3" s="137"/>
    </row>
    <row r="4" spans="1:34" ht="15.75" customHeight="1" x14ac:dyDescent="0.25">
      <c r="B4" s="146" t="s">
        <v>1</v>
      </c>
      <c r="C4" s="143" t="s">
        <v>34</v>
      </c>
      <c r="D4" s="140" t="s">
        <v>35</v>
      </c>
      <c r="E4" s="140" t="s">
        <v>51</v>
      </c>
      <c r="F4" s="151" t="s">
        <v>50</v>
      </c>
      <c r="G4" s="151" t="s">
        <v>52</v>
      </c>
      <c r="H4" s="151" t="s">
        <v>53</v>
      </c>
      <c r="I4" s="153" t="s">
        <v>54</v>
      </c>
      <c r="J4" s="130" t="s">
        <v>61</v>
      </c>
      <c r="K4" s="130" t="s">
        <v>62</v>
      </c>
      <c r="L4" s="128" t="s">
        <v>63</v>
      </c>
      <c r="M4" s="125" t="s">
        <v>28</v>
      </c>
      <c r="N4" s="125" t="s">
        <v>29</v>
      </c>
      <c r="O4" s="125" t="s">
        <v>30</v>
      </c>
    </row>
    <row r="5" spans="1:34" ht="15.75" customHeight="1" x14ac:dyDescent="0.25">
      <c r="B5" s="147"/>
      <c r="C5" s="144"/>
      <c r="D5" s="141"/>
      <c r="E5" s="141"/>
      <c r="F5" s="151"/>
      <c r="G5" s="151"/>
      <c r="H5" s="151"/>
      <c r="I5" s="153"/>
      <c r="J5" s="130"/>
      <c r="K5" s="130"/>
      <c r="L5" s="128"/>
      <c r="M5" s="126"/>
      <c r="N5" s="126"/>
      <c r="O5" s="126"/>
    </row>
    <row r="6" spans="1:34" s="47" customFormat="1" ht="15" customHeight="1" x14ac:dyDescent="0.25">
      <c r="A6" s="64"/>
      <c r="B6" s="148"/>
      <c r="C6" s="145"/>
      <c r="D6" s="142"/>
      <c r="E6" s="142"/>
      <c r="F6" s="152"/>
      <c r="G6" s="152"/>
      <c r="H6" s="152"/>
      <c r="I6" s="154"/>
      <c r="J6" s="131"/>
      <c r="K6" s="131"/>
      <c r="L6" s="129"/>
      <c r="M6" s="127"/>
      <c r="N6" s="127"/>
      <c r="O6" s="127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 spans="1:34" ht="15" customHeight="1" x14ac:dyDescent="0.25">
      <c r="B7" s="157">
        <v>1974</v>
      </c>
      <c r="C7" s="94" t="s">
        <v>36</v>
      </c>
      <c r="D7" s="97" t="s">
        <v>37</v>
      </c>
      <c r="E7" s="97" t="s">
        <v>37</v>
      </c>
      <c r="F7" s="97" t="s">
        <v>37</v>
      </c>
      <c r="G7" s="97" t="s">
        <v>37</v>
      </c>
      <c r="H7" s="97" t="s">
        <v>37</v>
      </c>
      <c r="I7" s="97" t="s">
        <v>37</v>
      </c>
      <c r="J7" s="98" t="s">
        <v>37</v>
      </c>
      <c r="K7" s="97" t="s">
        <v>37</v>
      </c>
      <c r="L7" s="97" t="s">
        <v>37</v>
      </c>
      <c r="M7" s="98" t="s">
        <v>37</v>
      </c>
      <c r="N7" s="98" t="s">
        <v>37</v>
      </c>
      <c r="O7" s="98" t="s">
        <v>37</v>
      </c>
    </row>
    <row r="8" spans="1:34" ht="15" customHeight="1" x14ac:dyDescent="0.25">
      <c r="B8" s="158"/>
      <c r="C8" s="95" t="s">
        <v>38</v>
      </c>
      <c r="D8" s="98" t="s">
        <v>37</v>
      </c>
      <c r="E8" s="98" t="s">
        <v>37</v>
      </c>
      <c r="F8" s="98" t="s">
        <v>37</v>
      </c>
      <c r="G8" s="98" t="s">
        <v>37</v>
      </c>
      <c r="H8" s="98" t="s">
        <v>37</v>
      </c>
      <c r="I8" s="98" t="s">
        <v>37</v>
      </c>
      <c r="J8" s="98" t="s">
        <v>37</v>
      </c>
      <c r="K8" s="98" t="s">
        <v>37</v>
      </c>
      <c r="L8" s="98" t="s">
        <v>37</v>
      </c>
      <c r="M8" s="98" t="s">
        <v>37</v>
      </c>
      <c r="N8" s="98" t="s">
        <v>37</v>
      </c>
      <c r="O8" s="98" t="s">
        <v>37</v>
      </c>
    </row>
    <row r="9" spans="1:34" ht="15" customHeight="1" x14ac:dyDescent="0.25">
      <c r="B9" s="158"/>
      <c r="C9" s="95" t="s">
        <v>39</v>
      </c>
      <c r="D9" s="98" t="s">
        <v>37</v>
      </c>
      <c r="E9" s="98" t="s">
        <v>37</v>
      </c>
      <c r="F9" s="98" t="s">
        <v>37</v>
      </c>
      <c r="G9" s="98" t="s">
        <v>37</v>
      </c>
      <c r="H9" s="98" t="s">
        <v>37</v>
      </c>
      <c r="I9" s="98" t="s">
        <v>37</v>
      </c>
      <c r="J9" s="98" t="s">
        <v>37</v>
      </c>
      <c r="K9" s="98" t="s">
        <v>37</v>
      </c>
      <c r="L9" s="98" t="s">
        <v>37</v>
      </c>
      <c r="M9" s="98" t="s">
        <v>37</v>
      </c>
      <c r="N9" s="98" t="s">
        <v>37</v>
      </c>
      <c r="O9" s="98" t="s">
        <v>37</v>
      </c>
      <c r="Q9" s="65"/>
      <c r="R9" s="65"/>
      <c r="S9" s="65"/>
      <c r="T9" s="65"/>
      <c r="U9" s="65"/>
      <c r="V9" s="65"/>
      <c r="W9" s="65"/>
    </row>
    <row r="10" spans="1:34" ht="15" customHeight="1" x14ac:dyDescent="0.25">
      <c r="B10" s="158"/>
      <c r="C10" s="95" t="s">
        <v>40</v>
      </c>
      <c r="D10" s="98" t="s">
        <v>37</v>
      </c>
      <c r="E10" s="98" t="s">
        <v>37</v>
      </c>
      <c r="F10" s="98" t="s">
        <v>37</v>
      </c>
      <c r="G10" s="98" t="s">
        <v>37</v>
      </c>
      <c r="H10" s="98" t="s">
        <v>37</v>
      </c>
      <c r="I10" s="98" t="s">
        <v>37</v>
      </c>
      <c r="J10" s="98" t="s">
        <v>37</v>
      </c>
      <c r="K10" s="98" t="s">
        <v>37</v>
      </c>
      <c r="L10" s="98" t="s">
        <v>37</v>
      </c>
      <c r="M10" s="98" t="s">
        <v>37</v>
      </c>
      <c r="N10" s="98" t="s">
        <v>37</v>
      </c>
      <c r="O10" s="98" t="s">
        <v>37</v>
      </c>
      <c r="Q10" s="74" t="s">
        <v>27</v>
      </c>
      <c r="R10" s="66"/>
    </row>
    <row r="11" spans="1:34" ht="15" customHeight="1" x14ac:dyDescent="0.25">
      <c r="B11" s="158"/>
      <c r="C11" s="95" t="s">
        <v>41</v>
      </c>
      <c r="D11" s="98" t="s">
        <v>37</v>
      </c>
      <c r="E11" s="98" t="s">
        <v>37</v>
      </c>
      <c r="F11" s="98" t="s">
        <v>37</v>
      </c>
      <c r="G11" s="98" t="s">
        <v>37</v>
      </c>
      <c r="H11" s="98" t="s">
        <v>37</v>
      </c>
      <c r="I11" s="98" t="s">
        <v>37</v>
      </c>
      <c r="J11" s="98" t="s">
        <v>37</v>
      </c>
      <c r="K11" s="98" t="s">
        <v>37</v>
      </c>
      <c r="L11" s="98" t="s">
        <v>37</v>
      </c>
      <c r="M11" s="98" t="s">
        <v>37</v>
      </c>
      <c r="N11" s="98" t="s">
        <v>37</v>
      </c>
      <c r="O11" s="98" t="s">
        <v>37</v>
      </c>
      <c r="Q11" s="66"/>
      <c r="R11" s="66"/>
    </row>
    <row r="12" spans="1:34" ht="15" customHeight="1" x14ac:dyDescent="0.25">
      <c r="B12" s="158"/>
      <c r="C12" s="95" t="s">
        <v>42</v>
      </c>
      <c r="D12" s="98">
        <v>0.45</v>
      </c>
      <c r="E12" s="98">
        <v>0.45</v>
      </c>
      <c r="F12" s="98">
        <f>+D12*4%</f>
        <v>1.8000000000000002E-2</v>
      </c>
      <c r="G12" s="101">
        <f>+D12*7%</f>
        <v>3.1500000000000007E-2</v>
      </c>
      <c r="H12" s="101">
        <f>+D12*8%</f>
        <v>3.6000000000000004E-2</v>
      </c>
      <c r="I12" s="101">
        <f>+D12*9%</f>
        <v>4.0500000000000001E-2</v>
      </c>
      <c r="J12" s="101">
        <f>+F12+G12</f>
        <v>4.9500000000000009E-2</v>
      </c>
      <c r="K12" s="101">
        <f>+F12+H12</f>
        <v>5.4000000000000006E-2</v>
      </c>
      <c r="L12" s="101">
        <f>+F12+I12</f>
        <v>5.8500000000000003E-2</v>
      </c>
      <c r="M12" s="98">
        <f>+E12/J12</f>
        <v>9.0909090909090899</v>
      </c>
      <c r="N12" s="98">
        <f>+E12/K12</f>
        <v>8.3333333333333321</v>
      </c>
      <c r="O12" s="98">
        <f>+E12/L12</f>
        <v>7.6923076923076916</v>
      </c>
      <c r="Q12" s="67"/>
      <c r="R12" s="67"/>
      <c r="S12" s="156" t="s">
        <v>15</v>
      </c>
      <c r="T12" s="156"/>
      <c r="U12" s="156"/>
      <c r="V12" s="67"/>
      <c r="W12" s="67"/>
    </row>
    <row r="13" spans="1:34" ht="15" customHeight="1" x14ac:dyDescent="0.25">
      <c r="B13" s="158"/>
      <c r="C13" s="95" t="s">
        <v>43</v>
      </c>
      <c r="D13" s="98">
        <v>0.45</v>
      </c>
      <c r="E13" s="98">
        <v>0.45</v>
      </c>
      <c r="F13" s="98">
        <f t="shared" ref="F13:F76" si="0">+D13*4%</f>
        <v>1.8000000000000002E-2</v>
      </c>
      <c r="G13" s="101">
        <f>+D13*7%</f>
        <v>3.1500000000000007E-2</v>
      </c>
      <c r="H13" s="101">
        <f t="shared" ref="H13:H76" si="1">+D13*8%</f>
        <v>3.6000000000000004E-2</v>
      </c>
      <c r="I13" s="101">
        <f t="shared" ref="I13:I76" si="2">+D13*9%</f>
        <v>4.0500000000000001E-2</v>
      </c>
      <c r="J13" s="101">
        <f t="shared" ref="J13:J76" si="3">+F13+G13</f>
        <v>4.9500000000000009E-2</v>
      </c>
      <c r="K13" s="101">
        <f t="shared" ref="K13:K76" si="4">+F13+H13</f>
        <v>5.4000000000000006E-2</v>
      </c>
      <c r="L13" s="101">
        <f t="shared" ref="L13:L76" si="5">+F13+I13</f>
        <v>5.8500000000000003E-2</v>
      </c>
      <c r="M13" s="98">
        <f t="shared" ref="M13:M76" si="6">+E13/J13</f>
        <v>9.0909090909090899</v>
      </c>
      <c r="N13" s="98">
        <f t="shared" ref="N13:N76" si="7">+E13/K13</f>
        <v>8.3333333333333321</v>
      </c>
      <c r="O13" s="98">
        <f t="shared" ref="O13:O76" si="8">+E13/L13</f>
        <v>7.6923076923076916</v>
      </c>
      <c r="Q13" s="68" t="s">
        <v>1</v>
      </c>
      <c r="R13" s="68" t="s">
        <v>2</v>
      </c>
      <c r="S13" s="68" t="s">
        <v>28</v>
      </c>
      <c r="T13" s="68" t="s">
        <v>29</v>
      </c>
      <c r="U13" s="68" t="s">
        <v>30</v>
      </c>
      <c r="V13" s="68" t="s">
        <v>22</v>
      </c>
      <c r="W13" s="68" t="s">
        <v>23</v>
      </c>
    </row>
    <row r="14" spans="1:34" ht="15" customHeight="1" x14ac:dyDescent="0.25">
      <c r="B14" s="158"/>
      <c r="C14" s="95" t="s">
        <v>44</v>
      </c>
      <c r="D14" s="98">
        <v>0.45</v>
      </c>
      <c r="E14" s="98">
        <v>0.45</v>
      </c>
      <c r="F14" s="98">
        <f>+D14*4%</f>
        <v>1.8000000000000002E-2</v>
      </c>
      <c r="G14" s="101">
        <f t="shared" ref="G14:G77" si="9">+D14*7%</f>
        <v>3.1500000000000007E-2</v>
      </c>
      <c r="H14" s="101">
        <f>+D14*8%</f>
        <v>3.6000000000000004E-2</v>
      </c>
      <c r="I14" s="101">
        <f t="shared" si="2"/>
        <v>4.0500000000000001E-2</v>
      </c>
      <c r="J14" s="101">
        <f t="shared" si="3"/>
        <v>4.9500000000000009E-2</v>
      </c>
      <c r="K14" s="101">
        <f t="shared" si="4"/>
        <v>5.4000000000000006E-2</v>
      </c>
      <c r="L14" s="101">
        <f t="shared" si="5"/>
        <v>5.8500000000000003E-2</v>
      </c>
      <c r="M14" s="98">
        <f t="shared" si="6"/>
        <v>9.0909090909090899</v>
      </c>
      <c r="N14" s="98">
        <f t="shared" si="7"/>
        <v>8.3333333333333321</v>
      </c>
      <c r="O14" s="98">
        <f t="shared" si="8"/>
        <v>7.6923076923076916</v>
      </c>
      <c r="Q14" s="103">
        <v>1976</v>
      </c>
      <c r="R14" s="104">
        <f t="shared" ref="R14:R41" si="10">V14+W14</f>
        <v>1265464</v>
      </c>
      <c r="S14" s="105">
        <v>264924</v>
      </c>
      <c r="T14" s="104">
        <v>502137</v>
      </c>
      <c r="U14" s="104">
        <v>222123</v>
      </c>
      <c r="V14" s="104">
        <f t="shared" ref="V14:V41" si="11">S14+T14+U14</f>
        <v>989184</v>
      </c>
      <c r="W14" s="104">
        <v>276280</v>
      </c>
    </row>
    <row r="15" spans="1:34" ht="15" customHeight="1" x14ac:dyDescent="0.25">
      <c r="B15" s="158"/>
      <c r="C15" s="95" t="s">
        <v>45</v>
      </c>
      <c r="D15" s="98">
        <v>0.45</v>
      </c>
      <c r="E15" s="98">
        <v>0.45</v>
      </c>
      <c r="F15" s="98">
        <f t="shared" si="0"/>
        <v>1.8000000000000002E-2</v>
      </c>
      <c r="G15" s="101">
        <f>+D15*7%</f>
        <v>3.1500000000000007E-2</v>
      </c>
      <c r="H15" s="101">
        <f t="shared" si="1"/>
        <v>3.6000000000000004E-2</v>
      </c>
      <c r="I15" s="101">
        <f t="shared" si="2"/>
        <v>4.0500000000000001E-2</v>
      </c>
      <c r="J15" s="101">
        <f t="shared" si="3"/>
        <v>4.9500000000000009E-2</v>
      </c>
      <c r="K15" s="101">
        <f t="shared" si="4"/>
        <v>5.4000000000000006E-2</v>
      </c>
      <c r="L15" s="101">
        <f t="shared" si="5"/>
        <v>5.8500000000000003E-2</v>
      </c>
      <c r="M15" s="98">
        <f t="shared" si="6"/>
        <v>9.0909090909090899</v>
      </c>
      <c r="N15" s="98">
        <f t="shared" si="7"/>
        <v>8.3333333333333321</v>
      </c>
      <c r="O15" s="98">
        <f t="shared" si="8"/>
        <v>7.6923076923076916</v>
      </c>
      <c r="Q15" s="103">
        <v>1977</v>
      </c>
      <c r="R15" s="104">
        <f t="shared" si="10"/>
        <v>1384713</v>
      </c>
      <c r="S15" s="105">
        <v>281842</v>
      </c>
      <c r="T15" s="104">
        <v>534645</v>
      </c>
      <c r="U15" s="104">
        <v>259209</v>
      </c>
      <c r="V15" s="104">
        <f t="shared" si="11"/>
        <v>1075696</v>
      </c>
      <c r="W15" s="104">
        <v>309017</v>
      </c>
    </row>
    <row r="16" spans="1:34" ht="15" customHeight="1" x14ac:dyDescent="0.25">
      <c r="B16" s="158"/>
      <c r="C16" s="95" t="s">
        <v>46</v>
      </c>
      <c r="D16" s="98">
        <v>0.45</v>
      </c>
      <c r="E16" s="98">
        <v>0.45</v>
      </c>
      <c r="F16" s="98">
        <f t="shared" si="0"/>
        <v>1.8000000000000002E-2</v>
      </c>
      <c r="G16" s="101">
        <f t="shared" si="9"/>
        <v>3.1500000000000007E-2</v>
      </c>
      <c r="H16" s="101">
        <f t="shared" si="1"/>
        <v>3.6000000000000004E-2</v>
      </c>
      <c r="I16" s="101">
        <f t="shared" si="2"/>
        <v>4.0500000000000001E-2</v>
      </c>
      <c r="J16" s="101">
        <f t="shared" si="3"/>
        <v>4.9500000000000009E-2</v>
      </c>
      <c r="K16" s="101">
        <f t="shared" si="4"/>
        <v>5.4000000000000006E-2</v>
      </c>
      <c r="L16" s="101">
        <f t="shared" si="5"/>
        <v>5.8500000000000003E-2</v>
      </c>
      <c r="M16" s="98">
        <f t="shared" si="6"/>
        <v>9.0909090909090899</v>
      </c>
      <c r="N16" s="98">
        <f t="shared" si="7"/>
        <v>8.3333333333333321</v>
      </c>
      <c r="O16" s="98">
        <f t="shared" si="8"/>
        <v>7.6923076923076916</v>
      </c>
      <c r="Q16" s="103">
        <v>1978</v>
      </c>
      <c r="R16" s="104">
        <f t="shared" si="10"/>
        <v>1512989</v>
      </c>
      <c r="S16" s="104">
        <v>306726</v>
      </c>
      <c r="T16" s="104">
        <v>590281</v>
      </c>
      <c r="U16" s="104">
        <v>293759</v>
      </c>
      <c r="V16" s="104">
        <f t="shared" si="11"/>
        <v>1190766</v>
      </c>
      <c r="W16" s="104">
        <v>322223</v>
      </c>
    </row>
    <row r="17" spans="2:23" ht="15" customHeight="1" x14ac:dyDescent="0.25">
      <c r="B17" s="158"/>
      <c r="C17" s="95" t="s">
        <v>47</v>
      </c>
      <c r="D17" s="98">
        <v>0.45</v>
      </c>
      <c r="E17" s="98">
        <v>0.45</v>
      </c>
      <c r="F17" s="98">
        <f t="shared" si="0"/>
        <v>1.8000000000000002E-2</v>
      </c>
      <c r="G17" s="101">
        <f t="shared" si="9"/>
        <v>3.1500000000000007E-2</v>
      </c>
      <c r="H17" s="101">
        <f t="shared" si="1"/>
        <v>3.6000000000000004E-2</v>
      </c>
      <c r="I17" s="101">
        <f t="shared" si="2"/>
        <v>4.0500000000000001E-2</v>
      </c>
      <c r="J17" s="101">
        <f t="shared" si="3"/>
        <v>4.9500000000000009E-2</v>
      </c>
      <c r="K17" s="101">
        <f t="shared" si="4"/>
        <v>5.4000000000000006E-2</v>
      </c>
      <c r="L17" s="101">
        <f t="shared" si="5"/>
        <v>5.8500000000000003E-2</v>
      </c>
      <c r="M17" s="98">
        <f t="shared" si="6"/>
        <v>9.0909090909090899</v>
      </c>
      <c r="N17" s="98">
        <f t="shared" si="7"/>
        <v>8.3333333333333321</v>
      </c>
      <c r="O17" s="98">
        <f t="shared" si="8"/>
        <v>7.6923076923076916</v>
      </c>
      <c r="Q17" s="103">
        <v>1979</v>
      </c>
      <c r="R17" s="104">
        <f t="shared" si="10"/>
        <v>1522323</v>
      </c>
      <c r="S17" s="104">
        <v>307664</v>
      </c>
      <c r="T17" s="104">
        <v>586206</v>
      </c>
      <c r="U17" s="104">
        <v>290393</v>
      </c>
      <c r="V17" s="104">
        <f t="shared" si="11"/>
        <v>1184263</v>
      </c>
      <c r="W17" s="104">
        <v>338060</v>
      </c>
    </row>
    <row r="18" spans="2:23" ht="15" customHeight="1" x14ac:dyDescent="0.25">
      <c r="B18" s="159"/>
      <c r="C18" s="96" t="s">
        <v>48</v>
      </c>
      <c r="D18" s="99">
        <v>0.45</v>
      </c>
      <c r="E18" s="99">
        <v>0.45</v>
      </c>
      <c r="F18" s="99">
        <f t="shared" si="0"/>
        <v>1.8000000000000002E-2</v>
      </c>
      <c r="G18" s="102">
        <f t="shared" si="9"/>
        <v>3.1500000000000007E-2</v>
      </c>
      <c r="H18" s="102">
        <f t="shared" si="1"/>
        <v>3.6000000000000004E-2</v>
      </c>
      <c r="I18" s="102">
        <f t="shared" si="2"/>
        <v>4.0500000000000001E-2</v>
      </c>
      <c r="J18" s="102">
        <f t="shared" si="3"/>
        <v>4.9500000000000009E-2</v>
      </c>
      <c r="K18" s="102">
        <f t="shared" si="4"/>
        <v>5.4000000000000006E-2</v>
      </c>
      <c r="L18" s="102">
        <f t="shared" si="5"/>
        <v>5.8500000000000003E-2</v>
      </c>
      <c r="M18" s="99">
        <f t="shared" si="6"/>
        <v>9.0909090909090899</v>
      </c>
      <c r="N18" s="99">
        <f t="shared" si="7"/>
        <v>8.3333333333333321</v>
      </c>
      <c r="O18" s="99">
        <f t="shared" si="8"/>
        <v>7.6923076923076916</v>
      </c>
      <c r="Q18" s="103">
        <v>1980</v>
      </c>
      <c r="R18" s="104">
        <f t="shared" si="10"/>
        <v>1727927</v>
      </c>
      <c r="S18" s="104">
        <v>328955</v>
      </c>
      <c r="T18" s="104">
        <v>594450</v>
      </c>
      <c r="U18" s="104">
        <v>323431</v>
      </c>
      <c r="V18" s="104">
        <f t="shared" si="11"/>
        <v>1246836</v>
      </c>
      <c r="W18" s="104">
        <v>481091</v>
      </c>
    </row>
    <row r="19" spans="2:23" ht="15" customHeight="1" x14ac:dyDescent="0.25">
      <c r="B19" s="157">
        <v>1975</v>
      </c>
      <c r="C19" s="94" t="s">
        <v>36</v>
      </c>
      <c r="D19" s="97">
        <v>0.45</v>
      </c>
      <c r="E19" s="97">
        <v>0.45</v>
      </c>
      <c r="F19" s="97">
        <f t="shared" si="0"/>
        <v>1.8000000000000002E-2</v>
      </c>
      <c r="G19" s="100">
        <f t="shared" si="9"/>
        <v>3.1500000000000007E-2</v>
      </c>
      <c r="H19" s="100">
        <f t="shared" si="1"/>
        <v>3.6000000000000004E-2</v>
      </c>
      <c r="I19" s="100">
        <f t="shared" si="2"/>
        <v>4.0500000000000001E-2</v>
      </c>
      <c r="J19" s="100">
        <f t="shared" si="3"/>
        <v>4.9500000000000009E-2</v>
      </c>
      <c r="K19" s="100">
        <f t="shared" si="4"/>
        <v>5.4000000000000006E-2</v>
      </c>
      <c r="L19" s="100">
        <f t="shared" si="5"/>
        <v>5.8500000000000003E-2</v>
      </c>
      <c r="M19" s="97">
        <f t="shared" si="6"/>
        <v>9.0909090909090899</v>
      </c>
      <c r="N19" s="97">
        <f t="shared" si="7"/>
        <v>8.3333333333333321</v>
      </c>
      <c r="O19" s="97">
        <f t="shared" si="8"/>
        <v>7.6923076923076916</v>
      </c>
      <c r="Q19" s="103">
        <v>1981</v>
      </c>
      <c r="R19" s="104">
        <f t="shared" si="10"/>
        <v>1798100</v>
      </c>
      <c r="S19" s="104">
        <v>342959</v>
      </c>
      <c r="T19" s="104">
        <v>606941</v>
      </c>
      <c r="U19" s="104">
        <v>335450</v>
      </c>
      <c r="V19" s="104">
        <f t="shared" si="11"/>
        <v>1285350</v>
      </c>
      <c r="W19" s="104">
        <v>512750</v>
      </c>
    </row>
    <row r="20" spans="2:23" ht="15" customHeight="1" x14ac:dyDescent="0.25">
      <c r="B20" s="158"/>
      <c r="C20" s="95" t="s">
        <v>38</v>
      </c>
      <c r="D20" s="98">
        <v>0.45</v>
      </c>
      <c r="E20" s="98">
        <v>0.45</v>
      </c>
      <c r="F20" s="98">
        <f t="shared" si="0"/>
        <v>1.8000000000000002E-2</v>
      </c>
      <c r="G20" s="101">
        <f t="shared" si="9"/>
        <v>3.1500000000000007E-2</v>
      </c>
      <c r="H20" s="101">
        <f t="shared" si="1"/>
        <v>3.6000000000000004E-2</v>
      </c>
      <c r="I20" s="101">
        <f t="shared" si="2"/>
        <v>4.0500000000000001E-2</v>
      </c>
      <c r="J20" s="101">
        <f t="shared" si="3"/>
        <v>4.9500000000000009E-2</v>
      </c>
      <c r="K20" s="101">
        <f t="shared" si="4"/>
        <v>5.4000000000000006E-2</v>
      </c>
      <c r="L20" s="101">
        <f t="shared" si="5"/>
        <v>5.8500000000000003E-2</v>
      </c>
      <c r="M20" s="98">
        <f t="shared" si="6"/>
        <v>9.0909090909090899</v>
      </c>
      <c r="N20" s="98">
        <f t="shared" si="7"/>
        <v>8.3333333333333321</v>
      </c>
      <c r="O20" s="98">
        <f t="shared" si="8"/>
        <v>7.6923076923076916</v>
      </c>
      <c r="Q20" s="103">
        <v>1982</v>
      </c>
      <c r="R20" s="104">
        <f t="shared" si="10"/>
        <v>1836890</v>
      </c>
      <c r="S20" s="104">
        <v>361363</v>
      </c>
      <c r="T20" s="104">
        <v>603734</v>
      </c>
      <c r="U20" s="104">
        <v>331818</v>
      </c>
      <c r="V20" s="104">
        <f t="shared" si="11"/>
        <v>1296915</v>
      </c>
      <c r="W20" s="104">
        <v>539975</v>
      </c>
    </row>
    <row r="21" spans="2:23" ht="15" customHeight="1" x14ac:dyDescent="0.25">
      <c r="B21" s="158"/>
      <c r="C21" s="95" t="s">
        <v>39</v>
      </c>
      <c r="D21" s="98">
        <v>0.45</v>
      </c>
      <c r="E21" s="98">
        <v>0.45</v>
      </c>
      <c r="F21" s="98">
        <f t="shared" si="0"/>
        <v>1.8000000000000002E-2</v>
      </c>
      <c r="G21" s="101">
        <f t="shared" si="9"/>
        <v>3.1500000000000007E-2</v>
      </c>
      <c r="H21" s="101">
        <f t="shared" si="1"/>
        <v>3.6000000000000004E-2</v>
      </c>
      <c r="I21" s="101">
        <f t="shared" si="2"/>
        <v>4.0500000000000001E-2</v>
      </c>
      <c r="J21" s="101">
        <f t="shared" si="3"/>
        <v>4.9500000000000009E-2</v>
      </c>
      <c r="K21" s="101">
        <f t="shared" si="4"/>
        <v>5.4000000000000006E-2</v>
      </c>
      <c r="L21" s="101">
        <f t="shared" si="5"/>
        <v>5.8500000000000003E-2</v>
      </c>
      <c r="M21" s="98">
        <f t="shared" si="6"/>
        <v>9.0909090909090899</v>
      </c>
      <c r="N21" s="98">
        <f t="shared" si="7"/>
        <v>8.3333333333333321</v>
      </c>
      <c r="O21" s="98">
        <f t="shared" si="8"/>
        <v>7.6923076923076916</v>
      </c>
      <c r="Q21" s="103">
        <v>1983</v>
      </c>
      <c r="R21" s="104">
        <f t="shared" si="10"/>
        <v>1770289</v>
      </c>
      <c r="S21" s="104">
        <v>358037</v>
      </c>
      <c r="T21" s="104">
        <v>574242</v>
      </c>
      <c r="U21" s="104">
        <v>284501</v>
      </c>
      <c r="V21" s="104">
        <f t="shared" si="11"/>
        <v>1216780</v>
      </c>
      <c r="W21" s="104">
        <v>553509</v>
      </c>
    </row>
    <row r="22" spans="2:23" ht="15" customHeight="1" x14ac:dyDescent="0.25">
      <c r="B22" s="158"/>
      <c r="C22" s="95" t="s">
        <v>40</v>
      </c>
      <c r="D22" s="98">
        <v>0.45</v>
      </c>
      <c r="E22" s="98">
        <v>0.45</v>
      </c>
      <c r="F22" s="98">
        <f t="shared" si="0"/>
        <v>1.8000000000000002E-2</v>
      </c>
      <c r="G22" s="101">
        <f t="shared" si="9"/>
        <v>3.1500000000000007E-2</v>
      </c>
      <c r="H22" s="101">
        <f t="shared" si="1"/>
        <v>3.6000000000000004E-2</v>
      </c>
      <c r="I22" s="101">
        <f t="shared" si="2"/>
        <v>4.0500000000000001E-2</v>
      </c>
      <c r="J22" s="101">
        <f t="shared" si="3"/>
        <v>4.9500000000000009E-2</v>
      </c>
      <c r="K22" s="101">
        <f t="shared" si="4"/>
        <v>5.4000000000000006E-2</v>
      </c>
      <c r="L22" s="101">
        <f t="shared" si="5"/>
        <v>5.8500000000000003E-2</v>
      </c>
      <c r="M22" s="98">
        <f t="shared" si="6"/>
        <v>9.0909090909090899</v>
      </c>
      <c r="N22" s="98">
        <f t="shared" si="7"/>
        <v>8.3333333333333321</v>
      </c>
      <c r="O22" s="98">
        <f t="shared" si="8"/>
        <v>7.6923076923076916</v>
      </c>
      <c r="Q22" s="103">
        <v>1984</v>
      </c>
      <c r="R22" s="104">
        <f t="shared" si="10"/>
        <v>1816597</v>
      </c>
      <c r="S22" s="104">
        <v>377819</v>
      </c>
      <c r="T22" s="104">
        <v>608739</v>
      </c>
      <c r="U22" s="104">
        <v>279278</v>
      </c>
      <c r="V22" s="104">
        <f t="shared" si="11"/>
        <v>1265836</v>
      </c>
      <c r="W22" s="104">
        <v>550761</v>
      </c>
    </row>
    <row r="23" spans="2:23" ht="15" customHeight="1" x14ac:dyDescent="0.25">
      <c r="B23" s="158"/>
      <c r="C23" s="95" t="s">
        <v>41</v>
      </c>
      <c r="D23" s="98">
        <v>0.45</v>
      </c>
      <c r="E23" s="98">
        <v>0.45</v>
      </c>
      <c r="F23" s="98">
        <f t="shared" si="0"/>
        <v>1.8000000000000002E-2</v>
      </c>
      <c r="G23" s="101">
        <f t="shared" si="9"/>
        <v>3.1500000000000007E-2</v>
      </c>
      <c r="H23" s="101">
        <f t="shared" si="1"/>
        <v>3.6000000000000004E-2</v>
      </c>
      <c r="I23" s="101">
        <f t="shared" si="2"/>
        <v>4.0500000000000001E-2</v>
      </c>
      <c r="J23" s="101">
        <f t="shared" si="3"/>
        <v>4.9500000000000009E-2</v>
      </c>
      <c r="K23" s="101">
        <f t="shared" si="4"/>
        <v>5.4000000000000006E-2</v>
      </c>
      <c r="L23" s="101">
        <f t="shared" si="5"/>
        <v>5.8500000000000003E-2</v>
      </c>
      <c r="M23" s="98">
        <f t="shared" si="6"/>
        <v>9.0909090909090899</v>
      </c>
      <c r="N23" s="98">
        <f t="shared" si="7"/>
        <v>8.3333333333333321</v>
      </c>
      <c r="O23" s="98">
        <f t="shared" si="8"/>
        <v>7.6923076923076916</v>
      </c>
      <c r="Q23" s="103">
        <v>1985</v>
      </c>
      <c r="R23" s="104">
        <f t="shared" si="10"/>
        <v>1896358</v>
      </c>
      <c r="S23" s="104">
        <v>401293</v>
      </c>
      <c r="T23" s="104">
        <v>640793</v>
      </c>
      <c r="U23" s="104">
        <v>292155</v>
      </c>
      <c r="V23" s="104">
        <f t="shared" si="11"/>
        <v>1334241</v>
      </c>
      <c r="W23" s="104">
        <v>562117</v>
      </c>
    </row>
    <row r="24" spans="2:23" ht="15" customHeight="1" x14ac:dyDescent="0.25">
      <c r="B24" s="158"/>
      <c r="C24" s="95" t="s">
        <v>42</v>
      </c>
      <c r="D24" s="98">
        <v>0.45</v>
      </c>
      <c r="E24" s="98">
        <v>0.45</v>
      </c>
      <c r="F24" s="98">
        <f t="shared" si="0"/>
        <v>1.8000000000000002E-2</v>
      </c>
      <c r="G24" s="101">
        <f t="shared" si="9"/>
        <v>3.1500000000000007E-2</v>
      </c>
      <c r="H24" s="101">
        <f t="shared" si="1"/>
        <v>3.6000000000000004E-2</v>
      </c>
      <c r="I24" s="101">
        <f t="shared" si="2"/>
        <v>4.0500000000000001E-2</v>
      </c>
      <c r="J24" s="101">
        <f t="shared" si="3"/>
        <v>4.9500000000000009E-2</v>
      </c>
      <c r="K24" s="101">
        <f t="shared" si="4"/>
        <v>5.4000000000000006E-2</v>
      </c>
      <c r="L24" s="101">
        <f t="shared" si="5"/>
        <v>5.8500000000000003E-2</v>
      </c>
      <c r="M24" s="98">
        <f t="shared" si="6"/>
        <v>9.0909090909090899</v>
      </c>
      <c r="N24" s="98">
        <f t="shared" si="7"/>
        <v>8.3333333333333321</v>
      </c>
      <c r="O24" s="98">
        <f t="shared" si="8"/>
        <v>7.6923076923076916</v>
      </c>
      <c r="Q24" s="103">
        <v>1986</v>
      </c>
      <c r="R24" s="104">
        <f t="shared" si="10"/>
        <v>1998285</v>
      </c>
      <c r="S24" s="104">
        <v>437690</v>
      </c>
      <c r="T24" s="104">
        <v>692543</v>
      </c>
      <c r="U24" s="104">
        <v>323856</v>
      </c>
      <c r="V24" s="104">
        <f t="shared" si="11"/>
        <v>1454089</v>
      </c>
      <c r="W24" s="104">
        <v>544196</v>
      </c>
    </row>
    <row r="25" spans="2:23" ht="15" customHeight="1" x14ac:dyDescent="0.25">
      <c r="B25" s="158"/>
      <c r="C25" s="95" t="s">
        <v>43</v>
      </c>
      <c r="D25" s="98">
        <v>0.45</v>
      </c>
      <c r="E25" s="98">
        <v>0.45</v>
      </c>
      <c r="F25" s="98">
        <f t="shared" si="0"/>
        <v>1.8000000000000002E-2</v>
      </c>
      <c r="G25" s="101">
        <f t="shared" si="9"/>
        <v>3.1500000000000007E-2</v>
      </c>
      <c r="H25" s="101">
        <f t="shared" si="1"/>
        <v>3.6000000000000004E-2</v>
      </c>
      <c r="I25" s="101">
        <f t="shared" si="2"/>
        <v>4.0500000000000001E-2</v>
      </c>
      <c r="J25" s="101">
        <f t="shared" si="3"/>
        <v>4.9500000000000009E-2</v>
      </c>
      <c r="K25" s="101">
        <f t="shared" si="4"/>
        <v>5.4000000000000006E-2</v>
      </c>
      <c r="L25" s="101">
        <f t="shared" si="5"/>
        <v>5.8500000000000003E-2</v>
      </c>
      <c r="M25" s="98">
        <f t="shared" si="6"/>
        <v>9.0909090909090899</v>
      </c>
      <c r="N25" s="98">
        <f t="shared" si="7"/>
        <v>8.3333333333333321</v>
      </c>
      <c r="O25" s="98">
        <f t="shared" si="8"/>
        <v>7.6923076923076916</v>
      </c>
      <c r="Q25" s="103">
        <v>1987</v>
      </c>
      <c r="R25" s="104">
        <f t="shared" si="10"/>
        <v>2149156</v>
      </c>
      <c r="S25" s="104">
        <v>469770</v>
      </c>
      <c r="T25" s="104">
        <v>732358</v>
      </c>
      <c r="U25" s="104">
        <v>355302</v>
      </c>
      <c r="V25" s="104">
        <f t="shared" si="11"/>
        <v>1557430</v>
      </c>
      <c r="W25" s="104">
        <v>591726</v>
      </c>
    </row>
    <row r="26" spans="2:23" ht="15" customHeight="1" x14ac:dyDescent="0.25">
      <c r="B26" s="158"/>
      <c r="C26" s="95" t="s">
        <v>44</v>
      </c>
      <c r="D26" s="98">
        <v>0.45</v>
      </c>
      <c r="E26" s="98">
        <v>0.45</v>
      </c>
      <c r="F26" s="98">
        <f t="shared" si="0"/>
        <v>1.8000000000000002E-2</v>
      </c>
      <c r="G26" s="101">
        <f t="shared" si="9"/>
        <v>3.1500000000000007E-2</v>
      </c>
      <c r="H26" s="101">
        <f t="shared" si="1"/>
        <v>3.6000000000000004E-2</v>
      </c>
      <c r="I26" s="101">
        <f t="shared" si="2"/>
        <v>4.0500000000000001E-2</v>
      </c>
      <c r="J26" s="101">
        <f t="shared" si="3"/>
        <v>4.9500000000000009E-2</v>
      </c>
      <c r="K26" s="101">
        <f t="shared" si="4"/>
        <v>5.4000000000000006E-2</v>
      </c>
      <c r="L26" s="101">
        <f t="shared" si="5"/>
        <v>5.8500000000000003E-2</v>
      </c>
      <c r="M26" s="98">
        <f t="shared" si="6"/>
        <v>9.0909090909090899</v>
      </c>
      <c r="N26" s="98">
        <f t="shared" si="7"/>
        <v>8.3333333333333321</v>
      </c>
      <c r="O26" s="98">
        <f t="shared" si="8"/>
        <v>7.6923076923076916</v>
      </c>
      <c r="Q26" s="103">
        <v>1988</v>
      </c>
      <c r="R26" s="104">
        <f t="shared" si="10"/>
        <v>2333851</v>
      </c>
      <c r="S26" s="104">
        <v>516138</v>
      </c>
      <c r="T26" s="104">
        <v>804221</v>
      </c>
      <c r="U26" s="104">
        <v>407015</v>
      </c>
      <c r="V26" s="104">
        <f t="shared" si="11"/>
        <v>1727374</v>
      </c>
      <c r="W26" s="104">
        <v>606477</v>
      </c>
    </row>
    <row r="27" spans="2:23" ht="15" customHeight="1" x14ac:dyDescent="0.25">
      <c r="B27" s="158"/>
      <c r="C27" s="95" t="s">
        <v>45</v>
      </c>
      <c r="D27" s="98">
        <v>0.45</v>
      </c>
      <c r="E27" s="98">
        <v>0.45</v>
      </c>
      <c r="F27" s="98">
        <f t="shared" si="0"/>
        <v>1.8000000000000002E-2</v>
      </c>
      <c r="G27" s="101">
        <f t="shared" si="9"/>
        <v>3.1500000000000007E-2</v>
      </c>
      <c r="H27" s="101">
        <f t="shared" si="1"/>
        <v>3.6000000000000004E-2</v>
      </c>
      <c r="I27" s="101">
        <f t="shared" si="2"/>
        <v>4.0500000000000001E-2</v>
      </c>
      <c r="J27" s="101">
        <f t="shared" si="3"/>
        <v>4.9500000000000009E-2</v>
      </c>
      <c r="K27" s="101">
        <f t="shared" si="4"/>
        <v>5.4000000000000006E-2</v>
      </c>
      <c r="L27" s="101">
        <f t="shared" si="5"/>
        <v>5.8500000000000003E-2</v>
      </c>
      <c r="M27" s="98">
        <f t="shared" si="6"/>
        <v>9.0909090909090899</v>
      </c>
      <c r="N27" s="98">
        <f t="shared" si="7"/>
        <v>8.3333333333333321</v>
      </c>
      <c r="O27" s="98">
        <f t="shared" si="8"/>
        <v>7.6923076923076916</v>
      </c>
      <c r="Q27" s="103">
        <v>1989</v>
      </c>
      <c r="R27" s="104">
        <f t="shared" si="10"/>
        <v>2302047</v>
      </c>
      <c r="S27" s="104">
        <v>533729</v>
      </c>
      <c r="T27" s="104">
        <v>770291</v>
      </c>
      <c r="U27" s="104">
        <v>408318</v>
      </c>
      <c r="V27" s="104">
        <f t="shared" si="11"/>
        <v>1712338</v>
      </c>
      <c r="W27" s="104">
        <v>589709</v>
      </c>
    </row>
    <row r="28" spans="2:23" ht="15" customHeight="1" x14ac:dyDescent="0.25">
      <c r="B28" s="158"/>
      <c r="C28" s="95" t="s">
        <v>46</v>
      </c>
      <c r="D28" s="98">
        <v>0.45</v>
      </c>
      <c r="E28" s="98">
        <v>0.45</v>
      </c>
      <c r="F28" s="98">
        <f t="shared" si="0"/>
        <v>1.8000000000000002E-2</v>
      </c>
      <c r="G28" s="101">
        <f t="shared" si="9"/>
        <v>3.1500000000000007E-2</v>
      </c>
      <c r="H28" s="101">
        <f t="shared" si="1"/>
        <v>3.6000000000000004E-2</v>
      </c>
      <c r="I28" s="101">
        <f t="shared" si="2"/>
        <v>4.0500000000000001E-2</v>
      </c>
      <c r="J28" s="101">
        <f t="shared" si="3"/>
        <v>4.9500000000000009E-2</v>
      </c>
      <c r="K28" s="101">
        <f t="shared" si="4"/>
        <v>5.4000000000000006E-2</v>
      </c>
      <c r="L28" s="101">
        <f t="shared" si="5"/>
        <v>5.8500000000000003E-2</v>
      </c>
      <c r="M28" s="98">
        <f t="shared" si="6"/>
        <v>9.0909090909090899</v>
      </c>
      <c r="N28" s="98">
        <f t="shared" si="7"/>
        <v>8.3333333333333321</v>
      </c>
      <c r="O28" s="98">
        <f t="shared" si="8"/>
        <v>7.6923076923076916</v>
      </c>
      <c r="Q28" s="103">
        <v>1990</v>
      </c>
      <c r="R28" s="104">
        <f t="shared" si="10"/>
        <v>2431694</v>
      </c>
      <c r="S28" s="104">
        <v>560843</v>
      </c>
      <c r="T28" s="104">
        <v>809097</v>
      </c>
      <c r="U28" s="104">
        <v>433009</v>
      </c>
      <c r="V28" s="104">
        <f t="shared" si="11"/>
        <v>1802949</v>
      </c>
      <c r="W28" s="104">
        <v>628745</v>
      </c>
    </row>
    <row r="29" spans="2:23" ht="15" customHeight="1" x14ac:dyDescent="0.25">
      <c r="B29" s="158"/>
      <c r="C29" s="95" t="s">
        <v>47</v>
      </c>
      <c r="D29" s="98">
        <v>0.45</v>
      </c>
      <c r="E29" s="98">
        <v>0.45</v>
      </c>
      <c r="F29" s="98">
        <f t="shared" si="0"/>
        <v>1.8000000000000002E-2</v>
      </c>
      <c r="G29" s="101">
        <f t="shared" si="9"/>
        <v>3.1500000000000007E-2</v>
      </c>
      <c r="H29" s="101">
        <f t="shared" si="1"/>
        <v>3.6000000000000004E-2</v>
      </c>
      <c r="I29" s="101">
        <f t="shared" si="2"/>
        <v>4.0500000000000001E-2</v>
      </c>
      <c r="J29" s="101">
        <f t="shared" si="3"/>
        <v>4.9500000000000009E-2</v>
      </c>
      <c r="K29" s="101">
        <f t="shared" si="4"/>
        <v>5.4000000000000006E-2</v>
      </c>
      <c r="L29" s="101">
        <f t="shared" si="5"/>
        <v>5.8500000000000003E-2</v>
      </c>
      <c r="M29" s="98">
        <f t="shared" si="6"/>
        <v>9.0909090909090899</v>
      </c>
      <c r="N29" s="98">
        <f t="shared" si="7"/>
        <v>8.3333333333333321</v>
      </c>
      <c r="O29" s="98">
        <f t="shared" si="8"/>
        <v>7.6923076923076916</v>
      </c>
      <c r="Q29" s="103">
        <v>1991</v>
      </c>
      <c r="R29" s="104">
        <f t="shared" si="10"/>
        <v>2524443</v>
      </c>
      <c r="S29" s="104">
        <v>581478</v>
      </c>
      <c r="T29" s="104">
        <v>835227</v>
      </c>
      <c r="U29" s="104">
        <v>449380</v>
      </c>
      <c r="V29" s="104">
        <f t="shared" si="11"/>
        <v>1866085</v>
      </c>
      <c r="W29" s="104">
        <v>658358</v>
      </c>
    </row>
    <row r="30" spans="2:23" ht="15" customHeight="1" x14ac:dyDescent="0.25">
      <c r="B30" s="159"/>
      <c r="C30" s="96" t="s">
        <v>48</v>
      </c>
      <c r="D30" s="99">
        <v>0.45</v>
      </c>
      <c r="E30" s="99">
        <v>0.45</v>
      </c>
      <c r="F30" s="99">
        <f t="shared" si="0"/>
        <v>1.8000000000000002E-2</v>
      </c>
      <c r="G30" s="102">
        <f t="shared" si="9"/>
        <v>3.1500000000000007E-2</v>
      </c>
      <c r="H30" s="102">
        <f t="shared" si="1"/>
        <v>3.6000000000000004E-2</v>
      </c>
      <c r="I30" s="102">
        <f t="shared" si="2"/>
        <v>4.0500000000000001E-2</v>
      </c>
      <c r="J30" s="102">
        <f t="shared" si="3"/>
        <v>4.9500000000000009E-2</v>
      </c>
      <c r="K30" s="102">
        <f t="shared" si="4"/>
        <v>5.4000000000000006E-2</v>
      </c>
      <c r="L30" s="102">
        <f t="shared" si="5"/>
        <v>5.8500000000000003E-2</v>
      </c>
      <c r="M30" s="99">
        <f t="shared" si="6"/>
        <v>9.0909090909090899</v>
      </c>
      <c r="N30" s="99">
        <f t="shared" si="7"/>
        <v>8.3333333333333321</v>
      </c>
      <c r="O30" s="99">
        <f t="shared" si="8"/>
        <v>7.6923076923076916</v>
      </c>
      <c r="Q30" s="103">
        <v>1992</v>
      </c>
      <c r="R30" s="104">
        <f t="shared" si="10"/>
        <v>2448289</v>
      </c>
      <c r="S30" s="104">
        <v>548054</v>
      </c>
      <c r="T30" s="104">
        <v>784067</v>
      </c>
      <c r="U30" s="104">
        <v>424074</v>
      </c>
      <c r="V30" s="104">
        <f t="shared" si="11"/>
        <v>1756195</v>
      </c>
      <c r="W30" s="104">
        <v>692094</v>
      </c>
    </row>
    <row r="31" spans="2:23" ht="15" customHeight="1" x14ac:dyDescent="0.25">
      <c r="B31" s="157">
        <v>1976</v>
      </c>
      <c r="C31" s="94" t="s">
        <v>36</v>
      </c>
      <c r="D31" s="97">
        <v>0.45</v>
      </c>
      <c r="E31" s="97">
        <v>0.45</v>
      </c>
      <c r="F31" s="97">
        <f t="shared" si="0"/>
        <v>1.8000000000000002E-2</v>
      </c>
      <c r="G31" s="100">
        <f t="shared" si="9"/>
        <v>3.1500000000000007E-2</v>
      </c>
      <c r="H31" s="100">
        <f t="shared" si="1"/>
        <v>3.6000000000000004E-2</v>
      </c>
      <c r="I31" s="100">
        <f t="shared" si="2"/>
        <v>4.0500000000000001E-2</v>
      </c>
      <c r="J31" s="100">
        <f t="shared" si="3"/>
        <v>4.9500000000000009E-2</v>
      </c>
      <c r="K31" s="100">
        <f t="shared" si="4"/>
        <v>5.4000000000000006E-2</v>
      </c>
      <c r="L31" s="100">
        <f t="shared" si="5"/>
        <v>5.8500000000000003E-2</v>
      </c>
      <c r="M31" s="97">
        <f t="shared" si="6"/>
        <v>9.0909090909090899</v>
      </c>
      <c r="N31" s="97">
        <f t="shared" si="7"/>
        <v>8.3333333333333321</v>
      </c>
      <c r="O31" s="97">
        <f t="shared" si="8"/>
        <v>7.6923076923076916</v>
      </c>
      <c r="Q31" s="103">
        <v>1993</v>
      </c>
      <c r="R31" s="104">
        <f t="shared" si="10"/>
        <v>2728750</v>
      </c>
      <c r="S31" s="104">
        <v>625988</v>
      </c>
      <c r="T31" s="104">
        <v>846956</v>
      </c>
      <c r="U31" s="104">
        <v>481191</v>
      </c>
      <c r="V31" s="104">
        <f t="shared" si="11"/>
        <v>1954135</v>
      </c>
      <c r="W31" s="104">
        <v>774615</v>
      </c>
    </row>
    <row r="32" spans="2:23" ht="15" customHeight="1" x14ac:dyDescent="0.25">
      <c r="B32" s="158"/>
      <c r="C32" s="95" t="s">
        <v>38</v>
      </c>
      <c r="D32" s="98">
        <v>0.45</v>
      </c>
      <c r="E32" s="98">
        <v>0.45</v>
      </c>
      <c r="F32" s="98">
        <f t="shared" si="0"/>
        <v>1.8000000000000002E-2</v>
      </c>
      <c r="G32" s="101">
        <f t="shared" si="9"/>
        <v>3.1500000000000007E-2</v>
      </c>
      <c r="H32" s="101">
        <f t="shared" si="1"/>
        <v>3.6000000000000004E-2</v>
      </c>
      <c r="I32" s="101">
        <f t="shared" si="2"/>
        <v>4.0500000000000001E-2</v>
      </c>
      <c r="J32" s="101">
        <f t="shared" si="3"/>
        <v>4.9500000000000009E-2</v>
      </c>
      <c r="K32" s="101">
        <f t="shared" si="4"/>
        <v>5.4000000000000006E-2</v>
      </c>
      <c r="L32" s="101">
        <f t="shared" si="5"/>
        <v>5.8500000000000003E-2</v>
      </c>
      <c r="M32" s="98">
        <f t="shared" si="6"/>
        <v>9.0909090909090899</v>
      </c>
      <c r="N32" s="98">
        <f t="shared" si="7"/>
        <v>8.3333333333333321</v>
      </c>
      <c r="O32" s="98">
        <f t="shared" si="8"/>
        <v>7.6923076923076916</v>
      </c>
      <c r="Q32" s="103">
        <v>1994</v>
      </c>
      <c r="R32" s="104">
        <f t="shared" si="10"/>
        <v>2642569</v>
      </c>
      <c r="S32" s="104">
        <v>990904</v>
      </c>
      <c r="T32" s="104">
        <v>819890</v>
      </c>
      <c r="U32" s="104">
        <v>448505</v>
      </c>
      <c r="V32" s="104">
        <f t="shared" si="11"/>
        <v>2259299</v>
      </c>
      <c r="W32" s="104">
        <v>383270</v>
      </c>
    </row>
    <row r="33" spans="2:33" ht="15" customHeight="1" x14ac:dyDescent="0.25">
      <c r="B33" s="158"/>
      <c r="C33" s="95" t="s">
        <v>39</v>
      </c>
      <c r="D33" s="98">
        <v>0.45</v>
      </c>
      <c r="E33" s="98">
        <v>0.45</v>
      </c>
      <c r="F33" s="98">
        <f t="shared" si="0"/>
        <v>1.8000000000000002E-2</v>
      </c>
      <c r="G33" s="101">
        <f t="shared" si="9"/>
        <v>3.1500000000000007E-2</v>
      </c>
      <c r="H33" s="101">
        <f t="shared" si="1"/>
        <v>3.6000000000000004E-2</v>
      </c>
      <c r="I33" s="101">
        <f t="shared" si="2"/>
        <v>4.0500000000000001E-2</v>
      </c>
      <c r="J33" s="101">
        <f t="shared" si="3"/>
        <v>4.9500000000000009E-2</v>
      </c>
      <c r="K33" s="101">
        <f t="shared" si="4"/>
        <v>5.4000000000000006E-2</v>
      </c>
      <c r="L33" s="101">
        <f t="shared" si="5"/>
        <v>5.8500000000000003E-2</v>
      </c>
      <c r="M33" s="98">
        <f t="shared" si="6"/>
        <v>9.0909090909090899</v>
      </c>
      <c r="N33" s="98">
        <f t="shared" si="7"/>
        <v>8.3333333333333321</v>
      </c>
      <c r="O33" s="98">
        <f t="shared" si="8"/>
        <v>7.6923076923076916</v>
      </c>
      <c r="Q33" s="103">
        <v>1995</v>
      </c>
      <c r="R33" s="104">
        <f t="shared" si="10"/>
        <v>2354328</v>
      </c>
      <c r="S33" s="104">
        <v>889124</v>
      </c>
      <c r="T33" s="104">
        <v>712062</v>
      </c>
      <c r="U33" s="104">
        <v>393494</v>
      </c>
      <c r="V33" s="104">
        <f t="shared" si="11"/>
        <v>1994680</v>
      </c>
      <c r="W33" s="104">
        <v>359648</v>
      </c>
      <c r="AA33" s="118" t="s">
        <v>80</v>
      </c>
      <c r="AB33" s="118"/>
      <c r="AC33" s="118"/>
      <c r="AD33" s="118"/>
      <c r="AE33" s="118"/>
      <c r="AF33" s="118"/>
      <c r="AG33" s="118"/>
    </row>
    <row r="34" spans="2:33" ht="15" customHeight="1" x14ac:dyDescent="0.25">
      <c r="B34" s="158"/>
      <c r="C34" s="95" t="s">
        <v>40</v>
      </c>
      <c r="D34" s="98">
        <v>0.45</v>
      </c>
      <c r="E34" s="98">
        <v>0.45</v>
      </c>
      <c r="F34" s="98">
        <f t="shared" si="0"/>
        <v>1.8000000000000002E-2</v>
      </c>
      <c r="G34" s="101">
        <f t="shared" si="9"/>
        <v>3.1500000000000007E-2</v>
      </c>
      <c r="H34" s="101">
        <f t="shared" si="1"/>
        <v>3.6000000000000004E-2</v>
      </c>
      <c r="I34" s="101">
        <f t="shared" si="2"/>
        <v>4.0500000000000001E-2</v>
      </c>
      <c r="J34" s="101">
        <f t="shared" si="3"/>
        <v>4.9500000000000009E-2</v>
      </c>
      <c r="K34" s="101">
        <f t="shared" si="4"/>
        <v>5.4000000000000006E-2</v>
      </c>
      <c r="L34" s="101">
        <f t="shared" si="5"/>
        <v>5.8500000000000003E-2</v>
      </c>
      <c r="M34" s="98">
        <f t="shared" si="6"/>
        <v>9.0909090909090899</v>
      </c>
      <c r="N34" s="98">
        <f t="shared" si="7"/>
        <v>8.3333333333333321</v>
      </c>
      <c r="O34" s="98">
        <f t="shared" si="8"/>
        <v>7.6923076923076916</v>
      </c>
      <c r="Q34" s="103">
        <v>1996</v>
      </c>
      <c r="R34" s="104">
        <f t="shared" si="10"/>
        <v>2372585</v>
      </c>
      <c r="S34" s="104">
        <v>968359</v>
      </c>
      <c r="T34" s="104">
        <v>677114</v>
      </c>
      <c r="U34" s="104">
        <v>359686</v>
      </c>
      <c r="V34" s="104">
        <f t="shared" si="11"/>
        <v>2005159</v>
      </c>
      <c r="W34" s="104">
        <v>367426</v>
      </c>
      <c r="AA34" s="118"/>
      <c r="AB34" s="118"/>
      <c r="AC34" s="118"/>
      <c r="AD34" s="118"/>
      <c r="AE34" s="118"/>
      <c r="AF34" s="118"/>
      <c r="AG34" s="118"/>
    </row>
    <row r="35" spans="2:33" ht="15" customHeight="1" x14ac:dyDescent="0.25">
      <c r="B35" s="158"/>
      <c r="C35" s="95" t="s">
        <v>41</v>
      </c>
      <c r="D35" s="98">
        <v>0.45</v>
      </c>
      <c r="E35" s="98">
        <v>0.45</v>
      </c>
      <c r="F35" s="98">
        <f t="shared" si="0"/>
        <v>1.8000000000000002E-2</v>
      </c>
      <c r="G35" s="101">
        <f t="shared" si="9"/>
        <v>3.1500000000000007E-2</v>
      </c>
      <c r="H35" s="101">
        <f t="shared" si="1"/>
        <v>3.6000000000000004E-2</v>
      </c>
      <c r="I35" s="101">
        <f t="shared" si="2"/>
        <v>4.0500000000000001E-2</v>
      </c>
      <c r="J35" s="101">
        <f t="shared" si="3"/>
        <v>4.9500000000000009E-2</v>
      </c>
      <c r="K35" s="101">
        <f t="shared" si="4"/>
        <v>5.4000000000000006E-2</v>
      </c>
      <c r="L35" s="101">
        <f t="shared" si="5"/>
        <v>5.8500000000000003E-2</v>
      </c>
      <c r="M35" s="98">
        <f t="shared" si="6"/>
        <v>9.0909090909090899</v>
      </c>
      <c r="N35" s="98">
        <f t="shared" si="7"/>
        <v>8.3333333333333321</v>
      </c>
      <c r="O35" s="98">
        <f t="shared" si="8"/>
        <v>7.6923076923076916</v>
      </c>
      <c r="Q35" s="103">
        <v>1997</v>
      </c>
      <c r="R35" s="104">
        <f t="shared" si="10"/>
        <v>2383484</v>
      </c>
      <c r="S35" s="104">
        <v>973531</v>
      </c>
      <c r="T35" s="104">
        <v>668709</v>
      </c>
      <c r="U35" s="104">
        <v>365162</v>
      </c>
      <c r="V35" s="104">
        <f t="shared" si="11"/>
        <v>2007402</v>
      </c>
      <c r="W35" s="104">
        <v>376082</v>
      </c>
      <c r="AA35" s="69"/>
    </row>
    <row r="36" spans="2:33" ht="15" customHeight="1" x14ac:dyDescent="0.25">
      <c r="B36" s="158"/>
      <c r="C36" s="95" t="s">
        <v>42</v>
      </c>
      <c r="D36" s="98">
        <v>0.45</v>
      </c>
      <c r="E36" s="98">
        <v>0.45</v>
      </c>
      <c r="F36" s="98">
        <f t="shared" si="0"/>
        <v>1.8000000000000002E-2</v>
      </c>
      <c r="G36" s="101">
        <f t="shared" si="9"/>
        <v>3.1500000000000007E-2</v>
      </c>
      <c r="H36" s="101">
        <f t="shared" si="1"/>
        <v>3.6000000000000004E-2</v>
      </c>
      <c r="I36" s="101">
        <f t="shared" si="2"/>
        <v>4.0500000000000001E-2</v>
      </c>
      <c r="J36" s="101">
        <f t="shared" si="3"/>
        <v>4.9500000000000009E-2</v>
      </c>
      <c r="K36" s="101">
        <f t="shared" si="4"/>
        <v>5.4000000000000006E-2</v>
      </c>
      <c r="L36" s="101">
        <f t="shared" si="5"/>
        <v>5.8500000000000003E-2</v>
      </c>
      <c r="M36" s="98">
        <f t="shared" si="6"/>
        <v>9.0909090909090899</v>
      </c>
      <c r="N36" s="98">
        <f t="shared" si="7"/>
        <v>8.3333333333333321</v>
      </c>
      <c r="O36" s="98">
        <f t="shared" si="8"/>
        <v>7.6923076923076916</v>
      </c>
      <c r="Q36" s="103">
        <v>1998</v>
      </c>
      <c r="R36" s="104">
        <f t="shared" si="10"/>
        <v>2368327</v>
      </c>
      <c r="S36" s="104">
        <v>971762</v>
      </c>
      <c r="T36" s="104">
        <v>621738</v>
      </c>
      <c r="U36" s="104">
        <v>378685</v>
      </c>
      <c r="V36" s="104">
        <f t="shared" si="11"/>
        <v>1972185</v>
      </c>
      <c r="W36" s="104">
        <v>396142</v>
      </c>
      <c r="AA36" s="69"/>
      <c r="AC36" s="156" t="s">
        <v>15</v>
      </c>
      <c r="AD36" s="156"/>
      <c r="AE36" s="156"/>
    </row>
    <row r="37" spans="2:33" ht="15" customHeight="1" x14ac:dyDescent="0.25">
      <c r="B37" s="158"/>
      <c r="C37" s="95" t="s">
        <v>43</v>
      </c>
      <c r="D37" s="98">
        <v>0.45</v>
      </c>
      <c r="E37" s="98">
        <v>0.45</v>
      </c>
      <c r="F37" s="98">
        <f t="shared" si="0"/>
        <v>1.8000000000000002E-2</v>
      </c>
      <c r="G37" s="101">
        <f t="shared" si="9"/>
        <v>3.1500000000000007E-2</v>
      </c>
      <c r="H37" s="101">
        <f t="shared" si="1"/>
        <v>3.6000000000000004E-2</v>
      </c>
      <c r="I37" s="101">
        <f t="shared" si="2"/>
        <v>4.0500000000000001E-2</v>
      </c>
      <c r="J37" s="101">
        <f t="shared" si="3"/>
        <v>4.9500000000000009E-2</v>
      </c>
      <c r="K37" s="101">
        <f t="shared" si="4"/>
        <v>5.4000000000000006E-2</v>
      </c>
      <c r="L37" s="101">
        <f t="shared" si="5"/>
        <v>5.8500000000000003E-2</v>
      </c>
      <c r="M37" s="98">
        <f t="shared" si="6"/>
        <v>9.0909090909090899</v>
      </c>
      <c r="N37" s="98">
        <f t="shared" si="7"/>
        <v>8.3333333333333321</v>
      </c>
      <c r="O37" s="98">
        <f t="shared" si="8"/>
        <v>7.6923076923076916</v>
      </c>
      <c r="Q37" s="103">
        <v>1999</v>
      </c>
      <c r="R37" s="104">
        <f t="shared" si="10"/>
        <v>2194035</v>
      </c>
      <c r="S37" s="104">
        <v>960271</v>
      </c>
      <c r="T37" s="104">
        <v>571268</v>
      </c>
      <c r="U37" s="104">
        <v>336778</v>
      </c>
      <c r="V37" s="104">
        <f t="shared" si="11"/>
        <v>1868317</v>
      </c>
      <c r="W37" s="104">
        <v>325718</v>
      </c>
      <c r="AA37" s="149" t="s">
        <v>1</v>
      </c>
      <c r="AB37" s="149" t="s">
        <v>2</v>
      </c>
      <c r="AC37" s="155" t="s">
        <v>28</v>
      </c>
      <c r="AD37" s="155" t="s">
        <v>29</v>
      </c>
      <c r="AE37" s="155" t="s">
        <v>30</v>
      </c>
      <c r="AF37" s="149" t="s">
        <v>22</v>
      </c>
      <c r="AG37" s="149" t="s">
        <v>23</v>
      </c>
    </row>
    <row r="38" spans="2:33" ht="15" customHeight="1" x14ac:dyDescent="0.25">
      <c r="B38" s="158"/>
      <c r="C38" s="95" t="s">
        <v>44</v>
      </c>
      <c r="D38" s="98">
        <v>0.45</v>
      </c>
      <c r="E38" s="98">
        <v>0.45</v>
      </c>
      <c r="F38" s="98">
        <f t="shared" si="0"/>
        <v>1.8000000000000002E-2</v>
      </c>
      <c r="G38" s="101">
        <f t="shared" si="9"/>
        <v>3.1500000000000007E-2</v>
      </c>
      <c r="H38" s="101">
        <f t="shared" si="1"/>
        <v>3.6000000000000004E-2</v>
      </c>
      <c r="I38" s="101">
        <f t="shared" si="2"/>
        <v>4.0500000000000001E-2</v>
      </c>
      <c r="J38" s="101">
        <f t="shared" si="3"/>
        <v>4.9500000000000009E-2</v>
      </c>
      <c r="K38" s="101">
        <f t="shared" si="4"/>
        <v>5.4000000000000006E-2</v>
      </c>
      <c r="L38" s="101">
        <f t="shared" si="5"/>
        <v>5.8500000000000003E-2</v>
      </c>
      <c r="M38" s="98">
        <f t="shared" si="6"/>
        <v>9.0909090909090899</v>
      </c>
      <c r="N38" s="98">
        <f t="shared" si="7"/>
        <v>8.3333333333333321</v>
      </c>
      <c r="O38" s="98">
        <f t="shared" si="8"/>
        <v>7.6923076923076916</v>
      </c>
      <c r="Q38" s="103">
        <v>2000</v>
      </c>
      <c r="R38" s="104">
        <f t="shared" si="10"/>
        <v>2247626</v>
      </c>
      <c r="S38" s="104">
        <v>980107</v>
      </c>
      <c r="T38" s="104">
        <v>589182</v>
      </c>
      <c r="U38" s="104">
        <v>346361</v>
      </c>
      <c r="V38" s="104">
        <f t="shared" si="11"/>
        <v>1915650</v>
      </c>
      <c r="W38" s="104">
        <v>331976</v>
      </c>
      <c r="AA38" s="150"/>
      <c r="AB38" s="150"/>
      <c r="AC38" s="150"/>
      <c r="AD38" s="150"/>
      <c r="AE38" s="150"/>
      <c r="AF38" s="150"/>
      <c r="AG38" s="150"/>
    </row>
    <row r="39" spans="2:33" ht="15" customHeight="1" x14ac:dyDescent="0.25">
      <c r="B39" s="158"/>
      <c r="C39" s="95" t="s">
        <v>45</v>
      </c>
      <c r="D39" s="98">
        <v>0.45</v>
      </c>
      <c r="E39" s="98">
        <v>0.45</v>
      </c>
      <c r="F39" s="98">
        <f t="shared" si="0"/>
        <v>1.8000000000000002E-2</v>
      </c>
      <c r="G39" s="101">
        <f t="shared" si="9"/>
        <v>3.1500000000000007E-2</v>
      </c>
      <c r="H39" s="101">
        <f t="shared" si="1"/>
        <v>3.6000000000000004E-2</v>
      </c>
      <c r="I39" s="101">
        <f t="shared" si="2"/>
        <v>4.0500000000000001E-2</v>
      </c>
      <c r="J39" s="101">
        <f t="shared" si="3"/>
        <v>4.9500000000000009E-2</v>
      </c>
      <c r="K39" s="101">
        <f t="shared" si="4"/>
        <v>5.4000000000000006E-2</v>
      </c>
      <c r="L39" s="101">
        <f t="shared" si="5"/>
        <v>5.8500000000000003E-2</v>
      </c>
      <c r="M39" s="98">
        <f t="shared" si="6"/>
        <v>9.0909090909090899</v>
      </c>
      <c r="N39" s="98">
        <f t="shared" si="7"/>
        <v>8.3333333333333321</v>
      </c>
      <c r="O39" s="98">
        <f t="shared" si="8"/>
        <v>7.6923076923076916</v>
      </c>
      <c r="Q39" s="106">
        <v>2001</v>
      </c>
      <c r="R39" s="107">
        <f t="shared" si="10"/>
        <v>2283088</v>
      </c>
      <c r="S39" s="107">
        <v>1014303</v>
      </c>
      <c r="T39" s="107">
        <v>582792</v>
      </c>
      <c r="U39" s="107">
        <v>356262</v>
      </c>
      <c r="V39" s="107">
        <f t="shared" si="11"/>
        <v>1953357</v>
      </c>
      <c r="W39" s="107">
        <v>329731</v>
      </c>
      <c r="AA39" s="71">
        <v>1976</v>
      </c>
      <c r="AB39" s="72">
        <f>+R14/$R65</f>
        <v>22.508742284911332</v>
      </c>
      <c r="AC39" s="72">
        <f>+S14/$R65</f>
        <v>4.7121893954216398</v>
      </c>
      <c r="AD39" s="72">
        <f>+T14/$R65</f>
        <v>8.9314846765443523</v>
      </c>
      <c r="AE39" s="72">
        <f>+U14/$R65</f>
        <v>3.9508902367442769</v>
      </c>
      <c r="AF39" s="72">
        <f>+V14/$R65</f>
        <v>17.594564308710268</v>
      </c>
      <c r="AG39" s="72">
        <f>+W14/$R65</f>
        <v>4.9141779762010636</v>
      </c>
    </row>
    <row r="40" spans="2:33" ht="15" customHeight="1" x14ac:dyDescent="0.25">
      <c r="B40" s="158"/>
      <c r="C40" s="95" t="s">
        <v>46</v>
      </c>
      <c r="D40" s="98">
        <v>0.45</v>
      </c>
      <c r="E40" s="98">
        <v>0.45</v>
      </c>
      <c r="F40" s="98">
        <f t="shared" si="0"/>
        <v>1.8000000000000002E-2</v>
      </c>
      <c r="G40" s="101">
        <f t="shared" si="9"/>
        <v>3.1500000000000007E-2</v>
      </c>
      <c r="H40" s="101">
        <f t="shared" si="1"/>
        <v>3.6000000000000004E-2</v>
      </c>
      <c r="I40" s="101">
        <f t="shared" si="2"/>
        <v>4.0500000000000001E-2</v>
      </c>
      <c r="J40" s="101">
        <f t="shared" si="3"/>
        <v>4.9500000000000009E-2</v>
      </c>
      <c r="K40" s="101">
        <f t="shared" si="4"/>
        <v>5.4000000000000006E-2</v>
      </c>
      <c r="L40" s="101">
        <f t="shared" si="5"/>
        <v>5.8500000000000003E-2</v>
      </c>
      <c r="M40" s="98">
        <f t="shared" si="6"/>
        <v>9.0909090909090899</v>
      </c>
      <c r="N40" s="98">
        <f t="shared" si="7"/>
        <v>8.3333333333333321</v>
      </c>
      <c r="O40" s="98">
        <f t="shared" si="8"/>
        <v>7.6923076923076916</v>
      </c>
      <c r="Q40" s="103">
        <v>2002</v>
      </c>
      <c r="R40" s="104">
        <f t="shared" si="10"/>
        <v>2297570</v>
      </c>
      <c r="S40" s="104">
        <v>1026531</v>
      </c>
      <c r="T40" s="104">
        <v>574353</v>
      </c>
      <c r="U40" s="104">
        <v>362327</v>
      </c>
      <c r="V40" s="104">
        <f t="shared" si="11"/>
        <v>1963211</v>
      </c>
      <c r="W40" s="104">
        <v>334359</v>
      </c>
      <c r="AA40" s="71">
        <v>1977</v>
      </c>
      <c r="AB40" s="73">
        <f>+R15/$R66</f>
        <v>21.339718596372265</v>
      </c>
      <c r="AC40" s="73">
        <f>+S15/$R66</f>
        <v>4.3434480420410235</v>
      </c>
      <c r="AD40" s="73">
        <f>+T15/$R66</f>
        <v>8.2393780147636733</v>
      </c>
      <c r="AE40" s="73">
        <f>+U15/$R66</f>
        <v>3.9946524064171123</v>
      </c>
      <c r="AF40" s="73">
        <f>+V15/$R66</f>
        <v>16.577478463221809</v>
      </c>
      <c r="AG40" s="73">
        <f>+W15/$R66</f>
        <v>4.7622401331504571</v>
      </c>
    </row>
    <row r="41" spans="2:33" ht="15" customHeight="1" x14ac:dyDescent="0.25">
      <c r="B41" s="158"/>
      <c r="C41" s="95" t="s">
        <v>47</v>
      </c>
      <c r="D41" s="98">
        <v>0.45</v>
      </c>
      <c r="E41" s="98">
        <v>0.45</v>
      </c>
      <c r="F41" s="98">
        <f t="shared" si="0"/>
        <v>1.8000000000000002E-2</v>
      </c>
      <c r="G41" s="101">
        <f t="shared" si="9"/>
        <v>3.1500000000000007E-2</v>
      </c>
      <c r="H41" s="101">
        <f t="shared" si="1"/>
        <v>3.6000000000000004E-2</v>
      </c>
      <c r="I41" s="101">
        <f t="shared" si="2"/>
        <v>4.0500000000000001E-2</v>
      </c>
      <c r="J41" s="101">
        <f t="shared" si="3"/>
        <v>4.9500000000000009E-2</v>
      </c>
      <c r="K41" s="101">
        <f t="shared" si="4"/>
        <v>5.4000000000000006E-2</v>
      </c>
      <c r="L41" s="101">
        <f t="shared" si="5"/>
        <v>5.8500000000000003E-2</v>
      </c>
      <c r="M41" s="98">
        <f t="shared" si="6"/>
        <v>9.0909090909090899</v>
      </c>
      <c r="N41" s="98">
        <f t="shared" si="7"/>
        <v>8.3333333333333321</v>
      </c>
      <c r="O41" s="98">
        <f t="shared" si="8"/>
        <v>7.6923076923076916</v>
      </c>
      <c r="Q41" s="106">
        <v>2003</v>
      </c>
      <c r="R41" s="107">
        <f t="shared" si="10"/>
        <v>2301660</v>
      </c>
      <c r="S41" s="107">
        <v>1035116</v>
      </c>
      <c r="T41" s="107">
        <v>555586</v>
      </c>
      <c r="U41" s="107">
        <v>364776</v>
      </c>
      <c r="V41" s="107">
        <f t="shared" si="11"/>
        <v>1955478</v>
      </c>
      <c r="W41" s="107">
        <v>346182</v>
      </c>
      <c r="AA41" s="71">
        <v>1978</v>
      </c>
      <c r="AB41" s="73">
        <f>+R16/$R67</f>
        <v>20.115789613635759</v>
      </c>
      <c r="AC41" s="73">
        <f>+S16/$R67</f>
        <v>4.0780439811737175</v>
      </c>
      <c r="AD41" s="73">
        <f>+T16/$R67</f>
        <v>7.8480203153668198</v>
      </c>
      <c r="AE41" s="73">
        <f>+U16/$R67</f>
        <v>3.9056425665434626</v>
      </c>
      <c r="AF41" s="73">
        <f>+V16/$R67</f>
        <v>15.831706863083999</v>
      </c>
      <c r="AG41" s="73">
        <f>+W16/$R67</f>
        <v>4.2840827505517591</v>
      </c>
    </row>
    <row r="42" spans="2:33" ht="15" customHeight="1" x14ac:dyDescent="0.25">
      <c r="B42" s="159"/>
      <c r="C42" s="96" t="s">
        <v>48</v>
      </c>
      <c r="D42" s="99">
        <v>0.45</v>
      </c>
      <c r="E42" s="99">
        <v>0.45</v>
      </c>
      <c r="F42" s="99">
        <f t="shared" si="0"/>
        <v>1.8000000000000002E-2</v>
      </c>
      <c r="G42" s="102">
        <f t="shared" si="9"/>
        <v>3.1500000000000007E-2</v>
      </c>
      <c r="H42" s="102">
        <f t="shared" si="1"/>
        <v>3.6000000000000004E-2</v>
      </c>
      <c r="I42" s="102">
        <f t="shared" si="2"/>
        <v>4.0500000000000001E-2</v>
      </c>
      <c r="J42" s="102">
        <f t="shared" si="3"/>
        <v>4.9500000000000009E-2</v>
      </c>
      <c r="K42" s="102">
        <f t="shared" si="4"/>
        <v>5.4000000000000006E-2</v>
      </c>
      <c r="L42" s="102">
        <f t="shared" si="5"/>
        <v>5.8500000000000003E-2</v>
      </c>
      <c r="M42" s="99">
        <f t="shared" si="6"/>
        <v>9.0909090909090899</v>
      </c>
      <c r="N42" s="99">
        <f t="shared" si="7"/>
        <v>8.3333333333333321</v>
      </c>
      <c r="O42" s="99">
        <f t="shared" si="8"/>
        <v>7.6923076923076916</v>
      </c>
      <c r="Q42" s="103">
        <v>2004</v>
      </c>
      <c r="R42" s="107" t="s">
        <v>37</v>
      </c>
      <c r="S42" s="107" t="s">
        <v>37</v>
      </c>
      <c r="T42" s="107" t="s">
        <v>37</v>
      </c>
      <c r="U42" s="107" t="s">
        <v>37</v>
      </c>
      <c r="V42" s="107" t="s">
        <v>37</v>
      </c>
      <c r="W42" s="107" t="s">
        <v>37</v>
      </c>
      <c r="AA42" s="71">
        <v>1979</v>
      </c>
      <c r="AB42" s="73">
        <f>+R17/$R68</f>
        <v>17.586504470783947</v>
      </c>
      <c r="AC42" s="73">
        <f>+S17/$R68</f>
        <v>3.5542616852660522</v>
      </c>
      <c r="AD42" s="73">
        <f>+T17/$R68</f>
        <v>6.7720939904346018</v>
      </c>
      <c r="AE42" s="73">
        <f>+U17/$R68</f>
        <v>3.3547399551766364</v>
      </c>
      <c r="AF42" s="73">
        <f>+V17/$R68</f>
        <v>13.681095630877291</v>
      </c>
      <c r="AG42" s="73">
        <f>+W17/$R68</f>
        <v>3.9054088399066567</v>
      </c>
    </row>
    <row r="43" spans="2:33" ht="15" customHeight="1" x14ac:dyDescent="0.25">
      <c r="B43" s="157">
        <v>1977</v>
      </c>
      <c r="C43" s="94" t="s">
        <v>36</v>
      </c>
      <c r="D43" s="97">
        <v>0.45</v>
      </c>
      <c r="E43" s="97">
        <v>0.45</v>
      </c>
      <c r="F43" s="97">
        <f t="shared" si="0"/>
        <v>1.8000000000000002E-2</v>
      </c>
      <c r="G43" s="100">
        <f t="shared" si="9"/>
        <v>3.1500000000000007E-2</v>
      </c>
      <c r="H43" s="100">
        <f t="shared" si="1"/>
        <v>3.6000000000000004E-2</v>
      </c>
      <c r="I43" s="100">
        <f t="shared" si="2"/>
        <v>4.0500000000000001E-2</v>
      </c>
      <c r="J43" s="100">
        <f t="shared" si="3"/>
        <v>4.9500000000000009E-2</v>
      </c>
      <c r="K43" s="100">
        <f t="shared" si="4"/>
        <v>5.4000000000000006E-2</v>
      </c>
      <c r="L43" s="100">
        <f t="shared" si="5"/>
        <v>5.8500000000000003E-2</v>
      </c>
      <c r="M43" s="97">
        <f t="shared" si="6"/>
        <v>9.0909090909090899</v>
      </c>
      <c r="N43" s="97">
        <f t="shared" si="7"/>
        <v>8.3333333333333321</v>
      </c>
      <c r="O43" s="97">
        <f t="shared" si="8"/>
        <v>7.6923076923076916</v>
      </c>
      <c r="Q43" s="103">
        <v>2005</v>
      </c>
      <c r="R43" s="107" t="s">
        <v>37</v>
      </c>
      <c r="S43" s="107" t="s">
        <v>37</v>
      </c>
      <c r="T43" s="107" t="s">
        <v>37</v>
      </c>
      <c r="U43" s="107" t="s">
        <v>37</v>
      </c>
      <c r="V43" s="107" t="s">
        <v>37</v>
      </c>
      <c r="W43" s="107" t="s">
        <v>37</v>
      </c>
      <c r="AA43" s="71">
        <v>1980</v>
      </c>
      <c r="AB43" s="73">
        <f>+R18/$R69</f>
        <v>17.776478092239952</v>
      </c>
      <c r="AC43" s="73">
        <f>+S18/$R69</f>
        <v>3.3842062487783298</v>
      </c>
      <c r="AD43" s="73">
        <f>+T18/$R69</f>
        <v>6.1155519891361374</v>
      </c>
      <c r="AE43" s="73">
        <f>+U18/$R69</f>
        <v>3.3273767270557495</v>
      </c>
      <c r="AF43" s="73">
        <f>+V18/$R69</f>
        <v>12.827134964970217</v>
      </c>
      <c r="AG43" s="73">
        <f>+W18/$R69</f>
        <v>4.9493431272697341</v>
      </c>
    </row>
    <row r="44" spans="2:33" ht="15" customHeight="1" x14ac:dyDescent="0.25">
      <c r="B44" s="158"/>
      <c r="C44" s="95" t="s">
        <v>38</v>
      </c>
      <c r="D44" s="98">
        <v>0.45</v>
      </c>
      <c r="E44" s="98">
        <v>0.45</v>
      </c>
      <c r="F44" s="98">
        <f t="shared" si="0"/>
        <v>1.8000000000000002E-2</v>
      </c>
      <c r="G44" s="101">
        <f t="shared" si="9"/>
        <v>3.1500000000000007E-2</v>
      </c>
      <c r="H44" s="101">
        <f t="shared" si="1"/>
        <v>3.6000000000000004E-2</v>
      </c>
      <c r="I44" s="101">
        <f t="shared" si="2"/>
        <v>4.0500000000000001E-2</v>
      </c>
      <c r="J44" s="101">
        <f t="shared" si="3"/>
        <v>4.9500000000000009E-2</v>
      </c>
      <c r="K44" s="101">
        <f t="shared" si="4"/>
        <v>5.4000000000000006E-2</v>
      </c>
      <c r="L44" s="101">
        <f t="shared" si="5"/>
        <v>5.8500000000000003E-2</v>
      </c>
      <c r="M44" s="98">
        <f t="shared" si="6"/>
        <v>9.0909090909090899</v>
      </c>
      <c r="N44" s="98">
        <f t="shared" si="7"/>
        <v>8.3333333333333321</v>
      </c>
      <c r="O44" s="98">
        <f t="shared" si="8"/>
        <v>7.6923076923076916</v>
      </c>
      <c r="Q44" s="103">
        <v>2006</v>
      </c>
      <c r="R44" s="107" t="s">
        <v>37</v>
      </c>
      <c r="S44" s="107" t="s">
        <v>37</v>
      </c>
      <c r="T44" s="107" t="s">
        <v>37</v>
      </c>
      <c r="U44" s="107" t="s">
        <v>37</v>
      </c>
      <c r="V44" s="107" t="s">
        <v>37</v>
      </c>
      <c r="W44" s="107" t="s">
        <v>37</v>
      </c>
      <c r="AA44" s="71">
        <v>1981</v>
      </c>
      <c r="AB44" s="73">
        <f>+R19/$R70</f>
        <v>16.222921948446817</v>
      </c>
      <c r="AC44" s="73">
        <f>+S19/$R70</f>
        <v>3.0942645506464448</v>
      </c>
      <c r="AD44" s="73">
        <f>+T19/$R70</f>
        <v>5.4759782383139202</v>
      </c>
      <c r="AE44" s="73">
        <f>+U19/$R70</f>
        <v>3.0265164159982678</v>
      </c>
      <c r="AF44" s="73">
        <f>+V19/$R70</f>
        <v>11.596759204958634</v>
      </c>
      <c r="AG44" s="73">
        <f>+W19/$R70</f>
        <v>4.6261627434881856</v>
      </c>
    </row>
    <row r="45" spans="2:33" ht="15" customHeight="1" x14ac:dyDescent="0.25">
      <c r="B45" s="158"/>
      <c r="C45" s="95" t="s">
        <v>39</v>
      </c>
      <c r="D45" s="98">
        <v>0.45</v>
      </c>
      <c r="E45" s="98">
        <v>0.45</v>
      </c>
      <c r="F45" s="98">
        <f t="shared" si="0"/>
        <v>1.8000000000000002E-2</v>
      </c>
      <c r="G45" s="101">
        <f t="shared" si="9"/>
        <v>3.1500000000000007E-2</v>
      </c>
      <c r="H45" s="101">
        <f t="shared" si="1"/>
        <v>3.6000000000000004E-2</v>
      </c>
      <c r="I45" s="101">
        <f t="shared" si="2"/>
        <v>4.0500000000000001E-2</v>
      </c>
      <c r="J45" s="101">
        <f t="shared" si="3"/>
        <v>4.9500000000000009E-2</v>
      </c>
      <c r="K45" s="101">
        <f t="shared" si="4"/>
        <v>5.4000000000000006E-2</v>
      </c>
      <c r="L45" s="101">
        <f t="shared" si="5"/>
        <v>5.8500000000000003E-2</v>
      </c>
      <c r="M45" s="98">
        <f t="shared" si="6"/>
        <v>9.0909090909090899</v>
      </c>
      <c r="N45" s="98">
        <f t="shared" si="7"/>
        <v>8.3333333333333321</v>
      </c>
      <c r="O45" s="98">
        <f t="shared" si="8"/>
        <v>7.6923076923076916</v>
      </c>
      <c r="Q45" s="103">
        <v>2007</v>
      </c>
      <c r="R45" s="107" t="s">
        <v>37</v>
      </c>
      <c r="S45" s="107" t="s">
        <v>37</v>
      </c>
      <c r="T45" s="107" t="s">
        <v>37</v>
      </c>
      <c r="U45" s="107" t="s">
        <v>37</v>
      </c>
      <c r="V45" s="107" t="s">
        <v>37</v>
      </c>
      <c r="W45" s="107" t="s">
        <v>37</v>
      </c>
      <c r="AA45" s="71">
        <v>1982</v>
      </c>
      <c r="AB45" s="73">
        <f>+R20/$R71</f>
        <v>16.090064206441667</v>
      </c>
      <c r="AC45" s="73">
        <f>+S20/$R71</f>
        <v>3.1653250177377958</v>
      </c>
      <c r="AD45" s="73">
        <f>+T20/$R71</f>
        <v>5.2883508667431656</v>
      </c>
      <c r="AE45" s="73">
        <f>+U20/$R71</f>
        <v>2.9065283848532362</v>
      </c>
      <c r="AF45" s="73">
        <f>+V20/$R71</f>
        <v>11.360204269334197</v>
      </c>
      <c r="AG45" s="73">
        <f>+W20/$R71</f>
        <v>4.7298599371074692</v>
      </c>
    </row>
    <row r="46" spans="2:33" ht="15" customHeight="1" x14ac:dyDescent="0.25">
      <c r="B46" s="158"/>
      <c r="C46" s="95" t="s">
        <v>40</v>
      </c>
      <c r="D46" s="98">
        <v>0.45</v>
      </c>
      <c r="E46" s="98">
        <v>0.45</v>
      </c>
      <c r="F46" s="98">
        <f t="shared" si="0"/>
        <v>1.8000000000000002E-2</v>
      </c>
      <c r="G46" s="101">
        <f t="shared" si="9"/>
        <v>3.1500000000000007E-2</v>
      </c>
      <c r="H46" s="101">
        <f t="shared" si="1"/>
        <v>3.6000000000000004E-2</v>
      </c>
      <c r="I46" s="101">
        <f t="shared" si="2"/>
        <v>4.0500000000000001E-2</v>
      </c>
      <c r="J46" s="101">
        <f t="shared" si="3"/>
        <v>4.9500000000000009E-2</v>
      </c>
      <c r="K46" s="101">
        <f t="shared" si="4"/>
        <v>5.4000000000000006E-2</v>
      </c>
      <c r="L46" s="101">
        <f t="shared" si="5"/>
        <v>5.8500000000000003E-2</v>
      </c>
      <c r="M46" s="98">
        <f t="shared" si="6"/>
        <v>9.0909090909090899</v>
      </c>
      <c r="N46" s="98">
        <f t="shared" si="7"/>
        <v>8.3333333333333321</v>
      </c>
      <c r="O46" s="98">
        <f t="shared" si="8"/>
        <v>7.6923076923076916</v>
      </c>
      <c r="Q46" s="103">
        <v>2008</v>
      </c>
      <c r="R46" s="107" t="s">
        <v>37</v>
      </c>
      <c r="S46" s="107" t="s">
        <v>37</v>
      </c>
      <c r="T46" s="107" t="s">
        <v>37</v>
      </c>
      <c r="U46" s="107" t="s">
        <v>37</v>
      </c>
      <c r="V46" s="107" t="s">
        <v>37</v>
      </c>
      <c r="W46" s="107" t="s">
        <v>37</v>
      </c>
      <c r="AA46" s="71">
        <v>1983</v>
      </c>
      <c r="AB46" s="73">
        <f>+R21/$R72</f>
        <v>13.187001378077396</v>
      </c>
      <c r="AC46" s="73">
        <f>+S21/$R72</f>
        <v>2.6670416030392192</v>
      </c>
      <c r="AD46" s="73">
        <f>+T21/$R72</f>
        <v>4.2775671347163771</v>
      </c>
      <c r="AE46" s="73">
        <f>+U21/$R72</f>
        <v>2.1192670118067714</v>
      </c>
      <c r="AF46" s="73">
        <f>+V21/$R72</f>
        <v>9.0638757495623672</v>
      </c>
      <c r="AG46" s="73">
        <f>+W21/$R72</f>
        <v>4.1231256285150284</v>
      </c>
    </row>
    <row r="47" spans="2:33" ht="15" customHeight="1" x14ac:dyDescent="0.25">
      <c r="B47" s="158"/>
      <c r="C47" s="95" t="s">
        <v>41</v>
      </c>
      <c r="D47" s="98">
        <v>0.45</v>
      </c>
      <c r="E47" s="98">
        <v>0.45</v>
      </c>
      <c r="F47" s="98">
        <f t="shared" si="0"/>
        <v>1.8000000000000002E-2</v>
      </c>
      <c r="G47" s="101">
        <f t="shared" si="9"/>
        <v>3.1500000000000007E-2</v>
      </c>
      <c r="H47" s="101">
        <f t="shared" si="1"/>
        <v>3.6000000000000004E-2</v>
      </c>
      <c r="I47" s="101">
        <f t="shared" si="2"/>
        <v>4.0500000000000001E-2</v>
      </c>
      <c r="J47" s="101">
        <f t="shared" si="3"/>
        <v>4.9500000000000009E-2</v>
      </c>
      <c r="K47" s="101">
        <f t="shared" si="4"/>
        <v>5.4000000000000006E-2</v>
      </c>
      <c r="L47" s="101">
        <f t="shared" si="5"/>
        <v>5.8500000000000003E-2</v>
      </c>
      <c r="M47" s="98">
        <f t="shared" si="6"/>
        <v>9.0909090909090899</v>
      </c>
      <c r="N47" s="98">
        <f t="shared" si="7"/>
        <v>8.3333333333333321</v>
      </c>
      <c r="O47" s="98">
        <f t="shared" si="8"/>
        <v>7.6923076923076916</v>
      </c>
      <c r="Q47" s="103">
        <v>2009</v>
      </c>
      <c r="R47" s="107" t="s">
        <v>37</v>
      </c>
      <c r="S47" s="107" t="s">
        <v>37</v>
      </c>
      <c r="T47" s="107" t="s">
        <v>37</v>
      </c>
      <c r="U47" s="107" t="s">
        <v>37</v>
      </c>
      <c r="V47" s="107" t="s">
        <v>37</v>
      </c>
      <c r="W47" s="107" t="s">
        <v>37</v>
      </c>
      <c r="AA47" s="71">
        <v>1984</v>
      </c>
      <c r="AB47" s="73">
        <f>+R22/$R73</f>
        <v>12.531279964129272</v>
      </c>
      <c r="AC47" s="73">
        <f>+S22/$R73</f>
        <v>2.6062773772979684</v>
      </c>
      <c r="AD47" s="73">
        <f>+T22/$R73</f>
        <v>4.1992136032835514</v>
      </c>
      <c r="AE47" s="73">
        <f>+U22/$R73</f>
        <v>1.9265201945297141</v>
      </c>
      <c r="AF47" s="73">
        <f>+V22/$R73</f>
        <v>8.7320111751112339</v>
      </c>
      <c r="AG47" s="73">
        <f>+W22/$R73</f>
        <v>3.799268789018039</v>
      </c>
    </row>
    <row r="48" spans="2:33" ht="15" customHeight="1" x14ac:dyDescent="0.25">
      <c r="B48" s="158"/>
      <c r="C48" s="95" t="s">
        <v>42</v>
      </c>
      <c r="D48" s="98">
        <v>0.45</v>
      </c>
      <c r="E48" s="98">
        <v>0.45</v>
      </c>
      <c r="F48" s="98">
        <f t="shared" si="0"/>
        <v>1.8000000000000002E-2</v>
      </c>
      <c r="G48" s="101">
        <f t="shared" si="9"/>
        <v>3.1500000000000007E-2</v>
      </c>
      <c r="H48" s="101">
        <f t="shared" si="1"/>
        <v>3.6000000000000004E-2</v>
      </c>
      <c r="I48" s="101">
        <f t="shared" si="2"/>
        <v>4.0500000000000001E-2</v>
      </c>
      <c r="J48" s="101">
        <f t="shared" si="3"/>
        <v>4.9500000000000009E-2</v>
      </c>
      <c r="K48" s="101">
        <f t="shared" si="4"/>
        <v>5.4000000000000006E-2</v>
      </c>
      <c r="L48" s="101">
        <f t="shared" si="5"/>
        <v>5.8500000000000003E-2</v>
      </c>
      <c r="M48" s="98">
        <f t="shared" si="6"/>
        <v>9.0909090909090899</v>
      </c>
      <c r="N48" s="98">
        <f t="shared" si="7"/>
        <v>8.3333333333333321</v>
      </c>
      <c r="O48" s="98">
        <f t="shared" si="8"/>
        <v>7.6923076923076916</v>
      </c>
      <c r="Q48" s="103">
        <v>2010</v>
      </c>
      <c r="R48" s="107" t="s">
        <v>37</v>
      </c>
      <c r="S48" s="107" t="s">
        <v>37</v>
      </c>
      <c r="T48" s="107" t="s">
        <v>37</v>
      </c>
      <c r="U48" s="107" t="s">
        <v>37</v>
      </c>
      <c r="V48" s="107" t="s">
        <v>37</v>
      </c>
      <c r="W48" s="107" t="s">
        <v>37</v>
      </c>
      <c r="AA48" s="71">
        <v>1985</v>
      </c>
      <c r="AB48" s="73">
        <f>+R23/$R74</f>
        <v>11.92970602852272</v>
      </c>
      <c r="AC48" s="73">
        <f>+S23/$R74</f>
        <v>2.5244745566522608</v>
      </c>
      <c r="AD48" s="73">
        <f>+T23/$R74</f>
        <v>4.0311334226634203</v>
      </c>
      <c r="AE48" s="73">
        <f>+U23/$R74</f>
        <v>1.8379036367410875</v>
      </c>
      <c r="AF48" s="73">
        <f>+V23/$R74</f>
        <v>8.3935116160567684</v>
      </c>
      <c r="AG48" s="73">
        <f>+W23/$R74</f>
        <v>3.5361944124659508</v>
      </c>
    </row>
    <row r="49" spans="2:33" ht="15" customHeight="1" x14ac:dyDescent="0.25">
      <c r="B49" s="158"/>
      <c r="C49" s="95" t="s">
        <v>43</v>
      </c>
      <c r="D49" s="98">
        <v>0.45</v>
      </c>
      <c r="E49" s="98">
        <v>0.45</v>
      </c>
      <c r="F49" s="98">
        <f t="shared" si="0"/>
        <v>1.8000000000000002E-2</v>
      </c>
      <c r="G49" s="101">
        <f t="shared" si="9"/>
        <v>3.1500000000000007E-2</v>
      </c>
      <c r="H49" s="101">
        <f t="shared" si="1"/>
        <v>3.6000000000000004E-2</v>
      </c>
      <c r="I49" s="101">
        <f t="shared" si="2"/>
        <v>4.0500000000000001E-2</v>
      </c>
      <c r="J49" s="101">
        <f t="shared" si="3"/>
        <v>4.9500000000000009E-2</v>
      </c>
      <c r="K49" s="101">
        <f t="shared" si="4"/>
        <v>5.4000000000000006E-2</v>
      </c>
      <c r="L49" s="101">
        <f t="shared" si="5"/>
        <v>5.8500000000000003E-2</v>
      </c>
      <c r="M49" s="98">
        <f t="shared" si="6"/>
        <v>9.0909090909090899</v>
      </c>
      <c r="N49" s="98">
        <f t="shared" si="7"/>
        <v>8.3333333333333321</v>
      </c>
      <c r="O49" s="98">
        <f t="shared" si="8"/>
        <v>7.6923076923076916</v>
      </c>
      <c r="Q49" s="103">
        <v>2011</v>
      </c>
      <c r="R49" s="107" t="s">
        <v>37</v>
      </c>
      <c r="S49" s="107" t="s">
        <v>37</v>
      </c>
      <c r="T49" s="107" t="s">
        <v>37</v>
      </c>
      <c r="U49" s="107" t="s">
        <v>37</v>
      </c>
      <c r="V49" s="107" t="s">
        <v>37</v>
      </c>
      <c r="W49" s="107" t="s">
        <v>37</v>
      </c>
      <c r="AA49" s="71">
        <v>1986</v>
      </c>
      <c r="AB49" s="73">
        <f>+R24/$R75</f>
        <v>11.370624953767191</v>
      </c>
      <c r="AC49" s="73">
        <f>+S24/$R75</f>
        <v>2.4905400561052913</v>
      </c>
      <c r="AD49" s="73">
        <f>+T24/$R75</f>
        <v>3.9407025110816485</v>
      </c>
      <c r="AE49" s="73">
        <f>+U24/$R75</f>
        <v>1.8428027608810693</v>
      </c>
      <c r="AF49" s="73">
        <f>+V24/$R75</f>
        <v>8.2740453280680093</v>
      </c>
      <c r="AG49" s="73">
        <f>+W24/$R75</f>
        <v>3.0965796256991824</v>
      </c>
    </row>
    <row r="50" spans="2:33" ht="15" customHeight="1" x14ac:dyDescent="0.25">
      <c r="B50" s="158"/>
      <c r="C50" s="95" t="s">
        <v>44</v>
      </c>
      <c r="D50" s="98">
        <v>0.45</v>
      </c>
      <c r="E50" s="98">
        <v>0.45</v>
      </c>
      <c r="F50" s="98">
        <f t="shared" si="0"/>
        <v>1.8000000000000002E-2</v>
      </c>
      <c r="G50" s="101">
        <f t="shared" si="9"/>
        <v>3.1500000000000007E-2</v>
      </c>
      <c r="H50" s="101">
        <f t="shared" si="1"/>
        <v>3.6000000000000004E-2</v>
      </c>
      <c r="I50" s="101">
        <f t="shared" si="2"/>
        <v>4.0500000000000001E-2</v>
      </c>
      <c r="J50" s="101">
        <f t="shared" si="3"/>
        <v>4.9500000000000009E-2</v>
      </c>
      <c r="K50" s="101">
        <f t="shared" si="4"/>
        <v>5.4000000000000006E-2</v>
      </c>
      <c r="L50" s="101">
        <f t="shared" si="5"/>
        <v>5.8500000000000003E-2</v>
      </c>
      <c r="M50" s="98">
        <f t="shared" si="6"/>
        <v>9.0909090909090899</v>
      </c>
      <c r="N50" s="98">
        <f t="shared" si="7"/>
        <v>8.3333333333333321</v>
      </c>
      <c r="O50" s="98">
        <f t="shared" si="8"/>
        <v>7.6923076923076916</v>
      </c>
      <c r="Q50" s="106">
        <v>2012</v>
      </c>
      <c r="R50" s="107" t="s">
        <v>37</v>
      </c>
      <c r="S50" s="107" t="s">
        <v>37</v>
      </c>
      <c r="T50" s="107" t="s">
        <v>37</v>
      </c>
      <c r="U50" s="107" t="s">
        <v>37</v>
      </c>
      <c r="V50" s="107" t="s">
        <v>37</v>
      </c>
      <c r="W50" s="107" t="s">
        <v>37</v>
      </c>
      <c r="AA50" s="71">
        <v>1987</v>
      </c>
      <c r="AB50" s="73">
        <f>+R25/$R76</f>
        <v>10.975160862016137</v>
      </c>
      <c r="AC50" s="73">
        <f>+S25/$R76</f>
        <v>2.3989888673271373</v>
      </c>
      <c r="AD50" s="73">
        <f>+T25/$R76</f>
        <v>3.7399550607700949</v>
      </c>
      <c r="AE50" s="73">
        <f>+U25/$R76</f>
        <v>1.8144316208763149</v>
      </c>
      <c r="AF50" s="73">
        <f>+V25/$R76</f>
        <v>7.9533755489735469</v>
      </c>
      <c r="AG50" s="73">
        <f>+W25/$R76</f>
        <v>3.02178531304259</v>
      </c>
    </row>
    <row r="51" spans="2:33" ht="15" customHeight="1" x14ac:dyDescent="0.25">
      <c r="B51" s="158"/>
      <c r="C51" s="95" t="s">
        <v>45</v>
      </c>
      <c r="D51" s="98">
        <v>0.45</v>
      </c>
      <c r="E51" s="98">
        <v>0.45</v>
      </c>
      <c r="F51" s="98">
        <f t="shared" si="0"/>
        <v>1.8000000000000002E-2</v>
      </c>
      <c r="G51" s="101">
        <f t="shared" si="9"/>
        <v>3.1500000000000007E-2</v>
      </c>
      <c r="H51" s="101">
        <f t="shared" si="1"/>
        <v>3.6000000000000004E-2</v>
      </c>
      <c r="I51" s="101">
        <f t="shared" si="2"/>
        <v>4.0500000000000001E-2</v>
      </c>
      <c r="J51" s="101">
        <f t="shared" si="3"/>
        <v>4.9500000000000009E-2</v>
      </c>
      <c r="K51" s="101">
        <f t="shared" si="4"/>
        <v>5.4000000000000006E-2</v>
      </c>
      <c r="L51" s="101">
        <f t="shared" si="5"/>
        <v>5.8500000000000003E-2</v>
      </c>
      <c r="M51" s="98">
        <f t="shared" si="6"/>
        <v>9.0909090909090899</v>
      </c>
      <c r="N51" s="98">
        <f t="shared" si="7"/>
        <v>8.3333333333333321</v>
      </c>
      <c r="O51" s="98">
        <f t="shared" si="8"/>
        <v>7.6923076923076916</v>
      </c>
      <c r="Q51" s="103">
        <v>2013</v>
      </c>
      <c r="R51" s="107">
        <v>5980683</v>
      </c>
      <c r="S51" s="107" t="s">
        <v>37</v>
      </c>
      <c r="T51" s="107" t="s">
        <v>37</v>
      </c>
      <c r="U51" s="107" t="s">
        <v>37</v>
      </c>
      <c r="V51" s="107" t="s">
        <v>37</v>
      </c>
      <c r="W51" s="107" t="s">
        <v>37</v>
      </c>
      <c r="AA51" s="71">
        <v>1988</v>
      </c>
      <c r="AB51" s="73">
        <f>+R26/$R77</f>
        <v>11.270014728251684</v>
      </c>
      <c r="AC51" s="73">
        <f>+S26/$R77</f>
        <v>2.4923968418765243</v>
      </c>
      <c r="AD51" s="73">
        <f>+T26/$R77</f>
        <v>3.8835309172561994</v>
      </c>
      <c r="AE51" s="73">
        <f>+U26/$R77</f>
        <v>1.9654489702296158</v>
      </c>
      <c r="AF51" s="73">
        <f>+V26/$R77</f>
        <v>8.3413767293623398</v>
      </c>
      <c r="AG51" s="73">
        <f>+W26/$R77</f>
        <v>2.9286379988893452</v>
      </c>
    </row>
    <row r="52" spans="2:33" ht="15" customHeight="1" x14ac:dyDescent="0.25">
      <c r="B52" s="158"/>
      <c r="C52" s="95" t="s">
        <v>46</v>
      </c>
      <c r="D52" s="98">
        <v>0.45</v>
      </c>
      <c r="E52" s="98">
        <v>0.45</v>
      </c>
      <c r="F52" s="98">
        <f t="shared" si="0"/>
        <v>1.8000000000000002E-2</v>
      </c>
      <c r="G52" s="101">
        <f t="shared" si="9"/>
        <v>3.1500000000000007E-2</v>
      </c>
      <c r="H52" s="101">
        <f t="shared" si="1"/>
        <v>3.6000000000000004E-2</v>
      </c>
      <c r="I52" s="101">
        <f t="shared" si="2"/>
        <v>4.0500000000000001E-2</v>
      </c>
      <c r="J52" s="101">
        <f t="shared" si="3"/>
        <v>4.9500000000000009E-2</v>
      </c>
      <c r="K52" s="101">
        <f t="shared" si="4"/>
        <v>5.4000000000000006E-2</v>
      </c>
      <c r="L52" s="101">
        <f t="shared" si="5"/>
        <v>5.8500000000000003E-2</v>
      </c>
      <c r="M52" s="98">
        <f t="shared" si="6"/>
        <v>9.0909090909090899</v>
      </c>
      <c r="N52" s="98">
        <f t="shared" si="7"/>
        <v>8.3333333333333321</v>
      </c>
      <c r="O52" s="98">
        <f t="shared" si="8"/>
        <v>7.6923076923076916</v>
      </c>
      <c r="Q52" s="106">
        <v>2014</v>
      </c>
      <c r="R52" s="107">
        <v>5626852</v>
      </c>
      <c r="S52" s="107" t="s">
        <v>37</v>
      </c>
      <c r="T52" s="107" t="s">
        <v>37</v>
      </c>
      <c r="U52" s="107" t="s">
        <v>37</v>
      </c>
      <c r="V52" s="107" t="s">
        <v>37</v>
      </c>
      <c r="W52" s="107" t="s">
        <v>37</v>
      </c>
      <c r="AA52" s="71">
        <v>1989</v>
      </c>
      <c r="AB52" s="73">
        <f>+R27/$R78</f>
        <v>10.325951609864626</v>
      </c>
      <c r="AC52" s="73">
        <f>+S27/$R78</f>
        <v>2.3940692030968251</v>
      </c>
      <c r="AD52" s="73">
        <f>+T27/$R78</f>
        <v>3.4551803640474033</v>
      </c>
      <c r="AE52" s="73">
        <f>+U27/$R78</f>
        <v>1.8315316365985161</v>
      </c>
      <c r="AF52" s="73">
        <f>+V27/$R78</f>
        <v>7.680781203742745</v>
      </c>
      <c r="AG52" s="73">
        <f>+W27/$R78</f>
        <v>2.6451704061218813</v>
      </c>
    </row>
    <row r="53" spans="2:33" ht="15" customHeight="1" x14ac:dyDescent="0.25">
      <c r="B53" s="158"/>
      <c r="C53" s="95" t="s">
        <v>47</v>
      </c>
      <c r="D53" s="98">
        <v>0.45</v>
      </c>
      <c r="E53" s="98">
        <v>0.45</v>
      </c>
      <c r="F53" s="98">
        <f t="shared" si="0"/>
        <v>1.8000000000000002E-2</v>
      </c>
      <c r="G53" s="101">
        <f t="shared" si="9"/>
        <v>3.1500000000000007E-2</v>
      </c>
      <c r="H53" s="101">
        <f t="shared" si="1"/>
        <v>3.6000000000000004E-2</v>
      </c>
      <c r="I53" s="101">
        <f t="shared" si="2"/>
        <v>4.0500000000000001E-2</v>
      </c>
      <c r="J53" s="101">
        <f t="shared" si="3"/>
        <v>4.9500000000000009E-2</v>
      </c>
      <c r="K53" s="101">
        <f t="shared" si="4"/>
        <v>5.4000000000000006E-2</v>
      </c>
      <c r="L53" s="101">
        <f t="shared" si="5"/>
        <v>5.8500000000000003E-2</v>
      </c>
      <c r="M53" s="98">
        <f t="shared" si="6"/>
        <v>9.0909090909090899</v>
      </c>
      <c r="N53" s="98">
        <f t="shared" si="7"/>
        <v>8.3333333333333321</v>
      </c>
      <c r="O53" s="98">
        <f t="shared" si="8"/>
        <v>7.6923076923076916</v>
      </c>
      <c r="Q53" s="106">
        <v>2015</v>
      </c>
      <c r="R53" s="107">
        <v>5446703</v>
      </c>
      <c r="S53" s="107" t="s">
        <v>37</v>
      </c>
      <c r="T53" s="107" t="s">
        <v>37</v>
      </c>
      <c r="U53" s="107" t="s">
        <v>37</v>
      </c>
      <c r="V53" s="107" t="s">
        <v>37</v>
      </c>
      <c r="W53" s="107" t="s">
        <v>37</v>
      </c>
      <c r="AA53" s="76">
        <v>1990</v>
      </c>
      <c r="AB53" s="73">
        <f>+R28/$R79</f>
        <v>10.32939277446212</v>
      </c>
      <c r="AC53" s="73">
        <f>+S28/$R79</f>
        <v>2.3823588131597391</v>
      </c>
      <c r="AD53" s="73">
        <f>+T28/$R79</f>
        <v>3.4368965444003146</v>
      </c>
      <c r="AE53" s="73">
        <f>+U28/$R79</f>
        <v>1.8393432873861053</v>
      </c>
      <c r="AF53" s="73">
        <f>+V28/$R79</f>
        <v>7.6585986449461592</v>
      </c>
      <c r="AG53" s="73">
        <f>+W28/$R79</f>
        <v>2.670794129515961</v>
      </c>
    </row>
    <row r="54" spans="2:33" ht="15" customHeight="1" x14ac:dyDescent="0.25">
      <c r="B54" s="159"/>
      <c r="C54" s="96" t="s">
        <v>48</v>
      </c>
      <c r="D54" s="99">
        <v>0.45</v>
      </c>
      <c r="E54" s="99">
        <v>0.45</v>
      </c>
      <c r="F54" s="99">
        <f t="shared" si="0"/>
        <v>1.8000000000000002E-2</v>
      </c>
      <c r="G54" s="102">
        <f t="shared" si="9"/>
        <v>3.1500000000000007E-2</v>
      </c>
      <c r="H54" s="102">
        <f t="shared" si="1"/>
        <v>3.6000000000000004E-2</v>
      </c>
      <c r="I54" s="102">
        <f t="shared" si="2"/>
        <v>4.0500000000000001E-2</v>
      </c>
      <c r="J54" s="102">
        <f t="shared" si="3"/>
        <v>4.9500000000000009E-2</v>
      </c>
      <c r="K54" s="102">
        <f t="shared" si="4"/>
        <v>5.4000000000000006E-2</v>
      </c>
      <c r="L54" s="102">
        <f t="shared" si="5"/>
        <v>5.8500000000000003E-2</v>
      </c>
      <c r="M54" s="99">
        <f t="shared" si="6"/>
        <v>9.0909090909090899</v>
      </c>
      <c r="N54" s="99">
        <f t="shared" si="7"/>
        <v>8.3333333333333321</v>
      </c>
      <c r="O54" s="99">
        <f t="shared" si="8"/>
        <v>7.6923076923076916</v>
      </c>
      <c r="Q54" s="106">
        <v>2016</v>
      </c>
      <c r="R54" s="107">
        <v>5307800</v>
      </c>
      <c r="S54" s="107" t="s">
        <v>37</v>
      </c>
      <c r="T54" s="107" t="s">
        <v>37</v>
      </c>
      <c r="U54" s="107" t="s">
        <v>37</v>
      </c>
      <c r="V54" s="107" t="s">
        <v>37</v>
      </c>
      <c r="W54" s="107" t="s">
        <v>37</v>
      </c>
      <c r="AA54" s="76">
        <v>1991</v>
      </c>
      <c r="AB54" s="73">
        <f>+R29/$R80</f>
        <v>9.4141889145375952</v>
      </c>
      <c r="AC54" s="73">
        <f>+S29/$R80</f>
        <v>2.168456067991035</v>
      </c>
      <c r="AD54" s="73">
        <f>+T29/$R80</f>
        <v>3.1147404653313595</v>
      </c>
      <c r="AE54" s="73">
        <f>+U29/$R80</f>
        <v>1.675834318467442</v>
      </c>
      <c r="AF54" s="73">
        <f>+V29/$R80</f>
        <v>6.9590308517898363</v>
      </c>
      <c r="AG54" s="73">
        <f>+W29/$R80</f>
        <v>2.4551580627477598</v>
      </c>
    </row>
    <row r="55" spans="2:33" ht="15" customHeight="1" thickBot="1" x14ac:dyDescent="0.3">
      <c r="B55" s="157">
        <v>1978</v>
      </c>
      <c r="C55" s="94" t="s">
        <v>36</v>
      </c>
      <c r="D55" s="97">
        <v>0.45</v>
      </c>
      <c r="E55" s="97">
        <v>0.45</v>
      </c>
      <c r="F55" s="97">
        <f t="shared" si="0"/>
        <v>1.8000000000000002E-2</v>
      </c>
      <c r="G55" s="100">
        <f t="shared" si="9"/>
        <v>3.1500000000000007E-2</v>
      </c>
      <c r="H55" s="100">
        <f t="shared" si="1"/>
        <v>3.6000000000000004E-2</v>
      </c>
      <c r="I55" s="100">
        <f t="shared" si="2"/>
        <v>4.0500000000000001E-2</v>
      </c>
      <c r="J55" s="100">
        <f t="shared" si="3"/>
        <v>4.9500000000000009E-2</v>
      </c>
      <c r="K55" s="100">
        <f t="shared" si="4"/>
        <v>5.4000000000000006E-2</v>
      </c>
      <c r="L55" s="100">
        <f t="shared" si="5"/>
        <v>5.8500000000000003E-2</v>
      </c>
      <c r="M55" s="97">
        <f t="shared" si="6"/>
        <v>9.0909090909090899</v>
      </c>
      <c r="N55" s="97">
        <f t="shared" si="7"/>
        <v>8.3333333333333321</v>
      </c>
      <c r="O55" s="97">
        <f t="shared" si="8"/>
        <v>7.6923076923076916</v>
      </c>
      <c r="Q55" s="108">
        <v>2017</v>
      </c>
      <c r="R55" s="109">
        <v>5332361</v>
      </c>
      <c r="S55" s="109" t="s">
        <v>37</v>
      </c>
      <c r="T55" s="109" t="s">
        <v>37</v>
      </c>
      <c r="U55" s="109" t="s">
        <v>37</v>
      </c>
      <c r="V55" s="109" t="s">
        <v>37</v>
      </c>
      <c r="W55" s="109" t="s">
        <v>37</v>
      </c>
      <c r="AA55" s="76">
        <v>1992</v>
      </c>
      <c r="AB55" s="73">
        <f>+R30/$R81</f>
        <v>8.4650271070173986</v>
      </c>
      <c r="AC55" s="73">
        <f>+S30/$R81</f>
        <v>1.8949119021934555</v>
      </c>
      <c r="AD55" s="73">
        <f>+T30/$R81</f>
        <v>2.7109333941858216</v>
      </c>
      <c r="AE55" s="73">
        <f>+U30/$R81</f>
        <v>1.4662476143058667</v>
      </c>
      <c r="AF55" s="73">
        <f>+V30/$R81</f>
        <v>6.0720929106851438</v>
      </c>
      <c r="AG55" s="73">
        <f>+W30/$R81</f>
        <v>2.3929341963322548</v>
      </c>
    </row>
    <row r="56" spans="2:33" ht="15" customHeight="1" thickTop="1" x14ac:dyDescent="0.25">
      <c r="B56" s="158"/>
      <c r="C56" s="95" t="s">
        <v>38</v>
      </c>
      <c r="D56" s="98">
        <v>0.45</v>
      </c>
      <c r="E56" s="98">
        <v>0.45</v>
      </c>
      <c r="F56" s="98">
        <f t="shared" si="0"/>
        <v>1.8000000000000002E-2</v>
      </c>
      <c r="G56" s="101">
        <f t="shared" si="9"/>
        <v>3.1500000000000007E-2</v>
      </c>
      <c r="H56" s="101">
        <f t="shared" si="1"/>
        <v>3.6000000000000004E-2</v>
      </c>
      <c r="I56" s="101">
        <f t="shared" si="2"/>
        <v>4.0500000000000001E-2</v>
      </c>
      <c r="J56" s="101">
        <f t="shared" si="3"/>
        <v>4.9500000000000009E-2</v>
      </c>
      <c r="K56" s="101">
        <f t="shared" si="4"/>
        <v>5.4000000000000006E-2</v>
      </c>
      <c r="L56" s="101">
        <f t="shared" si="5"/>
        <v>5.8500000000000003E-2</v>
      </c>
      <c r="M56" s="98">
        <f t="shared" si="6"/>
        <v>9.0909090909090899</v>
      </c>
      <c r="N56" s="98">
        <f t="shared" si="7"/>
        <v>8.3333333333333321</v>
      </c>
      <c r="O56" s="98">
        <f t="shared" si="8"/>
        <v>7.6923076923076916</v>
      </c>
      <c r="Q56" s="172"/>
      <c r="R56" s="172"/>
      <c r="S56" s="172"/>
      <c r="T56" s="172"/>
      <c r="U56" s="172"/>
      <c r="V56" s="172"/>
      <c r="W56" s="172"/>
      <c r="AA56" s="76">
        <v>1993</v>
      </c>
      <c r="AB56" s="73">
        <f>+R31/$R82</f>
        <v>8.9196990102116871</v>
      </c>
      <c r="AC56" s="73">
        <f>+S31/$R82</f>
        <v>2.0462206299603825</v>
      </c>
      <c r="AD56" s="73">
        <f>+T31/$R82</f>
        <v>2.7685176710555561</v>
      </c>
      <c r="AE56" s="73">
        <f>+U31/$R82</f>
        <v>1.5729102652946483</v>
      </c>
      <c r="AF56" s="73">
        <f>+V31/$R82</f>
        <v>6.3876485663105873</v>
      </c>
      <c r="AG56" s="73">
        <f>+W31/$R82</f>
        <v>2.5320504439010998</v>
      </c>
    </row>
    <row r="57" spans="2:33" ht="15" customHeight="1" x14ac:dyDescent="0.25">
      <c r="B57" s="158"/>
      <c r="C57" s="95" t="s">
        <v>39</v>
      </c>
      <c r="D57" s="98">
        <v>0.45</v>
      </c>
      <c r="E57" s="98">
        <v>0.45</v>
      </c>
      <c r="F57" s="98">
        <f t="shared" si="0"/>
        <v>1.8000000000000002E-2</v>
      </c>
      <c r="G57" s="101">
        <f t="shared" si="9"/>
        <v>3.1500000000000007E-2</v>
      </c>
      <c r="H57" s="101">
        <f t="shared" si="1"/>
        <v>3.6000000000000004E-2</v>
      </c>
      <c r="I57" s="101">
        <f t="shared" si="2"/>
        <v>4.0500000000000001E-2</v>
      </c>
      <c r="J57" s="101">
        <f t="shared" si="3"/>
        <v>4.9500000000000009E-2</v>
      </c>
      <c r="K57" s="101">
        <f t="shared" si="4"/>
        <v>5.4000000000000006E-2</v>
      </c>
      <c r="L57" s="101">
        <f t="shared" si="5"/>
        <v>5.8500000000000003E-2</v>
      </c>
      <c r="M57" s="98">
        <f t="shared" si="6"/>
        <v>9.0909090909090899</v>
      </c>
      <c r="N57" s="98">
        <f t="shared" si="7"/>
        <v>8.3333333333333321</v>
      </c>
      <c r="O57" s="98">
        <f t="shared" si="8"/>
        <v>7.6923076923076916</v>
      </c>
      <c r="Q57" s="171" t="s">
        <v>77</v>
      </c>
      <c r="R57" s="171"/>
      <c r="S57" s="171"/>
      <c r="T57" s="171"/>
      <c r="U57" s="171"/>
      <c r="V57" s="171"/>
      <c r="W57" s="171"/>
      <c r="AA57" s="76">
        <v>1994</v>
      </c>
      <c r="AB57" s="73">
        <f>+R32/$R83</f>
        <v>8.6426249345892199</v>
      </c>
      <c r="AC57" s="73">
        <f>+S32/$R83</f>
        <v>3.2407901622187336</v>
      </c>
      <c r="AD57" s="73">
        <f>+T32/$R83</f>
        <v>2.6814822082679224</v>
      </c>
      <c r="AE57" s="73">
        <f>+U32/$R83</f>
        <v>1.4668530873888017</v>
      </c>
      <c r="AF57" s="73">
        <f>+V32/$R83</f>
        <v>7.3891254578754575</v>
      </c>
      <c r="AG57" s="73">
        <f>+W32/$R83</f>
        <v>1.2534994767137624</v>
      </c>
    </row>
    <row r="58" spans="2:33" ht="15" customHeight="1" x14ac:dyDescent="0.25">
      <c r="B58" s="158"/>
      <c r="C58" s="95" t="s">
        <v>40</v>
      </c>
      <c r="D58" s="98">
        <v>0.45</v>
      </c>
      <c r="E58" s="98">
        <v>0.45</v>
      </c>
      <c r="F58" s="98">
        <f t="shared" si="0"/>
        <v>1.8000000000000002E-2</v>
      </c>
      <c r="G58" s="101">
        <f t="shared" si="9"/>
        <v>3.1500000000000007E-2</v>
      </c>
      <c r="H58" s="101">
        <f t="shared" si="1"/>
        <v>3.6000000000000004E-2</v>
      </c>
      <c r="I58" s="101">
        <f t="shared" si="2"/>
        <v>4.0500000000000001E-2</v>
      </c>
      <c r="J58" s="101">
        <f t="shared" si="3"/>
        <v>4.9500000000000009E-2</v>
      </c>
      <c r="K58" s="101">
        <f t="shared" si="4"/>
        <v>5.4000000000000006E-2</v>
      </c>
      <c r="L58" s="101">
        <f t="shared" si="5"/>
        <v>5.8500000000000003E-2</v>
      </c>
      <c r="M58" s="98">
        <f t="shared" si="6"/>
        <v>9.0909090909090899</v>
      </c>
      <c r="N58" s="98">
        <f t="shared" si="7"/>
        <v>8.3333333333333321</v>
      </c>
      <c r="O58" s="98">
        <f t="shared" si="8"/>
        <v>7.6923076923076916</v>
      </c>
      <c r="Q58" s="171"/>
      <c r="R58" s="171"/>
      <c r="S58" s="171"/>
      <c r="T58" s="171"/>
      <c r="U58" s="171"/>
      <c r="V58" s="171"/>
      <c r="W58" s="171"/>
      <c r="AA58" s="76">
        <v>1995</v>
      </c>
      <c r="AB58" s="73">
        <f>+R33/$R84</f>
        <v>7.5695780081986976</v>
      </c>
      <c r="AC58" s="73">
        <f>+S33/$R84</f>
        <v>2.8586898159311951</v>
      </c>
      <c r="AD58" s="73">
        <f>+T33/$R84</f>
        <v>2.2894043887147335</v>
      </c>
      <c r="AE58" s="73">
        <f>+U33/$R84</f>
        <v>1.2651523189454223</v>
      </c>
      <c r="AF58" s="73">
        <f>+V33/$R84</f>
        <v>6.4132465235913516</v>
      </c>
      <c r="AG58" s="73">
        <f>+W33/$R84</f>
        <v>1.1563314846073467</v>
      </c>
    </row>
    <row r="59" spans="2:33" ht="15" customHeight="1" x14ac:dyDescent="0.25">
      <c r="B59" s="158">
        <v>1978</v>
      </c>
      <c r="C59" s="95" t="s">
        <v>41</v>
      </c>
      <c r="D59" s="98">
        <v>0.45</v>
      </c>
      <c r="E59" s="98">
        <v>0.45</v>
      </c>
      <c r="F59" s="98">
        <f t="shared" si="0"/>
        <v>1.8000000000000002E-2</v>
      </c>
      <c r="G59" s="101">
        <f t="shared" si="9"/>
        <v>3.1500000000000007E-2</v>
      </c>
      <c r="H59" s="101">
        <f t="shared" si="1"/>
        <v>3.6000000000000004E-2</v>
      </c>
      <c r="I59" s="101">
        <f t="shared" si="2"/>
        <v>4.0500000000000001E-2</v>
      </c>
      <c r="J59" s="101">
        <f t="shared" si="3"/>
        <v>4.9500000000000009E-2</v>
      </c>
      <c r="K59" s="101">
        <f t="shared" si="4"/>
        <v>5.4000000000000006E-2</v>
      </c>
      <c r="L59" s="101">
        <f t="shared" si="5"/>
        <v>5.8500000000000003E-2</v>
      </c>
      <c r="M59" s="98">
        <f t="shared" si="6"/>
        <v>9.0909090909090899</v>
      </c>
      <c r="N59" s="98">
        <f t="shared" si="7"/>
        <v>8.3333333333333321</v>
      </c>
      <c r="O59" s="98">
        <f t="shared" si="8"/>
        <v>7.6923076923076916</v>
      </c>
      <c r="AA59" s="76">
        <v>1996</v>
      </c>
      <c r="AB59" s="73">
        <f>+R34/$R85</f>
        <v>7.318614371423724</v>
      </c>
      <c r="AC59" s="73">
        <f>+S34/$R85</f>
        <v>2.9870567731387943</v>
      </c>
      <c r="AD59" s="73">
        <f>+T34/$R85</f>
        <v>2.0886654225210912</v>
      </c>
      <c r="AE59" s="73">
        <f>+U34/$R85</f>
        <v>1.1095084596758025</v>
      </c>
      <c r="AF59" s="73">
        <f>+V34/$R85</f>
        <v>6.1852306553356877</v>
      </c>
      <c r="AG59" s="73">
        <f>+W34/$R85</f>
        <v>1.1333837160880362</v>
      </c>
    </row>
    <row r="60" spans="2:33" ht="15" customHeight="1" x14ac:dyDescent="0.25">
      <c r="B60" s="158"/>
      <c r="C60" s="95" t="s">
        <v>42</v>
      </c>
      <c r="D60" s="98">
        <v>0.45</v>
      </c>
      <c r="E60" s="98">
        <v>0.45</v>
      </c>
      <c r="F60" s="98">
        <f t="shared" si="0"/>
        <v>1.8000000000000002E-2</v>
      </c>
      <c r="G60" s="101">
        <f t="shared" si="9"/>
        <v>3.1500000000000007E-2</v>
      </c>
      <c r="H60" s="101">
        <f t="shared" si="1"/>
        <v>3.6000000000000004E-2</v>
      </c>
      <c r="I60" s="101">
        <f t="shared" si="2"/>
        <v>4.0500000000000001E-2</v>
      </c>
      <c r="J60" s="101">
        <f t="shared" si="3"/>
        <v>4.9500000000000009E-2</v>
      </c>
      <c r="K60" s="101">
        <f t="shared" si="4"/>
        <v>5.4000000000000006E-2</v>
      </c>
      <c r="L60" s="101">
        <f t="shared" si="5"/>
        <v>5.8500000000000003E-2</v>
      </c>
      <c r="M60" s="98">
        <f t="shared" si="6"/>
        <v>9.0909090909090899</v>
      </c>
      <c r="N60" s="98">
        <f t="shared" si="7"/>
        <v>8.3333333333333321</v>
      </c>
      <c r="O60" s="98">
        <f t="shared" si="8"/>
        <v>7.6923076923076916</v>
      </c>
      <c r="AA60" s="76">
        <v>1997</v>
      </c>
      <c r="AB60" s="73">
        <f>+R35/$R86</f>
        <v>7.189324678536849</v>
      </c>
      <c r="AC60" s="73">
        <f>+S35/$R86</f>
        <v>2.9364704959717192</v>
      </c>
      <c r="AD60" s="73">
        <f>+T35/$R86</f>
        <v>2.0170330979606734</v>
      </c>
      <c r="AE60" s="73">
        <f>+U35/$R86</f>
        <v>1.1014414941589172</v>
      </c>
      <c r="AF60" s="73">
        <f>+V35/$R86</f>
        <v>6.0549450880913094</v>
      </c>
      <c r="AG60" s="73">
        <f>+W35/$R86</f>
        <v>1.1343795904455389</v>
      </c>
    </row>
    <row r="61" spans="2:33" ht="15" customHeight="1" x14ac:dyDescent="0.25">
      <c r="B61" s="158"/>
      <c r="C61" s="95" t="s">
        <v>43</v>
      </c>
      <c r="D61" s="98">
        <v>0.45</v>
      </c>
      <c r="E61" s="98">
        <v>0.45</v>
      </c>
      <c r="F61" s="98">
        <f t="shared" si="0"/>
        <v>1.8000000000000002E-2</v>
      </c>
      <c r="G61" s="101">
        <f t="shared" si="9"/>
        <v>3.1500000000000007E-2</v>
      </c>
      <c r="H61" s="101">
        <f t="shared" si="1"/>
        <v>3.6000000000000004E-2</v>
      </c>
      <c r="I61" s="101">
        <f t="shared" si="2"/>
        <v>4.0500000000000001E-2</v>
      </c>
      <c r="J61" s="101">
        <f t="shared" si="3"/>
        <v>4.9500000000000009E-2</v>
      </c>
      <c r="K61" s="101">
        <f t="shared" si="4"/>
        <v>5.4000000000000006E-2</v>
      </c>
      <c r="L61" s="101">
        <f t="shared" si="5"/>
        <v>5.8500000000000003E-2</v>
      </c>
      <c r="M61" s="98">
        <f t="shared" si="6"/>
        <v>9.0909090909090899</v>
      </c>
      <c r="N61" s="98">
        <f t="shared" si="7"/>
        <v>8.3333333333333321</v>
      </c>
      <c r="O61" s="98">
        <f t="shared" si="8"/>
        <v>7.6923076923076916</v>
      </c>
      <c r="Q61" s="65"/>
      <c r="R61" s="65"/>
      <c r="S61" s="65"/>
      <c r="T61" s="65"/>
      <c r="U61" s="65"/>
      <c r="V61" s="65"/>
      <c r="W61" s="65"/>
      <c r="AA61" s="76">
        <v>1998</v>
      </c>
      <c r="AB61" s="73">
        <f>+R36/$R87</f>
        <v>6.1195973199451172</v>
      </c>
      <c r="AC61" s="73">
        <f>+S36/$R87</f>
        <v>2.510967501879811</v>
      </c>
      <c r="AD61" s="73">
        <f>+T36/$R87</f>
        <v>1.6065290808693382</v>
      </c>
      <c r="AE61" s="73">
        <f>+U36/$R87</f>
        <v>0.97849651298296925</v>
      </c>
      <c r="AF61" s="73">
        <f>+V36/$R87</f>
        <v>5.0959930957321182</v>
      </c>
      <c r="AG61" s="73">
        <f>+W36/$R87</f>
        <v>1.0236042242129988</v>
      </c>
    </row>
    <row r="62" spans="2:33" ht="15" customHeight="1" x14ac:dyDescent="0.25">
      <c r="B62" s="158"/>
      <c r="C62" s="95" t="s">
        <v>44</v>
      </c>
      <c r="D62" s="98">
        <v>0.45</v>
      </c>
      <c r="E62" s="98">
        <v>0.45</v>
      </c>
      <c r="F62" s="98">
        <f t="shared" si="0"/>
        <v>1.8000000000000002E-2</v>
      </c>
      <c r="G62" s="101">
        <f t="shared" si="9"/>
        <v>3.1500000000000007E-2</v>
      </c>
      <c r="H62" s="101">
        <f t="shared" si="1"/>
        <v>3.6000000000000004E-2</v>
      </c>
      <c r="I62" s="101">
        <f t="shared" si="2"/>
        <v>4.0500000000000001E-2</v>
      </c>
      <c r="J62" s="101">
        <f t="shared" si="3"/>
        <v>4.9500000000000009E-2</v>
      </c>
      <c r="K62" s="101">
        <f t="shared" si="4"/>
        <v>5.4000000000000006E-2</v>
      </c>
      <c r="L62" s="101">
        <f t="shared" si="5"/>
        <v>5.8500000000000003E-2</v>
      </c>
      <c r="M62" s="98">
        <f t="shared" si="6"/>
        <v>9.0909090909090899</v>
      </c>
      <c r="N62" s="98">
        <f t="shared" si="7"/>
        <v>8.3333333333333321</v>
      </c>
      <c r="O62" s="98">
        <f t="shared" si="8"/>
        <v>7.6923076923076916</v>
      </c>
      <c r="Q62" s="113" t="s">
        <v>65</v>
      </c>
      <c r="R62" s="65"/>
      <c r="S62" s="65"/>
      <c r="T62" s="65"/>
      <c r="U62" s="65"/>
      <c r="V62" s="65"/>
      <c r="AA62" s="76">
        <v>1999</v>
      </c>
      <c r="AB62" s="73">
        <f>+R37/$R88</f>
        <v>4.6179127535707218</v>
      </c>
      <c r="AC62" s="73">
        <f>+S37/$R88</f>
        <v>2.0211380847543956</v>
      </c>
      <c r="AD62" s="73">
        <f>+T37/$R88</f>
        <v>1.2023809022676664</v>
      </c>
      <c r="AE62" s="73">
        <f>+U37/$R88</f>
        <v>0.70883619510264906</v>
      </c>
      <c r="AF62" s="73">
        <f>+V37/$R88</f>
        <v>3.9323551821247111</v>
      </c>
      <c r="AG62" s="73">
        <f>+W37/$R88</f>
        <v>0.68555757144601082</v>
      </c>
    </row>
    <row r="63" spans="2:33" ht="15" customHeight="1" x14ac:dyDescent="0.25">
      <c r="B63" s="158"/>
      <c r="C63" s="95" t="s">
        <v>45</v>
      </c>
      <c r="D63" s="98">
        <v>0.45</v>
      </c>
      <c r="E63" s="98">
        <v>0.45</v>
      </c>
      <c r="F63" s="98">
        <f t="shared" si="0"/>
        <v>1.8000000000000002E-2</v>
      </c>
      <c r="G63" s="101">
        <f t="shared" si="9"/>
        <v>3.1500000000000007E-2</v>
      </c>
      <c r="H63" s="101">
        <f t="shared" si="1"/>
        <v>3.6000000000000004E-2</v>
      </c>
      <c r="I63" s="101">
        <f t="shared" si="2"/>
        <v>4.0500000000000001E-2</v>
      </c>
      <c r="J63" s="101">
        <f t="shared" si="3"/>
        <v>4.9500000000000009E-2</v>
      </c>
      <c r="K63" s="101">
        <f t="shared" si="4"/>
        <v>5.4000000000000006E-2</v>
      </c>
      <c r="L63" s="101">
        <f t="shared" si="5"/>
        <v>5.8500000000000003E-2</v>
      </c>
      <c r="M63" s="98">
        <f t="shared" si="6"/>
        <v>9.0909090909090899</v>
      </c>
      <c r="N63" s="98">
        <f t="shared" si="7"/>
        <v>8.3333333333333321</v>
      </c>
      <c r="O63" s="98">
        <f t="shared" si="8"/>
        <v>7.6923076923076916</v>
      </c>
      <c r="Q63" s="65"/>
      <c r="R63" s="65"/>
      <c r="S63" s="65"/>
      <c r="T63" s="65"/>
      <c r="U63" s="65"/>
      <c r="V63" s="65"/>
      <c r="AA63" s="76">
        <v>2000</v>
      </c>
      <c r="AB63" s="73">
        <f>+R38/$R89</f>
        <v>4.3854919085137185</v>
      </c>
      <c r="AC63" s="73">
        <f>+S38/$R89</f>
        <v>1.9123516625887294</v>
      </c>
      <c r="AD63" s="73">
        <f>+T38/$R89</f>
        <v>1.1495920111450615</v>
      </c>
      <c r="AE63" s="73">
        <f>+U38/$R89</f>
        <v>0.6758078803700972</v>
      </c>
      <c r="AF63" s="73">
        <f>+V38/$R89</f>
        <v>3.7377515541038879</v>
      </c>
      <c r="AG63" s="73">
        <f>+W38/$R89</f>
        <v>0.6477403544098308</v>
      </c>
    </row>
    <row r="64" spans="2:33" ht="15" customHeight="1" x14ac:dyDescent="0.25">
      <c r="B64" s="158"/>
      <c r="C64" s="95" t="s">
        <v>46</v>
      </c>
      <c r="D64" s="98">
        <v>0.45</v>
      </c>
      <c r="E64" s="98">
        <v>0.45</v>
      </c>
      <c r="F64" s="98">
        <f t="shared" si="0"/>
        <v>1.8000000000000002E-2</v>
      </c>
      <c r="G64" s="101">
        <f t="shared" si="9"/>
        <v>3.1500000000000007E-2</v>
      </c>
      <c r="H64" s="101">
        <f t="shared" si="1"/>
        <v>3.6000000000000004E-2</v>
      </c>
      <c r="I64" s="101">
        <f t="shared" si="2"/>
        <v>4.0500000000000001E-2</v>
      </c>
      <c r="J64" s="101">
        <f t="shared" si="3"/>
        <v>4.9500000000000009E-2</v>
      </c>
      <c r="K64" s="101">
        <f t="shared" si="4"/>
        <v>5.4000000000000006E-2</v>
      </c>
      <c r="L64" s="101">
        <f t="shared" si="5"/>
        <v>5.8500000000000003E-2</v>
      </c>
      <c r="M64" s="98">
        <f t="shared" si="6"/>
        <v>9.0909090909090899</v>
      </c>
      <c r="N64" s="98">
        <f t="shared" si="7"/>
        <v>8.3333333333333321</v>
      </c>
      <c r="O64" s="98">
        <f t="shared" si="8"/>
        <v>7.6923076923076916</v>
      </c>
      <c r="Q64" s="68" t="s">
        <v>1</v>
      </c>
      <c r="R64" s="68" t="s">
        <v>2</v>
      </c>
      <c r="S64" s="68" t="s">
        <v>3</v>
      </c>
      <c r="T64" s="68" t="s">
        <v>4</v>
      </c>
      <c r="U64" s="68" t="s">
        <v>5</v>
      </c>
      <c r="V64" s="68" t="s">
        <v>6</v>
      </c>
      <c r="AA64" s="76">
        <v>2001</v>
      </c>
      <c r="AB64" s="73">
        <f>+R39/$R90</f>
        <v>4.2567288402305969</v>
      </c>
      <c r="AC64" s="73">
        <f>+S39/$R90</f>
        <v>1.8911285210348505</v>
      </c>
      <c r="AD64" s="73">
        <f>+T39/$R90</f>
        <v>1.0865930328816364</v>
      </c>
      <c r="AE64" s="73">
        <f>+U39/$R90</f>
        <v>0.66423665232274565</v>
      </c>
      <c r="AF64" s="73">
        <f>+V39/$R90</f>
        <v>3.6419582062392326</v>
      </c>
      <c r="AG64" s="73">
        <f>+W39/$R90</f>
        <v>0.61477063399136378</v>
      </c>
    </row>
    <row r="65" spans="2:33" ht="15" customHeight="1" x14ac:dyDescent="0.25">
      <c r="B65" s="158"/>
      <c r="C65" s="95" t="s">
        <v>47</v>
      </c>
      <c r="D65" s="98">
        <v>0.45</v>
      </c>
      <c r="E65" s="98">
        <v>0.45</v>
      </c>
      <c r="F65" s="98">
        <f t="shared" si="0"/>
        <v>1.8000000000000002E-2</v>
      </c>
      <c r="G65" s="101">
        <f t="shared" si="9"/>
        <v>3.1500000000000007E-2</v>
      </c>
      <c r="H65" s="101">
        <f t="shared" si="1"/>
        <v>3.6000000000000004E-2</v>
      </c>
      <c r="I65" s="101">
        <f t="shared" si="2"/>
        <v>4.0500000000000001E-2</v>
      </c>
      <c r="J65" s="101">
        <f t="shared" si="3"/>
        <v>4.9500000000000009E-2</v>
      </c>
      <c r="K65" s="101">
        <f t="shared" si="4"/>
        <v>5.4000000000000006E-2</v>
      </c>
      <c r="L65" s="101">
        <f t="shared" si="5"/>
        <v>5.8500000000000003E-2</v>
      </c>
      <c r="M65" s="98">
        <f t="shared" si="6"/>
        <v>9.0909090909090899</v>
      </c>
      <c r="N65" s="98">
        <f t="shared" si="7"/>
        <v>8.3333333333333321</v>
      </c>
      <c r="O65" s="98">
        <f t="shared" si="8"/>
        <v>7.6923076923076916</v>
      </c>
      <c r="Q65" s="110">
        <v>1976</v>
      </c>
      <c r="R65" s="107">
        <f t="shared" ref="R65:R92" si="12">V65+U65+T65+S65</f>
        <v>56221</v>
      </c>
      <c r="S65" s="75">
        <v>32270</v>
      </c>
      <c r="T65" s="75">
        <v>11295</v>
      </c>
      <c r="U65" s="75">
        <v>9342</v>
      </c>
      <c r="V65" s="75">
        <v>3314</v>
      </c>
      <c r="AA65" s="78">
        <v>2002</v>
      </c>
      <c r="AB65" s="73">
        <f>+R40/$R91</f>
        <v>4.263918788508648</v>
      </c>
      <c r="AC65" s="73">
        <f>+S40/$R91</f>
        <v>1.9050757182094871</v>
      </c>
      <c r="AD65" s="73">
        <f>+T40/$R91</f>
        <v>1.0659063915076832</v>
      </c>
      <c r="AE65" s="73">
        <f>+U40/$R91</f>
        <v>0.67242038452973052</v>
      </c>
      <c r="AF65" s="73">
        <f>+V40/$R91</f>
        <v>3.6434024942469008</v>
      </c>
      <c r="AG65" s="73">
        <f>+W40/$R91</f>
        <v>0.62051629426174748</v>
      </c>
    </row>
    <row r="66" spans="2:33" ht="15" customHeight="1" x14ac:dyDescent="0.25">
      <c r="B66" s="159"/>
      <c r="C66" s="96" t="s">
        <v>48</v>
      </c>
      <c r="D66" s="99">
        <v>0.45</v>
      </c>
      <c r="E66" s="99">
        <v>0.45</v>
      </c>
      <c r="F66" s="99">
        <f t="shared" si="0"/>
        <v>1.8000000000000002E-2</v>
      </c>
      <c r="G66" s="102">
        <f t="shared" si="9"/>
        <v>3.1500000000000007E-2</v>
      </c>
      <c r="H66" s="102">
        <f t="shared" si="1"/>
        <v>3.6000000000000004E-2</v>
      </c>
      <c r="I66" s="102">
        <f t="shared" si="2"/>
        <v>4.0500000000000001E-2</v>
      </c>
      <c r="J66" s="102">
        <f t="shared" si="3"/>
        <v>4.9500000000000009E-2</v>
      </c>
      <c r="K66" s="102">
        <f t="shared" si="4"/>
        <v>5.4000000000000006E-2</v>
      </c>
      <c r="L66" s="102">
        <f t="shared" si="5"/>
        <v>5.8500000000000003E-2</v>
      </c>
      <c r="M66" s="99">
        <f t="shared" si="6"/>
        <v>9.0909090909090899</v>
      </c>
      <c r="N66" s="99">
        <f t="shared" si="7"/>
        <v>8.3333333333333321</v>
      </c>
      <c r="O66" s="99">
        <f t="shared" si="8"/>
        <v>7.6923076923076916</v>
      </c>
      <c r="Q66" s="110">
        <v>1977</v>
      </c>
      <c r="R66" s="107">
        <f t="shared" si="12"/>
        <v>64889</v>
      </c>
      <c r="S66" s="75">
        <v>37346</v>
      </c>
      <c r="T66" s="75">
        <v>13094</v>
      </c>
      <c r="U66" s="75">
        <v>10812</v>
      </c>
      <c r="V66" s="75">
        <v>3637</v>
      </c>
      <c r="AA66" s="76">
        <v>2003</v>
      </c>
      <c r="AB66" s="73">
        <f>+R41/$R92</f>
        <v>3.6721097009389037</v>
      </c>
      <c r="AC66" s="73">
        <f>+S41/$R92</f>
        <v>1.6514426566899865</v>
      </c>
      <c r="AD66" s="73">
        <f>+T41/$R92</f>
        <v>0.88639188251342149</v>
      </c>
      <c r="AE66" s="73">
        <f>+U41/$R92</f>
        <v>0.58197018163833469</v>
      </c>
      <c r="AF66" s="73">
        <f>+V41/$R92</f>
        <v>3.1198047208417425</v>
      </c>
      <c r="AG66" s="73">
        <f>+W41/$R92</f>
        <v>0.552304980097161</v>
      </c>
    </row>
    <row r="67" spans="2:33" ht="15" customHeight="1" x14ac:dyDescent="0.25">
      <c r="B67" s="157">
        <v>1979</v>
      </c>
      <c r="C67" s="94" t="s">
        <v>36</v>
      </c>
      <c r="D67" s="97">
        <v>0.45</v>
      </c>
      <c r="E67" s="97">
        <v>0.45</v>
      </c>
      <c r="F67" s="97">
        <f t="shared" si="0"/>
        <v>1.8000000000000002E-2</v>
      </c>
      <c r="G67" s="100">
        <f t="shared" si="9"/>
        <v>3.1500000000000007E-2</v>
      </c>
      <c r="H67" s="100">
        <f t="shared" si="1"/>
        <v>3.6000000000000004E-2</v>
      </c>
      <c r="I67" s="100">
        <f t="shared" si="2"/>
        <v>4.0500000000000001E-2</v>
      </c>
      <c r="J67" s="100">
        <f t="shared" si="3"/>
        <v>4.9500000000000009E-2</v>
      </c>
      <c r="K67" s="100">
        <f t="shared" si="4"/>
        <v>5.4000000000000006E-2</v>
      </c>
      <c r="L67" s="100">
        <f t="shared" si="5"/>
        <v>5.8500000000000003E-2</v>
      </c>
      <c r="M67" s="97">
        <f t="shared" si="6"/>
        <v>9.0909090909090899</v>
      </c>
      <c r="N67" s="97">
        <f t="shared" si="7"/>
        <v>8.3333333333333321</v>
      </c>
      <c r="O67" s="97">
        <f t="shared" si="8"/>
        <v>7.6923076923076916</v>
      </c>
      <c r="Q67" s="110">
        <v>1978</v>
      </c>
      <c r="R67" s="107">
        <f t="shared" si="12"/>
        <v>75214</v>
      </c>
      <c r="S67" s="75">
        <v>43288</v>
      </c>
      <c r="T67" s="75">
        <v>15175</v>
      </c>
      <c r="U67" s="75">
        <v>12533</v>
      </c>
      <c r="V67" s="75">
        <v>4218</v>
      </c>
      <c r="AA67" s="76">
        <v>2004</v>
      </c>
      <c r="AB67" s="70" t="s">
        <v>37</v>
      </c>
      <c r="AC67" s="70" t="s">
        <v>37</v>
      </c>
      <c r="AD67" s="70" t="s">
        <v>37</v>
      </c>
      <c r="AE67" s="70" t="s">
        <v>37</v>
      </c>
      <c r="AF67" s="70" t="s">
        <v>37</v>
      </c>
      <c r="AG67" s="70" t="s">
        <v>37</v>
      </c>
    </row>
    <row r="68" spans="2:33" ht="15" customHeight="1" x14ac:dyDescent="0.25">
      <c r="B68" s="158"/>
      <c r="C68" s="95" t="s">
        <v>38</v>
      </c>
      <c r="D68" s="98">
        <v>0.45</v>
      </c>
      <c r="E68" s="98">
        <v>0.45</v>
      </c>
      <c r="F68" s="98">
        <f t="shared" si="0"/>
        <v>1.8000000000000002E-2</v>
      </c>
      <c r="G68" s="101">
        <f t="shared" si="9"/>
        <v>3.1500000000000007E-2</v>
      </c>
      <c r="H68" s="101">
        <f t="shared" si="1"/>
        <v>3.6000000000000004E-2</v>
      </c>
      <c r="I68" s="101">
        <f t="shared" si="2"/>
        <v>4.0500000000000001E-2</v>
      </c>
      <c r="J68" s="101">
        <f t="shared" si="3"/>
        <v>4.9500000000000009E-2</v>
      </c>
      <c r="K68" s="101">
        <f t="shared" si="4"/>
        <v>5.4000000000000006E-2</v>
      </c>
      <c r="L68" s="101">
        <f t="shared" si="5"/>
        <v>5.8500000000000003E-2</v>
      </c>
      <c r="M68" s="98">
        <f t="shared" si="6"/>
        <v>9.0909090909090899</v>
      </c>
      <c r="N68" s="98">
        <f t="shared" si="7"/>
        <v>8.3333333333333321</v>
      </c>
      <c r="O68" s="98">
        <f t="shared" si="8"/>
        <v>7.6923076923076916</v>
      </c>
      <c r="Q68" s="110">
        <v>1979</v>
      </c>
      <c r="R68" s="107">
        <f t="shared" si="12"/>
        <v>86562</v>
      </c>
      <c r="S68" s="75">
        <v>48660</v>
      </c>
      <c r="T68" s="75">
        <v>17438</v>
      </c>
      <c r="U68" s="75">
        <v>15601</v>
      </c>
      <c r="V68" s="75">
        <v>4863</v>
      </c>
      <c r="AA68" s="76">
        <v>2005</v>
      </c>
      <c r="AB68" s="70" t="s">
        <v>37</v>
      </c>
      <c r="AC68" s="70" t="s">
        <v>37</v>
      </c>
      <c r="AD68" s="70" t="s">
        <v>37</v>
      </c>
      <c r="AE68" s="70" t="s">
        <v>37</v>
      </c>
      <c r="AF68" s="70" t="s">
        <v>37</v>
      </c>
      <c r="AG68" s="70" t="s">
        <v>37</v>
      </c>
    </row>
    <row r="69" spans="2:33" ht="15" customHeight="1" x14ac:dyDescent="0.25">
      <c r="B69" s="158"/>
      <c r="C69" s="95" t="s">
        <v>39</v>
      </c>
      <c r="D69" s="98">
        <v>0.45</v>
      </c>
      <c r="E69" s="98">
        <v>0.45</v>
      </c>
      <c r="F69" s="98">
        <f t="shared" si="0"/>
        <v>1.8000000000000002E-2</v>
      </c>
      <c r="G69" s="101">
        <f t="shared" si="9"/>
        <v>3.1500000000000007E-2</v>
      </c>
      <c r="H69" s="101">
        <f t="shared" si="1"/>
        <v>3.6000000000000004E-2</v>
      </c>
      <c r="I69" s="101">
        <f t="shared" si="2"/>
        <v>4.0500000000000001E-2</v>
      </c>
      <c r="J69" s="101">
        <f t="shared" si="3"/>
        <v>4.9500000000000009E-2</v>
      </c>
      <c r="K69" s="101">
        <f t="shared" si="4"/>
        <v>5.4000000000000006E-2</v>
      </c>
      <c r="L69" s="101">
        <f t="shared" si="5"/>
        <v>5.8500000000000003E-2</v>
      </c>
      <c r="M69" s="98">
        <f t="shared" si="6"/>
        <v>9.0909090909090899</v>
      </c>
      <c r="N69" s="98">
        <f t="shared" si="7"/>
        <v>8.3333333333333321</v>
      </c>
      <c r="O69" s="98">
        <f t="shared" si="8"/>
        <v>7.6923076923076916</v>
      </c>
      <c r="Q69" s="110">
        <v>1980</v>
      </c>
      <c r="R69" s="104">
        <f t="shared" si="12"/>
        <v>97203</v>
      </c>
      <c r="S69" s="70">
        <v>53026</v>
      </c>
      <c r="T69" s="70">
        <v>20274</v>
      </c>
      <c r="U69" s="70">
        <v>18591</v>
      </c>
      <c r="V69" s="70">
        <v>5312</v>
      </c>
      <c r="AA69" s="76">
        <v>2006</v>
      </c>
      <c r="AB69" s="70" t="s">
        <v>37</v>
      </c>
      <c r="AC69" s="70" t="s">
        <v>37</v>
      </c>
      <c r="AD69" s="70" t="s">
        <v>37</v>
      </c>
      <c r="AE69" s="70" t="s">
        <v>37</v>
      </c>
      <c r="AF69" s="70" t="s">
        <v>37</v>
      </c>
      <c r="AG69" s="70" t="s">
        <v>37</v>
      </c>
    </row>
    <row r="70" spans="2:33" ht="15" customHeight="1" x14ac:dyDescent="0.25">
      <c r="B70" s="158"/>
      <c r="C70" s="95" t="s">
        <v>40</v>
      </c>
      <c r="D70" s="98">
        <v>0.45</v>
      </c>
      <c r="E70" s="98">
        <v>0.45</v>
      </c>
      <c r="F70" s="98">
        <f t="shared" si="0"/>
        <v>1.8000000000000002E-2</v>
      </c>
      <c r="G70" s="101">
        <f t="shared" si="9"/>
        <v>3.1500000000000007E-2</v>
      </c>
      <c r="H70" s="101">
        <f t="shared" si="1"/>
        <v>3.6000000000000004E-2</v>
      </c>
      <c r="I70" s="101">
        <f t="shared" si="2"/>
        <v>4.0500000000000001E-2</v>
      </c>
      <c r="J70" s="101">
        <f t="shared" si="3"/>
        <v>4.9500000000000009E-2</v>
      </c>
      <c r="K70" s="101">
        <f t="shared" si="4"/>
        <v>5.4000000000000006E-2</v>
      </c>
      <c r="L70" s="101">
        <f t="shared" si="5"/>
        <v>5.8500000000000003E-2</v>
      </c>
      <c r="M70" s="98">
        <f t="shared" si="6"/>
        <v>9.0909090909090899</v>
      </c>
      <c r="N70" s="98">
        <f t="shared" si="7"/>
        <v>8.3333333333333321</v>
      </c>
      <c r="O70" s="98">
        <f t="shared" si="8"/>
        <v>7.6923076923076916</v>
      </c>
      <c r="Q70" s="110">
        <v>1981</v>
      </c>
      <c r="R70" s="104">
        <f t="shared" si="12"/>
        <v>110837</v>
      </c>
      <c r="S70" s="70">
        <v>59185</v>
      </c>
      <c r="T70" s="70">
        <v>23662</v>
      </c>
      <c r="U70" s="70">
        <v>22166</v>
      </c>
      <c r="V70" s="70">
        <v>5824</v>
      </c>
      <c r="AA70" s="76">
        <v>2007</v>
      </c>
      <c r="AB70" s="70" t="s">
        <v>37</v>
      </c>
      <c r="AC70" s="70" t="s">
        <v>37</v>
      </c>
      <c r="AD70" s="70" t="s">
        <v>37</v>
      </c>
      <c r="AE70" s="70" t="s">
        <v>37</v>
      </c>
      <c r="AF70" s="70" t="s">
        <v>37</v>
      </c>
      <c r="AG70" s="70" t="s">
        <v>37</v>
      </c>
    </row>
    <row r="71" spans="2:33" ht="15" customHeight="1" x14ac:dyDescent="0.25">
      <c r="B71" s="158"/>
      <c r="C71" s="95" t="s">
        <v>41</v>
      </c>
      <c r="D71" s="98">
        <v>0.45</v>
      </c>
      <c r="E71" s="98">
        <v>0.45</v>
      </c>
      <c r="F71" s="98">
        <f t="shared" si="0"/>
        <v>1.8000000000000002E-2</v>
      </c>
      <c r="G71" s="101">
        <f t="shared" si="9"/>
        <v>3.1500000000000007E-2</v>
      </c>
      <c r="H71" s="101">
        <f t="shared" si="1"/>
        <v>3.6000000000000004E-2</v>
      </c>
      <c r="I71" s="101">
        <f t="shared" si="2"/>
        <v>4.0500000000000001E-2</v>
      </c>
      <c r="J71" s="101">
        <f t="shared" si="3"/>
        <v>4.9500000000000009E-2</v>
      </c>
      <c r="K71" s="101">
        <f t="shared" si="4"/>
        <v>5.4000000000000006E-2</v>
      </c>
      <c r="L71" s="101">
        <f t="shared" si="5"/>
        <v>5.8500000000000003E-2</v>
      </c>
      <c r="M71" s="98">
        <f t="shared" si="6"/>
        <v>9.0909090909090899</v>
      </c>
      <c r="N71" s="98">
        <f t="shared" si="7"/>
        <v>8.3333333333333321</v>
      </c>
      <c r="O71" s="98">
        <f t="shared" si="8"/>
        <v>7.6923076923076916</v>
      </c>
      <c r="Q71" s="110">
        <v>1982</v>
      </c>
      <c r="R71" s="104">
        <f t="shared" si="12"/>
        <v>114163</v>
      </c>
      <c r="S71" s="70">
        <v>60232</v>
      </c>
      <c r="T71" s="70">
        <v>24741</v>
      </c>
      <c r="U71" s="70">
        <v>23332</v>
      </c>
      <c r="V71" s="70">
        <v>5858</v>
      </c>
      <c r="AA71" s="76">
        <v>2008</v>
      </c>
      <c r="AB71" s="70" t="s">
        <v>37</v>
      </c>
      <c r="AC71" s="70" t="s">
        <v>37</v>
      </c>
      <c r="AD71" s="70" t="s">
        <v>37</v>
      </c>
      <c r="AE71" s="70" t="s">
        <v>37</v>
      </c>
      <c r="AF71" s="70" t="s">
        <v>37</v>
      </c>
      <c r="AG71" s="70" t="s">
        <v>37</v>
      </c>
    </row>
    <row r="72" spans="2:33" ht="15" customHeight="1" x14ac:dyDescent="0.25">
      <c r="B72" s="158"/>
      <c r="C72" s="95" t="s">
        <v>42</v>
      </c>
      <c r="D72" s="98">
        <v>0.45</v>
      </c>
      <c r="E72" s="98">
        <v>0.45</v>
      </c>
      <c r="F72" s="98">
        <f t="shared" si="0"/>
        <v>1.8000000000000002E-2</v>
      </c>
      <c r="G72" s="101">
        <f t="shared" si="9"/>
        <v>3.1500000000000007E-2</v>
      </c>
      <c r="H72" s="101">
        <f t="shared" si="1"/>
        <v>3.6000000000000004E-2</v>
      </c>
      <c r="I72" s="101">
        <f t="shared" si="2"/>
        <v>4.0500000000000001E-2</v>
      </c>
      <c r="J72" s="101">
        <f t="shared" si="3"/>
        <v>4.9500000000000009E-2</v>
      </c>
      <c r="K72" s="101">
        <f t="shared" si="4"/>
        <v>5.4000000000000006E-2</v>
      </c>
      <c r="L72" s="101">
        <f t="shared" si="5"/>
        <v>5.8500000000000003E-2</v>
      </c>
      <c r="M72" s="98">
        <f t="shared" si="6"/>
        <v>9.0909090909090899</v>
      </c>
      <c r="N72" s="98">
        <f t="shared" si="7"/>
        <v>8.3333333333333321</v>
      </c>
      <c r="O72" s="98">
        <f t="shared" si="8"/>
        <v>7.6923076923076916</v>
      </c>
      <c r="Q72" s="110">
        <v>1983</v>
      </c>
      <c r="R72" s="104">
        <f t="shared" si="12"/>
        <v>134245</v>
      </c>
      <c r="S72" s="70">
        <v>68420</v>
      </c>
      <c r="T72" s="70">
        <v>29496</v>
      </c>
      <c r="U72" s="70">
        <v>29355</v>
      </c>
      <c r="V72" s="70">
        <v>6974</v>
      </c>
      <c r="AA72" s="76">
        <v>2009</v>
      </c>
      <c r="AB72" s="70" t="s">
        <v>37</v>
      </c>
      <c r="AC72" s="70" t="s">
        <v>37</v>
      </c>
      <c r="AD72" s="70" t="s">
        <v>37</v>
      </c>
      <c r="AE72" s="70" t="s">
        <v>37</v>
      </c>
      <c r="AF72" s="70" t="s">
        <v>37</v>
      </c>
      <c r="AG72" s="70" t="s">
        <v>37</v>
      </c>
    </row>
    <row r="73" spans="2:33" ht="15" customHeight="1" x14ac:dyDescent="0.25">
      <c r="B73" s="158"/>
      <c r="C73" s="95" t="s">
        <v>43</v>
      </c>
      <c r="D73" s="98">
        <v>0.45</v>
      </c>
      <c r="E73" s="98">
        <v>0.45</v>
      </c>
      <c r="F73" s="98">
        <f t="shared" si="0"/>
        <v>1.8000000000000002E-2</v>
      </c>
      <c r="G73" s="101">
        <f t="shared" si="9"/>
        <v>3.1500000000000007E-2</v>
      </c>
      <c r="H73" s="101">
        <f t="shared" si="1"/>
        <v>3.6000000000000004E-2</v>
      </c>
      <c r="I73" s="101">
        <f t="shared" si="2"/>
        <v>4.0500000000000001E-2</v>
      </c>
      <c r="J73" s="101">
        <f t="shared" si="3"/>
        <v>4.9500000000000009E-2</v>
      </c>
      <c r="K73" s="101">
        <f t="shared" si="4"/>
        <v>5.4000000000000006E-2</v>
      </c>
      <c r="L73" s="101">
        <f t="shared" si="5"/>
        <v>5.8500000000000003E-2</v>
      </c>
      <c r="M73" s="98">
        <f t="shared" si="6"/>
        <v>9.0909090909090899</v>
      </c>
      <c r="N73" s="98">
        <f t="shared" si="7"/>
        <v>8.3333333333333321</v>
      </c>
      <c r="O73" s="98">
        <f t="shared" si="8"/>
        <v>7.6923076923076916</v>
      </c>
      <c r="Q73" s="110">
        <v>1984</v>
      </c>
      <c r="R73" s="104">
        <f t="shared" si="12"/>
        <v>144965</v>
      </c>
      <c r="S73" s="70">
        <v>73296</v>
      </c>
      <c r="T73" s="70">
        <v>32100</v>
      </c>
      <c r="U73" s="70">
        <v>32196</v>
      </c>
      <c r="V73" s="70">
        <v>7373</v>
      </c>
      <c r="AA73" s="76">
        <v>2010</v>
      </c>
      <c r="AB73" s="70" t="s">
        <v>37</v>
      </c>
      <c r="AC73" s="70" t="s">
        <v>37</v>
      </c>
      <c r="AD73" s="70" t="s">
        <v>37</v>
      </c>
      <c r="AE73" s="70" t="s">
        <v>37</v>
      </c>
      <c r="AF73" s="70" t="s">
        <v>37</v>
      </c>
      <c r="AG73" s="70" t="s">
        <v>37</v>
      </c>
    </row>
    <row r="74" spans="2:33" ht="15" customHeight="1" x14ac:dyDescent="0.25">
      <c r="B74" s="158"/>
      <c r="C74" s="95" t="s">
        <v>44</v>
      </c>
      <c r="D74" s="98">
        <v>0.45</v>
      </c>
      <c r="E74" s="98">
        <v>0.45</v>
      </c>
      <c r="F74" s="98">
        <f t="shared" si="0"/>
        <v>1.8000000000000002E-2</v>
      </c>
      <c r="G74" s="101">
        <f t="shared" si="9"/>
        <v>3.1500000000000007E-2</v>
      </c>
      <c r="H74" s="101">
        <f t="shared" si="1"/>
        <v>3.6000000000000004E-2</v>
      </c>
      <c r="I74" s="101">
        <f t="shared" si="2"/>
        <v>4.0500000000000001E-2</v>
      </c>
      <c r="J74" s="101">
        <f t="shared" si="3"/>
        <v>4.9500000000000009E-2</v>
      </c>
      <c r="K74" s="101">
        <f t="shared" si="4"/>
        <v>5.4000000000000006E-2</v>
      </c>
      <c r="L74" s="101">
        <f t="shared" si="5"/>
        <v>5.8500000000000003E-2</v>
      </c>
      <c r="M74" s="98">
        <f t="shared" si="6"/>
        <v>9.0909090909090899</v>
      </c>
      <c r="N74" s="98">
        <f t="shared" si="7"/>
        <v>8.3333333333333321</v>
      </c>
      <c r="O74" s="98">
        <f t="shared" si="8"/>
        <v>7.6923076923076916</v>
      </c>
      <c r="Q74" s="110">
        <v>1985</v>
      </c>
      <c r="R74" s="104">
        <f t="shared" si="12"/>
        <v>158961</v>
      </c>
      <c r="S74" s="70">
        <v>80538</v>
      </c>
      <c r="T74" s="70">
        <v>35865</v>
      </c>
      <c r="U74" s="70">
        <v>34698</v>
      </c>
      <c r="V74" s="70">
        <v>7860</v>
      </c>
      <c r="AA74" s="76">
        <v>2011</v>
      </c>
      <c r="AB74" s="70" t="s">
        <v>37</v>
      </c>
      <c r="AC74" s="70" t="s">
        <v>37</v>
      </c>
      <c r="AD74" s="70" t="s">
        <v>37</v>
      </c>
      <c r="AE74" s="70" t="s">
        <v>37</v>
      </c>
      <c r="AF74" s="70" t="s">
        <v>37</v>
      </c>
      <c r="AG74" s="70" t="s">
        <v>37</v>
      </c>
    </row>
    <row r="75" spans="2:33" ht="15" customHeight="1" x14ac:dyDescent="0.25">
      <c r="B75" s="158"/>
      <c r="C75" s="95" t="s">
        <v>45</v>
      </c>
      <c r="D75" s="98">
        <v>0.45</v>
      </c>
      <c r="E75" s="98">
        <v>0.45</v>
      </c>
      <c r="F75" s="98">
        <f t="shared" si="0"/>
        <v>1.8000000000000002E-2</v>
      </c>
      <c r="G75" s="101">
        <f t="shared" si="9"/>
        <v>3.1500000000000007E-2</v>
      </c>
      <c r="H75" s="101">
        <f t="shared" si="1"/>
        <v>3.6000000000000004E-2</v>
      </c>
      <c r="I75" s="101">
        <f t="shared" si="2"/>
        <v>4.0500000000000001E-2</v>
      </c>
      <c r="J75" s="101">
        <f t="shared" si="3"/>
        <v>4.9500000000000009E-2</v>
      </c>
      <c r="K75" s="101">
        <f t="shared" si="4"/>
        <v>5.4000000000000006E-2</v>
      </c>
      <c r="L75" s="101">
        <f t="shared" si="5"/>
        <v>5.8500000000000003E-2</v>
      </c>
      <c r="M75" s="98">
        <f t="shared" si="6"/>
        <v>9.0909090909090899</v>
      </c>
      <c r="N75" s="98">
        <f t="shared" si="7"/>
        <v>8.3333333333333321</v>
      </c>
      <c r="O75" s="98">
        <f t="shared" si="8"/>
        <v>7.6923076923076916</v>
      </c>
      <c r="Q75" s="110">
        <v>1986</v>
      </c>
      <c r="R75" s="104">
        <f t="shared" si="12"/>
        <v>175741</v>
      </c>
      <c r="S75" s="70">
        <v>91820</v>
      </c>
      <c r="T75" s="70">
        <v>37433</v>
      </c>
      <c r="U75" s="70">
        <v>38004</v>
      </c>
      <c r="V75" s="70">
        <v>8484</v>
      </c>
      <c r="AA75" s="76">
        <v>2012</v>
      </c>
      <c r="AB75" s="70" t="s">
        <v>37</v>
      </c>
      <c r="AC75" s="75" t="s">
        <v>37</v>
      </c>
      <c r="AD75" s="75" t="s">
        <v>37</v>
      </c>
      <c r="AE75" s="75" t="s">
        <v>37</v>
      </c>
      <c r="AF75" s="75" t="s">
        <v>37</v>
      </c>
      <c r="AG75" s="75" t="s">
        <v>37</v>
      </c>
    </row>
    <row r="76" spans="2:33" ht="15" customHeight="1" x14ac:dyDescent="0.25">
      <c r="B76" s="158"/>
      <c r="C76" s="95" t="s">
        <v>46</v>
      </c>
      <c r="D76" s="98">
        <v>0.45</v>
      </c>
      <c r="E76" s="98">
        <v>0.45</v>
      </c>
      <c r="F76" s="98">
        <f t="shared" si="0"/>
        <v>1.8000000000000002E-2</v>
      </c>
      <c r="G76" s="101">
        <f t="shared" si="9"/>
        <v>3.1500000000000007E-2</v>
      </c>
      <c r="H76" s="101">
        <f t="shared" si="1"/>
        <v>3.6000000000000004E-2</v>
      </c>
      <c r="I76" s="101">
        <f t="shared" si="2"/>
        <v>4.0500000000000001E-2</v>
      </c>
      <c r="J76" s="101">
        <f t="shared" si="3"/>
        <v>4.9500000000000009E-2</v>
      </c>
      <c r="K76" s="101">
        <f t="shared" si="4"/>
        <v>5.4000000000000006E-2</v>
      </c>
      <c r="L76" s="101">
        <f t="shared" si="5"/>
        <v>5.8500000000000003E-2</v>
      </c>
      <c r="M76" s="98">
        <f t="shared" si="6"/>
        <v>9.0909090909090899</v>
      </c>
      <c r="N76" s="98">
        <f t="shared" si="7"/>
        <v>8.3333333333333321</v>
      </c>
      <c r="O76" s="98">
        <f t="shared" si="8"/>
        <v>7.6923076923076916</v>
      </c>
      <c r="Q76" s="110">
        <v>1987</v>
      </c>
      <c r="R76" s="104">
        <f t="shared" si="12"/>
        <v>195820</v>
      </c>
      <c r="S76" s="70">
        <v>99783</v>
      </c>
      <c r="T76" s="70">
        <v>44382</v>
      </c>
      <c r="U76" s="70">
        <v>42386</v>
      </c>
      <c r="V76" s="70">
        <v>9269</v>
      </c>
      <c r="AA76" s="78">
        <v>2013</v>
      </c>
      <c r="AB76" s="73">
        <f>+R51/R102</f>
        <v>2.3757371193544454</v>
      </c>
      <c r="AC76" s="75" t="s">
        <v>37</v>
      </c>
      <c r="AD76" s="75" t="s">
        <v>37</v>
      </c>
      <c r="AE76" s="75" t="s">
        <v>37</v>
      </c>
      <c r="AF76" s="75" t="s">
        <v>37</v>
      </c>
      <c r="AG76" s="75" t="s">
        <v>37</v>
      </c>
    </row>
    <row r="77" spans="2:33" ht="15" customHeight="1" x14ac:dyDescent="0.25">
      <c r="B77" s="158"/>
      <c r="C77" s="95" t="s">
        <v>47</v>
      </c>
      <c r="D77" s="98">
        <v>0.45</v>
      </c>
      <c r="E77" s="98">
        <v>0.45</v>
      </c>
      <c r="F77" s="98">
        <f t="shared" ref="F77:F140" si="13">+D77*4%</f>
        <v>1.8000000000000002E-2</v>
      </c>
      <c r="G77" s="101">
        <f t="shared" si="9"/>
        <v>3.1500000000000007E-2</v>
      </c>
      <c r="H77" s="101">
        <f t="shared" ref="H77:H140" si="14">+D77*8%</f>
        <v>3.6000000000000004E-2</v>
      </c>
      <c r="I77" s="101">
        <f t="shared" ref="I77:I140" si="15">+D77*9%</f>
        <v>4.0500000000000001E-2</v>
      </c>
      <c r="J77" s="101">
        <f t="shared" ref="J77:J140" si="16">+F77+G77</f>
        <v>4.9500000000000009E-2</v>
      </c>
      <c r="K77" s="101">
        <f t="shared" ref="K77:K140" si="17">+F77+H77</f>
        <v>5.4000000000000006E-2</v>
      </c>
      <c r="L77" s="101">
        <f t="shared" ref="L77:L140" si="18">+F77+I77</f>
        <v>5.8500000000000003E-2</v>
      </c>
      <c r="M77" s="98">
        <f t="shared" ref="M77:M140" si="19">+E77/J77</f>
        <v>9.0909090909090899</v>
      </c>
      <c r="N77" s="98">
        <f t="shared" ref="N77:N140" si="20">+E77/K77</f>
        <v>8.3333333333333321</v>
      </c>
      <c r="O77" s="98">
        <f t="shared" ref="O77:O140" si="21">+E77/L77</f>
        <v>7.6923076923076916</v>
      </c>
      <c r="Q77" s="110">
        <v>1988</v>
      </c>
      <c r="R77" s="104">
        <f t="shared" si="12"/>
        <v>207085</v>
      </c>
      <c r="S77" s="70">
        <v>106235</v>
      </c>
      <c r="T77" s="70">
        <v>45559</v>
      </c>
      <c r="U77" s="70">
        <v>44523</v>
      </c>
      <c r="V77" s="70">
        <v>10768</v>
      </c>
      <c r="AA77" s="76">
        <v>2014</v>
      </c>
      <c r="AB77" s="73">
        <f t="shared" ref="AB77:AB80" si="22">+R52/R103</f>
        <v>2.1851224469665724</v>
      </c>
      <c r="AC77" s="75" t="s">
        <v>37</v>
      </c>
      <c r="AD77" s="75" t="s">
        <v>37</v>
      </c>
      <c r="AE77" s="75" t="s">
        <v>37</v>
      </c>
      <c r="AF77" s="75" t="s">
        <v>37</v>
      </c>
      <c r="AG77" s="75" t="s">
        <v>37</v>
      </c>
    </row>
    <row r="78" spans="2:33" ht="15" customHeight="1" x14ac:dyDescent="0.25">
      <c r="B78" s="159"/>
      <c r="C78" s="96" t="s">
        <v>48</v>
      </c>
      <c r="D78" s="99">
        <v>0.45</v>
      </c>
      <c r="E78" s="99">
        <v>0.45</v>
      </c>
      <c r="F78" s="99">
        <f t="shared" si="13"/>
        <v>1.8000000000000002E-2</v>
      </c>
      <c r="G78" s="102">
        <f t="shared" ref="G78:G141" si="23">+D78*7%</f>
        <v>3.1500000000000007E-2</v>
      </c>
      <c r="H78" s="102">
        <f t="shared" si="14"/>
        <v>3.6000000000000004E-2</v>
      </c>
      <c r="I78" s="102">
        <f t="shared" si="15"/>
        <v>4.0500000000000001E-2</v>
      </c>
      <c r="J78" s="102">
        <f t="shared" si="16"/>
        <v>4.9500000000000009E-2</v>
      </c>
      <c r="K78" s="102">
        <f t="shared" si="17"/>
        <v>5.4000000000000006E-2</v>
      </c>
      <c r="L78" s="102">
        <f t="shared" si="18"/>
        <v>5.8500000000000003E-2</v>
      </c>
      <c r="M78" s="99">
        <f t="shared" si="19"/>
        <v>9.0909090909090899</v>
      </c>
      <c r="N78" s="99">
        <f t="shared" si="20"/>
        <v>8.3333333333333321</v>
      </c>
      <c r="O78" s="99">
        <f t="shared" si="21"/>
        <v>7.6923076923076916</v>
      </c>
      <c r="Q78" s="110">
        <v>1989</v>
      </c>
      <c r="R78" s="104">
        <f t="shared" si="12"/>
        <v>222938</v>
      </c>
      <c r="S78" s="70">
        <v>115041</v>
      </c>
      <c r="T78" s="70">
        <v>51429</v>
      </c>
      <c r="U78" s="70">
        <v>46523</v>
      </c>
      <c r="V78" s="70">
        <v>9945</v>
      </c>
      <c r="AA78" s="76">
        <v>2015</v>
      </c>
      <c r="AB78" s="73">
        <f t="shared" si="22"/>
        <v>1.907288536630376</v>
      </c>
      <c r="AC78" s="75" t="s">
        <v>37</v>
      </c>
      <c r="AD78" s="75" t="s">
        <v>37</v>
      </c>
      <c r="AE78" s="75" t="s">
        <v>37</v>
      </c>
      <c r="AF78" s="75" t="s">
        <v>37</v>
      </c>
      <c r="AG78" s="75" t="s">
        <v>37</v>
      </c>
    </row>
    <row r="79" spans="2:33" ht="15" customHeight="1" x14ac:dyDescent="0.25">
      <c r="B79" s="157">
        <v>1980</v>
      </c>
      <c r="C79" s="94" t="s">
        <v>36</v>
      </c>
      <c r="D79" s="97">
        <v>0.9</v>
      </c>
      <c r="E79" s="97">
        <v>0.9</v>
      </c>
      <c r="F79" s="97">
        <f t="shared" si="13"/>
        <v>3.6000000000000004E-2</v>
      </c>
      <c r="G79" s="100">
        <f t="shared" si="23"/>
        <v>6.3000000000000014E-2</v>
      </c>
      <c r="H79" s="100">
        <f t="shared" si="14"/>
        <v>7.2000000000000008E-2</v>
      </c>
      <c r="I79" s="100">
        <f t="shared" si="15"/>
        <v>8.1000000000000003E-2</v>
      </c>
      <c r="J79" s="100">
        <f t="shared" si="16"/>
        <v>9.9000000000000019E-2</v>
      </c>
      <c r="K79" s="100">
        <f t="shared" si="17"/>
        <v>0.10800000000000001</v>
      </c>
      <c r="L79" s="100">
        <f t="shared" si="18"/>
        <v>0.11700000000000001</v>
      </c>
      <c r="M79" s="97">
        <f t="shared" si="19"/>
        <v>9.0909090909090899</v>
      </c>
      <c r="N79" s="97">
        <f t="shared" si="20"/>
        <v>8.3333333333333321</v>
      </c>
      <c r="O79" s="97">
        <f t="shared" si="21"/>
        <v>7.6923076923076916</v>
      </c>
      <c r="Q79" s="110">
        <v>1990</v>
      </c>
      <c r="R79" s="104">
        <f t="shared" si="12"/>
        <v>235415</v>
      </c>
      <c r="S79" s="77">
        <v>126408</v>
      </c>
      <c r="T79" s="77">
        <v>52859</v>
      </c>
      <c r="U79" s="77">
        <v>46126</v>
      </c>
      <c r="V79" s="77">
        <v>10022</v>
      </c>
      <c r="AA79" s="78">
        <v>2016</v>
      </c>
      <c r="AB79" s="73">
        <f t="shared" si="22"/>
        <v>1.7883905226555972</v>
      </c>
      <c r="AC79" s="75" t="s">
        <v>37</v>
      </c>
      <c r="AD79" s="75" t="s">
        <v>37</v>
      </c>
      <c r="AE79" s="75" t="s">
        <v>37</v>
      </c>
      <c r="AF79" s="75" t="s">
        <v>37</v>
      </c>
      <c r="AG79" s="75" t="s">
        <v>37</v>
      </c>
    </row>
    <row r="80" spans="2:33" ht="15" customHeight="1" thickBot="1" x14ac:dyDescent="0.3">
      <c r="B80" s="158"/>
      <c r="C80" s="95" t="s">
        <v>38</v>
      </c>
      <c r="D80" s="98">
        <v>0.9</v>
      </c>
      <c r="E80" s="98">
        <v>0.9</v>
      </c>
      <c r="F80" s="98">
        <f t="shared" si="13"/>
        <v>3.6000000000000004E-2</v>
      </c>
      <c r="G80" s="101">
        <f t="shared" si="23"/>
        <v>6.3000000000000014E-2</v>
      </c>
      <c r="H80" s="101">
        <f t="shared" si="14"/>
        <v>7.2000000000000008E-2</v>
      </c>
      <c r="I80" s="101">
        <f t="shared" si="15"/>
        <v>8.1000000000000003E-2</v>
      </c>
      <c r="J80" s="101">
        <f t="shared" si="16"/>
        <v>9.9000000000000019E-2</v>
      </c>
      <c r="K80" s="101">
        <f t="shared" si="17"/>
        <v>0.10800000000000001</v>
      </c>
      <c r="L80" s="101">
        <f t="shared" si="18"/>
        <v>0.11700000000000001</v>
      </c>
      <c r="M80" s="98">
        <f t="shared" si="19"/>
        <v>9.0909090909090899</v>
      </c>
      <c r="N80" s="98">
        <f t="shared" si="20"/>
        <v>8.3333333333333321</v>
      </c>
      <c r="O80" s="98">
        <f t="shared" si="21"/>
        <v>7.6923076923076916</v>
      </c>
      <c r="Q80" s="110">
        <v>1991</v>
      </c>
      <c r="R80" s="104">
        <f t="shared" si="12"/>
        <v>268153</v>
      </c>
      <c r="S80" s="77">
        <v>151815</v>
      </c>
      <c r="T80" s="77">
        <v>57070</v>
      </c>
      <c r="U80" s="77">
        <v>48656</v>
      </c>
      <c r="V80" s="77">
        <v>10612</v>
      </c>
      <c r="AA80" s="79">
        <v>2017</v>
      </c>
      <c r="AB80" s="80">
        <f t="shared" si="22"/>
        <v>1.4952161649628843</v>
      </c>
      <c r="AC80" s="173" t="s">
        <v>37</v>
      </c>
      <c r="AD80" s="173" t="s">
        <v>37</v>
      </c>
      <c r="AE80" s="173" t="s">
        <v>37</v>
      </c>
      <c r="AF80" s="173" t="s">
        <v>37</v>
      </c>
      <c r="AG80" s="173" t="s">
        <v>37</v>
      </c>
    </row>
    <row r="81" spans="2:27" ht="15" customHeight="1" thickTop="1" x14ac:dyDescent="0.25">
      <c r="B81" s="158"/>
      <c r="C81" s="95" t="s">
        <v>39</v>
      </c>
      <c r="D81" s="98">
        <v>0.9</v>
      </c>
      <c r="E81" s="98">
        <v>0.9</v>
      </c>
      <c r="F81" s="98">
        <f t="shared" si="13"/>
        <v>3.6000000000000004E-2</v>
      </c>
      <c r="G81" s="101">
        <f t="shared" si="23"/>
        <v>6.3000000000000014E-2</v>
      </c>
      <c r="H81" s="101">
        <f t="shared" si="14"/>
        <v>7.2000000000000008E-2</v>
      </c>
      <c r="I81" s="101">
        <f t="shared" si="15"/>
        <v>8.1000000000000003E-2</v>
      </c>
      <c r="J81" s="101">
        <f t="shared" si="16"/>
        <v>9.9000000000000019E-2</v>
      </c>
      <c r="K81" s="101">
        <f t="shared" si="17"/>
        <v>0.10800000000000001</v>
      </c>
      <c r="L81" s="101">
        <f t="shared" si="18"/>
        <v>0.11700000000000001</v>
      </c>
      <c r="M81" s="98">
        <f t="shared" si="19"/>
        <v>9.0909090909090899</v>
      </c>
      <c r="N81" s="98">
        <f t="shared" si="20"/>
        <v>8.3333333333333321</v>
      </c>
      <c r="O81" s="98">
        <f t="shared" si="21"/>
        <v>7.6923076923076916</v>
      </c>
      <c r="Q81" s="110">
        <v>1992</v>
      </c>
      <c r="R81" s="104">
        <f t="shared" si="12"/>
        <v>289224</v>
      </c>
      <c r="S81" s="77">
        <v>167083</v>
      </c>
      <c r="T81" s="77">
        <v>60305</v>
      </c>
      <c r="U81" s="77">
        <v>51576</v>
      </c>
      <c r="V81" s="77">
        <v>10260</v>
      </c>
    </row>
    <row r="82" spans="2:27" ht="15" customHeight="1" x14ac:dyDescent="0.25">
      <c r="B82" s="158"/>
      <c r="C82" s="95" t="s">
        <v>40</v>
      </c>
      <c r="D82" s="98">
        <v>0.9</v>
      </c>
      <c r="E82" s="98">
        <v>0.9</v>
      </c>
      <c r="F82" s="98">
        <f t="shared" si="13"/>
        <v>3.6000000000000004E-2</v>
      </c>
      <c r="G82" s="101">
        <f t="shared" si="23"/>
        <v>6.3000000000000014E-2</v>
      </c>
      <c r="H82" s="101">
        <f t="shared" si="14"/>
        <v>7.2000000000000008E-2</v>
      </c>
      <c r="I82" s="101">
        <f t="shared" si="15"/>
        <v>8.1000000000000003E-2</v>
      </c>
      <c r="J82" s="101">
        <f t="shared" si="16"/>
        <v>9.9000000000000019E-2</v>
      </c>
      <c r="K82" s="101">
        <f t="shared" si="17"/>
        <v>0.10800000000000001</v>
      </c>
      <c r="L82" s="101">
        <f t="shared" si="18"/>
        <v>0.11700000000000001</v>
      </c>
      <c r="M82" s="98">
        <f t="shared" si="19"/>
        <v>9.0909090909090899</v>
      </c>
      <c r="N82" s="98">
        <f t="shared" si="20"/>
        <v>8.3333333333333321</v>
      </c>
      <c r="O82" s="98">
        <f t="shared" si="21"/>
        <v>7.6923076923076916</v>
      </c>
      <c r="Q82" s="110">
        <v>1993</v>
      </c>
      <c r="R82" s="104">
        <f t="shared" si="12"/>
        <v>305924</v>
      </c>
      <c r="S82" s="77">
        <v>178711</v>
      </c>
      <c r="T82" s="77">
        <v>63171</v>
      </c>
      <c r="U82" s="77">
        <v>53584</v>
      </c>
      <c r="V82" s="77">
        <v>10458</v>
      </c>
      <c r="AA82" s="81" t="s">
        <v>79</v>
      </c>
    </row>
    <row r="83" spans="2:27" ht="15" customHeight="1" x14ac:dyDescent="0.25">
      <c r="B83" s="158"/>
      <c r="C83" s="95" t="s">
        <v>41</v>
      </c>
      <c r="D83" s="98">
        <v>0.9</v>
      </c>
      <c r="E83" s="98">
        <v>0.9</v>
      </c>
      <c r="F83" s="98">
        <f t="shared" si="13"/>
        <v>3.6000000000000004E-2</v>
      </c>
      <c r="G83" s="101">
        <f t="shared" si="23"/>
        <v>6.3000000000000014E-2</v>
      </c>
      <c r="H83" s="101">
        <f t="shared" si="14"/>
        <v>7.2000000000000008E-2</v>
      </c>
      <c r="I83" s="101">
        <f t="shared" si="15"/>
        <v>8.1000000000000003E-2</v>
      </c>
      <c r="J83" s="101">
        <f t="shared" si="16"/>
        <v>9.9000000000000019E-2</v>
      </c>
      <c r="K83" s="101">
        <f t="shared" si="17"/>
        <v>0.10800000000000001</v>
      </c>
      <c r="L83" s="101">
        <f t="shared" si="18"/>
        <v>0.11700000000000001</v>
      </c>
      <c r="M83" s="98">
        <f t="shared" si="19"/>
        <v>9.0909090909090899</v>
      </c>
      <c r="N83" s="98">
        <f t="shared" si="20"/>
        <v>8.3333333333333321</v>
      </c>
      <c r="O83" s="98">
        <f t="shared" si="21"/>
        <v>7.6923076923076916</v>
      </c>
      <c r="Q83" s="110">
        <v>1994</v>
      </c>
      <c r="R83" s="104">
        <f t="shared" si="12"/>
        <v>305760</v>
      </c>
      <c r="S83" s="77">
        <v>178836</v>
      </c>
      <c r="T83" s="77">
        <v>63619</v>
      </c>
      <c r="U83" s="77">
        <v>52875</v>
      </c>
      <c r="V83" s="77">
        <v>10430</v>
      </c>
    </row>
    <row r="84" spans="2:27" ht="15" customHeight="1" x14ac:dyDescent="0.25">
      <c r="B84" s="158"/>
      <c r="C84" s="95" t="s">
        <v>42</v>
      </c>
      <c r="D84" s="98">
        <v>0.9</v>
      </c>
      <c r="E84" s="98">
        <v>0.9</v>
      </c>
      <c r="F84" s="98">
        <f t="shared" si="13"/>
        <v>3.6000000000000004E-2</v>
      </c>
      <c r="G84" s="101">
        <f t="shared" si="23"/>
        <v>6.3000000000000014E-2</v>
      </c>
      <c r="H84" s="101">
        <f t="shared" si="14"/>
        <v>7.2000000000000008E-2</v>
      </c>
      <c r="I84" s="101">
        <f t="shared" si="15"/>
        <v>8.1000000000000003E-2</v>
      </c>
      <c r="J84" s="101">
        <f t="shared" si="16"/>
        <v>9.9000000000000019E-2</v>
      </c>
      <c r="K84" s="101">
        <f t="shared" si="17"/>
        <v>0.10800000000000001</v>
      </c>
      <c r="L84" s="101">
        <f t="shared" si="18"/>
        <v>0.11700000000000001</v>
      </c>
      <c r="M84" s="98">
        <f t="shared" si="19"/>
        <v>9.0909090909090899</v>
      </c>
      <c r="N84" s="98">
        <f t="shared" si="20"/>
        <v>8.3333333333333321</v>
      </c>
      <c r="O84" s="98">
        <f t="shared" si="21"/>
        <v>7.6923076923076916</v>
      </c>
      <c r="Q84" s="110">
        <v>1995</v>
      </c>
      <c r="R84" s="104">
        <f t="shared" si="12"/>
        <v>311025</v>
      </c>
      <c r="S84" s="77">
        <v>182883</v>
      </c>
      <c r="T84" s="77">
        <v>63760</v>
      </c>
      <c r="U84" s="77">
        <v>52563</v>
      </c>
      <c r="V84" s="77">
        <v>11819</v>
      </c>
    </row>
    <row r="85" spans="2:27" ht="15" customHeight="1" x14ac:dyDescent="0.25">
      <c r="B85" s="158"/>
      <c r="C85" s="95" t="s">
        <v>43</v>
      </c>
      <c r="D85" s="98">
        <v>0.9</v>
      </c>
      <c r="E85" s="98">
        <v>0.9</v>
      </c>
      <c r="F85" s="98">
        <f t="shared" si="13"/>
        <v>3.6000000000000004E-2</v>
      </c>
      <c r="G85" s="101">
        <f t="shared" si="23"/>
        <v>6.3000000000000014E-2</v>
      </c>
      <c r="H85" s="101">
        <f t="shared" si="14"/>
        <v>7.2000000000000008E-2</v>
      </c>
      <c r="I85" s="101">
        <f t="shared" si="15"/>
        <v>8.1000000000000003E-2</v>
      </c>
      <c r="J85" s="101">
        <f t="shared" si="16"/>
        <v>9.9000000000000019E-2</v>
      </c>
      <c r="K85" s="101">
        <f t="shared" si="17"/>
        <v>0.10800000000000001</v>
      </c>
      <c r="L85" s="101">
        <f t="shared" si="18"/>
        <v>0.11700000000000001</v>
      </c>
      <c r="M85" s="98">
        <f t="shared" si="19"/>
        <v>9.0909090909090899</v>
      </c>
      <c r="N85" s="98">
        <f t="shared" si="20"/>
        <v>8.3333333333333321</v>
      </c>
      <c r="O85" s="98">
        <f t="shared" si="21"/>
        <v>7.6923076923076916</v>
      </c>
      <c r="Q85" s="110">
        <v>1996</v>
      </c>
      <c r="R85" s="104">
        <f t="shared" si="12"/>
        <v>324185</v>
      </c>
      <c r="S85" s="77">
        <v>198725</v>
      </c>
      <c r="T85" s="77">
        <v>59974</v>
      </c>
      <c r="U85" s="77">
        <v>55436</v>
      </c>
      <c r="V85" s="77">
        <v>10050</v>
      </c>
    </row>
    <row r="86" spans="2:27" ht="15" customHeight="1" x14ac:dyDescent="0.25">
      <c r="B86" s="158"/>
      <c r="C86" s="95" t="s">
        <v>44</v>
      </c>
      <c r="D86" s="98">
        <v>0.9</v>
      </c>
      <c r="E86" s="98">
        <v>0.9</v>
      </c>
      <c r="F86" s="98">
        <f t="shared" si="13"/>
        <v>3.6000000000000004E-2</v>
      </c>
      <c r="G86" s="101">
        <f t="shared" si="23"/>
        <v>6.3000000000000014E-2</v>
      </c>
      <c r="H86" s="101">
        <f t="shared" si="14"/>
        <v>7.2000000000000008E-2</v>
      </c>
      <c r="I86" s="101">
        <f t="shared" si="15"/>
        <v>8.1000000000000003E-2</v>
      </c>
      <c r="J86" s="101">
        <f t="shared" si="16"/>
        <v>9.9000000000000019E-2</v>
      </c>
      <c r="K86" s="101">
        <f t="shared" si="17"/>
        <v>0.10800000000000001</v>
      </c>
      <c r="L86" s="101">
        <f t="shared" si="18"/>
        <v>0.11700000000000001</v>
      </c>
      <c r="M86" s="98">
        <f t="shared" si="19"/>
        <v>9.0909090909090899</v>
      </c>
      <c r="N86" s="98">
        <f t="shared" si="20"/>
        <v>8.3333333333333321</v>
      </c>
      <c r="O86" s="98">
        <f t="shared" si="21"/>
        <v>7.6923076923076916</v>
      </c>
      <c r="Q86" s="110">
        <v>1997</v>
      </c>
      <c r="R86" s="104">
        <f t="shared" si="12"/>
        <v>331531</v>
      </c>
      <c r="S86" s="77">
        <v>204256</v>
      </c>
      <c r="T86" s="77">
        <v>61400</v>
      </c>
      <c r="U86" s="77">
        <v>55730</v>
      </c>
      <c r="V86" s="77">
        <v>10145</v>
      </c>
    </row>
    <row r="87" spans="2:27" ht="15" customHeight="1" x14ac:dyDescent="0.25">
      <c r="B87" s="158"/>
      <c r="C87" s="95" t="s">
        <v>45</v>
      </c>
      <c r="D87" s="98">
        <v>0.9</v>
      </c>
      <c r="E87" s="98">
        <v>0.9</v>
      </c>
      <c r="F87" s="98">
        <f t="shared" si="13"/>
        <v>3.6000000000000004E-2</v>
      </c>
      <c r="G87" s="101">
        <f t="shared" si="23"/>
        <v>6.3000000000000014E-2</v>
      </c>
      <c r="H87" s="101">
        <f t="shared" si="14"/>
        <v>7.2000000000000008E-2</v>
      </c>
      <c r="I87" s="101">
        <f t="shared" si="15"/>
        <v>8.1000000000000003E-2</v>
      </c>
      <c r="J87" s="101">
        <f t="shared" si="16"/>
        <v>9.9000000000000019E-2</v>
      </c>
      <c r="K87" s="101">
        <f t="shared" si="17"/>
        <v>0.10800000000000001</v>
      </c>
      <c r="L87" s="101">
        <f t="shared" si="18"/>
        <v>0.11700000000000001</v>
      </c>
      <c r="M87" s="98">
        <f t="shared" si="19"/>
        <v>9.0909090909090899</v>
      </c>
      <c r="N87" s="98">
        <f t="shared" si="20"/>
        <v>8.3333333333333321</v>
      </c>
      <c r="O87" s="98">
        <f t="shared" si="21"/>
        <v>7.6923076923076916</v>
      </c>
      <c r="Q87" s="110">
        <v>1998</v>
      </c>
      <c r="R87" s="104">
        <f t="shared" si="12"/>
        <v>387007</v>
      </c>
      <c r="S87" s="77">
        <v>245469</v>
      </c>
      <c r="T87" s="77">
        <v>68816</v>
      </c>
      <c r="U87" s="77">
        <v>62213</v>
      </c>
      <c r="V87" s="77">
        <v>10509</v>
      </c>
    </row>
    <row r="88" spans="2:27" ht="15" customHeight="1" x14ac:dyDescent="0.25">
      <c r="B88" s="158"/>
      <c r="C88" s="95" t="s">
        <v>46</v>
      </c>
      <c r="D88" s="98">
        <v>0.9</v>
      </c>
      <c r="E88" s="98">
        <v>0.9</v>
      </c>
      <c r="F88" s="98">
        <f t="shared" si="13"/>
        <v>3.6000000000000004E-2</v>
      </c>
      <c r="G88" s="101">
        <f t="shared" si="23"/>
        <v>6.3000000000000014E-2</v>
      </c>
      <c r="H88" s="101">
        <f t="shared" si="14"/>
        <v>7.2000000000000008E-2</v>
      </c>
      <c r="I88" s="101">
        <f t="shared" si="15"/>
        <v>8.1000000000000003E-2</v>
      </c>
      <c r="J88" s="101">
        <f t="shared" si="16"/>
        <v>9.9000000000000019E-2</v>
      </c>
      <c r="K88" s="101">
        <f t="shared" si="17"/>
        <v>0.10800000000000001</v>
      </c>
      <c r="L88" s="101">
        <f t="shared" si="18"/>
        <v>0.11700000000000001</v>
      </c>
      <c r="M88" s="98">
        <f t="shared" si="19"/>
        <v>9.0909090909090899</v>
      </c>
      <c r="N88" s="98">
        <f t="shared" si="20"/>
        <v>8.3333333333333321</v>
      </c>
      <c r="O88" s="98">
        <f t="shared" si="21"/>
        <v>7.6923076923076916</v>
      </c>
      <c r="Q88" s="110">
        <v>1999</v>
      </c>
      <c r="R88" s="104">
        <f t="shared" si="12"/>
        <v>475114</v>
      </c>
      <c r="S88" s="77">
        <v>309809</v>
      </c>
      <c r="T88" s="77">
        <v>82934</v>
      </c>
      <c r="U88" s="77">
        <v>71136</v>
      </c>
      <c r="V88" s="77">
        <v>11235</v>
      </c>
    </row>
    <row r="89" spans="2:27" ht="15" customHeight="1" x14ac:dyDescent="0.25">
      <c r="B89" s="158"/>
      <c r="C89" s="95" t="s">
        <v>47</v>
      </c>
      <c r="D89" s="98">
        <v>0.9</v>
      </c>
      <c r="E89" s="98">
        <v>0.9</v>
      </c>
      <c r="F89" s="98">
        <f t="shared" si="13"/>
        <v>3.6000000000000004E-2</v>
      </c>
      <c r="G89" s="101">
        <f t="shared" si="23"/>
        <v>6.3000000000000014E-2</v>
      </c>
      <c r="H89" s="101">
        <f t="shared" si="14"/>
        <v>7.2000000000000008E-2</v>
      </c>
      <c r="I89" s="101">
        <f t="shared" si="15"/>
        <v>8.1000000000000003E-2</v>
      </c>
      <c r="J89" s="101">
        <f t="shared" si="16"/>
        <v>9.9000000000000019E-2</v>
      </c>
      <c r="K89" s="101">
        <f t="shared" si="17"/>
        <v>0.10800000000000001</v>
      </c>
      <c r="L89" s="101">
        <f t="shared" si="18"/>
        <v>0.11700000000000001</v>
      </c>
      <c r="M89" s="98">
        <f t="shared" si="19"/>
        <v>9.0909090909090899</v>
      </c>
      <c r="N89" s="98">
        <f t="shared" si="20"/>
        <v>8.3333333333333321</v>
      </c>
      <c r="O89" s="98">
        <f t="shared" si="21"/>
        <v>7.6923076923076916</v>
      </c>
      <c r="Q89" s="110">
        <v>2000</v>
      </c>
      <c r="R89" s="104">
        <f t="shared" si="12"/>
        <v>512514</v>
      </c>
      <c r="S89" s="77">
        <v>332428</v>
      </c>
      <c r="T89" s="77">
        <v>92597</v>
      </c>
      <c r="U89" s="77">
        <v>76002</v>
      </c>
      <c r="V89" s="77">
        <v>11487</v>
      </c>
    </row>
    <row r="90" spans="2:27" ht="15" customHeight="1" x14ac:dyDescent="0.25">
      <c r="B90" s="159"/>
      <c r="C90" s="96" t="s">
        <v>48</v>
      </c>
      <c r="D90" s="99">
        <v>0.9</v>
      </c>
      <c r="E90" s="99">
        <v>0.9</v>
      </c>
      <c r="F90" s="99">
        <f t="shared" si="13"/>
        <v>3.6000000000000004E-2</v>
      </c>
      <c r="G90" s="102">
        <f t="shared" si="23"/>
        <v>6.3000000000000014E-2</v>
      </c>
      <c r="H90" s="102">
        <f t="shared" si="14"/>
        <v>7.2000000000000008E-2</v>
      </c>
      <c r="I90" s="102">
        <f t="shared" si="15"/>
        <v>8.1000000000000003E-2</v>
      </c>
      <c r="J90" s="102">
        <f t="shared" si="16"/>
        <v>9.9000000000000019E-2</v>
      </c>
      <c r="K90" s="102">
        <f t="shared" si="17"/>
        <v>0.10800000000000001</v>
      </c>
      <c r="L90" s="102">
        <f t="shared" si="18"/>
        <v>0.11700000000000001</v>
      </c>
      <c r="M90" s="99">
        <f t="shared" si="19"/>
        <v>9.0909090909090899</v>
      </c>
      <c r="N90" s="99">
        <f t="shared" si="20"/>
        <v>8.3333333333333321</v>
      </c>
      <c r="O90" s="99">
        <f t="shared" si="21"/>
        <v>7.6923076923076916</v>
      </c>
      <c r="Q90" s="110">
        <v>2001</v>
      </c>
      <c r="R90" s="104">
        <f t="shared" si="12"/>
        <v>536348</v>
      </c>
      <c r="S90" s="77">
        <v>348319</v>
      </c>
      <c r="T90" s="77">
        <v>97924</v>
      </c>
      <c r="U90" s="77">
        <v>78479</v>
      </c>
      <c r="V90" s="77">
        <v>11626</v>
      </c>
    </row>
    <row r="91" spans="2:27" ht="15" customHeight="1" x14ac:dyDescent="0.25">
      <c r="B91" s="157">
        <v>1981</v>
      </c>
      <c r="C91" s="94" t="s">
        <v>36</v>
      </c>
      <c r="D91" s="97">
        <v>0.9</v>
      </c>
      <c r="E91" s="97">
        <v>0.9</v>
      </c>
      <c r="F91" s="97">
        <f t="shared" si="13"/>
        <v>3.6000000000000004E-2</v>
      </c>
      <c r="G91" s="100">
        <f t="shared" si="23"/>
        <v>6.3000000000000014E-2</v>
      </c>
      <c r="H91" s="100">
        <f t="shared" si="14"/>
        <v>7.2000000000000008E-2</v>
      </c>
      <c r="I91" s="100">
        <f t="shared" si="15"/>
        <v>8.1000000000000003E-2</v>
      </c>
      <c r="J91" s="100">
        <f t="shared" si="16"/>
        <v>9.9000000000000019E-2</v>
      </c>
      <c r="K91" s="100">
        <f t="shared" si="17"/>
        <v>0.10800000000000001</v>
      </c>
      <c r="L91" s="100">
        <f t="shared" si="18"/>
        <v>0.11700000000000001</v>
      </c>
      <c r="M91" s="97">
        <f t="shared" si="19"/>
        <v>9.0909090909090899</v>
      </c>
      <c r="N91" s="97">
        <f t="shared" si="20"/>
        <v>8.3333333333333321</v>
      </c>
      <c r="O91" s="97">
        <f t="shared" si="21"/>
        <v>7.6923076923076916</v>
      </c>
      <c r="Q91" s="110">
        <v>2002</v>
      </c>
      <c r="R91" s="104">
        <f t="shared" si="12"/>
        <v>538840</v>
      </c>
      <c r="S91" s="77">
        <v>352148</v>
      </c>
      <c r="T91" s="77">
        <v>96973</v>
      </c>
      <c r="U91" s="77">
        <v>78224</v>
      </c>
      <c r="V91" s="77">
        <v>11495</v>
      </c>
    </row>
    <row r="92" spans="2:27" ht="15" customHeight="1" x14ac:dyDescent="0.25">
      <c r="B92" s="158"/>
      <c r="C92" s="95" t="s">
        <v>38</v>
      </c>
      <c r="D92" s="98">
        <v>0.9</v>
      </c>
      <c r="E92" s="98">
        <v>0.9</v>
      </c>
      <c r="F92" s="98">
        <f t="shared" si="13"/>
        <v>3.6000000000000004E-2</v>
      </c>
      <c r="G92" s="101">
        <f t="shared" si="23"/>
        <v>6.3000000000000014E-2</v>
      </c>
      <c r="H92" s="101">
        <f t="shared" si="14"/>
        <v>7.2000000000000008E-2</v>
      </c>
      <c r="I92" s="101">
        <f t="shared" si="15"/>
        <v>8.1000000000000003E-2</v>
      </c>
      <c r="J92" s="101">
        <f t="shared" si="16"/>
        <v>9.9000000000000019E-2</v>
      </c>
      <c r="K92" s="101">
        <f t="shared" si="17"/>
        <v>0.10800000000000001</v>
      </c>
      <c r="L92" s="101">
        <f t="shared" si="18"/>
        <v>0.11700000000000001</v>
      </c>
      <c r="M92" s="98">
        <f t="shared" si="19"/>
        <v>9.0909090909090899</v>
      </c>
      <c r="N92" s="98">
        <f t="shared" si="20"/>
        <v>8.3333333333333321</v>
      </c>
      <c r="O92" s="98">
        <f t="shared" si="21"/>
        <v>7.6923076923076916</v>
      </c>
      <c r="Q92" s="110">
        <v>2003</v>
      </c>
      <c r="R92" s="104">
        <f t="shared" si="12"/>
        <v>626795</v>
      </c>
      <c r="S92" s="77">
        <v>423122</v>
      </c>
      <c r="T92" s="77">
        <v>105155</v>
      </c>
      <c r="U92" s="77">
        <v>86648</v>
      </c>
      <c r="V92" s="77">
        <v>11870</v>
      </c>
    </row>
    <row r="93" spans="2:27" ht="15" customHeight="1" x14ac:dyDescent="0.25">
      <c r="B93" s="158"/>
      <c r="C93" s="95" t="s">
        <v>39</v>
      </c>
      <c r="D93" s="98">
        <v>0.9</v>
      </c>
      <c r="E93" s="98">
        <v>0.9</v>
      </c>
      <c r="F93" s="98">
        <f t="shared" si="13"/>
        <v>3.6000000000000004E-2</v>
      </c>
      <c r="G93" s="101">
        <f t="shared" si="23"/>
        <v>6.3000000000000014E-2</v>
      </c>
      <c r="H93" s="101">
        <f t="shared" si="14"/>
        <v>7.2000000000000008E-2</v>
      </c>
      <c r="I93" s="101">
        <f t="shared" si="15"/>
        <v>8.1000000000000003E-2</v>
      </c>
      <c r="J93" s="101">
        <f t="shared" si="16"/>
        <v>9.9000000000000019E-2</v>
      </c>
      <c r="K93" s="101">
        <f t="shared" si="17"/>
        <v>0.10800000000000001</v>
      </c>
      <c r="L93" s="101">
        <f t="shared" si="18"/>
        <v>0.11700000000000001</v>
      </c>
      <c r="M93" s="98">
        <f t="shared" si="19"/>
        <v>9.0909090909090899</v>
      </c>
      <c r="N93" s="98">
        <f t="shared" si="20"/>
        <v>8.3333333333333321</v>
      </c>
      <c r="O93" s="98">
        <f t="shared" si="21"/>
        <v>7.6923076923076916</v>
      </c>
      <c r="Q93" s="110">
        <v>2004</v>
      </c>
      <c r="R93" s="104" t="s">
        <v>37</v>
      </c>
      <c r="S93" s="104" t="s">
        <v>37</v>
      </c>
      <c r="T93" s="104" t="s">
        <v>37</v>
      </c>
      <c r="U93" s="104" t="s">
        <v>37</v>
      </c>
      <c r="V93" s="104" t="s">
        <v>37</v>
      </c>
    </row>
    <row r="94" spans="2:27" ht="15" customHeight="1" x14ac:dyDescent="0.25">
      <c r="B94" s="158"/>
      <c r="C94" s="95" t="s">
        <v>40</v>
      </c>
      <c r="D94" s="98">
        <v>0.9</v>
      </c>
      <c r="E94" s="98">
        <v>0.9</v>
      </c>
      <c r="F94" s="98">
        <f t="shared" si="13"/>
        <v>3.6000000000000004E-2</v>
      </c>
      <c r="G94" s="101">
        <f t="shared" si="23"/>
        <v>6.3000000000000014E-2</v>
      </c>
      <c r="H94" s="101">
        <f t="shared" si="14"/>
        <v>7.2000000000000008E-2</v>
      </c>
      <c r="I94" s="101">
        <f t="shared" si="15"/>
        <v>8.1000000000000003E-2</v>
      </c>
      <c r="J94" s="101">
        <f t="shared" si="16"/>
        <v>9.9000000000000019E-2</v>
      </c>
      <c r="K94" s="101">
        <f t="shared" si="17"/>
        <v>0.10800000000000001</v>
      </c>
      <c r="L94" s="101">
        <f t="shared" si="18"/>
        <v>0.11700000000000001</v>
      </c>
      <c r="M94" s="98">
        <f t="shared" si="19"/>
        <v>9.0909090909090899</v>
      </c>
      <c r="N94" s="98">
        <f t="shared" si="20"/>
        <v>8.3333333333333321</v>
      </c>
      <c r="O94" s="98">
        <f t="shared" si="21"/>
        <v>7.6923076923076916</v>
      </c>
      <c r="Q94" s="110">
        <v>2005</v>
      </c>
      <c r="R94" s="104" t="s">
        <v>37</v>
      </c>
      <c r="S94" s="104" t="s">
        <v>37</v>
      </c>
      <c r="T94" s="104" t="s">
        <v>37</v>
      </c>
      <c r="U94" s="104" t="s">
        <v>37</v>
      </c>
      <c r="V94" s="104" t="s">
        <v>37</v>
      </c>
    </row>
    <row r="95" spans="2:27" ht="15" customHeight="1" x14ac:dyDescent="0.25">
      <c r="B95" s="158"/>
      <c r="C95" s="95" t="s">
        <v>41</v>
      </c>
      <c r="D95" s="98">
        <v>0.9</v>
      </c>
      <c r="E95" s="98">
        <v>0.9</v>
      </c>
      <c r="F95" s="98">
        <f t="shared" si="13"/>
        <v>3.6000000000000004E-2</v>
      </c>
      <c r="G95" s="101">
        <f t="shared" si="23"/>
        <v>6.3000000000000014E-2</v>
      </c>
      <c r="H95" s="101">
        <f t="shared" si="14"/>
        <v>7.2000000000000008E-2</v>
      </c>
      <c r="I95" s="101">
        <f t="shared" si="15"/>
        <v>8.1000000000000003E-2</v>
      </c>
      <c r="J95" s="101">
        <f t="shared" si="16"/>
        <v>9.9000000000000019E-2</v>
      </c>
      <c r="K95" s="101">
        <f t="shared" si="17"/>
        <v>0.10800000000000001</v>
      </c>
      <c r="L95" s="101">
        <f t="shared" si="18"/>
        <v>0.11700000000000001</v>
      </c>
      <c r="M95" s="98">
        <f t="shared" si="19"/>
        <v>9.0909090909090899</v>
      </c>
      <c r="N95" s="98">
        <f t="shared" si="20"/>
        <v>8.3333333333333321</v>
      </c>
      <c r="O95" s="98">
        <f t="shared" si="21"/>
        <v>7.6923076923076916</v>
      </c>
      <c r="Q95" s="110">
        <v>2006</v>
      </c>
      <c r="R95" s="104" t="s">
        <v>37</v>
      </c>
      <c r="S95" s="104" t="s">
        <v>37</v>
      </c>
      <c r="T95" s="104" t="s">
        <v>37</v>
      </c>
      <c r="U95" s="104" t="s">
        <v>37</v>
      </c>
      <c r="V95" s="104" t="s">
        <v>37</v>
      </c>
    </row>
    <row r="96" spans="2:27" ht="15" customHeight="1" x14ac:dyDescent="0.25">
      <c r="B96" s="158"/>
      <c r="C96" s="95" t="s">
        <v>42</v>
      </c>
      <c r="D96" s="98">
        <v>0.9</v>
      </c>
      <c r="E96" s="98">
        <v>0.9</v>
      </c>
      <c r="F96" s="98">
        <f t="shared" si="13"/>
        <v>3.6000000000000004E-2</v>
      </c>
      <c r="G96" s="101">
        <f t="shared" si="23"/>
        <v>6.3000000000000014E-2</v>
      </c>
      <c r="H96" s="101">
        <f t="shared" si="14"/>
        <v>7.2000000000000008E-2</v>
      </c>
      <c r="I96" s="101">
        <f t="shared" si="15"/>
        <v>8.1000000000000003E-2</v>
      </c>
      <c r="J96" s="101">
        <f t="shared" si="16"/>
        <v>9.9000000000000019E-2</v>
      </c>
      <c r="K96" s="101">
        <f t="shared" si="17"/>
        <v>0.10800000000000001</v>
      </c>
      <c r="L96" s="101">
        <f t="shared" si="18"/>
        <v>0.11700000000000001</v>
      </c>
      <c r="M96" s="98">
        <f t="shared" si="19"/>
        <v>9.0909090909090899</v>
      </c>
      <c r="N96" s="98">
        <f t="shared" si="20"/>
        <v>8.3333333333333321</v>
      </c>
      <c r="O96" s="98">
        <f t="shared" si="21"/>
        <v>7.6923076923076916</v>
      </c>
      <c r="Q96" s="110">
        <v>2007</v>
      </c>
      <c r="R96" s="104" t="s">
        <v>37</v>
      </c>
      <c r="S96" s="104" t="s">
        <v>37</v>
      </c>
      <c r="T96" s="104" t="s">
        <v>37</v>
      </c>
      <c r="U96" s="104" t="s">
        <v>37</v>
      </c>
      <c r="V96" s="104" t="s">
        <v>37</v>
      </c>
    </row>
    <row r="97" spans="2:22" ht="15" customHeight="1" x14ac:dyDescent="0.25">
      <c r="B97" s="158"/>
      <c r="C97" s="95" t="s">
        <v>43</v>
      </c>
      <c r="D97" s="98">
        <v>0.9</v>
      </c>
      <c r="E97" s="98">
        <v>0.9</v>
      </c>
      <c r="F97" s="98">
        <f t="shared" si="13"/>
        <v>3.6000000000000004E-2</v>
      </c>
      <c r="G97" s="101">
        <f t="shared" si="23"/>
        <v>6.3000000000000014E-2</v>
      </c>
      <c r="H97" s="101">
        <f t="shared" si="14"/>
        <v>7.2000000000000008E-2</v>
      </c>
      <c r="I97" s="101">
        <f t="shared" si="15"/>
        <v>8.1000000000000003E-2</v>
      </c>
      <c r="J97" s="101">
        <f t="shared" si="16"/>
        <v>9.9000000000000019E-2</v>
      </c>
      <c r="K97" s="101">
        <f t="shared" si="17"/>
        <v>0.10800000000000001</v>
      </c>
      <c r="L97" s="101">
        <f t="shared" si="18"/>
        <v>0.11700000000000001</v>
      </c>
      <c r="M97" s="98">
        <f t="shared" si="19"/>
        <v>9.0909090909090899</v>
      </c>
      <c r="N97" s="98">
        <f t="shared" si="20"/>
        <v>8.3333333333333321</v>
      </c>
      <c r="O97" s="98">
        <f t="shared" si="21"/>
        <v>7.6923076923076916</v>
      </c>
      <c r="Q97" s="110">
        <v>2008</v>
      </c>
      <c r="R97" s="104" t="s">
        <v>37</v>
      </c>
      <c r="S97" s="104" t="s">
        <v>37</v>
      </c>
      <c r="T97" s="104" t="s">
        <v>37</v>
      </c>
      <c r="U97" s="104" t="s">
        <v>37</v>
      </c>
      <c r="V97" s="104" t="s">
        <v>37</v>
      </c>
    </row>
    <row r="98" spans="2:22" ht="15" customHeight="1" x14ac:dyDescent="0.25">
      <c r="B98" s="158"/>
      <c r="C98" s="95" t="s">
        <v>44</v>
      </c>
      <c r="D98" s="98">
        <v>0.9</v>
      </c>
      <c r="E98" s="98">
        <v>0.9</v>
      </c>
      <c r="F98" s="98">
        <f t="shared" si="13"/>
        <v>3.6000000000000004E-2</v>
      </c>
      <c r="G98" s="101">
        <f t="shared" si="23"/>
        <v>6.3000000000000014E-2</v>
      </c>
      <c r="H98" s="101">
        <f t="shared" si="14"/>
        <v>7.2000000000000008E-2</v>
      </c>
      <c r="I98" s="101">
        <f t="shared" si="15"/>
        <v>8.1000000000000003E-2</v>
      </c>
      <c r="J98" s="101">
        <f t="shared" si="16"/>
        <v>9.9000000000000019E-2</v>
      </c>
      <c r="K98" s="101">
        <f t="shared" si="17"/>
        <v>0.10800000000000001</v>
      </c>
      <c r="L98" s="101">
        <f t="shared" si="18"/>
        <v>0.11700000000000001</v>
      </c>
      <c r="M98" s="98">
        <f t="shared" si="19"/>
        <v>9.0909090909090899</v>
      </c>
      <c r="N98" s="98">
        <f t="shared" si="20"/>
        <v>8.3333333333333321</v>
      </c>
      <c r="O98" s="98">
        <f t="shared" si="21"/>
        <v>7.6923076923076916</v>
      </c>
      <c r="Q98" s="110">
        <v>2009</v>
      </c>
      <c r="R98" s="104" t="s">
        <v>37</v>
      </c>
      <c r="S98" s="104" t="s">
        <v>37</v>
      </c>
      <c r="T98" s="104" t="s">
        <v>37</v>
      </c>
      <c r="U98" s="104" t="s">
        <v>37</v>
      </c>
      <c r="V98" s="104" t="s">
        <v>37</v>
      </c>
    </row>
    <row r="99" spans="2:22" ht="15" customHeight="1" x14ac:dyDescent="0.25">
      <c r="B99" s="158"/>
      <c r="C99" s="95" t="s">
        <v>45</v>
      </c>
      <c r="D99" s="98">
        <v>0.9</v>
      </c>
      <c r="E99" s="98">
        <v>0.9</v>
      </c>
      <c r="F99" s="98">
        <f t="shared" si="13"/>
        <v>3.6000000000000004E-2</v>
      </c>
      <c r="G99" s="101">
        <f t="shared" si="23"/>
        <v>6.3000000000000014E-2</v>
      </c>
      <c r="H99" s="101">
        <f t="shared" si="14"/>
        <v>7.2000000000000008E-2</v>
      </c>
      <c r="I99" s="101">
        <f t="shared" si="15"/>
        <v>8.1000000000000003E-2</v>
      </c>
      <c r="J99" s="101">
        <f t="shared" si="16"/>
        <v>9.9000000000000019E-2</v>
      </c>
      <c r="K99" s="101">
        <f t="shared" si="17"/>
        <v>0.10800000000000001</v>
      </c>
      <c r="L99" s="101">
        <f t="shared" si="18"/>
        <v>0.11700000000000001</v>
      </c>
      <c r="M99" s="98">
        <f t="shared" si="19"/>
        <v>9.0909090909090899</v>
      </c>
      <c r="N99" s="98">
        <f t="shared" si="20"/>
        <v>8.3333333333333321</v>
      </c>
      <c r="O99" s="98">
        <f t="shared" si="21"/>
        <v>7.6923076923076916</v>
      </c>
      <c r="Q99" s="110">
        <v>2010</v>
      </c>
      <c r="R99" s="104" t="s">
        <v>37</v>
      </c>
      <c r="S99" s="104" t="s">
        <v>37</v>
      </c>
      <c r="T99" s="104" t="s">
        <v>37</v>
      </c>
      <c r="U99" s="104" t="s">
        <v>37</v>
      </c>
      <c r="V99" s="104" t="s">
        <v>37</v>
      </c>
    </row>
    <row r="100" spans="2:22" ht="15" customHeight="1" x14ac:dyDescent="0.25">
      <c r="B100" s="158"/>
      <c r="C100" s="95" t="s">
        <v>46</v>
      </c>
      <c r="D100" s="98">
        <v>0.9</v>
      </c>
      <c r="E100" s="98">
        <v>0.9</v>
      </c>
      <c r="F100" s="98">
        <f t="shared" si="13"/>
        <v>3.6000000000000004E-2</v>
      </c>
      <c r="G100" s="101">
        <f t="shared" si="23"/>
        <v>6.3000000000000014E-2</v>
      </c>
      <c r="H100" s="101">
        <f t="shared" si="14"/>
        <v>7.2000000000000008E-2</v>
      </c>
      <c r="I100" s="101">
        <f t="shared" si="15"/>
        <v>8.1000000000000003E-2</v>
      </c>
      <c r="J100" s="101">
        <f t="shared" si="16"/>
        <v>9.9000000000000019E-2</v>
      </c>
      <c r="K100" s="101">
        <f t="shared" si="17"/>
        <v>0.10800000000000001</v>
      </c>
      <c r="L100" s="101">
        <f t="shared" si="18"/>
        <v>0.11700000000000001</v>
      </c>
      <c r="M100" s="98">
        <f t="shared" si="19"/>
        <v>9.0909090909090899</v>
      </c>
      <c r="N100" s="98">
        <f t="shared" si="20"/>
        <v>8.3333333333333321</v>
      </c>
      <c r="O100" s="98">
        <f t="shared" si="21"/>
        <v>7.6923076923076916</v>
      </c>
      <c r="Q100" s="110">
        <v>2011</v>
      </c>
      <c r="R100" s="104" t="s">
        <v>37</v>
      </c>
      <c r="S100" s="104" t="s">
        <v>37</v>
      </c>
      <c r="T100" s="104" t="s">
        <v>37</v>
      </c>
      <c r="U100" s="104" t="s">
        <v>37</v>
      </c>
      <c r="V100" s="104" t="s">
        <v>37</v>
      </c>
    </row>
    <row r="101" spans="2:22" ht="15" customHeight="1" x14ac:dyDescent="0.25">
      <c r="B101" s="158"/>
      <c r="C101" s="95" t="s">
        <v>47</v>
      </c>
      <c r="D101" s="98">
        <v>0.9</v>
      </c>
      <c r="E101" s="98">
        <v>0.9</v>
      </c>
      <c r="F101" s="98">
        <f t="shared" si="13"/>
        <v>3.6000000000000004E-2</v>
      </c>
      <c r="G101" s="101">
        <f t="shared" si="23"/>
        <v>6.3000000000000014E-2</v>
      </c>
      <c r="H101" s="101">
        <f t="shared" si="14"/>
        <v>7.2000000000000008E-2</v>
      </c>
      <c r="I101" s="101">
        <f t="shared" si="15"/>
        <v>8.1000000000000003E-2</v>
      </c>
      <c r="J101" s="101">
        <f t="shared" si="16"/>
        <v>9.9000000000000019E-2</v>
      </c>
      <c r="K101" s="101">
        <f t="shared" si="17"/>
        <v>0.10800000000000001</v>
      </c>
      <c r="L101" s="101">
        <f t="shared" si="18"/>
        <v>0.11700000000000001</v>
      </c>
      <c r="M101" s="98">
        <f t="shared" si="19"/>
        <v>9.0909090909090899</v>
      </c>
      <c r="N101" s="98">
        <f t="shared" si="20"/>
        <v>8.3333333333333321</v>
      </c>
      <c r="O101" s="98">
        <f t="shared" si="21"/>
        <v>7.6923076923076916</v>
      </c>
      <c r="Q101" s="110">
        <v>2012</v>
      </c>
      <c r="R101" s="104" t="s">
        <v>37</v>
      </c>
      <c r="S101" s="104" t="s">
        <v>37</v>
      </c>
      <c r="T101" s="104" t="s">
        <v>37</v>
      </c>
      <c r="U101" s="104" t="s">
        <v>37</v>
      </c>
      <c r="V101" s="104" t="s">
        <v>37</v>
      </c>
    </row>
    <row r="102" spans="2:22" ht="15" customHeight="1" x14ac:dyDescent="0.25">
      <c r="B102" s="159"/>
      <c r="C102" s="96" t="s">
        <v>48</v>
      </c>
      <c r="D102" s="99">
        <v>0.9</v>
      </c>
      <c r="E102" s="99">
        <v>0.9</v>
      </c>
      <c r="F102" s="99">
        <f t="shared" si="13"/>
        <v>3.6000000000000004E-2</v>
      </c>
      <c r="G102" s="102">
        <f t="shared" si="23"/>
        <v>6.3000000000000014E-2</v>
      </c>
      <c r="H102" s="102">
        <f t="shared" si="14"/>
        <v>7.2000000000000008E-2</v>
      </c>
      <c r="I102" s="102">
        <f t="shared" si="15"/>
        <v>8.1000000000000003E-2</v>
      </c>
      <c r="J102" s="102">
        <f t="shared" si="16"/>
        <v>9.9000000000000019E-2</v>
      </c>
      <c r="K102" s="102">
        <f t="shared" si="17"/>
        <v>0.10800000000000001</v>
      </c>
      <c r="L102" s="102">
        <f t="shared" si="18"/>
        <v>0.11700000000000001</v>
      </c>
      <c r="M102" s="99">
        <f t="shared" si="19"/>
        <v>9.0909090909090899</v>
      </c>
      <c r="N102" s="99">
        <f t="shared" si="20"/>
        <v>8.3333333333333321</v>
      </c>
      <c r="O102" s="99">
        <f t="shared" si="21"/>
        <v>7.6923076923076916</v>
      </c>
      <c r="Q102" s="110">
        <v>2013</v>
      </c>
      <c r="R102" s="104">
        <v>2517401</v>
      </c>
      <c r="S102" s="77">
        <v>1243565</v>
      </c>
      <c r="T102" s="77">
        <v>233511</v>
      </c>
      <c r="U102" s="77">
        <v>204290</v>
      </c>
      <c r="V102" s="77">
        <v>13299</v>
      </c>
    </row>
    <row r="103" spans="2:22" ht="15" customHeight="1" x14ac:dyDescent="0.25">
      <c r="B103" s="157">
        <v>1982</v>
      </c>
      <c r="C103" s="94" t="s">
        <v>36</v>
      </c>
      <c r="D103" s="97">
        <v>0.9</v>
      </c>
      <c r="E103" s="97">
        <v>0.9</v>
      </c>
      <c r="F103" s="97">
        <f t="shared" si="13"/>
        <v>3.6000000000000004E-2</v>
      </c>
      <c r="G103" s="100">
        <f t="shared" si="23"/>
        <v>6.3000000000000014E-2</v>
      </c>
      <c r="H103" s="100">
        <f t="shared" si="14"/>
        <v>7.2000000000000008E-2</v>
      </c>
      <c r="I103" s="100">
        <f t="shared" si="15"/>
        <v>8.1000000000000003E-2</v>
      </c>
      <c r="J103" s="100">
        <f t="shared" si="16"/>
        <v>9.9000000000000019E-2</v>
      </c>
      <c r="K103" s="100">
        <f t="shared" si="17"/>
        <v>0.10800000000000001</v>
      </c>
      <c r="L103" s="100">
        <f t="shared" si="18"/>
        <v>0.11700000000000001</v>
      </c>
      <c r="M103" s="97">
        <f t="shared" si="19"/>
        <v>9.0909090909090899</v>
      </c>
      <c r="N103" s="97">
        <f t="shared" si="20"/>
        <v>8.3333333333333321</v>
      </c>
      <c r="O103" s="97">
        <f t="shared" si="21"/>
        <v>7.6923076923076916</v>
      </c>
      <c r="Q103" s="110">
        <v>2014</v>
      </c>
      <c r="R103" s="104">
        <v>2575074</v>
      </c>
      <c r="S103" s="77">
        <v>1314228</v>
      </c>
      <c r="T103" s="77">
        <v>248178</v>
      </c>
      <c r="U103" s="77">
        <v>207237</v>
      </c>
      <c r="V103" s="77">
        <v>12766</v>
      </c>
    </row>
    <row r="104" spans="2:22" ht="15" customHeight="1" x14ac:dyDescent="0.25">
      <c r="B104" s="158"/>
      <c r="C104" s="95" t="s">
        <v>38</v>
      </c>
      <c r="D104" s="98">
        <v>0.9</v>
      </c>
      <c r="E104" s="98">
        <v>0.9</v>
      </c>
      <c r="F104" s="98">
        <f t="shared" si="13"/>
        <v>3.6000000000000004E-2</v>
      </c>
      <c r="G104" s="101">
        <f t="shared" si="23"/>
        <v>6.3000000000000014E-2</v>
      </c>
      <c r="H104" s="101">
        <f t="shared" si="14"/>
        <v>7.2000000000000008E-2</v>
      </c>
      <c r="I104" s="101">
        <f t="shared" si="15"/>
        <v>8.1000000000000003E-2</v>
      </c>
      <c r="J104" s="101">
        <f t="shared" si="16"/>
        <v>9.9000000000000019E-2</v>
      </c>
      <c r="K104" s="101">
        <f t="shared" si="17"/>
        <v>0.10800000000000001</v>
      </c>
      <c r="L104" s="101">
        <f t="shared" si="18"/>
        <v>0.11700000000000001</v>
      </c>
      <c r="M104" s="98">
        <f t="shared" si="19"/>
        <v>9.0909090909090899</v>
      </c>
      <c r="N104" s="98">
        <f t="shared" si="20"/>
        <v>8.3333333333333321</v>
      </c>
      <c r="O104" s="98">
        <f t="shared" si="21"/>
        <v>7.6923076923076916</v>
      </c>
      <c r="Q104" s="111">
        <v>2015</v>
      </c>
      <c r="R104" s="107">
        <v>2855731</v>
      </c>
      <c r="S104" s="82">
        <v>1568085</v>
      </c>
      <c r="T104" s="82">
        <v>270455</v>
      </c>
      <c r="U104" s="82">
        <v>214420</v>
      </c>
      <c r="V104" s="82">
        <v>13045</v>
      </c>
    </row>
    <row r="105" spans="2:22" ht="15" customHeight="1" x14ac:dyDescent="0.25">
      <c r="B105" s="158"/>
      <c r="C105" s="95" t="s">
        <v>39</v>
      </c>
      <c r="D105" s="98">
        <v>0.9</v>
      </c>
      <c r="E105" s="98">
        <v>0.9</v>
      </c>
      <c r="F105" s="98">
        <f t="shared" si="13"/>
        <v>3.6000000000000004E-2</v>
      </c>
      <c r="G105" s="101">
        <f t="shared" si="23"/>
        <v>6.3000000000000014E-2</v>
      </c>
      <c r="H105" s="101">
        <f t="shared" si="14"/>
        <v>7.2000000000000008E-2</v>
      </c>
      <c r="I105" s="101">
        <f t="shared" si="15"/>
        <v>8.1000000000000003E-2</v>
      </c>
      <c r="J105" s="101">
        <f t="shared" si="16"/>
        <v>9.9000000000000019E-2</v>
      </c>
      <c r="K105" s="101">
        <f t="shared" si="17"/>
        <v>0.10800000000000001</v>
      </c>
      <c r="L105" s="101">
        <f t="shared" si="18"/>
        <v>0.11700000000000001</v>
      </c>
      <c r="M105" s="98">
        <f t="shared" si="19"/>
        <v>9.0909090909090899</v>
      </c>
      <c r="N105" s="98">
        <f t="shared" si="20"/>
        <v>8.3333333333333321</v>
      </c>
      <c r="O105" s="98">
        <f t="shared" si="21"/>
        <v>7.6923076923076916</v>
      </c>
      <c r="Q105" s="111">
        <v>2016</v>
      </c>
      <c r="R105" s="107">
        <v>2967920</v>
      </c>
      <c r="S105" s="82">
        <v>1669952</v>
      </c>
      <c r="T105" s="82">
        <v>287157</v>
      </c>
      <c r="U105" s="82">
        <v>234663</v>
      </c>
      <c r="V105" s="82">
        <v>13521</v>
      </c>
    </row>
    <row r="106" spans="2:22" ht="15" customHeight="1" thickBot="1" x14ac:dyDescent="0.3">
      <c r="B106" s="158"/>
      <c r="C106" s="95" t="s">
        <v>40</v>
      </c>
      <c r="D106" s="98">
        <v>0.9</v>
      </c>
      <c r="E106" s="98">
        <v>0.9</v>
      </c>
      <c r="F106" s="98">
        <f t="shared" si="13"/>
        <v>3.6000000000000004E-2</v>
      </c>
      <c r="G106" s="101">
        <f t="shared" si="23"/>
        <v>6.3000000000000014E-2</v>
      </c>
      <c r="H106" s="101">
        <f t="shared" si="14"/>
        <v>7.2000000000000008E-2</v>
      </c>
      <c r="I106" s="101">
        <f t="shared" si="15"/>
        <v>8.1000000000000003E-2</v>
      </c>
      <c r="J106" s="101">
        <f t="shared" si="16"/>
        <v>9.9000000000000019E-2</v>
      </c>
      <c r="K106" s="101">
        <f t="shared" si="17"/>
        <v>0.10800000000000001</v>
      </c>
      <c r="L106" s="101">
        <f t="shared" si="18"/>
        <v>0.11700000000000001</v>
      </c>
      <c r="M106" s="98">
        <f t="shared" si="19"/>
        <v>9.0909090909090899</v>
      </c>
      <c r="N106" s="98">
        <f t="shared" si="20"/>
        <v>8.3333333333333321</v>
      </c>
      <c r="O106" s="98">
        <f t="shared" si="21"/>
        <v>7.6923076923076916</v>
      </c>
      <c r="Q106" s="112">
        <v>2017</v>
      </c>
      <c r="R106" s="109">
        <v>3566281</v>
      </c>
      <c r="S106" s="83">
        <v>2255745</v>
      </c>
      <c r="T106" s="83">
        <v>314929</v>
      </c>
      <c r="U106" s="83">
        <v>262859</v>
      </c>
      <c r="V106" s="83">
        <v>13637</v>
      </c>
    </row>
    <row r="107" spans="2:22" ht="15" customHeight="1" thickTop="1" x14ac:dyDescent="0.25">
      <c r="B107" s="158"/>
      <c r="C107" s="95" t="s">
        <v>41</v>
      </c>
      <c r="D107" s="98">
        <v>0.9</v>
      </c>
      <c r="E107" s="98">
        <v>0.9</v>
      </c>
      <c r="F107" s="98">
        <f t="shared" si="13"/>
        <v>3.6000000000000004E-2</v>
      </c>
      <c r="G107" s="101">
        <f t="shared" si="23"/>
        <v>6.3000000000000014E-2</v>
      </c>
      <c r="H107" s="101">
        <f t="shared" si="14"/>
        <v>7.2000000000000008E-2</v>
      </c>
      <c r="I107" s="101">
        <f t="shared" si="15"/>
        <v>8.1000000000000003E-2</v>
      </c>
      <c r="J107" s="101">
        <f t="shared" si="16"/>
        <v>9.9000000000000019E-2</v>
      </c>
      <c r="K107" s="101">
        <f t="shared" si="17"/>
        <v>0.10800000000000001</v>
      </c>
      <c r="L107" s="101">
        <f t="shared" si="18"/>
        <v>0.11700000000000001</v>
      </c>
      <c r="M107" s="98">
        <f t="shared" si="19"/>
        <v>9.0909090909090899</v>
      </c>
      <c r="N107" s="98">
        <f t="shared" si="20"/>
        <v>8.3333333333333321</v>
      </c>
      <c r="O107" s="98">
        <f t="shared" si="21"/>
        <v>7.6923076923076916</v>
      </c>
    </row>
    <row r="108" spans="2:22" ht="15" customHeight="1" x14ac:dyDescent="0.25">
      <c r="B108" s="158"/>
      <c r="C108" s="95" t="s">
        <v>42</v>
      </c>
      <c r="D108" s="98">
        <v>0.9</v>
      </c>
      <c r="E108" s="98">
        <v>0.9</v>
      </c>
      <c r="F108" s="98">
        <f t="shared" si="13"/>
        <v>3.6000000000000004E-2</v>
      </c>
      <c r="G108" s="101">
        <f t="shared" si="23"/>
        <v>6.3000000000000014E-2</v>
      </c>
      <c r="H108" s="101">
        <f t="shared" si="14"/>
        <v>7.2000000000000008E-2</v>
      </c>
      <c r="I108" s="101">
        <f t="shared" si="15"/>
        <v>8.1000000000000003E-2</v>
      </c>
      <c r="J108" s="101">
        <f t="shared" si="16"/>
        <v>9.9000000000000019E-2</v>
      </c>
      <c r="K108" s="101">
        <f t="shared" si="17"/>
        <v>0.10800000000000001</v>
      </c>
      <c r="L108" s="101">
        <f t="shared" si="18"/>
        <v>0.11700000000000001</v>
      </c>
      <c r="M108" s="98">
        <f t="shared" si="19"/>
        <v>9.0909090909090899</v>
      </c>
      <c r="N108" s="98">
        <f t="shared" si="20"/>
        <v>8.3333333333333321</v>
      </c>
      <c r="O108" s="98">
        <f t="shared" si="21"/>
        <v>7.6923076923076916</v>
      </c>
      <c r="Q108" s="170" t="s">
        <v>76</v>
      </c>
      <c r="R108" s="170"/>
      <c r="S108" s="170"/>
      <c r="T108" s="170"/>
      <c r="U108" s="170"/>
      <c r="V108" s="170"/>
    </row>
    <row r="109" spans="2:22" ht="15" customHeight="1" x14ac:dyDescent="0.25">
      <c r="B109" s="158"/>
      <c r="C109" s="95" t="s">
        <v>43</v>
      </c>
      <c r="D109" s="98">
        <v>0.9</v>
      </c>
      <c r="E109" s="98">
        <v>0.9</v>
      </c>
      <c r="F109" s="98">
        <f t="shared" si="13"/>
        <v>3.6000000000000004E-2</v>
      </c>
      <c r="G109" s="101">
        <f t="shared" si="23"/>
        <v>6.3000000000000014E-2</v>
      </c>
      <c r="H109" s="101">
        <f t="shared" si="14"/>
        <v>7.2000000000000008E-2</v>
      </c>
      <c r="I109" s="101">
        <f t="shared" si="15"/>
        <v>8.1000000000000003E-2</v>
      </c>
      <c r="J109" s="101">
        <f t="shared" si="16"/>
        <v>9.9000000000000019E-2</v>
      </c>
      <c r="K109" s="101">
        <f t="shared" si="17"/>
        <v>0.10800000000000001</v>
      </c>
      <c r="L109" s="101">
        <f t="shared" si="18"/>
        <v>0.11700000000000001</v>
      </c>
      <c r="M109" s="98">
        <f t="shared" si="19"/>
        <v>9.0909090909090899</v>
      </c>
      <c r="N109" s="98">
        <f t="shared" si="20"/>
        <v>8.3333333333333321</v>
      </c>
      <c r="O109" s="98">
        <f t="shared" si="21"/>
        <v>7.6923076923076916</v>
      </c>
      <c r="Q109" s="170"/>
      <c r="R109" s="170"/>
      <c r="S109" s="170"/>
      <c r="T109" s="170"/>
      <c r="U109" s="170"/>
      <c r="V109" s="170"/>
    </row>
    <row r="110" spans="2:22" ht="15" customHeight="1" x14ac:dyDescent="0.25">
      <c r="B110" s="158"/>
      <c r="C110" s="95" t="s">
        <v>44</v>
      </c>
      <c r="D110" s="98">
        <v>0.9</v>
      </c>
      <c r="E110" s="98">
        <v>0.9</v>
      </c>
      <c r="F110" s="98">
        <f t="shared" si="13"/>
        <v>3.6000000000000004E-2</v>
      </c>
      <c r="G110" s="101">
        <f t="shared" si="23"/>
        <v>6.3000000000000014E-2</v>
      </c>
      <c r="H110" s="101">
        <f t="shared" si="14"/>
        <v>7.2000000000000008E-2</v>
      </c>
      <c r="I110" s="101">
        <f t="shared" si="15"/>
        <v>8.1000000000000003E-2</v>
      </c>
      <c r="J110" s="101">
        <f t="shared" si="16"/>
        <v>9.9000000000000019E-2</v>
      </c>
      <c r="K110" s="101">
        <f t="shared" si="17"/>
        <v>0.10800000000000001</v>
      </c>
      <c r="L110" s="101">
        <f t="shared" si="18"/>
        <v>0.11700000000000001</v>
      </c>
      <c r="M110" s="98">
        <f t="shared" si="19"/>
        <v>9.0909090909090899</v>
      </c>
      <c r="N110" s="98">
        <f t="shared" si="20"/>
        <v>8.3333333333333321</v>
      </c>
      <c r="O110" s="98">
        <f t="shared" si="21"/>
        <v>7.6923076923076916</v>
      </c>
      <c r="Q110" s="111"/>
      <c r="R110" s="107"/>
      <c r="S110" s="82"/>
      <c r="T110" s="82"/>
      <c r="U110" s="82"/>
      <c r="V110" s="82"/>
    </row>
    <row r="111" spans="2:22" ht="15" customHeight="1" x14ac:dyDescent="0.25">
      <c r="B111" s="158"/>
      <c r="C111" s="95" t="s">
        <v>45</v>
      </c>
      <c r="D111" s="98">
        <v>0.9</v>
      </c>
      <c r="E111" s="98">
        <v>0.9</v>
      </c>
      <c r="F111" s="98">
        <f t="shared" si="13"/>
        <v>3.6000000000000004E-2</v>
      </c>
      <c r="G111" s="101">
        <f t="shared" si="23"/>
        <v>6.3000000000000014E-2</v>
      </c>
      <c r="H111" s="101">
        <f t="shared" si="14"/>
        <v>7.2000000000000008E-2</v>
      </c>
      <c r="I111" s="101">
        <f t="shared" si="15"/>
        <v>8.1000000000000003E-2</v>
      </c>
      <c r="J111" s="101">
        <f t="shared" si="16"/>
        <v>9.9000000000000019E-2</v>
      </c>
      <c r="K111" s="101">
        <f t="shared" si="17"/>
        <v>0.10800000000000001</v>
      </c>
      <c r="L111" s="101">
        <f t="shared" si="18"/>
        <v>0.11700000000000001</v>
      </c>
      <c r="M111" s="98">
        <f t="shared" si="19"/>
        <v>9.0909090909090899</v>
      </c>
      <c r="N111" s="98">
        <f t="shared" si="20"/>
        <v>8.3333333333333321</v>
      </c>
      <c r="O111" s="98">
        <f t="shared" si="21"/>
        <v>7.6923076923076916</v>
      </c>
    </row>
    <row r="112" spans="2:22" ht="15" customHeight="1" x14ac:dyDescent="0.25">
      <c r="B112" s="158"/>
      <c r="C112" s="95" t="s">
        <v>46</v>
      </c>
      <c r="D112" s="98">
        <v>0.9</v>
      </c>
      <c r="E112" s="98">
        <v>0.9</v>
      </c>
      <c r="F112" s="98">
        <f t="shared" si="13"/>
        <v>3.6000000000000004E-2</v>
      </c>
      <c r="G112" s="101">
        <f t="shared" si="23"/>
        <v>6.3000000000000014E-2</v>
      </c>
      <c r="H112" s="101">
        <f t="shared" si="14"/>
        <v>7.2000000000000008E-2</v>
      </c>
      <c r="I112" s="101">
        <f t="shared" si="15"/>
        <v>8.1000000000000003E-2</v>
      </c>
      <c r="J112" s="101">
        <f t="shared" si="16"/>
        <v>9.9000000000000019E-2</v>
      </c>
      <c r="K112" s="101">
        <f t="shared" si="17"/>
        <v>0.10800000000000001</v>
      </c>
      <c r="L112" s="101">
        <f t="shared" si="18"/>
        <v>0.11700000000000001</v>
      </c>
      <c r="M112" s="98">
        <f t="shared" si="19"/>
        <v>9.0909090909090899</v>
      </c>
      <c r="N112" s="98">
        <f t="shared" si="20"/>
        <v>8.3333333333333321</v>
      </c>
      <c r="O112" s="98">
        <f t="shared" si="21"/>
        <v>7.6923076923076916</v>
      </c>
    </row>
    <row r="113" spans="2:20" ht="15" customHeight="1" x14ac:dyDescent="0.25">
      <c r="B113" s="158"/>
      <c r="C113" s="95" t="s">
        <v>47</v>
      </c>
      <c r="D113" s="98">
        <v>0.9</v>
      </c>
      <c r="E113" s="98">
        <v>0.9</v>
      </c>
      <c r="F113" s="98">
        <f t="shared" si="13"/>
        <v>3.6000000000000004E-2</v>
      </c>
      <c r="G113" s="101">
        <f t="shared" si="23"/>
        <v>6.3000000000000014E-2</v>
      </c>
      <c r="H113" s="101">
        <f t="shared" si="14"/>
        <v>7.2000000000000008E-2</v>
      </c>
      <c r="I113" s="101">
        <f t="shared" si="15"/>
        <v>8.1000000000000003E-2</v>
      </c>
      <c r="J113" s="101">
        <f t="shared" si="16"/>
        <v>9.9000000000000019E-2</v>
      </c>
      <c r="K113" s="101">
        <f t="shared" si="17"/>
        <v>0.10800000000000001</v>
      </c>
      <c r="L113" s="101">
        <f t="shared" si="18"/>
        <v>0.11700000000000001</v>
      </c>
      <c r="M113" s="98">
        <f t="shared" si="19"/>
        <v>9.0909090909090899</v>
      </c>
      <c r="N113" s="98">
        <f t="shared" si="20"/>
        <v>8.3333333333333321</v>
      </c>
      <c r="O113" s="98">
        <f t="shared" si="21"/>
        <v>7.6923076923076916</v>
      </c>
    </row>
    <row r="114" spans="2:20" ht="15" customHeight="1" x14ac:dyDescent="0.25">
      <c r="B114" s="159"/>
      <c r="C114" s="96" t="s">
        <v>48</v>
      </c>
      <c r="D114" s="99">
        <v>0.9</v>
      </c>
      <c r="E114" s="99">
        <v>0.9</v>
      </c>
      <c r="F114" s="99">
        <f t="shared" si="13"/>
        <v>3.6000000000000004E-2</v>
      </c>
      <c r="G114" s="102">
        <f t="shared" si="23"/>
        <v>6.3000000000000014E-2</v>
      </c>
      <c r="H114" s="102">
        <f t="shared" si="14"/>
        <v>7.2000000000000008E-2</v>
      </c>
      <c r="I114" s="102">
        <f t="shared" si="15"/>
        <v>8.1000000000000003E-2</v>
      </c>
      <c r="J114" s="102">
        <f t="shared" si="16"/>
        <v>9.9000000000000019E-2</v>
      </c>
      <c r="K114" s="102">
        <f t="shared" si="17"/>
        <v>0.10800000000000001</v>
      </c>
      <c r="L114" s="102">
        <f t="shared" si="18"/>
        <v>0.11700000000000001</v>
      </c>
      <c r="M114" s="99">
        <f t="shared" si="19"/>
        <v>9.0909090909090899</v>
      </c>
      <c r="N114" s="99">
        <f t="shared" si="20"/>
        <v>8.3333333333333321</v>
      </c>
      <c r="O114" s="99">
        <f t="shared" si="21"/>
        <v>7.6923076923076916</v>
      </c>
    </row>
    <row r="115" spans="2:20" ht="15" customHeight="1" x14ac:dyDescent="0.25">
      <c r="B115" s="157">
        <v>1983</v>
      </c>
      <c r="C115" s="94" t="s">
        <v>36</v>
      </c>
      <c r="D115" s="97">
        <v>0.9</v>
      </c>
      <c r="E115" s="97">
        <v>0.9</v>
      </c>
      <c r="F115" s="97">
        <f t="shared" si="13"/>
        <v>3.6000000000000004E-2</v>
      </c>
      <c r="G115" s="100">
        <f t="shared" si="23"/>
        <v>6.3000000000000014E-2</v>
      </c>
      <c r="H115" s="100">
        <f t="shared" si="14"/>
        <v>7.2000000000000008E-2</v>
      </c>
      <c r="I115" s="100">
        <f t="shared" si="15"/>
        <v>8.1000000000000003E-2</v>
      </c>
      <c r="J115" s="100">
        <f t="shared" si="16"/>
        <v>9.9000000000000019E-2</v>
      </c>
      <c r="K115" s="100">
        <f t="shared" si="17"/>
        <v>0.10800000000000001</v>
      </c>
      <c r="L115" s="100">
        <f t="shared" si="18"/>
        <v>0.11700000000000001</v>
      </c>
      <c r="M115" s="97">
        <f t="shared" si="19"/>
        <v>9.0909090909090899</v>
      </c>
      <c r="N115" s="97">
        <f t="shared" si="20"/>
        <v>8.3333333333333321</v>
      </c>
      <c r="O115" s="97">
        <f t="shared" si="21"/>
        <v>7.6923076923076916</v>
      </c>
    </row>
    <row r="116" spans="2:20" ht="15" customHeight="1" x14ac:dyDescent="0.25">
      <c r="B116" s="158"/>
      <c r="C116" s="95" t="s">
        <v>38</v>
      </c>
      <c r="D116" s="98">
        <v>0.9</v>
      </c>
      <c r="E116" s="98">
        <v>0.9</v>
      </c>
      <c r="F116" s="98">
        <f t="shared" si="13"/>
        <v>3.6000000000000004E-2</v>
      </c>
      <c r="G116" s="101">
        <f t="shared" si="23"/>
        <v>6.3000000000000014E-2</v>
      </c>
      <c r="H116" s="101">
        <f t="shared" si="14"/>
        <v>7.2000000000000008E-2</v>
      </c>
      <c r="I116" s="101">
        <f t="shared" si="15"/>
        <v>8.1000000000000003E-2</v>
      </c>
      <c r="J116" s="101">
        <f t="shared" si="16"/>
        <v>9.9000000000000019E-2</v>
      </c>
      <c r="K116" s="101">
        <f t="shared" si="17"/>
        <v>0.10800000000000001</v>
      </c>
      <c r="L116" s="101">
        <f t="shared" si="18"/>
        <v>0.11700000000000001</v>
      </c>
      <c r="M116" s="98">
        <f t="shared" si="19"/>
        <v>9.0909090909090899</v>
      </c>
      <c r="N116" s="98">
        <f t="shared" si="20"/>
        <v>8.3333333333333321</v>
      </c>
      <c r="O116" s="98">
        <f t="shared" si="21"/>
        <v>7.6923076923076916</v>
      </c>
    </row>
    <row r="117" spans="2:20" ht="15" customHeight="1" x14ac:dyDescent="0.25">
      <c r="B117" s="158"/>
      <c r="C117" s="95" t="s">
        <v>39</v>
      </c>
      <c r="D117" s="98">
        <v>0.9</v>
      </c>
      <c r="E117" s="98">
        <v>0.9</v>
      </c>
      <c r="F117" s="98">
        <f t="shared" si="13"/>
        <v>3.6000000000000004E-2</v>
      </c>
      <c r="G117" s="101">
        <f t="shared" si="23"/>
        <v>6.3000000000000014E-2</v>
      </c>
      <c r="H117" s="101">
        <f t="shared" si="14"/>
        <v>7.2000000000000008E-2</v>
      </c>
      <c r="I117" s="101">
        <f t="shared" si="15"/>
        <v>8.1000000000000003E-2</v>
      </c>
      <c r="J117" s="101">
        <f t="shared" si="16"/>
        <v>9.9000000000000019E-2</v>
      </c>
      <c r="K117" s="101">
        <f t="shared" si="17"/>
        <v>0.10800000000000001</v>
      </c>
      <c r="L117" s="101">
        <f t="shared" si="18"/>
        <v>0.11700000000000001</v>
      </c>
      <c r="M117" s="98">
        <f t="shared" si="19"/>
        <v>9.0909090909090899</v>
      </c>
      <c r="N117" s="98">
        <f t="shared" si="20"/>
        <v>8.3333333333333321</v>
      </c>
      <c r="O117" s="98">
        <f t="shared" si="21"/>
        <v>7.6923076923076916</v>
      </c>
    </row>
    <row r="118" spans="2:20" ht="15" customHeight="1" x14ac:dyDescent="0.25">
      <c r="B118" s="158"/>
      <c r="C118" s="95" t="s">
        <v>40</v>
      </c>
      <c r="D118" s="98">
        <v>0.9</v>
      </c>
      <c r="E118" s="98">
        <v>0.9</v>
      </c>
      <c r="F118" s="98">
        <f t="shared" si="13"/>
        <v>3.6000000000000004E-2</v>
      </c>
      <c r="G118" s="101">
        <f t="shared" si="23"/>
        <v>6.3000000000000014E-2</v>
      </c>
      <c r="H118" s="101">
        <f t="shared" si="14"/>
        <v>7.2000000000000008E-2</v>
      </c>
      <c r="I118" s="101">
        <f t="shared" si="15"/>
        <v>8.1000000000000003E-2</v>
      </c>
      <c r="J118" s="101">
        <f t="shared" si="16"/>
        <v>9.9000000000000019E-2</v>
      </c>
      <c r="K118" s="101">
        <f t="shared" si="17"/>
        <v>0.10800000000000001</v>
      </c>
      <c r="L118" s="101">
        <f t="shared" si="18"/>
        <v>0.11700000000000001</v>
      </c>
      <c r="M118" s="98">
        <f t="shared" si="19"/>
        <v>9.0909090909090899</v>
      </c>
      <c r="N118" s="98">
        <f t="shared" si="20"/>
        <v>8.3333333333333321</v>
      </c>
      <c r="O118" s="98">
        <f t="shared" si="21"/>
        <v>7.6923076923076916</v>
      </c>
    </row>
    <row r="119" spans="2:20" ht="15" customHeight="1" x14ac:dyDescent="0.25">
      <c r="B119" s="158"/>
      <c r="C119" s="95" t="s">
        <v>41</v>
      </c>
      <c r="D119" s="98">
        <v>0.9</v>
      </c>
      <c r="E119" s="98">
        <v>0.9</v>
      </c>
      <c r="F119" s="98">
        <f t="shared" si="13"/>
        <v>3.6000000000000004E-2</v>
      </c>
      <c r="G119" s="101">
        <f t="shared" si="23"/>
        <v>6.3000000000000014E-2</v>
      </c>
      <c r="H119" s="101">
        <f t="shared" si="14"/>
        <v>7.2000000000000008E-2</v>
      </c>
      <c r="I119" s="101">
        <f t="shared" si="15"/>
        <v>8.1000000000000003E-2</v>
      </c>
      <c r="J119" s="101">
        <f t="shared" si="16"/>
        <v>9.9000000000000019E-2</v>
      </c>
      <c r="K119" s="101">
        <f t="shared" si="17"/>
        <v>0.10800000000000001</v>
      </c>
      <c r="L119" s="101">
        <f t="shared" si="18"/>
        <v>0.11700000000000001</v>
      </c>
      <c r="M119" s="98">
        <f t="shared" si="19"/>
        <v>9.0909090909090899</v>
      </c>
      <c r="N119" s="98">
        <f t="shared" si="20"/>
        <v>8.3333333333333321</v>
      </c>
      <c r="O119" s="98">
        <f t="shared" si="21"/>
        <v>7.6923076923076916</v>
      </c>
    </row>
    <row r="120" spans="2:20" ht="15" customHeight="1" x14ac:dyDescent="0.25">
      <c r="B120" s="158"/>
      <c r="C120" s="95" t="s">
        <v>42</v>
      </c>
      <c r="D120" s="98">
        <v>0.9</v>
      </c>
      <c r="E120" s="98">
        <v>0.9</v>
      </c>
      <c r="F120" s="98">
        <f t="shared" si="13"/>
        <v>3.6000000000000004E-2</v>
      </c>
      <c r="G120" s="101">
        <f t="shared" si="23"/>
        <v>6.3000000000000014E-2</v>
      </c>
      <c r="H120" s="101">
        <f t="shared" si="14"/>
        <v>7.2000000000000008E-2</v>
      </c>
      <c r="I120" s="101">
        <f t="shared" si="15"/>
        <v>8.1000000000000003E-2</v>
      </c>
      <c r="J120" s="101">
        <f t="shared" si="16"/>
        <v>9.9000000000000019E-2</v>
      </c>
      <c r="K120" s="101">
        <f t="shared" si="17"/>
        <v>0.10800000000000001</v>
      </c>
      <c r="L120" s="101">
        <f t="shared" si="18"/>
        <v>0.11700000000000001</v>
      </c>
      <c r="M120" s="98">
        <f t="shared" si="19"/>
        <v>9.0909090909090899</v>
      </c>
      <c r="N120" s="98">
        <f t="shared" si="20"/>
        <v>8.3333333333333321</v>
      </c>
      <c r="O120" s="98">
        <f t="shared" si="21"/>
        <v>7.6923076923076916</v>
      </c>
      <c r="T120" s="63" t="s">
        <v>67</v>
      </c>
    </row>
    <row r="121" spans="2:20" ht="15" customHeight="1" x14ac:dyDescent="0.25">
      <c r="B121" s="158"/>
      <c r="C121" s="95" t="s">
        <v>43</v>
      </c>
      <c r="D121" s="98">
        <v>0.9</v>
      </c>
      <c r="E121" s="98">
        <v>0.9</v>
      </c>
      <c r="F121" s="98">
        <f t="shared" si="13"/>
        <v>3.6000000000000004E-2</v>
      </c>
      <c r="G121" s="101">
        <f t="shared" si="23"/>
        <v>6.3000000000000014E-2</v>
      </c>
      <c r="H121" s="101">
        <f t="shared" si="14"/>
        <v>7.2000000000000008E-2</v>
      </c>
      <c r="I121" s="101">
        <f t="shared" si="15"/>
        <v>8.1000000000000003E-2</v>
      </c>
      <c r="J121" s="101">
        <f t="shared" si="16"/>
        <v>9.9000000000000019E-2</v>
      </c>
      <c r="K121" s="101">
        <f t="shared" si="17"/>
        <v>0.10800000000000001</v>
      </c>
      <c r="L121" s="101">
        <f t="shared" si="18"/>
        <v>0.11700000000000001</v>
      </c>
      <c r="M121" s="98">
        <f t="shared" si="19"/>
        <v>9.0909090909090899</v>
      </c>
      <c r="N121" s="98">
        <f t="shared" si="20"/>
        <v>8.3333333333333321</v>
      </c>
      <c r="O121" s="98">
        <f t="shared" si="21"/>
        <v>7.6923076923076916</v>
      </c>
    </row>
    <row r="122" spans="2:20" ht="15" customHeight="1" x14ac:dyDescent="0.25">
      <c r="B122" s="158"/>
      <c r="C122" s="95" t="s">
        <v>44</v>
      </c>
      <c r="D122" s="98">
        <v>0.9</v>
      </c>
      <c r="E122" s="98">
        <v>0.9</v>
      </c>
      <c r="F122" s="98">
        <f t="shared" si="13"/>
        <v>3.6000000000000004E-2</v>
      </c>
      <c r="G122" s="101">
        <f t="shared" si="23"/>
        <v>6.3000000000000014E-2</v>
      </c>
      <c r="H122" s="101">
        <f t="shared" si="14"/>
        <v>7.2000000000000008E-2</v>
      </c>
      <c r="I122" s="101">
        <f t="shared" si="15"/>
        <v>8.1000000000000003E-2</v>
      </c>
      <c r="J122" s="101">
        <f t="shared" si="16"/>
        <v>9.9000000000000019E-2</v>
      </c>
      <c r="K122" s="101">
        <f t="shared" si="17"/>
        <v>0.10800000000000001</v>
      </c>
      <c r="L122" s="101">
        <f t="shared" si="18"/>
        <v>0.11700000000000001</v>
      </c>
      <c r="M122" s="98">
        <f t="shared" si="19"/>
        <v>9.0909090909090899</v>
      </c>
      <c r="N122" s="98">
        <f t="shared" si="20"/>
        <v>8.3333333333333321</v>
      </c>
      <c r="O122" s="98">
        <f t="shared" si="21"/>
        <v>7.6923076923076916</v>
      </c>
    </row>
    <row r="123" spans="2:20" ht="15" customHeight="1" x14ac:dyDescent="0.25">
      <c r="B123" s="158"/>
      <c r="C123" s="95" t="s">
        <v>45</v>
      </c>
      <c r="D123" s="98">
        <v>0.9</v>
      </c>
      <c r="E123" s="98">
        <v>0.9</v>
      </c>
      <c r="F123" s="98">
        <f t="shared" si="13"/>
        <v>3.6000000000000004E-2</v>
      </c>
      <c r="G123" s="101">
        <f t="shared" si="23"/>
        <v>6.3000000000000014E-2</v>
      </c>
      <c r="H123" s="101">
        <f t="shared" si="14"/>
        <v>7.2000000000000008E-2</v>
      </c>
      <c r="I123" s="101">
        <f t="shared" si="15"/>
        <v>8.1000000000000003E-2</v>
      </c>
      <c r="J123" s="101">
        <f t="shared" si="16"/>
        <v>9.9000000000000019E-2</v>
      </c>
      <c r="K123" s="101">
        <f t="shared" si="17"/>
        <v>0.10800000000000001</v>
      </c>
      <c r="L123" s="101">
        <f t="shared" si="18"/>
        <v>0.11700000000000001</v>
      </c>
      <c r="M123" s="98">
        <f t="shared" si="19"/>
        <v>9.0909090909090899</v>
      </c>
      <c r="N123" s="98">
        <f t="shared" si="20"/>
        <v>8.3333333333333321</v>
      </c>
      <c r="O123" s="98">
        <f t="shared" si="21"/>
        <v>7.6923076923076916</v>
      </c>
    </row>
    <row r="124" spans="2:20" ht="15" customHeight="1" x14ac:dyDescent="0.25">
      <c r="B124" s="158"/>
      <c r="C124" s="95" t="s">
        <v>46</v>
      </c>
      <c r="D124" s="98">
        <v>0.9</v>
      </c>
      <c r="E124" s="98">
        <v>0.9</v>
      </c>
      <c r="F124" s="98">
        <f t="shared" si="13"/>
        <v>3.6000000000000004E-2</v>
      </c>
      <c r="G124" s="101">
        <f t="shared" si="23"/>
        <v>6.3000000000000014E-2</v>
      </c>
      <c r="H124" s="101">
        <f t="shared" si="14"/>
        <v>7.2000000000000008E-2</v>
      </c>
      <c r="I124" s="101">
        <f t="shared" si="15"/>
        <v>8.1000000000000003E-2</v>
      </c>
      <c r="J124" s="101">
        <f t="shared" si="16"/>
        <v>9.9000000000000019E-2</v>
      </c>
      <c r="K124" s="101">
        <f t="shared" si="17"/>
        <v>0.10800000000000001</v>
      </c>
      <c r="L124" s="101">
        <f t="shared" si="18"/>
        <v>0.11700000000000001</v>
      </c>
      <c r="M124" s="98">
        <f t="shared" si="19"/>
        <v>9.0909090909090899</v>
      </c>
      <c r="N124" s="98">
        <f t="shared" si="20"/>
        <v>8.3333333333333321</v>
      </c>
      <c r="O124" s="98">
        <f t="shared" si="21"/>
        <v>7.6923076923076916</v>
      </c>
    </row>
    <row r="125" spans="2:20" ht="15" customHeight="1" x14ac:dyDescent="0.25">
      <c r="B125" s="158"/>
      <c r="C125" s="95" t="s">
        <v>47</v>
      </c>
      <c r="D125" s="98">
        <v>0.9</v>
      </c>
      <c r="E125" s="98">
        <v>0.9</v>
      </c>
      <c r="F125" s="98">
        <f t="shared" si="13"/>
        <v>3.6000000000000004E-2</v>
      </c>
      <c r="G125" s="101">
        <f t="shared" si="23"/>
        <v>6.3000000000000014E-2</v>
      </c>
      <c r="H125" s="101">
        <f t="shared" si="14"/>
        <v>7.2000000000000008E-2</v>
      </c>
      <c r="I125" s="101">
        <f t="shared" si="15"/>
        <v>8.1000000000000003E-2</v>
      </c>
      <c r="J125" s="101">
        <f t="shared" si="16"/>
        <v>9.9000000000000019E-2</v>
      </c>
      <c r="K125" s="101">
        <f t="shared" si="17"/>
        <v>0.10800000000000001</v>
      </c>
      <c r="L125" s="101">
        <f t="shared" si="18"/>
        <v>0.11700000000000001</v>
      </c>
      <c r="M125" s="98">
        <f t="shared" si="19"/>
        <v>9.0909090909090899</v>
      </c>
      <c r="N125" s="98">
        <f t="shared" si="20"/>
        <v>8.3333333333333321</v>
      </c>
      <c r="O125" s="98">
        <f t="shared" si="21"/>
        <v>7.6923076923076916</v>
      </c>
    </row>
    <row r="126" spans="2:20" ht="15" customHeight="1" x14ac:dyDescent="0.25">
      <c r="B126" s="159"/>
      <c r="C126" s="96" t="s">
        <v>48</v>
      </c>
      <c r="D126" s="99">
        <v>0.9</v>
      </c>
      <c r="E126" s="99">
        <v>0.9</v>
      </c>
      <c r="F126" s="99">
        <f t="shared" si="13"/>
        <v>3.6000000000000004E-2</v>
      </c>
      <c r="G126" s="102">
        <f t="shared" si="23"/>
        <v>6.3000000000000014E-2</v>
      </c>
      <c r="H126" s="102">
        <f t="shared" si="14"/>
        <v>7.2000000000000008E-2</v>
      </c>
      <c r="I126" s="102">
        <f t="shared" si="15"/>
        <v>8.1000000000000003E-2</v>
      </c>
      <c r="J126" s="102">
        <f t="shared" si="16"/>
        <v>9.9000000000000019E-2</v>
      </c>
      <c r="K126" s="102">
        <f t="shared" si="17"/>
        <v>0.10800000000000001</v>
      </c>
      <c r="L126" s="102">
        <f t="shared" si="18"/>
        <v>0.11700000000000001</v>
      </c>
      <c r="M126" s="99">
        <f t="shared" si="19"/>
        <v>9.0909090909090899</v>
      </c>
      <c r="N126" s="99">
        <f t="shared" si="20"/>
        <v>8.3333333333333321</v>
      </c>
      <c r="O126" s="99">
        <f t="shared" si="21"/>
        <v>7.6923076923076916</v>
      </c>
    </row>
    <row r="127" spans="2:20" ht="15" customHeight="1" x14ac:dyDescent="0.25">
      <c r="B127" s="157">
        <v>1984</v>
      </c>
      <c r="C127" s="94" t="s">
        <v>36</v>
      </c>
      <c r="D127" s="97">
        <v>0.9</v>
      </c>
      <c r="E127" s="97">
        <v>0.9</v>
      </c>
      <c r="F127" s="97">
        <f t="shared" si="13"/>
        <v>3.6000000000000004E-2</v>
      </c>
      <c r="G127" s="100">
        <f t="shared" si="23"/>
        <v>6.3000000000000014E-2</v>
      </c>
      <c r="H127" s="100">
        <f t="shared" si="14"/>
        <v>7.2000000000000008E-2</v>
      </c>
      <c r="I127" s="100">
        <f t="shared" si="15"/>
        <v>8.1000000000000003E-2</v>
      </c>
      <c r="J127" s="100">
        <f t="shared" si="16"/>
        <v>9.9000000000000019E-2</v>
      </c>
      <c r="K127" s="100">
        <f t="shared" si="17"/>
        <v>0.10800000000000001</v>
      </c>
      <c r="L127" s="100">
        <f t="shared" si="18"/>
        <v>0.11700000000000001</v>
      </c>
      <c r="M127" s="97">
        <f t="shared" si="19"/>
        <v>9.0909090909090899</v>
      </c>
      <c r="N127" s="97">
        <f t="shared" si="20"/>
        <v>8.3333333333333321</v>
      </c>
      <c r="O127" s="97">
        <f t="shared" si="21"/>
        <v>7.6923076923076916</v>
      </c>
    </row>
    <row r="128" spans="2:20" ht="15" customHeight="1" x14ac:dyDescent="0.25">
      <c r="B128" s="158"/>
      <c r="C128" s="95" t="s">
        <v>38</v>
      </c>
      <c r="D128" s="98">
        <v>0.9</v>
      </c>
      <c r="E128" s="98">
        <v>0.9</v>
      </c>
      <c r="F128" s="98">
        <f t="shared" si="13"/>
        <v>3.6000000000000004E-2</v>
      </c>
      <c r="G128" s="101">
        <f t="shared" si="23"/>
        <v>6.3000000000000014E-2</v>
      </c>
      <c r="H128" s="101">
        <f t="shared" si="14"/>
        <v>7.2000000000000008E-2</v>
      </c>
      <c r="I128" s="101">
        <f t="shared" si="15"/>
        <v>8.1000000000000003E-2</v>
      </c>
      <c r="J128" s="101">
        <f t="shared" si="16"/>
        <v>9.9000000000000019E-2</v>
      </c>
      <c r="K128" s="101">
        <f t="shared" si="17"/>
        <v>0.10800000000000001</v>
      </c>
      <c r="L128" s="101">
        <f t="shared" si="18"/>
        <v>0.11700000000000001</v>
      </c>
      <c r="M128" s="98">
        <f t="shared" si="19"/>
        <v>9.0909090909090899</v>
      </c>
      <c r="N128" s="98">
        <f t="shared" si="20"/>
        <v>8.3333333333333321</v>
      </c>
      <c r="O128" s="98">
        <f t="shared" si="21"/>
        <v>7.6923076923076916</v>
      </c>
    </row>
    <row r="129" spans="2:15" ht="15" customHeight="1" x14ac:dyDescent="0.25">
      <c r="B129" s="158"/>
      <c r="C129" s="95" t="s">
        <v>39</v>
      </c>
      <c r="D129" s="98">
        <v>0.9</v>
      </c>
      <c r="E129" s="98">
        <v>0.9</v>
      </c>
      <c r="F129" s="98">
        <f t="shared" si="13"/>
        <v>3.6000000000000004E-2</v>
      </c>
      <c r="G129" s="101">
        <f t="shared" si="23"/>
        <v>6.3000000000000014E-2</v>
      </c>
      <c r="H129" s="101">
        <f t="shared" si="14"/>
        <v>7.2000000000000008E-2</v>
      </c>
      <c r="I129" s="101">
        <f t="shared" si="15"/>
        <v>8.1000000000000003E-2</v>
      </c>
      <c r="J129" s="101">
        <f t="shared" si="16"/>
        <v>9.9000000000000019E-2</v>
      </c>
      <c r="K129" s="101">
        <f t="shared" si="17"/>
        <v>0.10800000000000001</v>
      </c>
      <c r="L129" s="101">
        <f t="shared" si="18"/>
        <v>0.11700000000000001</v>
      </c>
      <c r="M129" s="98">
        <f t="shared" si="19"/>
        <v>9.0909090909090899</v>
      </c>
      <c r="N129" s="98">
        <f t="shared" si="20"/>
        <v>8.3333333333333321</v>
      </c>
      <c r="O129" s="98">
        <f t="shared" si="21"/>
        <v>7.6923076923076916</v>
      </c>
    </row>
    <row r="130" spans="2:15" ht="15" customHeight="1" x14ac:dyDescent="0.25">
      <c r="B130" s="158"/>
      <c r="C130" s="95" t="s">
        <v>40</v>
      </c>
      <c r="D130" s="98">
        <v>0.9</v>
      </c>
      <c r="E130" s="98">
        <v>0.9</v>
      </c>
      <c r="F130" s="98">
        <f t="shared" si="13"/>
        <v>3.6000000000000004E-2</v>
      </c>
      <c r="G130" s="101">
        <f t="shared" si="23"/>
        <v>6.3000000000000014E-2</v>
      </c>
      <c r="H130" s="101">
        <f t="shared" si="14"/>
        <v>7.2000000000000008E-2</v>
      </c>
      <c r="I130" s="101">
        <f t="shared" si="15"/>
        <v>8.1000000000000003E-2</v>
      </c>
      <c r="J130" s="101">
        <f t="shared" si="16"/>
        <v>9.9000000000000019E-2</v>
      </c>
      <c r="K130" s="101">
        <f t="shared" si="17"/>
        <v>0.10800000000000001</v>
      </c>
      <c r="L130" s="101">
        <f t="shared" si="18"/>
        <v>0.11700000000000001</v>
      </c>
      <c r="M130" s="98">
        <f t="shared" si="19"/>
        <v>9.0909090909090899</v>
      </c>
      <c r="N130" s="98">
        <f t="shared" si="20"/>
        <v>8.3333333333333321</v>
      </c>
      <c r="O130" s="98">
        <f t="shared" si="21"/>
        <v>7.6923076923076916</v>
      </c>
    </row>
    <row r="131" spans="2:15" ht="15" customHeight="1" x14ac:dyDescent="0.25">
      <c r="B131" s="158"/>
      <c r="C131" s="95" t="s">
        <v>41</v>
      </c>
      <c r="D131" s="98">
        <v>0.9</v>
      </c>
      <c r="E131" s="98">
        <v>0.9</v>
      </c>
      <c r="F131" s="98">
        <f t="shared" si="13"/>
        <v>3.6000000000000004E-2</v>
      </c>
      <c r="G131" s="101">
        <f t="shared" si="23"/>
        <v>6.3000000000000014E-2</v>
      </c>
      <c r="H131" s="101">
        <f t="shared" si="14"/>
        <v>7.2000000000000008E-2</v>
      </c>
      <c r="I131" s="101">
        <f t="shared" si="15"/>
        <v>8.1000000000000003E-2</v>
      </c>
      <c r="J131" s="101">
        <f t="shared" si="16"/>
        <v>9.9000000000000019E-2</v>
      </c>
      <c r="K131" s="101">
        <f t="shared" si="17"/>
        <v>0.10800000000000001</v>
      </c>
      <c r="L131" s="101">
        <f t="shared" si="18"/>
        <v>0.11700000000000001</v>
      </c>
      <c r="M131" s="98">
        <f t="shared" si="19"/>
        <v>9.0909090909090899</v>
      </c>
      <c r="N131" s="98">
        <f t="shared" si="20"/>
        <v>8.3333333333333321</v>
      </c>
      <c r="O131" s="98">
        <f t="shared" si="21"/>
        <v>7.6923076923076916</v>
      </c>
    </row>
    <row r="132" spans="2:15" ht="15" customHeight="1" x14ac:dyDescent="0.25">
      <c r="B132" s="158"/>
      <c r="C132" s="95" t="s">
        <v>42</v>
      </c>
      <c r="D132" s="98">
        <v>0.9</v>
      </c>
      <c r="E132" s="98">
        <v>0.9</v>
      </c>
      <c r="F132" s="98">
        <f t="shared" si="13"/>
        <v>3.6000000000000004E-2</v>
      </c>
      <c r="G132" s="101">
        <f t="shared" si="23"/>
        <v>6.3000000000000014E-2</v>
      </c>
      <c r="H132" s="101">
        <f t="shared" si="14"/>
        <v>7.2000000000000008E-2</v>
      </c>
      <c r="I132" s="101">
        <f t="shared" si="15"/>
        <v>8.1000000000000003E-2</v>
      </c>
      <c r="J132" s="101">
        <f t="shared" si="16"/>
        <v>9.9000000000000019E-2</v>
      </c>
      <c r="K132" s="101">
        <f t="shared" si="17"/>
        <v>0.10800000000000001</v>
      </c>
      <c r="L132" s="101">
        <f t="shared" si="18"/>
        <v>0.11700000000000001</v>
      </c>
      <c r="M132" s="98">
        <f t="shared" si="19"/>
        <v>9.0909090909090899</v>
      </c>
      <c r="N132" s="98">
        <f t="shared" si="20"/>
        <v>8.3333333333333321</v>
      </c>
      <c r="O132" s="98">
        <f t="shared" si="21"/>
        <v>7.6923076923076916</v>
      </c>
    </row>
    <row r="133" spans="2:15" ht="15" customHeight="1" x14ac:dyDescent="0.25">
      <c r="B133" s="158"/>
      <c r="C133" s="95" t="s">
        <v>43</v>
      </c>
      <c r="D133" s="98">
        <v>0.9</v>
      </c>
      <c r="E133" s="98">
        <v>0.9</v>
      </c>
      <c r="F133" s="98">
        <f t="shared" si="13"/>
        <v>3.6000000000000004E-2</v>
      </c>
      <c r="G133" s="101">
        <f t="shared" si="23"/>
        <v>6.3000000000000014E-2</v>
      </c>
      <c r="H133" s="101">
        <f t="shared" si="14"/>
        <v>7.2000000000000008E-2</v>
      </c>
      <c r="I133" s="101">
        <f t="shared" si="15"/>
        <v>8.1000000000000003E-2</v>
      </c>
      <c r="J133" s="101">
        <f t="shared" si="16"/>
        <v>9.9000000000000019E-2</v>
      </c>
      <c r="K133" s="101">
        <f t="shared" si="17"/>
        <v>0.10800000000000001</v>
      </c>
      <c r="L133" s="101">
        <f t="shared" si="18"/>
        <v>0.11700000000000001</v>
      </c>
      <c r="M133" s="98">
        <f t="shared" si="19"/>
        <v>9.0909090909090899</v>
      </c>
      <c r="N133" s="98">
        <f t="shared" si="20"/>
        <v>8.3333333333333321</v>
      </c>
      <c r="O133" s="98">
        <f t="shared" si="21"/>
        <v>7.6923076923076916</v>
      </c>
    </row>
    <row r="134" spans="2:15" ht="15" customHeight="1" x14ac:dyDescent="0.25">
      <c r="B134" s="158"/>
      <c r="C134" s="95" t="s">
        <v>44</v>
      </c>
      <c r="D134" s="98">
        <v>0.9</v>
      </c>
      <c r="E134" s="98">
        <v>0.9</v>
      </c>
      <c r="F134" s="98">
        <f t="shared" si="13"/>
        <v>3.6000000000000004E-2</v>
      </c>
      <c r="G134" s="101">
        <f t="shared" si="23"/>
        <v>6.3000000000000014E-2</v>
      </c>
      <c r="H134" s="101">
        <f t="shared" si="14"/>
        <v>7.2000000000000008E-2</v>
      </c>
      <c r="I134" s="101">
        <f t="shared" si="15"/>
        <v>8.1000000000000003E-2</v>
      </c>
      <c r="J134" s="101">
        <f t="shared" si="16"/>
        <v>9.9000000000000019E-2</v>
      </c>
      <c r="K134" s="101">
        <f t="shared" si="17"/>
        <v>0.10800000000000001</v>
      </c>
      <c r="L134" s="101">
        <f t="shared" si="18"/>
        <v>0.11700000000000001</v>
      </c>
      <c r="M134" s="98">
        <f t="shared" si="19"/>
        <v>9.0909090909090899</v>
      </c>
      <c r="N134" s="98">
        <f t="shared" si="20"/>
        <v>8.3333333333333321</v>
      </c>
      <c r="O134" s="98">
        <f t="shared" si="21"/>
        <v>7.6923076923076916</v>
      </c>
    </row>
    <row r="135" spans="2:15" ht="15" customHeight="1" x14ac:dyDescent="0.25">
      <c r="B135" s="158"/>
      <c r="C135" s="95" t="s">
        <v>45</v>
      </c>
      <c r="D135" s="98">
        <v>0.9</v>
      </c>
      <c r="E135" s="98">
        <v>0.9</v>
      </c>
      <c r="F135" s="98">
        <f t="shared" si="13"/>
        <v>3.6000000000000004E-2</v>
      </c>
      <c r="G135" s="101">
        <f t="shared" si="23"/>
        <v>6.3000000000000014E-2</v>
      </c>
      <c r="H135" s="101">
        <f t="shared" si="14"/>
        <v>7.2000000000000008E-2</v>
      </c>
      <c r="I135" s="101">
        <f t="shared" si="15"/>
        <v>8.1000000000000003E-2</v>
      </c>
      <c r="J135" s="101">
        <f t="shared" si="16"/>
        <v>9.9000000000000019E-2</v>
      </c>
      <c r="K135" s="101">
        <f t="shared" si="17"/>
        <v>0.10800000000000001</v>
      </c>
      <c r="L135" s="101">
        <f t="shared" si="18"/>
        <v>0.11700000000000001</v>
      </c>
      <c r="M135" s="98">
        <f t="shared" si="19"/>
        <v>9.0909090909090899</v>
      </c>
      <c r="N135" s="98">
        <f t="shared" si="20"/>
        <v>8.3333333333333321</v>
      </c>
      <c r="O135" s="98">
        <f t="shared" si="21"/>
        <v>7.6923076923076916</v>
      </c>
    </row>
    <row r="136" spans="2:15" ht="15" customHeight="1" x14ac:dyDescent="0.25">
      <c r="B136" s="158"/>
      <c r="C136" s="95" t="s">
        <v>46</v>
      </c>
      <c r="D136" s="98">
        <v>0.9</v>
      </c>
      <c r="E136" s="98">
        <v>0.9</v>
      </c>
      <c r="F136" s="98">
        <f t="shared" si="13"/>
        <v>3.6000000000000004E-2</v>
      </c>
      <c r="G136" s="101">
        <f t="shared" si="23"/>
        <v>6.3000000000000014E-2</v>
      </c>
      <c r="H136" s="101">
        <f t="shared" si="14"/>
        <v>7.2000000000000008E-2</v>
      </c>
      <c r="I136" s="101">
        <f t="shared" si="15"/>
        <v>8.1000000000000003E-2</v>
      </c>
      <c r="J136" s="101">
        <f t="shared" si="16"/>
        <v>9.9000000000000019E-2</v>
      </c>
      <c r="K136" s="101">
        <f t="shared" si="17"/>
        <v>0.10800000000000001</v>
      </c>
      <c r="L136" s="101">
        <f t="shared" si="18"/>
        <v>0.11700000000000001</v>
      </c>
      <c r="M136" s="98">
        <f t="shared" si="19"/>
        <v>9.0909090909090899</v>
      </c>
      <c r="N136" s="98">
        <f t="shared" si="20"/>
        <v>8.3333333333333321</v>
      </c>
      <c r="O136" s="98">
        <f t="shared" si="21"/>
        <v>7.6923076923076916</v>
      </c>
    </row>
    <row r="137" spans="2:15" ht="15" customHeight="1" x14ac:dyDescent="0.25">
      <c r="B137" s="158"/>
      <c r="C137" s="95" t="s">
        <v>47</v>
      </c>
      <c r="D137" s="98">
        <v>0.9</v>
      </c>
      <c r="E137" s="98">
        <v>0.9</v>
      </c>
      <c r="F137" s="98">
        <f t="shared" si="13"/>
        <v>3.6000000000000004E-2</v>
      </c>
      <c r="G137" s="101">
        <f t="shared" si="23"/>
        <v>6.3000000000000014E-2</v>
      </c>
      <c r="H137" s="101">
        <f t="shared" si="14"/>
        <v>7.2000000000000008E-2</v>
      </c>
      <c r="I137" s="101">
        <f t="shared" si="15"/>
        <v>8.1000000000000003E-2</v>
      </c>
      <c r="J137" s="101">
        <f t="shared" si="16"/>
        <v>9.9000000000000019E-2</v>
      </c>
      <c r="K137" s="101">
        <f t="shared" si="17"/>
        <v>0.10800000000000001</v>
      </c>
      <c r="L137" s="101">
        <f t="shared" si="18"/>
        <v>0.11700000000000001</v>
      </c>
      <c r="M137" s="98">
        <f t="shared" si="19"/>
        <v>9.0909090909090899</v>
      </c>
      <c r="N137" s="98">
        <f t="shared" si="20"/>
        <v>8.3333333333333321</v>
      </c>
      <c r="O137" s="98">
        <f t="shared" si="21"/>
        <v>7.6923076923076916</v>
      </c>
    </row>
    <row r="138" spans="2:15" ht="15" customHeight="1" x14ac:dyDescent="0.25">
      <c r="B138" s="159"/>
      <c r="C138" s="96" t="s">
        <v>48</v>
      </c>
      <c r="D138" s="99">
        <v>0.9</v>
      </c>
      <c r="E138" s="99">
        <v>0.9</v>
      </c>
      <c r="F138" s="99">
        <f t="shared" si="13"/>
        <v>3.6000000000000004E-2</v>
      </c>
      <c r="G138" s="102">
        <f t="shared" si="23"/>
        <v>6.3000000000000014E-2</v>
      </c>
      <c r="H138" s="102">
        <f t="shared" si="14"/>
        <v>7.2000000000000008E-2</v>
      </c>
      <c r="I138" s="102">
        <f t="shared" si="15"/>
        <v>8.1000000000000003E-2</v>
      </c>
      <c r="J138" s="102">
        <f t="shared" si="16"/>
        <v>9.9000000000000019E-2</v>
      </c>
      <c r="K138" s="102">
        <f t="shared" si="17"/>
        <v>0.10800000000000001</v>
      </c>
      <c r="L138" s="102">
        <f t="shared" si="18"/>
        <v>0.11700000000000001</v>
      </c>
      <c r="M138" s="99">
        <f t="shared" si="19"/>
        <v>9.0909090909090899</v>
      </c>
      <c r="N138" s="99">
        <f t="shared" si="20"/>
        <v>8.3333333333333321</v>
      </c>
      <c r="O138" s="99">
        <f t="shared" si="21"/>
        <v>7.6923076923076916</v>
      </c>
    </row>
    <row r="139" spans="2:15" ht="15" customHeight="1" x14ac:dyDescent="0.25">
      <c r="B139" s="157">
        <v>1985</v>
      </c>
      <c r="C139" s="94" t="s">
        <v>36</v>
      </c>
      <c r="D139" s="97">
        <v>0.9</v>
      </c>
      <c r="E139" s="97">
        <v>0.9</v>
      </c>
      <c r="F139" s="97">
        <f t="shared" si="13"/>
        <v>3.6000000000000004E-2</v>
      </c>
      <c r="G139" s="100">
        <f t="shared" si="23"/>
        <v>6.3000000000000014E-2</v>
      </c>
      <c r="H139" s="100">
        <f t="shared" si="14"/>
        <v>7.2000000000000008E-2</v>
      </c>
      <c r="I139" s="100">
        <f t="shared" si="15"/>
        <v>8.1000000000000003E-2</v>
      </c>
      <c r="J139" s="100">
        <f t="shared" si="16"/>
        <v>9.9000000000000019E-2</v>
      </c>
      <c r="K139" s="100">
        <f t="shared" si="17"/>
        <v>0.10800000000000001</v>
      </c>
      <c r="L139" s="100">
        <f t="shared" si="18"/>
        <v>0.11700000000000001</v>
      </c>
      <c r="M139" s="97">
        <f t="shared" si="19"/>
        <v>9.0909090909090899</v>
      </c>
      <c r="N139" s="97">
        <f t="shared" si="20"/>
        <v>8.3333333333333321</v>
      </c>
      <c r="O139" s="97">
        <f t="shared" si="21"/>
        <v>7.6923076923076916</v>
      </c>
    </row>
    <row r="140" spans="2:15" ht="15" customHeight="1" x14ac:dyDescent="0.25">
      <c r="B140" s="158"/>
      <c r="C140" s="95" t="s">
        <v>38</v>
      </c>
      <c r="D140" s="98">
        <v>0.9</v>
      </c>
      <c r="E140" s="98">
        <v>0.9</v>
      </c>
      <c r="F140" s="98">
        <f t="shared" si="13"/>
        <v>3.6000000000000004E-2</v>
      </c>
      <c r="G140" s="101">
        <f t="shared" si="23"/>
        <v>6.3000000000000014E-2</v>
      </c>
      <c r="H140" s="101">
        <f t="shared" si="14"/>
        <v>7.2000000000000008E-2</v>
      </c>
      <c r="I140" s="101">
        <f t="shared" si="15"/>
        <v>8.1000000000000003E-2</v>
      </c>
      <c r="J140" s="101">
        <f t="shared" si="16"/>
        <v>9.9000000000000019E-2</v>
      </c>
      <c r="K140" s="101">
        <f t="shared" si="17"/>
        <v>0.10800000000000001</v>
      </c>
      <c r="L140" s="101">
        <f t="shared" si="18"/>
        <v>0.11700000000000001</v>
      </c>
      <c r="M140" s="98">
        <f t="shared" si="19"/>
        <v>9.0909090909090899</v>
      </c>
      <c r="N140" s="98">
        <f t="shared" si="20"/>
        <v>8.3333333333333321</v>
      </c>
      <c r="O140" s="98">
        <f t="shared" si="21"/>
        <v>7.6923076923076916</v>
      </c>
    </row>
    <row r="141" spans="2:15" ht="15" customHeight="1" x14ac:dyDescent="0.25">
      <c r="B141" s="158"/>
      <c r="C141" s="95" t="s">
        <v>39</v>
      </c>
      <c r="D141" s="98">
        <v>0.9</v>
      </c>
      <c r="E141" s="98">
        <v>0.9</v>
      </c>
      <c r="F141" s="98">
        <f t="shared" ref="F141:F204" si="24">+D141*4%</f>
        <v>3.6000000000000004E-2</v>
      </c>
      <c r="G141" s="101">
        <f t="shared" si="23"/>
        <v>6.3000000000000014E-2</v>
      </c>
      <c r="H141" s="101">
        <f t="shared" ref="H141:H204" si="25">+D141*8%</f>
        <v>7.2000000000000008E-2</v>
      </c>
      <c r="I141" s="101">
        <f t="shared" ref="I141:I204" si="26">+D141*9%</f>
        <v>8.1000000000000003E-2</v>
      </c>
      <c r="J141" s="101">
        <f t="shared" ref="J141:J204" si="27">+F141+G141</f>
        <v>9.9000000000000019E-2</v>
      </c>
      <c r="K141" s="101">
        <f t="shared" ref="K141:K204" si="28">+F141+H141</f>
        <v>0.10800000000000001</v>
      </c>
      <c r="L141" s="101">
        <f t="shared" ref="L141:L204" si="29">+F141+I141</f>
        <v>0.11700000000000001</v>
      </c>
      <c r="M141" s="98">
        <f t="shared" ref="M141:M204" si="30">+E141/J141</f>
        <v>9.0909090909090899</v>
      </c>
      <c r="N141" s="98">
        <f t="shared" ref="N141:N204" si="31">+E141/K141</f>
        <v>8.3333333333333321</v>
      </c>
      <c r="O141" s="98">
        <f t="shared" ref="O141:O204" si="32">+E141/L141</f>
        <v>7.6923076923076916</v>
      </c>
    </row>
    <row r="142" spans="2:15" ht="15" customHeight="1" x14ac:dyDescent="0.25">
      <c r="B142" s="158"/>
      <c r="C142" s="95" t="s">
        <v>40</v>
      </c>
      <c r="D142" s="98">
        <v>0.9</v>
      </c>
      <c r="E142" s="98">
        <v>0.9</v>
      </c>
      <c r="F142" s="98">
        <f t="shared" si="24"/>
        <v>3.6000000000000004E-2</v>
      </c>
      <c r="G142" s="101">
        <f t="shared" ref="G142:G205" si="33">+D142*7%</f>
        <v>6.3000000000000014E-2</v>
      </c>
      <c r="H142" s="101">
        <f t="shared" si="25"/>
        <v>7.2000000000000008E-2</v>
      </c>
      <c r="I142" s="101">
        <f t="shared" si="26"/>
        <v>8.1000000000000003E-2</v>
      </c>
      <c r="J142" s="101">
        <f t="shared" si="27"/>
        <v>9.9000000000000019E-2</v>
      </c>
      <c r="K142" s="101">
        <f t="shared" si="28"/>
        <v>0.10800000000000001</v>
      </c>
      <c r="L142" s="101">
        <f t="shared" si="29"/>
        <v>0.11700000000000001</v>
      </c>
      <c r="M142" s="98">
        <f t="shared" si="30"/>
        <v>9.0909090909090899</v>
      </c>
      <c r="N142" s="98">
        <f t="shared" si="31"/>
        <v>8.3333333333333321</v>
      </c>
      <c r="O142" s="98">
        <f t="shared" si="32"/>
        <v>7.6923076923076916</v>
      </c>
    </row>
    <row r="143" spans="2:15" ht="15" customHeight="1" x14ac:dyDescent="0.25">
      <c r="B143" s="158"/>
      <c r="C143" s="95" t="s">
        <v>41</v>
      </c>
      <c r="D143" s="98">
        <v>0.9</v>
      </c>
      <c r="E143" s="98">
        <v>0.9</v>
      </c>
      <c r="F143" s="98">
        <f t="shared" si="24"/>
        <v>3.6000000000000004E-2</v>
      </c>
      <c r="G143" s="101">
        <f t="shared" si="33"/>
        <v>6.3000000000000014E-2</v>
      </c>
      <c r="H143" s="101">
        <f t="shared" si="25"/>
        <v>7.2000000000000008E-2</v>
      </c>
      <c r="I143" s="101">
        <f t="shared" si="26"/>
        <v>8.1000000000000003E-2</v>
      </c>
      <c r="J143" s="101">
        <f t="shared" si="27"/>
        <v>9.9000000000000019E-2</v>
      </c>
      <c r="K143" s="101">
        <f t="shared" si="28"/>
        <v>0.10800000000000001</v>
      </c>
      <c r="L143" s="101">
        <f t="shared" si="29"/>
        <v>0.11700000000000001</v>
      </c>
      <c r="M143" s="98">
        <f t="shared" si="30"/>
        <v>9.0909090909090899</v>
      </c>
      <c r="N143" s="98">
        <f t="shared" si="31"/>
        <v>8.3333333333333321</v>
      </c>
      <c r="O143" s="98">
        <f t="shared" si="32"/>
        <v>7.6923076923076916</v>
      </c>
    </row>
    <row r="144" spans="2:15" ht="15" customHeight="1" x14ac:dyDescent="0.25">
      <c r="B144" s="158"/>
      <c r="C144" s="95" t="s">
        <v>42</v>
      </c>
      <c r="D144" s="98">
        <v>0.9</v>
      </c>
      <c r="E144" s="98">
        <v>0.9</v>
      </c>
      <c r="F144" s="98">
        <f t="shared" si="24"/>
        <v>3.6000000000000004E-2</v>
      </c>
      <c r="G144" s="101">
        <f t="shared" si="33"/>
        <v>6.3000000000000014E-2</v>
      </c>
      <c r="H144" s="101">
        <f t="shared" si="25"/>
        <v>7.2000000000000008E-2</v>
      </c>
      <c r="I144" s="101">
        <f t="shared" si="26"/>
        <v>8.1000000000000003E-2</v>
      </c>
      <c r="J144" s="101">
        <f t="shared" si="27"/>
        <v>9.9000000000000019E-2</v>
      </c>
      <c r="K144" s="101">
        <f t="shared" si="28"/>
        <v>0.10800000000000001</v>
      </c>
      <c r="L144" s="101">
        <f t="shared" si="29"/>
        <v>0.11700000000000001</v>
      </c>
      <c r="M144" s="98">
        <f t="shared" si="30"/>
        <v>9.0909090909090899</v>
      </c>
      <c r="N144" s="98">
        <f t="shared" si="31"/>
        <v>8.3333333333333321</v>
      </c>
      <c r="O144" s="98">
        <f t="shared" si="32"/>
        <v>7.6923076923076916</v>
      </c>
    </row>
    <row r="145" spans="2:15" ht="15" customHeight="1" x14ac:dyDescent="0.25">
      <c r="B145" s="158"/>
      <c r="C145" s="95" t="s">
        <v>43</v>
      </c>
      <c r="D145" s="98">
        <v>0.9</v>
      </c>
      <c r="E145" s="98">
        <v>0.9</v>
      </c>
      <c r="F145" s="98">
        <f t="shared" si="24"/>
        <v>3.6000000000000004E-2</v>
      </c>
      <c r="G145" s="101">
        <f t="shared" si="33"/>
        <v>6.3000000000000014E-2</v>
      </c>
      <c r="H145" s="101">
        <f t="shared" si="25"/>
        <v>7.2000000000000008E-2</v>
      </c>
      <c r="I145" s="101">
        <f t="shared" si="26"/>
        <v>8.1000000000000003E-2</v>
      </c>
      <c r="J145" s="101">
        <f t="shared" si="27"/>
        <v>9.9000000000000019E-2</v>
      </c>
      <c r="K145" s="101">
        <f t="shared" si="28"/>
        <v>0.10800000000000001</v>
      </c>
      <c r="L145" s="101">
        <f t="shared" si="29"/>
        <v>0.11700000000000001</v>
      </c>
      <c r="M145" s="98">
        <f t="shared" si="30"/>
        <v>9.0909090909090899</v>
      </c>
      <c r="N145" s="98">
        <f t="shared" si="31"/>
        <v>8.3333333333333321</v>
      </c>
      <c r="O145" s="98">
        <f t="shared" si="32"/>
        <v>7.6923076923076916</v>
      </c>
    </row>
    <row r="146" spans="2:15" ht="15" customHeight="1" x14ac:dyDescent="0.25">
      <c r="B146" s="158"/>
      <c r="C146" s="95" t="s">
        <v>44</v>
      </c>
      <c r="D146" s="98">
        <v>0.9</v>
      </c>
      <c r="E146" s="98">
        <v>0.9</v>
      </c>
      <c r="F146" s="98">
        <f t="shared" si="24"/>
        <v>3.6000000000000004E-2</v>
      </c>
      <c r="G146" s="101">
        <f t="shared" si="33"/>
        <v>6.3000000000000014E-2</v>
      </c>
      <c r="H146" s="101">
        <f t="shared" si="25"/>
        <v>7.2000000000000008E-2</v>
      </c>
      <c r="I146" s="101">
        <f t="shared" si="26"/>
        <v>8.1000000000000003E-2</v>
      </c>
      <c r="J146" s="101">
        <f t="shared" si="27"/>
        <v>9.9000000000000019E-2</v>
      </c>
      <c r="K146" s="101">
        <f t="shared" si="28"/>
        <v>0.10800000000000001</v>
      </c>
      <c r="L146" s="101">
        <f t="shared" si="29"/>
        <v>0.11700000000000001</v>
      </c>
      <c r="M146" s="98">
        <f t="shared" si="30"/>
        <v>9.0909090909090899</v>
      </c>
      <c r="N146" s="98">
        <f t="shared" si="31"/>
        <v>8.3333333333333321</v>
      </c>
      <c r="O146" s="98">
        <f t="shared" si="32"/>
        <v>7.6923076923076916</v>
      </c>
    </row>
    <row r="147" spans="2:15" ht="15" customHeight="1" x14ac:dyDescent="0.25">
      <c r="B147" s="158"/>
      <c r="C147" s="95" t="s">
        <v>45</v>
      </c>
      <c r="D147" s="98">
        <v>0.9</v>
      </c>
      <c r="E147" s="98">
        <v>0.9</v>
      </c>
      <c r="F147" s="98">
        <f t="shared" si="24"/>
        <v>3.6000000000000004E-2</v>
      </c>
      <c r="G147" s="101">
        <f t="shared" si="33"/>
        <v>6.3000000000000014E-2</v>
      </c>
      <c r="H147" s="101">
        <f t="shared" si="25"/>
        <v>7.2000000000000008E-2</v>
      </c>
      <c r="I147" s="101">
        <f t="shared" si="26"/>
        <v>8.1000000000000003E-2</v>
      </c>
      <c r="J147" s="101">
        <f t="shared" si="27"/>
        <v>9.9000000000000019E-2</v>
      </c>
      <c r="K147" s="101">
        <f t="shared" si="28"/>
        <v>0.10800000000000001</v>
      </c>
      <c r="L147" s="101">
        <f t="shared" si="29"/>
        <v>0.11700000000000001</v>
      </c>
      <c r="M147" s="98">
        <f t="shared" si="30"/>
        <v>9.0909090909090899</v>
      </c>
      <c r="N147" s="98">
        <f t="shared" si="31"/>
        <v>8.3333333333333321</v>
      </c>
      <c r="O147" s="98">
        <f t="shared" si="32"/>
        <v>7.6923076923076916</v>
      </c>
    </row>
    <row r="148" spans="2:15" ht="15" customHeight="1" x14ac:dyDescent="0.25">
      <c r="B148" s="158"/>
      <c r="C148" s="95" t="s">
        <v>46</v>
      </c>
      <c r="D148" s="98">
        <v>0.9</v>
      </c>
      <c r="E148" s="98">
        <v>0.9</v>
      </c>
      <c r="F148" s="98">
        <f t="shared" si="24"/>
        <v>3.6000000000000004E-2</v>
      </c>
      <c r="G148" s="101">
        <f t="shared" si="33"/>
        <v>6.3000000000000014E-2</v>
      </c>
      <c r="H148" s="101">
        <f t="shared" si="25"/>
        <v>7.2000000000000008E-2</v>
      </c>
      <c r="I148" s="101">
        <f t="shared" si="26"/>
        <v>8.1000000000000003E-2</v>
      </c>
      <c r="J148" s="101">
        <f t="shared" si="27"/>
        <v>9.9000000000000019E-2</v>
      </c>
      <c r="K148" s="101">
        <f t="shared" si="28"/>
        <v>0.10800000000000001</v>
      </c>
      <c r="L148" s="101">
        <f t="shared" si="29"/>
        <v>0.11700000000000001</v>
      </c>
      <c r="M148" s="98">
        <f t="shared" si="30"/>
        <v>9.0909090909090899</v>
      </c>
      <c r="N148" s="98">
        <f t="shared" si="31"/>
        <v>8.3333333333333321</v>
      </c>
      <c r="O148" s="98">
        <f t="shared" si="32"/>
        <v>7.6923076923076916</v>
      </c>
    </row>
    <row r="149" spans="2:15" ht="15" customHeight="1" x14ac:dyDescent="0.25">
      <c r="B149" s="158"/>
      <c r="C149" s="95" t="s">
        <v>47</v>
      </c>
      <c r="D149" s="98">
        <v>0.9</v>
      </c>
      <c r="E149" s="98">
        <v>0.9</v>
      </c>
      <c r="F149" s="98">
        <f t="shared" si="24"/>
        <v>3.6000000000000004E-2</v>
      </c>
      <c r="G149" s="101">
        <f t="shared" si="33"/>
        <v>6.3000000000000014E-2</v>
      </c>
      <c r="H149" s="101">
        <f t="shared" si="25"/>
        <v>7.2000000000000008E-2</v>
      </c>
      <c r="I149" s="101">
        <f t="shared" si="26"/>
        <v>8.1000000000000003E-2</v>
      </c>
      <c r="J149" s="101">
        <f t="shared" si="27"/>
        <v>9.9000000000000019E-2</v>
      </c>
      <c r="K149" s="101">
        <f t="shared" si="28"/>
        <v>0.10800000000000001</v>
      </c>
      <c r="L149" s="101">
        <f t="shared" si="29"/>
        <v>0.11700000000000001</v>
      </c>
      <c r="M149" s="98">
        <f t="shared" si="30"/>
        <v>9.0909090909090899</v>
      </c>
      <c r="N149" s="98">
        <f t="shared" si="31"/>
        <v>8.3333333333333321</v>
      </c>
      <c r="O149" s="98">
        <f t="shared" si="32"/>
        <v>7.6923076923076916</v>
      </c>
    </row>
    <row r="150" spans="2:15" ht="15" customHeight="1" x14ac:dyDescent="0.25">
      <c r="B150" s="159"/>
      <c r="C150" s="96" t="s">
        <v>48</v>
      </c>
      <c r="D150" s="99">
        <v>0.9</v>
      </c>
      <c r="E150" s="99">
        <v>0.9</v>
      </c>
      <c r="F150" s="99">
        <f t="shared" si="24"/>
        <v>3.6000000000000004E-2</v>
      </c>
      <c r="G150" s="102">
        <f t="shared" si="33"/>
        <v>6.3000000000000014E-2</v>
      </c>
      <c r="H150" s="102">
        <f t="shared" si="25"/>
        <v>7.2000000000000008E-2</v>
      </c>
      <c r="I150" s="102">
        <f t="shared" si="26"/>
        <v>8.1000000000000003E-2</v>
      </c>
      <c r="J150" s="102">
        <f t="shared" si="27"/>
        <v>9.9000000000000019E-2</v>
      </c>
      <c r="K150" s="102">
        <f t="shared" si="28"/>
        <v>0.10800000000000001</v>
      </c>
      <c r="L150" s="102">
        <f t="shared" si="29"/>
        <v>0.11700000000000001</v>
      </c>
      <c r="M150" s="99">
        <f t="shared" si="30"/>
        <v>9.0909090909090899</v>
      </c>
      <c r="N150" s="99">
        <f t="shared" si="31"/>
        <v>8.3333333333333321</v>
      </c>
      <c r="O150" s="99">
        <f t="shared" si="32"/>
        <v>7.6923076923076916</v>
      </c>
    </row>
    <row r="151" spans="2:15" ht="15" customHeight="1" x14ac:dyDescent="0.25">
      <c r="B151" s="157">
        <v>1986</v>
      </c>
      <c r="C151" s="94" t="s">
        <v>36</v>
      </c>
      <c r="D151" s="97">
        <v>0.9</v>
      </c>
      <c r="E151" s="97">
        <v>0.9</v>
      </c>
      <c r="F151" s="97">
        <f t="shared" si="24"/>
        <v>3.6000000000000004E-2</v>
      </c>
      <c r="G151" s="100">
        <f t="shared" si="33"/>
        <v>6.3000000000000014E-2</v>
      </c>
      <c r="H151" s="100">
        <f t="shared" si="25"/>
        <v>7.2000000000000008E-2</v>
      </c>
      <c r="I151" s="100">
        <f t="shared" si="26"/>
        <v>8.1000000000000003E-2</v>
      </c>
      <c r="J151" s="100">
        <f t="shared" si="27"/>
        <v>9.9000000000000019E-2</v>
      </c>
      <c r="K151" s="100">
        <f t="shared" si="28"/>
        <v>0.10800000000000001</v>
      </c>
      <c r="L151" s="100">
        <f t="shared" si="29"/>
        <v>0.11700000000000001</v>
      </c>
      <c r="M151" s="97">
        <f t="shared" si="30"/>
        <v>9.0909090909090899</v>
      </c>
      <c r="N151" s="97">
        <f t="shared" si="31"/>
        <v>8.3333333333333321</v>
      </c>
      <c r="O151" s="97">
        <f t="shared" si="32"/>
        <v>7.6923076923076916</v>
      </c>
    </row>
    <row r="152" spans="2:15" ht="15" customHeight="1" x14ac:dyDescent="0.25">
      <c r="B152" s="158"/>
      <c r="C152" s="95" t="s">
        <v>38</v>
      </c>
      <c r="D152" s="98">
        <v>0.9</v>
      </c>
      <c r="E152" s="98">
        <v>0.9</v>
      </c>
      <c r="F152" s="98">
        <f t="shared" si="24"/>
        <v>3.6000000000000004E-2</v>
      </c>
      <c r="G152" s="101">
        <f t="shared" si="33"/>
        <v>6.3000000000000014E-2</v>
      </c>
      <c r="H152" s="101">
        <f t="shared" si="25"/>
        <v>7.2000000000000008E-2</v>
      </c>
      <c r="I152" s="101">
        <f t="shared" si="26"/>
        <v>8.1000000000000003E-2</v>
      </c>
      <c r="J152" s="101">
        <f t="shared" si="27"/>
        <v>9.9000000000000019E-2</v>
      </c>
      <c r="K152" s="101">
        <f t="shared" si="28"/>
        <v>0.10800000000000001</v>
      </c>
      <c r="L152" s="101">
        <f t="shared" si="29"/>
        <v>0.11700000000000001</v>
      </c>
      <c r="M152" s="98">
        <f t="shared" si="30"/>
        <v>9.0909090909090899</v>
      </c>
      <c r="N152" s="98">
        <f t="shared" si="31"/>
        <v>8.3333333333333321</v>
      </c>
      <c r="O152" s="98">
        <f t="shared" si="32"/>
        <v>7.6923076923076916</v>
      </c>
    </row>
    <row r="153" spans="2:15" ht="15" customHeight="1" x14ac:dyDescent="0.25">
      <c r="B153" s="158"/>
      <c r="C153" s="95" t="s">
        <v>39</v>
      </c>
      <c r="D153" s="98">
        <v>0.9</v>
      </c>
      <c r="E153" s="98">
        <v>0.9</v>
      </c>
      <c r="F153" s="98">
        <f t="shared" si="24"/>
        <v>3.6000000000000004E-2</v>
      </c>
      <c r="G153" s="101">
        <f t="shared" si="33"/>
        <v>6.3000000000000014E-2</v>
      </c>
      <c r="H153" s="101">
        <f t="shared" si="25"/>
        <v>7.2000000000000008E-2</v>
      </c>
      <c r="I153" s="101">
        <f t="shared" si="26"/>
        <v>8.1000000000000003E-2</v>
      </c>
      <c r="J153" s="101">
        <f t="shared" si="27"/>
        <v>9.9000000000000019E-2</v>
      </c>
      <c r="K153" s="101">
        <f t="shared" si="28"/>
        <v>0.10800000000000001</v>
      </c>
      <c r="L153" s="101">
        <f t="shared" si="29"/>
        <v>0.11700000000000001</v>
      </c>
      <c r="M153" s="98">
        <f t="shared" si="30"/>
        <v>9.0909090909090899</v>
      </c>
      <c r="N153" s="98">
        <f t="shared" si="31"/>
        <v>8.3333333333333321</v>
      </c>
      <c r="O153" s="98">
        <f t="shared" si="32"/>
        <v>7.6923076923076916</v>
      </c>
    </row>
    <row r="154" spans="2:15" ht="15" customHeight="1" x14ac:dyDescent="0.25">
      <c r="B154" s="158"/>
      <c r="C154" s="95" t="s">
        <v>40</v>
      </c>
      <c r="D154" s="98">
        <v>0.9</v>
      </c>
      <c r="E154" s="98">
        <v>0.9</v>
      </c>
      <c r="F154" s="98">
        <f t="shared" si="24"/>
        <v>3.6000000000000004E-2</v>
      </c>
      <c r="G154" s="101">
        <f t="shared" si="33"/>
        <v>6.3000000000000014E-2</v>
      </c>
      <c r="H154" s="101">
        <f t="shared" si="25"/>
        <v>7.2000000000000008E-2</v>
      </c>
      <c r="I154" s="101">
        <f t="shared" si="26"/>
        <v>8.1000000000000003E-2</v>
      </c>
      <c r="J154" s="101">
        <f t="shared" si="27"/>
        <v>9.9000000000000019E-2</v>
      </c>
      <c r="K154" s="101">
        <f t="shared" si="28"/>
        <v>0.10800000000000001</v>
      </c>
      <c r="L154" s="101">
        <f t="shared" si="29"/>
        <v>0.11700000000000001</v>
      </c>
      <c r="M154" s="98">
        <f t="shared" si="30"/>
        <v>9.0909090909090899</v>
      </c>
      <c r="N154" s="98">
        <f t="shared" si="31"/>
        <v>8.3333333333333321</v>
      </c>
      <c r="O154" s="98">
        <f t="shared" si="32"/>
        <v>7.6923076923076916</v>
      </c>
    </row>
    <row r="155" spans="2:15" ht="15" customHeight="1" x14ac:dyDescent="0.25">
      <c r="B155" s="158"/>
      <c r="C155" s="95" t="s">
        <v>41</v>
      </c>
      <c r="D155" s="98">
        <v>0.9</v>
      </c>
      <c r="E155" s="98">
        <v>0.9</v>
      </c>
      <c r="F155" s="98">
        <f t="shared" si="24"/>
        <v>3.6000000000000004E-2</v>
      </c>
      <c r="G155" s="101">
        <f t="shared" si="33"/>
        <v>6.3000000000000014E-2</v>
      </c>
      <c r="H155" s="101">
        <f t="shared" si="25"/>
        <v>7.2000000000000008E-2</v>
      </c>
      <c r="I155" s="101">
        <f t="shared" si="26"/>
        <v>8.1000000000000003E-2</v>
      </c>
      <c r="J155" s="101">
        <f t="shared" si="27"/>
        <v>9.9000000000000019E-2</v>
      </c>
      <c r="K155" s="101">
        <f t="shared" si="28"/>
        <v>0.10800000000000001</v>
      </c>
      <c r="L155" s="101">
        <f t="shared" si="29"/>
        <v>0.11700000000000001</v>
      </c>
      <c r="M155" s="98">
        <f t="shared" si="30"/>
        <v>9.0909090909090899</v>
      </c>
      <c r="N155" s="98">
        <f t="shared" si="31"/>
        <v>8.3333333333333321</v>
      </c>
      <c r="O155" s="98">
        <f t="shared" si="32"/>
        <v>7.6923076923076916</v>
      </c>
    </row>
    <row r="156" spans="2:15" ht="15" customHeight="1" x14ac:dyDescent="0.25">
      <c r="B156" s="158"/>
      <c r="C156" s="95" t="s">
        <v>42</v>
      </c>
      <c r="D156" s="98">
        <v>0.9</v>
      </c>
      <c r="E156" s="98">
        <v>0.9</v>
      </c>
      <c r="F156" s="98">
        <f t="shared" si="24"/>
        <v>3.6000000000000004E-2</v>
      </c>
      <c r="G156" s="101">
        <f t="shared" si="33"/>
        <v>6.3000000000000014E-2</v>
      </c>
      <c r="H156" s="101">
        <f t="shared" si="25"/>
        <v>7.2000000000000008E-2</v>
      </c>
      <c r="I156" s="101">
        <f t="shared" si="26"/>
        <v>8.1000000000000003E-2</v>
      </c>
      <c r="J156" s="101">
        <f t="shared" si="27"/>
        <v>9.9000000000000019E-2</v>
      </c>
      <c r="K156" s="101">
        <f t="shared" si="28"/>
        <v>0.10800000000000001</v>
      </c>
      <c r="L156" s="101">
        <f t="shared" si="29"/>
        <v>0.11700000000000001</v>
      </c>
      <c r="M156" s="98">
        <f t="shared" si="30"/>
        <v>9.0909090909090899</v>
      </c>
      <c r="N156" s="98">
        <f t="shared" si="31"/>
        <v>8.3333333333333321</v>
      </c>
      <c r="O156" s="98">
        <f t="shared" si="32"/>
        <v>7.6923076923076916</v>
      </c>
    </row>
    <row r="157" spans="2:15" ht="15" customHeight="1" x14ac:dyDescent="0.25">
      <c r="B157" s="158"/>
      <c r="C157" s="95" t="s">
        <v>43</v>
      </c>
      <c r="D157" s="98">
        <v>0.9</v>
      </c>
      <c r="E157" s="98">
        <v>0.9</v>
      </c>
      <c r="F157" s="98">
        <f t="shared" si="24"/>
        <v>3.6000000000000004E-2</v>
      </c>
      <c r="G157" s="101">
        <f t="shared" si="33"/>
        <v>6.3000000000000014E-2</v>
      </c>
      <c r="H157" s="101">
        <f t="shared" si="25"/>
        <v>7.2000000000000008E-2</v>
      </c>
      <c r="I157" s="101">
        <f t="shared" si="26"/>
        <v>8.1000000000000003E-2</v>
      </c>
      <c r="J157" s="101">
        <f t="shared" si="27"/>
        <v>9.9000000000000019E-2</v>
      </c>
      <c r="K157" s="101">
        <f t="shared" si="28"/>
        <v>0.10800000000000001</v>
      </c>
      <c r="L157" s="101">
        <f t="shared" si="29"/>
        <v>0.11700000000000001</v>
      </c>
      <c r="M157" s="98">
        <f t="shared" si="30"/>
        <v>9.0909090909090899</v>
      </c>
      <c r="N157" s="98">
        <f t="shared" si="31"/>
        <v>8.3333333333333321</v>
      </c>
      <c r="O157" s="98">
        <f t="shared" si="32"/>
        <v>7.6923076923076916</v>
      </c>
    </row>
    <row r="158" spans="2:15" ht="15" customHeight="1" x14ac:dyDescent="0.25">
      <c r="B158" s="158"/>
      <c r="C158" s="95" t="s">
        <v>44</v>
      </c>
      <c r="D158" s="98">
        <v>0.9</v>
      </c>
      <c r="E158" s="98">
        <v>0.9</v>
      </c>
      <c r="F158" s="98">
        <f t="shared" si="24"/>
        <v>3.6000000000000004E-2</v>
      </c>
      <c r="G158" s="101">
        <f t="shared" si="33"/>
        <v>6.3000000000000014E-2</v>
      </c>
      <c r="H158" s="101">
        <f t="shared" si="25"/>
        <v>7.2000000000000008E-2</v>
      </c>
      <c r="I158" s="101">
        <f t="shared" si="26"/>
        <v>8.1000000000000003E-2</v>
      </c>
      <c r="J158" s="101">
        <f t="shared" si="27"/>
        <v>9.9000000000000019E-2</v>
      </c>
      <c r="K158" s="101">
        <f t="shared" si="28"/>
        <v>0.10800000000000001</v>
      </c>
      <c r="L158" s="101">
        <f t="shared" si="29"/>
        <v>0.11700000000000001</v>
      </c>
      <c r="M158" s="98">
        <f t="shared" si="30"/>
        <v>9.0909090909090899</v>
      </c>
      <c r="N158" s="98">
        <f t="shared" si="31"/>
        <v>8.3333333333333321</v>
      </c>
      <c r="O158" s="98">
        <f t="shared" si="32"/>
        <v>7.6923076923076916</v>
      </c>
    </row>
    <row r="159" spans="2:15" ht="15" customHeight="1" x14ac:dyDescent="0.25">
      <c r="B159" s="158"/>
      <c r="C159" s="95" t="s">
        <v>45</v>
      </c>
      <c r="D159" s="98">
        <v>0.9</v>
      </c>
      <c r="E159" s="98">
        <v>0.9</v>
      </c>
      <c r="F159" s="98">
        <f t="shared" si="24"/>
        <v>3.6000000000000004E-2</v>
      </c>
      <c r="G159" s="101">
        <f t="shared" si="33"/>
        <v>6.3000000000000014E-2</v>
      </c>
      <c r="H159" s="101">
        <f t="shared" si="25"/>
        <v>7.2000000000000008E-2</v>
      </c>
      <c r="I159" s="101">
        <f t="shared" si="26"/>
        <v>8.1000000000000003E-2</v>
      </c>
      <c r="J159" s="101">
        <f t="shared" si="27"/>
        <v>9.9000000000000019E-2</v>
      </c>
      <c r="K159" s="101">
        <f t="shared" si="28"/>
        <v>0.10800000000000001</v>
      </c>
      <c r="L159" s="101">
        <f t="shared" si="29"/>
        <v>0.11700000000000001</v>
      </c>
      <c r="M159" s="98">
        <f t="shared" si="30"/>
        <v>9.0909090909090899</v>
      </c>
      <c r="N159" s="98">
        <f t="shared" si="31"/>
        <v>8.3333333333333321</v>
      </c>
      <c r="O159" s="98">
        <f t="shared" si="32"/>
        <v>7.6923076923076916</v>
      </c>
    </row>
    <row r="160" spans="2:15" ht="15" customHeight="1" x14ac:dyDescent="0.25">
      <c r="B160" s="158"/>
      <c r="C160" s="95" t="s">
        <v>46</v>
      </c>
      <c r="D160" s="98">
        <v>0.9</v>
      </c>
      <c r="E160" s="98">
        <v>0.9</v>
      </c>
      <c r="F160" s="98">
        <f t="shared" si="24"/>
        <v>3.6000000000000004E-2</v>
      </c>
      <c r="G160" s="101">
        <f t="shared" si="33"/>
        <v>6.3000000000000014E-2</v>
      </c>
      <c r="H160" s="101">
        <f t="shared" si="25"/>
        <v>7.2000000000000008E-2</v>
      </c>
      <c r="I160" s="101">
        <f t="shared" si="26"/>
        <v>8.1000000000000003E-2</v>
      </c>
      <c r="J160" s="101">
        <f t="shared" si="27"/>
        <v>9.9000000000000019E-2</v>
      </c>
      <c r="K160" s="101">
        <f t="shared" si="28"/>
        <v>0.10800000000000001</v>
      </c>
      <c r="L160" s="101">
        <f t="shared" si="29"/>
        <v>0.11700000000000001</v>
      </c>
      <c r="M160" s="98">
        <f t="shared" si="30"/>
        <v>9.0909090909090899</v>
      </c>
      <c r="N160" s="98">
        <f t="shared" si="31"/>
        <v>8.3333333333333321</v>
      </c>
      <c r="O160" s="98">
        <f t="shared" si="32"/>
        <v>7.6923076923076916</v>
      </c>
    </row>
    <row r="161" spans="2:15" ht="15" customHeight="1" x14ac:dyDescent="0.25">
      <c r="B161" s="158"/>
      <c r="C161" s="95" t="s">
        <v>47</v>
      </c>
      <c r="D161" s="98">
        <v>0.9</v>
      </c>
      <c r="E161" s="98">
        <v>0.9</v>
      </c>
      <c r="F161" s="98">
        <f t="shared" si="24"/>
        <v>3.6000000000000004E-2</v>
      </c>
      <c r="G161" s="101">
        <f t="shared" si="33"/>
        <v>6.3000000000000014E-2</v>
      </c>
      <c r="H161" s="101">
        <f t="shared" si="25"/>
        <v>7.2000000000000008E-2</v>
      </c>
      <c r="I161" s="101">
        <f t="shared" si="26"/>
        <v>8.1000000000000003E-2</v>
      </c>
      <c r="J161" s="101">
        <f t="shared" si="27"/>
        <v>9.9000000000000019E-2</v>
      </c>
      <c r="K161" s="101">
        <f t="shared" si="28"/>
        <v>0.10800000000000001</v>
      </c>
      <c r="L161" s="101">
        <f t="shared" si="29"/>
        <v>0.11700000000000001</v>
      </c>
      <c r="M161" s="98">
        <f t="shared" si="30"/>
        <v>9.0909090909090899</v>
      </c>
      <c r="N161" s="98">
        <f t="shared" si="31"/>
        <v>8.3333333333333321</v>
      </c>
      <c r="O161" s="98">
        <f t="shared" si="32"/>
        <v>7.6923076923076916</v>
      </c>
    </row>
    <row r="162" spans="2:15" ht="15" customHeight="1" x14ac:dyDescent="0.25">
      <c r="B162" s="159"/>
      <c r="C162" s="96" t="s">
        <v>48</v>
      </c>
      <c r="D162" s="99">
        <v>0.9</v>
      </c>
      <c r="E162" s="99">
        <v>0.9</v>
      </c>
      <c r="F162" s="99">
        <f t="shared" si="24"/>
        <v>3.6000000000000004E-2</v>
      </c>
      <c r="G162" s="102">
        <f t="shared" si="33"/>
        <v>6.3000000000000014E-2</v>
      </c>
      <c r="H162" s="102">
        <f t="shared" si="25"/>
        <v>7.2000000000000008E-2</v>
      </c>
      <c r="I162" s="102">
        <f t="shared" si="26"/>
        <v>8.1000000000000003E-2</v>
      </c>
      <c r="J162" s="102">
        <f t="shared" si="27"/>
        <v>9.9000000000000019E-2</v>
      </c>
      <c r="K162" s="102">
        <f t="shared" si="28"/>
        <v>0.10800000000000001</v>
      </c>
      <c r="L162" s="102">
        <f t="shared" si="29"/>
        <v>0.11700000000000001</v>
      </c>
      <c r="M162" s="99">
        <f t="shared" si="30"/>
        <v>9.0909090909090899</v>
      </c>
      <c r="N162" s="99">
        <f t="shared" si="31"/>
        <v>8.3333333333333321</v>
      </c>
      <c r="O162" s="99">
        <f t="shared" si="32"/>
        <v>7.6923076923076916</v>
      </c>
    </row>
    <row r="163" spans="2:15" ht="15" customHeight="1" x14ac:dyDescent="0.25">
      <c r="B163" s="157">
        <v>1987</v>
      </c>
      <c r="C163" s="94" t="s">
        <v>36</v>
      </c>
      <c r="D163" s="97">
        <v>2.0099999999999998</v>
      </c>
      <c r="E163" s="97">
        <v>2.0099999999999998</v>
      </c>
      <c r="F163" s="97">
        <f t="shared" si="24"/>
        <v>8.0399999999999999E-2</v>
      </c>
      <c r="G163" s="100">
        <f t="shared" si="33"/>
        <v>0.14069999999999999</v>
      </c>
      <c r="H163" s="100">
        <f t="shared" si="25"/>
        <v>0.1608</v>
      </c>
      <c r="I163" s="100">
        <f t="shared" si="26"/>
        <v>0.18089999999999998</v>
      </c>
      <c r="J163" s="100">
        <f t="shared" si="27"/>
        <v>0.22109999999999999</v>
      </c>
      <c r="K163" s="100">
        <f t="shared" si="28"/>
        <v>0.2412</v>
      </c>
      <c r="L163" s="100">
        <f t="shared" si="29"/>
        <v>0.26129999999999998</v>
      </c>
      <c r="M163" s="97">
        <f t="shared" si="30"/>
        <v>9.0909090909090899</v>
      </c>
      <c r="N163" s="97">
        <f t="shared" si="31"/>
        <v>8.3333333333333321</v>
      </c>
      <c r="O163" s="97">
        <f t="shared" si="32"/>
        <v>7.6923076923076925</v>
      </c>
    </row>
    <row r="164" spans="2:15" ht="15" customHeight="1" x14ac:dyDescent="0.25">
      <c r="B164" s="158"/>
      <c r="C164" s="95" t="s">
        <v>38</v>
      </c>
      <c r="D164" s="98">
        <v>2.0099999999999998</v>
      </c>
      <c r="E164" s="98">
        <v>2.0099999999999998</v>
      </c>
      <c r="F164" s="98">
        <f t="shared" si="24"/>
        <v>8.0399999999999999E-2</v>
      </c>
      <c r="G164" s="101">
        <f t="shared" si="33"/>
        <v>0.14069999999999999</v>
      </c>
      <c r="H164" s="101">
        <f t="shared" si="25"/>
        <v>0.1608</v>
      </c>
      <c r="I164" s="101">
        <f t="shared" si="26"/>
        <v>0.18089999999999998</v>
      </c>
      <c r="J164" s="101">
        <f t="shared" si="27"/>
        <v>0.22109999999999999</v>
      </c>
      <c r="K164" s="101">
        <f t="shared" si="28"/>
        <v>0.2412</v>
      </c>
      <c r="L164" s="101">
        <f t="shared" si="29"/>
        <v>0.26129999999999998</v>
      </c>
      <c r="M164" s="98">
        <f t="shared" si="30"/>
        <v>9.0909090909090899</v>
      </c>
      <c r="N164" s="98">
        <f t="shared" si="31"/>
        <v>8.3333333333333321</v>
      </c>
      <c r="O164" s="98">
        <f t="shared" si="32"/>
        <v>7.6923076923076925</v>
      </c>
    </row>
    <row r="165" spans="2:15" ht="15" customHeight="1" x14ac:dyDescent="0.25">
      <c r="B165" s="158"/>
      <c r="C165" s="95" t="s">
        <v>39</v>
      </c>
      <c r="D165" s="98">
        <v>2.0099999999999998</v>
      </c>
      <c r="E165" s="98">
        <v>2.0099999999999998</v>
      </c>
      <c r="F165" s="98">
        <f t="shared" si="24"/>
        <v>8.0399999999999999E-2</v>
      </c>
      <c r="G165" s="101">
        <f t="shared" si="33"/>
        <v>0.14069999999999999</v>
      </c>
      <c r="H165" s="101">
        <f t="shared" si="25"/>
        <v>0.1608</v>
      </c>
      <c r="I165" s="101">
        <f t="shared" si="26"/>
        <v>0.18089999999999998</v>
      </c>
      <c r="J165" s="101">
        <f t="shared" si="27"/>
        <v>0.22109999999999999</v>
      </c>
      <c r="K165" s="101">
        <f t="shared" si="28"/>
        <v>0.2412</v>
      </c>
      <c r="L165" s="101">
        <f t="shared" si="29"/>
        <v>0.26129999999999998</v>
      </c>
      <c r="M165" s="98">
        <f t="shared" si="30"/>
        <v>9.0909090909090899</v>
      </c>
      <c r="N165" s="98">
        <f t="shared" si="31"/>
        <v>8.3333333333333321</v>
      </c>
      <c r="O165" s="98">
        <f t="shared" si="32"/>
        <v>7.6923076923076925</v>
      </c>
    </row>
    <row r="166" spans="2:15" ht="15" customHeight="1" x14ac:dyDescent="0.25">
      <c r="B166" s="158"/>
      <c r="C166" s="95" t="s">
        <v>40</v>
      </c>
      <c r="D166" s="98">
        <v>2.0099999999999998</v>
      </c>
      <c r="E166" s="98">
        <v>2.0099999999999998</v>
      </c>
      <c r="F166" s="98">
        <f t="shared" si="24"/>
        <v>8.0399999999999999E-2</v>
      </c>
      <c r="G166" s="101">
        <f t="shared" si="33"/>
        <v>0.14069999999999999</v>
      </c>
      <c r="H166" s="101">
        <f t="shared" si="25"/>
        <v>0.1608</v>
      </c>
      <c r="I166" s="101">
        <f t="shared" si="26"/>
        <v>0.18089999999999998</v>
      </c>
      <c r="J166" s="101">
        <f t="shared" si="27"/>
        <v>0.22109999999999999</v>
      </c>
      <c r="K166" s="101">
        <f t="shared" si="28"/>
        <v>0.2412</v>
      </c>
      <c r="L166" s="101">
        <f t="shared" si="29"/>
        <v>0.26129999999999998</v>
      </c>
      <c r="M166" s="98">
        <f t="shared" si="30"/>
        <v>9.0909090909090899</v>
      </c>
      <c r="N166" s="98">
        <f t="shared" si="31"/>
        <v>8.3333333333333321</v>
      </c>
      <c r="O166" s="98">
        <f t="shared" si="32"/>
        <v>7.6923076923076925</v>
      </c>
    </row>
    <row r="167" spans="2:15" ht="15" customHeight="1" x14ac:dyDescent="0.25">
      <c r="B167" s="158"/>
      <c r="C167" s="95" t="s">
        <v>41</v>
      </c>
      <c r="D167" s="98">
        <v>2.0099999999999998</v>
      </c>
      <c r="E167" s="98">
        <v>2.0099999999999998</v>
      </c>
      <c r="F167" s="98">
        <f t="shared" si="24"/>
        <v>8.0399999999999999E-2</v>
      </c>
      <c r="G167" s="101">
        <f t="shared" si="33"/>
        <v>0.14069999999999999</v>
      </c>
      <c r="H167" s="101">
        <f t="shared" si="25"/>
        <v>0.1608</v>
      </c>
      <c r="I167" s="101">
        <f t="shared" si="26"/>
        <v>0.18089999999999998</v>
      </c>
      <c r="J167" s="101">
        <f t="shared" si="27"/>
        <v>0.22109999999999999</v>
      </c>
      <c r="K167" s="101">
        <f t="shared" si="28"/>
        <v>0.2412</v>
      </c>
      <c r="L167" s="101">
        <f t="shared" si="29"/>
        <v>0.26129999999999998</v>
      </c>
      <c r="M167" s="98">
        <f t="shared" si="30"/>
        <v>9.0909090909090899</v>
      </c>
      <c r="N167" s="98">
        <f t="shared" si="31"/>
        <v>8.3333333333333321</v>
      </c>
      <c r="O167" s="98">
        <f t="shared" si="32"/>
        <v>7.6923076923076925</v>
      </c>
    </row>
    <row r="168" spans="2:15" ht="15" customHeight="1" x14ac:dyDescent="0.25">
      <c r="B168" s="158"/>
      <c r="C168" s="95" t="s">
        <v>42</v>
      </c>
      <c r="D168" s="98">
        <v>2.0099999999999998</v>
      </c>
      <c r="E168" s="98">
        <v>2.0099999999999998</v>
      </c>
      <c r="F168" s="98">
        <f t="shared" si="24"/>
        <v>8.0399999999999999E-2</v>
      </c>
      <c r="G168" s="101">
        <f t="shared" si="33"/>
        <v>0.14069999999999999</v>
      </c>
      <c r="H168" s="101">
        <f t="shared" si="25"/>
        <v>0.1608</v>
      </c>
      <c r="I168" s="101">
        <f t="shared" si="26"/>
        <v>0.18089999999999998</v>
      </c>
      <c r="J168" s="101">
        <f t="shared" si="27"/>
        <v>0.22109999999999999</v>
      </c>
      <c r="K168" s="101">
        <f t="shared" si="28"/>
        <v>0.2412</v>
      </c>
      <c r="L168" s="101">
        <f t="shared" si="29"/>
        <v>0.26129999999999998</v>
      </c>
      <c r="M168" s="98">
        <f t="shared" si="30"/>
        <v>9.0909090909090899</v>
      </c>
      <c r="N168" s="98">
        <f t="shared" si="31"/>
        <v>8.3333333333333321</v>
      </c>
      <c r="O168" s="98">
        <f t="shared" si="32"/>
        <v>7.6923076923076925</v>
      </c>
    </row>
    <row r="169" spans="2:15" ht="15" customHeight="1" x14ac:dyDescent="0.25">
      <c r="B169" s="158"/>
      <c r="C169" s="95" t="s">
        <v>43</v>
      </c>
      <c r="D169" s="98">
        <v>2.0099999999999998</v>
      </c>
      <c r="E169" s="98">
        <v>2.0099999999999998</v>
      </c>
      <c r="F169" s="98">
        <f t="shared" si="24"/>
        <v>8.0399999999999999E-2</v>
      </c>
      <c r="G169" s="101">
        <f t="shared" si="33"/>
        <v>0.14069999999999999</v>
      </c>
      <c r="H169" s="101">
        <f t="shared" si="25"/>
        <v>0.1608</v>
      </c>
      <c r="I169" s="101">
        <f t="shared" si="26"/>
        <v>0.18089999999999998</v>
      </c>
      <c r="J169" s="101">
        <f t="shared" si="27"/>
        <v>0.22109999999999999</v>
      </c>
      <c r="K169" s="101">
        <f t="shared" si="28"/>
        <v>0.2412</v>
      </c>
      <c r="L169" s="101">
        <f t="shared" si="29"/>
        <v>0.26129999999999998</v>
      </c>
      <c r="M169" s="98">
        <f t="shared" si="30"/>
        <v>9.0909090909090899</v>
      </c>
      <c r="N169" s="98">
        <f t="shared" si="31"/>
        <v>8.3333333333333321</v>
      </c>
      <c r="O169" s="98">
        <f t="shared" si="32"/>
        <v>7.6923076923076925</v>
      </c>
    </row>
    <row r="170" spans="2:15" ht="15" customHeight="1" x14ac:dyDescent="0.25">
      <c r="B170" s="158"/>
      <c r="C170" s="95" t="s">
        <v>44</v>
      </c>
      <c r="D170" s="98">
        <v>2.0099999999999998</v>
      </c>
      <c r="E170" s="98">
        <v>2.0099999999999998</v>
      </c>
      <c r="F170" s="98">
        <f t="shared" si="24"/>
        <v>8.0399999999999999E-2</v>
      </c>
      <c r="G170" s="101">
        <f t="shared" si="33"/>
        <v>0.14069999999999999</v>
      </c>
      <c r="H170" s="101">
        <f t="shared" si="25"/>
        <v>0.1608</v>
      </c>
      <c r="I170" s="101">
        <f t="shared" si="26"/>
        <v>0.18089999999999998</v>
      </c>
      <c r="J170" s="101">
        <f t="shared" si="27"/>
        <v>0.22109999999999999</v>
      </c>
      <c r="K170" s="101">
        <f t="shared" si="28"/>
        <v>0.2412</v>
      </c>
      <c r="L170" s="101">
        <f t="shared" si="29"/>
        <v>0.26129999999999998</v>
      </c>
      <c r="M170" s="98">
        <f t="shared" si="30"/>
        <v>9.0909090909090899</v>
      </c>
      <c r="N170" s="98">
        <f t="shared" si="31"/>
        <v>8.3333333333333321</v>
      </c>
      <c r="O170" s="98">
        <f t="shared" si="32"/>
        <v>7.6923076923076925</v>
      </c>
    </row>
    <row r="171" spans="2:15" ht="15" customHeight="1" x14ac:dyDescent="0.25">
      <c r="B171" s="158"/>
      <c r="C171" s="95" t="s">
        <v>45</v>
      </c>
      <c r="D171" s="98">
        <v>2.0099999999999998</v>
      </c>
      <c r="E171" s="98">
        <v>2.0099999999999998</v>
      </c>
      <c r="F171" s="98">
        <f t="shared" si="24"/>
        <v>8.0399999999999999E-2</v>
      </c>
      <c r="G171" s="101">
        <f t="shared" si="33"/>
        <v>0.14069999999999999</v>
      </c>
      <c r="H171" s="101">
        <f t="shared" si="25"/>
        <v>0.1608</v>
      </c>
      <c r="I171" s="101">
        <f t="shared" si="26"/>
        <v>0.18089999999999998</v>
      </c>
      <c r="J171" s="101">
        <f t="shared" si="27"/>
        <v>0.22109999999999999</v>
      </c>
      <c r="K171" s="101">
        <f t="shared" si="28"/>
        <v>0.2412</v>
      </c>
      <c r="L171" s="101">
        <f t="shared" si="29"/>
        <v>0.26129999999999998</v>
      </c>
      <c r="M171" s="98">
        <f t="shared" si="30"/>
        <v>9.0909090909090899</v>
      </c>
      <c r="N171" s="98">
        <f t="shared" si="31"/>
        <v>8.3333333333333321</v>
      </c>
      <c r="O171" s="98">
        <f t="shared" si="32"/>
        <v>7.6923076923076925</v>
      </c>
    </row>
    <row r="172" spans="2:15" ht="15" customHeight="1" x14ac:dyDescent="0.25">
      <c r="B172" s="158"/>
      <c r="C172" s="95" t="s">
        <v>46</v>
      </c>
      <c r="D172" s="98">
        <v>2.0099999999999998</v>
      </c>
      <c r="E172" s="98">
        <v>2.0099999999999998</v>
      </c>
      <c r="F172" s="98">
        <f t="shared" si="24"/>
        <v>8.0399999999999999E-2</v>
      </c>
      <c r="G172" s="101">
        <f t="shared" si="33"/>
        <v>0.14069999999999999</v>
      </c>
      <c r="H172" s="101">
        <f t="shared" si="25"/>
        <v>0.1608</v>
      </c>
      <c r="I172" s="101">
        <f t="shared" si="26"/>
        <v>0.18089999999999998</v>
      </c>
      <c r="J172" s="101">
        <f t="shared" si="27"/>
        <v>0.22109999999999999</v>
      </c>
      <c r="K172" s="101">
        <f t="shared" si="28"/>
        <v>0.2412</v>
      </c>
      <c r="L172" s="101">
        <f t="shared" si="29"/>
        <v>0.26129999999999998</v>
      </c>
      <c r="M172" s="98">
        <f t="shared" si="30"/>
        <v>9.0909090909090899</v>
      </c>
      <c r="N172" s="98">
        <f t="shared" si="31"/>
        <v>8.3333333333333321</v>
      </c>
      <c r="O172" s="98">
        <f t="shared" si="32"/>
        <v>7.6923076923076925</v>
      </c>
    </row>
    <row r="173" spans="2:15" ht="15" customHeight="1" x14ac:dyDescent="0.25">
      <c r="B173" s="158"/>
      <c r="C173" s="95" t="s">
        <v>47</v>
      </c>
      <c r="D173" s="98">
        <v>2.0099999999999998</v>
      </c>
      <c r="E173" s="98">
        <v>2.0099999999999998</v>
      </c>
      <c r="F173" s="98">
        <f t="shared" si="24"/>
        <v>8.0399999999999999E-2</v>
      </c>
      <c r="G173" s="101">
        <f t="shared" si="33"/>
        <v>0.14069999999999999</v>
      </c>
      <c r="H173" s="101">
        <f t="shared" si="25"/>
        <v>0.1608</v>
      </c>
      <c r="I173" s="101">
        <f t="shared" si="26"/>
        <v>0.18089999999999998</v>
      </c>
      <c r="J173" s="101">
        <f t="shared" si="27"/>
        <v>0.22109999999999999</v>
      </c>
      <c r="K173" s="101">
        <f t="shared" si="28"/>
        <v>0.2412</v>
      </c>
      <c r="L173" s="101">
        <f t="shared" si="29"/>
        <v>0.26129999999999998</v>
      </c>
      <c r="M173" s="98">
        <f t="shared" si="30"/>
        <v>9.0909090909090899</v>
      </c>
      <c r="N173" s="98">
        <f t="shared" si="31"/>
        <v>8.3333333333333321</v>
      </c>
      <c r="O173" s="98">
        <f t="shared" si="32"/>
        <v>7.6923076923076925</v>
      </c>
    </row>
    <row r="174" spans="2:15" ht="15" customHeight="1" x14ac:dyDescent="0.25">
      <c r="B174" s="159"/>
      <c r="C174" s="96" t="s">
        <v>48</v>
      </c>
      <c r="D174" s="99">
        <v>2.0099999999999998</v>
      </c>
      <c r="E174" s="99">
        <v>2.0099999999999998</v>
      </c>
      <c r="F174" s="99">
        <f t="shared" si="24"/>
        <v>8.0399999999999999E-2</v>
      </c>
      <c r="G174" s="102">
        <f t="shared" si="33"/>
        <v>0.14069999999999999</v>
      </c>
      <c r="H174" s="102">
        <f t="shared" si="25"/>
        <v>0.1608</v>
      </c>
      <c r="I174" s="102">
        <f t="shared" si="26"/>
        <v>0.18089999999999998</v>
      </c>
      <c r="J174" s="102">
        <f t="shared" si="27"/>
        <v>0.22109999999999999</v>
      </c>
      <c r="K174" s="102">
        <f t="shared" si="28"/>
        <v>0.2412</v>
      </c>
      <c r="L174" s="102">
        <f t="shared" si="29"/>
        <v>0.26129999999999998</v>
      </c>
      <c r="M174" s="99">
        <f t="shared" si="30"/>
        <v>9.0909090909090899</v>
      </c>
      <c r="N174" s="99">
        <f t="shared" si="31"/>
        <v>8.3333333333333321</v>
      </c>
      <c r="O174" s="99">
        <f t="shared" si="32"/>
        <v>7.6923076923076925</v>
      </c>
    </row>
    <row r="175" spans="2:15" ht="15" customHeight="1" x14ac:dyDescent="0.25">
      <c r="B175" s="157">
        <v>1988</v>
      </c>
      <c r="C175" s="94" t="s">
        <v>36</v>
      </c>
      <c r="D175" s="97">
        <v>2.0099999999999998</v>
      </c>
      <c r="E175" s="97">
        <v>2.0099999999999998</v>
      </c>
      <c r="F175" s="97">
        <f t="shared" si="24"/>
        <v>8.0399999999999999E-2</v>
      </c>
      <c r="G175" s="100">
        <f t="shared" si="33"/>
        <v>0.14069999999999999</v>
      </c>
      <c r="H175" s="100">
        <f t="shared" si="25"/>
        <v>0.1608</v>
      </c>
      <c r="I175" s="100">
        <f t="shared" si="26"/>
        <v>0.18089999999999998</v>
      </c>
      <c r="J175" s="100">
        <f t="shared" si="27"/>
        <v>0.22109999999999999</v>
      </c>
      <c r="K175" s="100">
        <f t="shared" si="28"/>
        <v>0.2412</v>
      </c>
      <c r="L175" s="100">
        <f t="shared" si="29"/>
        <v>0.26129999999999998</v>
      </c>
      <c r="M175" s="97">
        <f t="shared" si="30"/>
        <v>9.0909090909090899</v>
      </c>
      <c r="N175" s="97">
        <f t="shared" si="31"/>
        <v>8.3333333333333321</v>
      </c>
      <c r="O175" s="97">
        <f t="shared" si="32"/>
        <v>7.6923076923076925</v>
      </c>
    </row>
    <row r="176" spans="2:15" ht="15" customHeight="1" x14ac:dyDescent="0.25">
      <c r="B176" s="158"/>
      <c r="C176" s="95" t="s">
        <v>38</v>
      </c>
      <c r="D176" s="98">
        <v>2.0099999999999998</v>
      </c>
      <c r="E176" s="98">
        <v>2.0099999999999998</v>
      </c>
      <c r="F176" s="98">
        <f t="shared" si="24"/>
        <v>8.0399999999999999E-2</v>
      </c>
      <c r="G176" s="101">
        <f t="shared" si="33"/>
        <v>0.14069999999999999</v>
      </c>
      <c r="H176" s="101">
        <f t="shared" si="25"/>
        <v>0.1608</v>
      </c>
      <c r="I176" s="101">
        <f t="shared" si="26"/>
        <v>0.18089999999999998</v>
      </c>
      <c r="J176" s="101">
        <f t="shared" si="27"/>
        <v>0.22109999999999999</v>
      </c>
      <c r="K176" s="101">
        <f t="shared" si="28"/>
        <v>0.2412</v>
      </c>
      <c r="L176" s="101">
        <f t="shared" si="29"/>
        <v>0.26129999999999998</v>
      </c>
      <c r="M176" s="98">
        <f t="shared" si="30"/>
        <v>9.0909090909090899</v>
      </c>
      <c r="N176" s="98">
        <f t="shared" si="31"/>
        <v>8.3333333333333321</v>
      </c>
      <c r="O176" s="98">
        <f t="shared" si="32"/>
        <v>7.6923076923076925</v>
      </c>
    </row>
    <row r="177" spans="2:15" ht="15" customHeight="1" x14ac:dyDescent="0.25">
      <c r="B177" s="158"/>
      <c r="C177" s="95" t="s">
        <v>39</v>
      </c>
      <c r="D177" s="98">
        <v>2.0099999999999998</v>
      </c>
      <c r="E177" s="98">
        <v>2.0099999999999998</v>
      </c>
      <c r="F177" s="98">
        <f t="shared" si="24"/>
        <v>8.0399999999999999E-2</v>
      </c>
      <c r="G177" s="101">
        <f t="shared" si="33"/>
        <v>0.14069999999999999</v>
      </c>
      <c r="H177" s="101">
        <f t="shared" si="25"/>
        <v>0.1608</v>
      </c>
      <c r="I177" s="101">
        <f t="shared" si="26"/>
        <v>0.18089999999999998</v>
      </c>
      <c r="J177" s="101">
        <f t="shared" si="27"/>
        <v>0.22109999999999999</v>
      </c>
      <c r="K177" s="101">
        <f t="shared" si="28"/>
        <v>0.2412</v>
      </c>
      <c r="L177" s="101">
        <f t="shared" si="29"/>
        <v>0.26129999999999998</v>
      </c>
      <c r="M177" s="98">
        <f t="shared" si="30"/>
        <v>9.0909090909090899</v>
      </c>
      <c r="N177" s="98">
        <f t="shared" si="31"/>
        <v>8.3333333333333321</v>
      </c>
      <c r="O177" s="98">
        <f t="shared" si="32"/>
        <v>7.6923076923076925</v>
      </c>
    </row>
    <row r="178" spans="2:15" ht="15" customHeight="1" x14ac:dyDescent="0.25">
      <c r="B178" s="158"/>
      <c r="C178" s="95" t="s">
        <v>40</v>
      </c>
      <c r="D178" s="98">
        <v>2.0099999999999998</v>
      </c>
      <c r="E178" s="98">
        <v>2.0099999999999998</v>
      </c>
      <c r="F178" s="98">
        <f t="shared" si="24"/>
        <v>8.0399999999999999E-2</v>
      </c>
      <c r="G178" s="101">
        <f t="shared" si="33"/>
        <v>0.14069999999999999</v>
      </c>
      <c r="H178" s="101">
        <f t="shared" si="25"/>
        <v>0.1608</v>
      </c>
      <c r="I178" s="101">
        <f t="shared" si="26"/>
        <v>0.18089999999999998</v>
      </c>
      <c r="J178" s="101">
        <f t="shared" si="27"/>
        <v>0.22109999999999999</v>
      </c>
      <c r="K178" s="101">
        <f t="shared" si="28"/>
        <v>0.2412</v>
      </c>
      <c r="L178" s="101">
        <f t="shared" si="29"/>
        <v>0.26129999999999998</v>
      </c>
      <c r="M178" s="98">
        <f t="shared" si="30"/>
        <v>9.0909090909090899</v>
      </c>
      <c r="N178" s="98">
        <f t="shared" si="31"/>
        <v>8.3333333333333321</v>
      </c>
      <c r="O178" s="98">
        <f t="shared" si="32"/>
        <v>7.6923076923076925</v>
      </c>
    </row>
    <row r="179" spans="2:15" ht="15" customHeight="1" x14ac:dyDescent="0.25">
      <c r="B179" s="158"/>
      <c r="C179" s="95" t="s">
        <v>41</v>
      </c>
      <c r="D179" s="98">
        <v>2.0099999999999998</v>
      </c>
      <c r="E179" s="98">
        <v>2.0099999999999998</v>
      </c>
      <c r="F179" s="98">
        <f t="shared" si="24"/>
        <v>8.0399999999999999E-2</v>
      </c>
      <c r="G179" s="101">
        <f t="shared" si="33"/>
        <v>0.14069999999999999</v>
      </c>
      <c r="H179" s="101">
        <f t="shared" si="25"/>
        <v>0.1608</v>
      </c>
      <c r="I179" s="101">
        <f t="shared" si="26"/>
        <v>0.18089999999999998</v>
      </c>
      <c r="J179" s="101">
        <f t="shared" si="27"/>
        <v>0.22109999999999999</v>
      </c>
      <c r="K179" s="101">
        <f t="shared" si="28"/>
        <v>0.2412</v>
      </c>
      <c r="L179" s="101">
        <f t="shared" si="29"/>
        <v>0.26129999999999998</v>
      </c>
      <c r="M179" s="98">
        <f t="shared" si="30"/>
        <v>9.0909090909090899</v>
      </c>
      <c r="N179" s="98">
        <f t="shared" si="31"/>
        <v>8.3333333333333321</v>
      </c>
      <c r="O179" s="98">
        <f t="shared" si="32"/>
        <v>7.6923076923076925</v>
      </c>
    </row>
    <row r="180" spans="2:15" ht="15" customHeight="1" x14ac:dyDescent="0.25">
      <c r="B180" s="158"/>
      <c r="C180" s="95" t="s">
        <v>42</v>
      </c>
      <c r="D180" s="98">
        <v>2.0099999999999998</v>
      </c>
      <c r="E180" s="98">
        <v>2.0099999999999998</v>
      </c>
      <c r="F180" s="98">
        <f t="shared" si="24"/>
        <v>8.0399999999999999E-2</v>
      </c>
      <c r="G180" s="101">
        <f t="shared" si="33"/>
        <v>0.14069999999999999</v>
      </c>
      <c r="H180" s="101">
        <f t="shared" si="25"/>
        <v>0.1608</v>
      </c>
      <c r="I180" s="101">
        <f t="shared" si="26"/>
        <v>0.18089999999999998</v>
      </c>
      <c r="J180" s="101">
        <f t="shared" si="27"/>
        <v>0.22109999999999999</v>
      </c>
      <c r="K180" s="101">
        <f t="shared" si="28"/>
        <v>0.2412</v>
      </c>
      <c r="L180" s="101">
        <f t="shared" si="29"/>
        <v>0.26129999999999998</v>
      </c>
      <c r="M180" s="98">
        <f t="shared" si="30"/>
        <v>9.0909090909090899</v>
      </c>
      <c r="N180" s="98">
        <f t="shared" si="31"/>
        <v>8.3333333333333321</v>
      </c>
      <c r="O180" s="98">
        <f t="shared" si="32"/>
        <v>7.6923076923076925</v>
      </c>
    </row>
    <row r="181" spans="2:15" ht="15" customHeight="1" x14ac:dyDescent="0.25">
      <c r="B181" s="158"/>
      <c r="C181" s="95" t="s">
        <v>43</v>
      </c>
      <c r="D181" s="98">
        <v>2.0099999999999998</v>
      </c>
      <c r="E181" s="98">
        <v>2.0099999999999998</v>
      </c>
      <c r="F181" s="98">
        <f t="shared" si="24"/>
        <v>8.0399999999999999E-2</v>
      </c>
      <c r="G181" s="101">
        <f t="shared" si="33"/>
        <v>0.14069999999999999</v>
      </c>
      <c r="H181" s="101">
        <f t="shared" si="25"/>
        <v>0.1608</v>
      </c>
      <c r="I181" s="101">
        <f t="shared" si="26"/>
        <v>0.18089999999999998</v>
      </c>
      <c r="J181" s="101">
        <f t="shared" si="27"/>
        <v>0.22109999999999999</v>
      </c>
      <c r="K181" s="101">
        <f t="shared" si="28"/>
        <v>0.2412</v>
      </c>
      <c r="L181" s="101">
        <f t="shared" si="29"/>
        <v>0.26129999999999998</v>
      </c>
      <c r="M181" s="98">
        <f t="shared" si="30"/>
        <v>9.0909090909090899</v>
      </c>
      <c r="N181" s="98">
        <f t="shared" si="31"/>
        <v>8.3333333333333321</v>
      </c>
      <c r="O181" s="98">
        <f t="shared" si="32"/>
        <v>7.6923076923076925</v>
      </c>
    </row>
    <row r="182" spans="2:15" ht="15" customHeight="1" x14ac:dyDescent="0.25">
      <c r="B182" s="158"/>
      <c r="C182" s="95" t="s">
        <v>44</v>
      </c>
      <c r="D182" s="98">
        <v>2.0099999999999998</v>
      </c>
      <c r="E182" s="98">
        <v>2.0099999999999998</v>
      </c>
      <c r="F182" s="98">
        <f t="shared" si="24"/>
        <v>8.0399999999999999E-2</v>
      </c>
      <c r="G182" s="101">
        <f t="shared" si="33"/>
        <v>0.14069999999999999</v>
      </c>
      <c r="H182" s="101">
        <f t="shared" si="25"/>
        <v>0.1608</v>
      </c>
      <c r="I182" s="101">
        <f t="shared" si="26"/>
        <v>0.18089999999999998</v>
      </c>
      <c r="J182" s="101">
        <f t="shared" si="27"/>
        <v>0.22109999999999999</v>
      </c>
      <c r="K182" s="101">
        <f t="shared" si="28"/>
        <v>0.2412</v>
      </c>
      <c r="L182" s="101">
        <f t="shared" si="29"/>
        <v>0.26129999999999998</v>
      </c>
      <c r="M182" s="98">
        <f t="shared" si="30"/>
        <v>9.0909090909090899</v>
      </c>
      <c r="N182" s="98">
        <f t="shared" si="31"/>
        <v>8.3333333333333321</v>
      </c>
      <c r="O182" s="98">
        <f t="shared" si="32"/>
        <v>7.6923076923076925</v>
      </c>
    </row>
    <row r="183" spans="2:15" ht="15" customHeight="1" x14ac:dyDescent="0.25">
      <c r="B183" s="158"/>
      <c r="C183" s="95" t="s">
        <v>45</v>
      </c>
      <c r="D183" s="98">
        <v>2.0099999999999998</v>
      </c>
      <c r="E183" s="98">
        <v>2.0099999999999998</v>
      </c>
      <c r="F183" s="98">
        <f t="shared" si="24"/>
        <v>8.0399999999999999E-2</v>
      </c>
      <c r="G183" s="101">
        <f t="shared" si="33"/>
        <v>0.14069999999999999</v>
      </c>
      <c r="H183" s="101">
        <f t="shared" si="25"/>
        <v>0.1608</v>
      </c>
      <c r="I183" s="101">
        <f t="shared" si="26"/>
        <v>0.18089999999999998</v>
      </c>
      <c r="J183" s="101">
        <f t="shared" si="27"/>
        <v>0.22109999999999999</v>
      </c>
      <c r="K183" s="101">
        <f t="shared" si="28"/>
        <v>0.2412</v>
      </c>
      <c r="L183" s="101">
        <f t="shared" si="29"/>
        <v>0.26129999999999998</v>
      </c>
      <c r="M183" s="98">
        <f t="shared" si="30"/>
        <v>9.0909090909090899</v>
      </c>
      <c r="N183" s="98">
        <f t="shared" si="31"/>
        <v>8.3333333333333321</v>
      </c>
      <c r="O183" s="98">
        <f t="shared" si="32"/>
        <v>7.6923076923076925</v>
      </c>
    </row>
    <row r="184" spans="2:15" ht="15" customHeight="1" x14ac:dyDescent="0.25">
      <c r="B184" s="158"/>
      <c r="C184" s="95" t="s">
        <v>46</v>
      </c>
      <c r="D184" s="98">
        <v>2.0099999999999998</v>
      </c>
      <c r="E184" s="98">
        <v>2.0099999999999998</v>
      </c>
      <c r="F184" s="98">
        <f t="shared" si="24"/>
        <v>8.0399999999999999E-2</v>
      </c>
      <c r="G184" s="101">
        <f t="shared" si="33"/>
        <v>0.14069999999999999</v>
      </c>
      <c r="H184" s="101">
        <f t="shared" si="25"/>
        <v>0.1608</v>
      </c>
      <c r="I184" s="101">
        <f t="shared" si="26"/>
        <v>0.18089999999999998</v>
      </c>
      <c r="J184" s="101">
        <f t="shared" si="27"/>
        <v>0.22109999999999999</v>
      </c>
      <c r="K184" s="101">
        <f t="shared" si="28"/>
        <v>0.2412</v>
      </c>
      <c r="L184" s="101">
        <f t="shared" si="29"/>
        <v>0.26129999999999998</v>
      </c>
      <c r="M184" s="98">
        <f t="shared" si="30"/>
        <v>9.0909090909090899</v>
      </c>
      <c r="N184" s="98">
        <f t="shared" si="31"/>
        <v>8.3333333333333321</v>
      </c>
      <c r="O184" s="98">
        <f t="shared" si="32"/>
        <v>7.6923076923076925</v>
      </c>
    </row>
    <row r="185" spans="2:15" ht="15" customHeight="1" x14ac:dyDescent="0.25">
      <c r="B185" s="158"/>
      <c r="C185" s="95" t="s">
        <v>47</v>
      </c>
      <c r="D185" s="98">
        <v>2.0099999999999998</v>
      </c>
      <c r="E185" s="98">
        <v>2.0099999999999998</v>
      </c>
      <c r="F185" s="98">
        <f t="shared" si="24"/>
        <v>8.0399999999999999E-2</v>
      </c>
      <c r="G185" s="101">
        <f t="shared" si="33"/>
        <v>0.14069999999999999</v>
      </c>
      <c r="H185" s="101">
        <f t="shared" si="25"/>
        <v>0.1608</v>
      </c>
      <c r="I185" s="101">
        <f t="shared" si="26"/>
        <v>0.18089999999999998</v>
      </c>
      <c r="J185" s="101">
        <f t="shared" si="27"/>
        <v>0.22109999999999999</v>
      </c>
      <c r="K185" s="101">
        <f t="shared" si="28"/>
        <v>0.2412</v>
      </c>
      <c r="L185" s="101">
        <f t="shared" si="29"/>
        <v>0.26129999999999998</v>
      </c>
      <c r="M185" s="98">
        <f t="shared" si="30"/>
        <v>9.0909090909090899</v>
      </c>
      <c r="N185" s="98">
        <f t="shared" si="31"/>
        <v>8.3333333333333321</v>
      </c>
      <c r="O185" s="98">
        <f t="shared" si="32"/>
        <v>7.6923076923076925</v>
      </c>
    </row>
    <row r="186" spans="2:15" ht="15" customHeight="1" x14ac:dyDescent="0.25">
      <c r="B186" s="159"/>
      <c r="C186" s="96" t="s">
        <v>48</v>
      </c>
      <c r="D186" s="99">
        <v>2.0099999999999998</v>
      </c>
      <c r="E186" s="99">
        <v>2.0099999999999998</v>
      </c>
      <c r="F186" s="99">
        <f t="shared" si="24"/>
        <v>8.0399999999999999E-2</v>
      </c>
      <c r="G186" s="102">
        <f t="shared" si="33"/>
        <v>0.14069999999999999</v>
      </c>
      <c r="H186" s="102">
        <f t="shared" si="25"/>
        <v>0.1608</v>
      </c>
      <c r="I186" s="102">
        <f t="shared" si="26"/>
        <v>0.18089999999999998</v>
      </c>
      <c r="J186" s="102">
        <f t="shared" si="27"/>
        <v>0.22109999999999999</v>
      </c>
      <c r="K186" s="102">
        <f t="shared" si="28"/>
        <v>0.2412</v>
      </c>
      <c r="L186" s="102">
        <f t="shared" si="29"/>
        <v>0.26129999999999998</v>
      </c>
      <c r="M186" s="99">
        <f t="shared" si="30"/>
        <v>9.0909090909090899</v>
      </c>
      <c r="N186" s="99">
        <f t="shared" si="31"/>
        <v>8.3333333333333321</v>
      </c>
      <c r="O186" s="99">
        <f t="shared" si="32"/>
        <v>7.6923076923076925</v>
      </c>
    </row>
    <row r="187" spans="2:15" ht="15" customHeight="1" x14ac:dyDescent="0.25">
      <c r="B187" s="157">
        <v>1989</v>
      </c>
      <c r="C187" s="94" t="s">
        <v>36</v>
      </c>
      <c r="D187" s="97">
        <v>2.0099999999999998</v>
      </c>
      <c r="E187" s="97">
        <v>2.0099999999999998</v>
      </c>
      <c r="F187" s="97">
        <f t="shared" si="24"/>
        <v>8.0399999999999999E-2</v>
      </c>
      <c r="G187" s="100">
        <f t="shared" si="33"/>
        <v>0.14069999999999999</v>
      </c>
      <c r="H187" s="100">
        <f t="shared" si="25"/>
        <v>0.1608</v>
      </c>
      <c r="I187" s="100">
        <f t="shared" si="26"/>
        <v>0.18089999999999998</v>
      </c>
      <c r="J187" s="100">
        <f t="shared" si="27"/>
        <v>0.22109999999999999</v>
      </c>
      <c r="K187" s="100">
        <f t="shared" si="28"/>
        <v>0.2412</v>
      </c>
      <c r="L187" s="100">
        <f t="shared" si="29"/>
        <v>0.26129999999999998</v>
      </c>
      <c r="M187" s="97">
        <f t="shared" si="30"/>
        <v>9.0909090909090899</v>
      </c>
      <c r="N187" s="97">
        <f t="shared" si="31"/>
        <v>8.3333333333333321</v>
      </c>
      <c r="O187" s="97">
        <f t="shared" si="32"/>
        <v>7.6923076923076925</v>
      </c>
    </row>
    <row r="188" spans="2:15" ht="15" customHeight="1" x14ac:dyDescent="0.25">
      <c r="B188" s="158"/>
      <c r="C188" s="95" t="s">
        <v>38</v>
      </c>
      <c r="D188" s="98">
        <v>2.0099999999999998</v>
      </c>
      <c r="E188" s="98">
        <v>2.0099999999999998</v>
      </c>
      <c r="F188" s="98">
        <f t="shared" si="24"/>
        <v>8.0399999999999999E-2</v>
      </c>
      <c r="G188" s="101">
        <f t="shared" si="33"/>
        <v>0.14069999999999999</v>
      </c>
      <c r="H188" s="101">
        <f t="shared" si="25"/>
        <v>0.1608</v>
      </c>
      <c r="I188" s="101">
        <f t="shared" si="26"/>
        <v>0.18089999999999998</v>
      </c>
      <c r="J188" s="101">
        <f t="shared" si="27"/>
        <v>0.22109999999999999</v>
      </c>
      <c r="K188" s="101">
        <f t="shared" si="28"/>
        <v>0.2412</v>
      </c>
      <c r="L188" s="101">
        <f t="shared" si="29"/>
        <v>0.26129999999999998</v>
      </c>
      <c r="M188" s="98">
        <f t="shared" si="30"/>
        <v>9.0909090909090899</v>
      </c>
      <c r="N188" s="98">
        <f t="shared" si="31"/>
        <v>8.3333333333333321</v>
      </c>
      <c r="O188" s="98">
        <f t="shared" si="32"/>
        <v>7.6923076923076925</v>
      </c>
    </row>
    <row r="189" spans="2:15" ht="15" customHeight="1" x14ac:dyDescent="0.25">
      <c r="B189" s="158"/>
      <c r="C189" s="95" t="s">
        <v>39</v>
      </c>
      <c r="D189" s="98">
        <v>2.0099999999999998</v>
      </c>
      <c r="E189" s="98">
        <v>2.0099999999999998</v>
      </c>
      <c r="F189" s="98">
        <f t="shared" si="24"/>
        <v>8.0399999999999999E-2</v>
      </c>
      <c r="G189" s="101">
        <f t="shared" si="33"/>
        <v>0.14069999999999999</v>
      </c>
      <c r="H189" s="101">
        <f t="shared" si="25"/>
        <v>0.1608</v>
      </c>
      <c r="I189" s="101">
        <f t="shared" si="26"/>
        <v>0.18089999999999998</v>
      </c>
      <c r="J189" s="101">
        <f t="shared" si="27"/>
        <v>0.22109999999999999</v>
      </c>
      <c r="K189" s="101">
        <f t="shared" si="28"/>
        <v>0.2412</v>
      </c>
      <c r="L189" s="101">
        <f t="shared" si="29"/>
        <v>0.26129999999999998</v>
      </c>
      <c r="M189" s="98">
        <f t="shared" si="30"/>
        <v>9.0909090909090899</v>
      </c>
      <c r="N189" s="98">
        <f t="shared" si="31"/>
        <v>8.3333333333333321</v>
      </c>
      <c r="O189" s="98">
        <f t="shared" si="32"/>
        <v>7.6923076923076925</v>
      </c>
    </row>
    <row r="190" spans="2:15" ht="15" customHeight="1" x14ac:dyDescent="0.25">
      <c r="B190" s="158"/>
      <c r="C190" s="95" t="s">
        <v>40</v>
      </c>
      <c r="D190" s="98">
        <v>4</v>
      </c>
      <c r="E190" s="98">
        <v>4</v>
      </c>
      <c r="F190" s="98">
        <f t="shared" si="24"/>
        <v>0.16</v>
      </c>
      <c r="G190" s="101">
        <f t="shared" si="33"/>
        <v>0.28000000000000003</v>
      </c>
      <c r="H190" s="101">
        <f t="shared" si="25"/>
        <v>0.32</v>
      </c>
      <c r="I190" s="101">
        <f t="shared" si="26"/>
        <v>0.36</v>
      </c>
      <c r="J190" s="101">
        <f t="shared" si="27"/>
        <v>0.44000000000000006</v>
      </c>
      <c r="K190" s="101">
        <f t="shared" si="28"/>
        <v>0.48</v>
      </c>
      <c r="L190" s="101">
        <f t="shared" si="29"/>
        <v>0.52</v>
      </c>
      <c r="M190" s="98">
        <f t="shared" si="30"/>
        <v>9.0909090909090899</v>
      </c>
      <c r="N190" s="98">
        <f t="shared" si="31"/>
        <v>8.3333333333333339</v>
      </c>
      <c r="O190" s="98">
        <f t="shared" si="32"/>
        <v>7.6923076923076916</v>
      </c>
    </row>
    <row r="191" spans="2:15" ht="15" customHeight="1" x14ac:dyDescent="0.25">
      <c r="B191" s="158"/>
      <c r="C191" s="95" t="s">
        <v>41</v>
      </c>
      <c r="D191" s="98">
        <v>4</v>
      </c>
      <c r="E191" s="98">
        <v>4</v>
      </c>
      <c r="F191" s="98">
        <f t="shared" si="24"/>
        <v>0.16</v>
      </c>
      <c r="G191" s="101">
        <f t="shared" si="33"/>
        <v>0.28000000000000003</v>
      </c>
      <c r="H191" s="101">
        <f t="shared" si="25"/>
        <v>0.32</v>
      </c>
      <c r="I191" s="101">
        <f t="shared" si="26"/>
        <v>0.36</v>
      </c>
      <c r="J191" s="101">
        <f t="shared" si="27"/>
        <v>0.44000000000000006</v>
      </c>
      <c r="K191" s="101">
        <f t="shared" si="28"/>
        <v>0.48</v>
      </c>
      <c r="L191" s="101">
        <f t="shared" si="29"/>
        <v>0.52</v>
      </c>
      <c r="M191" s="98">
        <f t="shared" si="30"/>
        <v>9.0909090909090899</v>
      </c>
      <c r="N191" s="98">
        <f t="shared" si="31"/>
        <v>8.3333333333333339</v>
      </c>
      <c r="O191" s="98">
        <f t="shared" si="32"/>
        <v>7.6923076923076916</v>
      </c>
    </row>
    <row r="192" spans="2:15" ht="15" customHeight="1" x14ac:dyDescent="0.25">
      <c r="B192" s="158"/>
      <c r="C192" s="95" t="s">
        <v>42</v>
      </c>
      <c r="D192" s="98">
        <v>4</v>
      </c>
      <c r="E192" s="98">
        <v>4</v>
      </c>
      <c r="F192" s="98">
        <f t="shared" si="24"/>
        <v>0.16</v>
      </c>
      <c r="G192" s="101">
        <f t="shared" si="33"/>
        <v>0.28000000000000003</v>
      </c>
      <c r="H192" s="101">
        <f t="shared" si="25"/>
        <v>0.32</v>
      </c>
      <c r="I192" s="101">
        <f t="shared" si="26"/>
        <v>0.36</v>
      </c>
      <c r="J192" s="101">
        <f t="shared" si="27"/>
        <v>0.44000000000000006</v>
      </c>
      <c r="K192" s="101">
        <f t="shared" si="28"/>
        <v>0.48</v>
      </c>
      <c r="L192" s="101">
        <f t="shared" si="29"/>
        <v>0.52</v>
      </c>
      <c r="M192" s="98">
        <f t="shared" si="30"/>
        <v>9.0909090909090899</v>
      </c>
      <c r="N192" s="98">
        <f t="shared" si="31"/>
        <v>8.3333333333333339</v>
      </c>
      <c r="O192" s="98">
        <f t="shared" si="32"/>
        <v>7.6923076923076916</v>
      </c>
    </row>
    <row r="193" spans="2:15" ht="15" customHeight="1" x14ac:dyDescent="0.25">
      <c r="B193" s="158"/>
      <c r="C193" s="95" t="s">
        <v>43</v>
      </c>
      <c r="D193" s="98">
        <v>4</v>
      </c>
      <c r="E193" s="98">
        <v>4</v>
      </c>
      <c r="F193" s="98">
        <f t="shared" si="24"/>
        <v>0.16</v>
      </c>
      <c r="G193" s="101">
        <f t="shared" si="33"/>
        <v>0.28000000000000003</v>
      </c>
      <c r="H193" s="101">
        <f t="shared" si="25"/>
        <v>0.32</v>
      </c>
      <c r="I193" s="101">
        <f t="shared" si="26"/>
        <v>0.36</v>
      </c>
      <c r="J193" s="101">
        <f t="shared" si="27"/>
        <v>0.44000000000000006</v>
      </c>
      <c r="K193" s="101">
        <f t="shared" si="28"/>
        <v>0.48</v>
      </c>
      <c r="L193" s="101">
        <f t="shared" si="29"/>
        <v>0.52</v>
      </c>
      <c r="M193" s="98">
        <f t="shared" si="30"/>
        <v>9.0909090909090899</v>
      </c>
      <c r="N193" s="98">
        <f t="shared" si="31"/>
        <v>8.3333333333333339</v>
      </c>
      <c r="O193" s="98">
        <f t="shared" si="32"/>
        <v>7.6923076923076916</v>
      </c>
    </row>
    <row r="194" spans="2:15" ht="15" customHeight="1" x14ac:dyDescent="0.25">
      <c r="B194" s="158"/>
      <c r="C194" s="95" t="s">
        <v>44</v>
      </c>
      <c r="D194" s="98">
        <v>4</v>
      </c>
      <c r="E194" s="98">
        <v>4</v>
      </c>
      <c r="F194" s="98">
        <f t="shared" si="24"/>
        <v>0.16</v>
      </c>
      <c r="G194" s="101">
        <f t="shared" si="33"/>
        <v>0.28000000000000003</v>
      </c>
      <c r="H194" s="101">
        <f t="shared" si="25"/>
        <v>0.32</v>
      </c>
      <c r="I194" s="101">
        <f t="shared" si="26"/>
        <v>0.36</v>
      </c>
      <c r="J194" s="101">
        <f t="shared" si="27"/>
        <v>0.44000000000000006</v>
      </c>
      <c r="K194" s="101">
        <f t="shared" si="28"/>
        <v>0.48</v>
      </c>
      <c r="L194" s="101">
        <f t="shared" si="29"/>
        <v>0.52</v>
      </c>
      <c r="M194" s="98">
        <f t="shared" si="30"/>
        <v>9.0909090909090899</v>
      </c>
      <c r="N194" s="98">
        <f t="shared" si="31"/>
        <v>8.3333333333333339</v>
      </c>
      <c r="O194" s="98">
        <f t="shared" si="32"/>
        <v>7.6923076923076916</v>
      </c>
    </row>
    <row r="195" spans="2:15" ht="15" customHeight="1" x14ac:dyDescent="0.25">
      <c r="B195" s="158"/>
      <c r="C195" s="95" t="s">
        <v>45</v>
      </c>
      <c r="D195" s="98">
        <v>4</v>
      </c>
      <c r="E195" s="98">
        <v>4</v>
      </c>
      <c r="F195" s="98">
        <f t="shared" si="24"/>
        <v>0.16</v>
      </c>
      <c r="G195" s="101">
        <f t="shared" si="33"/>
        <v>0.28000000000000003</v>
      </c>
      <c r="H195" s="101">
        <f t="shared" si="25"/>
        <v>0.32</v>
      </c>
      <c r="I195" s="101">
        <f t="shared" si="26"/>
        <v>0.36</v>
      </c>
      <c r="J195" s="101">
        <f t="shared" si="27"/>
        <v>0.44000000000000006</v>
      </c>
      <c r="K195" s="101">
        <f t="shared" si="28"/>
        <v>0.48</v>
      </c>
      <c r="L195" s="101">
        <f t="shared" si="29"/>
        <v>0.52</v>
      </c>
      <c r="M195" s="98">
        <f t="shared" si="30"/>
        <v>9.0909090909090899</v>
      </c>
      <c r="N195" s="98">
        <f t="shared" si="31"/>
        <v>8.3333333333333339</v>
      </c>
      <c r="O195" s="98">
        <f t="shared" si="32"/>
        <v>7.6923076923076916</v>
      </c>
    </row>
    <row r="196" spans="2:15" ht="15" customHeight="1" x14ac:dyDescent="0.25">
      <c r="B196" s="158"/>
      <c r="C196" s="95" t="s">
        <v>46</v>
      </c>
      <c r="D196" s="98">
        <v>4</v>
      </c>
      <c r="E196" s="98">
        <v>4</v>
      </c>
      <c r="F196" s="98">
        <f t="shared" si="24"/>
        <v>0.16</v>
      </c>
      <c r="G196" s="101">
        <f t="shared" si="33"/>
        <v>0.28000000000000003</v>
      </c>
      <c r="H196" s="101">
        <f t="shared" si="25"/>
        <v>0.32</v>
      </c>
      <c r="I196" s="101">
        <f t="shared" si="26"/>
        <v>0.36</v>
      </c>
      <c r="J196" s="101">
        <f t="shared" si="27"/>
        <v>0.44000000000000006</v>
      </c>
      <c r="K196" s="101">
        <f t="shared" si="28"/>
        <v>0.48</v>
      </c>
      <c r="L196" s="101">
        <f t="shared" si="29"/>
        <v>0.52</v>
      </c>
      <c r="M196" s="98">
        <f t="shared" si="30"/>
        <v>9.0909090909090899</v>
      </c>
      <c r="N196" s="98">
        <f t="shared" si="31"/>
        <v>8.3333333333333339</v>
      </c>
      <c r="O196" s="98">
        <f t="shared" si="32"/>
        <v>7.6923076923076916</v>
      </c>
    </row>
    <row r="197" spans="2:15" ht="15" customHeight="1" x14ac:dyDescent="0.25">
      <c r="B197" s="158"/>
      <c r="C197" s="95" t="s">
        <v>47</v>
      </c>
      <c r="D197" s="98">
        <v>4</v>
      </c>
      <c r="E197" s="98">
        <v>4</v>
      </c>
      <c r="F197" s="98">
        <f t="shared" si="24"/>
        <v>0.16</v>
      </c>
      <c r="G197" s="101">
        <f t="shared" si="33"/>
        <v>0.28000000000000003</v>
      </c>
      <c r="H197" s="101">
        <f t="shared" si="25"/>
        <v>0.32</v>
      </c>
      <c r="I197" s="101">
        <f t="shared" si="26"/>
        <v>0.36</v>
      </c>
      <c r="J197" s="101">
        <f t="shared" si="27"/>
        <v>0.44000000000000006</v>
      </c>
      <c r="K197" s="101">
        <f t="shared" si="28"/>
        <v>0.48</v>
      </c>
      <c r="L197" s="101">
        <f t="shared" si="29"/>
        <v>0.52</v>
      </c>
      <c r="M197" s="98">
        <f t="shared" si="30"/>
        <v>9.0909090909090899</v>
      </c>
      <c r="N197" s="98">
        <f t="shared" si="31"/>
        <v>8.3333333333333339</v>
      </c>
      <c r="O197" s="98">
        <f t="shared" si="32"/>
        <v>7.6923076923076916</v>
      </c>
    </row>
    <row r="198" spans="2:15" ht="15" customHeight="1" x14ac:dyDescent="0.25">
      <c r="B198" s="159"/>
      <c r="C198" s="96" t="s">
        <v>48</v>
      </c>
      <c r="D198" s="99">
        <v>4</v>
      </c>
      <c r="E198" s="99">
        <v>4</v>
      </c>
      <c r="F198" s="99">
        <f t="shared" si="24"/>
        <v>0.16</v>
      </c>
      <c r="G198" s="102">
        <f t="shared" si="33"/>
        <v>0.28000000000000003</v>
      </c>
      <c r="H198" s="102">
        <f t="shared" si="25"/>
        <v>0.32</v>
      </c>
      <c r="I198" s="102">
        <f t="shared" si="26"/>
        <v>0.36</v>
      </c>
      <c r="J198" s="102">
        <f t="shared" si="27"/>
        <v>0.44000000000000006</v>
      </c>
      <c r="K198" s="102">
        <f t="shared" si="28"/>
        <v>0.48</v>
      </c>
      <c r="L198" s="102">
        <f t="shared" si="29"/>
        <v>0.52</v>
      </c>
      <c r="M198" s="99">
        <f t="shared" si="30"/>
        <v>9.0909090909090899</v>
      </c>
      <c r="N198" s="99">
        <f t="shared" si="31"/>
        <v>8.3333333333333339</v>
      </c>
      <c r="O198" s="99">
        <f t="shared" si="32"/>
        <v>7.6923076923076916</v>
      </c>
    </row>
    <row r="199" spans="2:15" ht="15" customHeight="1" x14ac:dyDescent="0.25">
      <c r="B199" s="157">
        <v>1990</v>
      </c>
      <c r="C199" s="94" t="s">
        <v>36</v>
      </c>
      <c r="D199" s="97">
        <v>4</v>
      </c>
      <c r="E199" s="97">
        <v>4</v>
      </c>
      <c r="F199" s="97">
        <f t="shared" si="24"/>
        <v>0.16</v>
      </c>
      <c r="G199" s="100">
        <f t="shared" si="33"/>
        <v>0.28000000000000003</v>
      </c>
      <c r="H199" s="100">
        <f t="shared" si="25"/>
        <v>0.32</v>
      </c>
      <c r="I199" s="100">
        <f t="shared" si="26"/>
        <v>0.36</v>
      </c>
      <c r="J199" s="100">
        <f t="shared" si="27"/>
        <v>0.44000000000000006</v>
      </c>
      <c r="K199" s="100">
        <f t="shared" si="28"/>
        <v>0.48</v>
      </c>
      <c r="L199" s="100">
        <f t="shared" si="29"/>
        <v>0.52</v>
      </c>
      <c r="M199" s="97">
        <f t="shared" si="30"/>
        <v>9.0909090909090899</v>
      </c>
      <c r="N199" s="97">
        <f t="shared" si="31"/>
        <v>8.3333333333333339</v>
      </c>
      <c r="O199" s="97">
        <f t="shared" si="32"/>
        <v>7.6923076923076916</v>
      </c>
    </row>
    <row r="200" spans="2:15" ht="15" customHeight="1" x14ac:dyDescent="0.25">
      <c r="B200" s="158"/>
      <c r="C200" s="95" t="s">
        <v>38</v>
      </c>
      <c r="D200" s="98">
        <v>4</v>
      </c>
      <c r="E200" s="98">
        <v>4</v>
      </c>
      <c r="F200" s="98">
        <f t="shared" si="24"/>
        <v>0.16</v>
      </c>
      <c r="G200" s="101">
        <f t="shared" si="33"/>
        <v>0.28000000000000003</v>
      </c>
      <c r="H200" s="101">
        <f t="shared" si="25"/>
        <v>0.32</v>
      </c>
      <c r="I200" s="101">
        <f t="shared" si="26"/>
        <v>0.36</v>
      </c>
      <c r="J200" s="101">
        <f t="shared" si="27"/>
        <v>0.44000000000000006</v>
      </c>
      <c r="K200" s="101">
        <f t="shared" si="28"/>
        <v>0.48</v>
      </c>
      <c r="L200" s="101">
        <f t="shared" si="29"/>
        <v>0.52</v>
      </c>
      <c r="M200" s="98">
        <f t="shared" si="30"/>
        <v>9.0909090909090899</v>
      </c>
      <c r="N200" s="98">
        <f t="shared" si="31"/>
        <v>8.3333333333333339</v>
      </c>
      <c r="O200" s="98">
        <f t="shared" si="32"/>
        <v>7.6923076923076916</v>
      </c>
    </row>
    <row r="201" spans="2:15" ht="15" customHeight="1" x14ac:dyDescent="0.25">
      <c r="B201" s="158"/>
      <c r="C201" s="95" t="s">
        <v>39</v>
      </c>
      <c r="D201" s="98">
        <v>4</v>
      </c>
      <c r="E201" s="98">
        <v>4</v>
      </c>
      <c r="F201" s="98">
        <f t="shared" si="24"/>
        <v>0.16</v>
      </c>
      <c r="G201" s="101">
        <f t="shared" si="33"/>
        <v>0.28000000000000003</v>
      </c>
      <c r="H201" s="101">
        <f t="shared" si="25"/>
        <v>0.32</v>
      </c>
      <c r="I201" s="101">
        <f t="shared" si="26"/>
        <v>0.36</v>
      </c>
      <c r="J201" s="101">
        <f t="shared" si="27"/>
        <v>0.44000000000000006</v>
      </c>
      <c r="K201" s="101">
        <f t="shared" si="28"/>
        <v>0.48</v>
      </c>
      <c r="L201" s="101">
        <f t="shared" si="29"/>
        <v>0.52</v>
      </c>
      <c r="M201" s="98">
        <f t="shared" si="30"/>
        <v>9.0909090909090899</v>
      </c>
      <c r="N201" s="98">
        <f t="shared" si="31"/>
        <v>8.3333333333333339</v>
      </c>
      <c r="O201" s="98">
        <f t="shared" si="32"/>
        <v>7.6923076923076916</v>
      </c>
    </row>
    <row r="202" spans="2:15" ht="15" customHeight="1" x14ac:dyDescent="0.25">
      <c r="B202" s="158"/>
      <c r="C202" s="95" t="s">
        <v>40</v>
      </c>
      <c r="D202" s="98">
        <v>4</v>
      </c>
      <c r="E202" s="98">
        <v>4</v>
      </c>
      <c r="F202" s="98">
        <f t="shared" si="24"/>
        <v>0.16</v>
      </c>
      <c r="G202" s="101">
        <f t="shared" si="33"/>
        <v>0.28000000000000003</v>
      </c>
      <c r="H202" s="101">
        <f t="shared" si="25"/>
        <v>0.32</v>
      </c>
      <c r="I202" s="101">
        <f t="shared" si="26"/>
        <v>0.36</v>
      </c>
      <c r="J202" s="101">
        <f t="shared" si="27"/>
        <v>0.44000000000000006</v>
      </c>
      <c r="K202" s="101">
        <f t="shared" si="28"/>
        <v>0.48</v>
      </c>
      <c r="L202" s="101">
        <f t="shared" si="29"/>
        <v>0.52</v>
      </c>
      <c r="M202" s="98">
        <f t="shared" si="30"/>
        <v>9.0909090909090899</v>
      </c>
      <c r="N202" s="98">
        <f t="shared" si="31"/>
        <v>8.3333333333333339</v>
      </c>
      <c r="O202" s="98">
        <f t="shared" si="32"/>
        <v>7.6923076923076916</v>
      </c>
    </row>
    <row r="203" spans="2:15" ht="15" customHeight="1" x14ac:dyDescent="0.25">
      <c r="B203" s="158"/>
      <c r="C203" s="95" t="s">
        <v>41</v>
      </c>
      <c r="D203" s="98">
        <v>4</v>
      </c>
      <c r="E203" s="98">
        <v>4</v>
      </c>
      <c r="F203" s="98">
        <f t="shared" si="24"/>
        <v>0.16</v>
      </c>
      <c r="G203" s="101">
        <f t="shared" si="33"/>
        <v>0.28000000000000003</v>
      </c>
      <c r="H203" s="101">
        <f t="shared" si="25"/>
        <v>0.32</v>
      </c>
      <c r="I203" s="101">
        <f t="shared" si="26"/>
        <v>0.36</v>
      </c>
      <c r="J203" s="101">
        <f t="shared" si="27"/>
        <v>0.44000000000000006</v>
      </c>
      <c r="K203" s="101">
        <f t="shared" si="28"/>
        <v>0.48</v>
      </c>
      <c r="L203" s="101">
        <f t="shared" si="29"/>
        <v>0.52</v>
      </c>
      <c r="M203" s="98">
        <f t="shared" si="30"/>
        <v>9.0909090909090899</v>
      </c>
      <c r="N203" s="98">
        <f t="shared" si="31"/>
        <v>8.3333333333333339</v>
      </c>
      <c r="O203" s="98">
        <f t="shared" si="32"/>
        <v>7.6923076923076916</v>
      </c>
    </row>
    <row r="204" spans="2:15" ht="15" customHeight="1" x14ac:dyDescent="0.25">
      <c r="B204" s="158"/>
      <c r="C204" s="95" t="s">
        <v>42</v>
      </c>
      <c r="D204" s="98">
        <v>4</v>
      </c>
      <c r="E204" s="98">
        <v>4</v>
      </c>
      <c r="F204" s="98">
        <f t="shared" si="24"/>
        <v>0.16</v>
      </c>
      <c r="G204" s="101">
        <f t="shared" si="33"/>
        <v>0.28000000000000003</v>
      </c>
      <c r="H204" s="101">
        <f t="shared" si="25"/>
        <v>0.32</v>
      </c>
      <c r="I204" s="101">
        <f t="shared" si="26"/>
        <v>0.36</v>
      </c>
      <c r="J204" s="101">
        <f t="shared" si="27"/>
        <v>0.44000000000000006</v>
      </c>
      <c r="K204" s="101">
        <f t="shared" si="28"/>
        <v>0.48</v>
      </c>
      <c r="L204" s="101">
        <f t="shared" si="29"/>
        <v>0.52</v>
      </c>
      <c r="M204" s="98">
        <f t="shared" si="30"/>
        <v>9.0909090909090899</v>
      </c>
      <c r="N204" s="98">
        <f t="shared" si="31"/>
        <v>8.3333333333333339</v>
      </c>
      <c r="O204" s="98">
        <f t="shared" si="32"/>
        <v>7.6923076923076916</v>
      </c>
    </row>
    <row r="205" spans="2:15" ht="15" customHeight="1" x14ac:dyDescent="0.25">
      <c r="B205" s="158"/>
      <c r="C205" s="95" t="s">
        <v>43</v>
      </c>
      <c r="D205" s="98">
        <v>4</v>
      </c>
      <c r="E205" s="98">
        <v>4</v>
      </c>
      <c r="F205" s="98">
        <f t="shared" ref="F205:F268" si="34">+D205*4%</f>
        <v>0.16</v>
      </c>
      <c r="G205" s="101">
        <f t="shared" si="33"/>
        <v>0.28000000000000003</v>
      </c>
      <c r="H205" s="101">
        <f t="shared" ref="H205:H268" si="35">+D205*8%</f>
        <v>0.32</v>
      </c>
      <c r="I205" s="101">
        <f t="shared" ref="I205:I268" si="36">+D205*9%</f>
        <v>0.36</v>
      </c>
      <c r="J205" s="101">
        <f t="shared" ref="J205:J268" si="37">+F205+G205</f>
        <v>0.44000000000000006</v>
      </c>
      <c r="K205" s="101">
        <f t="shared" ref="K205:K268" si="38">+F205+H205</f>
        <v>0.48</v>
      </c>
      <c r="L205" s="101">
        <f t="shared" ref="L205:L268" si="39">+F205+I205</f>
        <v>0.52</v>
      </c>
      <c r="M205" s="98">
        <f t="shared" ref="M205:M268" si="40">+E205/J205</f>
        <v>9.0909090909090899</v>
      </c>
      <c r="N205" s="98">
        <f t="shared" ref="N205:N268" si="41">+E205/K205</f>
        <v>8.3333333333333339</v>
      </c>
      <c r="O205" s="98">
        <f t="shared" ref="O205:O268" si="42">+E205/L205</f>
        <v>7.6923076923076916</v>
      </c>
    </row>
    <row r="206" spans="2:15" ht="15" customHeight="1" x14ac:dyDescent="0.25">
      <c r="B206" s="158"/>
      <c r="C206" s="95" t="s">
        <v>44</v>
      </c>
      <c r="D206" s="98">
        <v>4</v>
      </c>
      <c r="E206" s="98">
        <v>4</v>
      </c>
      <c r="F206" s="98">
        <f t="shared" si="34"/>
        <v>0.16</v>
      </c>
      <c r="G206" s="101">
        <f t="shared" ref="G206:G269" si="43">+D206*7%</f>
        <v>0.28000000000000003</v>
      </c>
      <c r="H206" s="101">
        <f t="shared" si="35"/>
        <v>0.32</v>
      </c>
      <c r="I206" s="101">
        <f t="shared" si="36"/>
        <v>0.36</v>
      </c>
      <c r="J206" s="101">
        <f t="shared" si="37"/>
        <v>0.44000000000000006</v>
      </c>
      <c r="K206" s="101">
        <f t="shared" si="38"/>
        <v>0.48</v>
      </c>
      <c r="L206" s="101">
        <f t="shared" si="39"/>
        <v>0.52</v>
      </c>
      <c r="M206" s="98">
        <f t="shared" si="40"/>
        <v>9.0909090909090899</v>
      </c>
      <c r="N206" s="98">
        <f t="shared" si="41"/>
        <v>8.3333333333333339</v>
      </c>
      <c r="O206" s="98">
        <f t="shared" si="42"/>
        <v>7.6923076923076916</v>
      </c>
    </row>
    <row r="207" spans="2:15" ht="15" customHeight="1" x14ac:dyDescent="0.25">
      <c r="B207" s="158"/>
      <c r="C207" s="95" t="s">
        <v>45</v>
      </c>
      <c r="D207" s="98">
        <v>4</v>
      </c>
      <c r="E207" s="98">
        <v>4</v>
      </c>
      <c r="F207" s="98">
        <f t="shared" si="34"/>
        <v>0.16</v>
      </c>
      <c r="G207" s="101">
        <f t="shared" si="43"/>
        <v>0.28000000000000003</v>
      </c>
      <c r="H207" s="101">
        <f t="shared" si="35"/>
        <v>0.32</v>
      </c>
      <c r="I207" s="101">
        <f t="shared" si="36"/>
        <v>0.36</v>
      </c>
      <c r="J207" s="101">
        <f t="shared" si="37"/>
        <v>0.44000000000000006</v>
      </c>
      <c r="K207" s="101">
        <f t="shared" si="38"/>
        <v>0.48</v>
      </c>
      <c r="L207" s="101">
        <f t="shared" si="39"/>
        <v>0.52</v>
      </c>
      <c r="M207" s="98">
        <f t="shared" si="40"/>
        <v>9.0909090909090899</v>
      </c>
      <c r="N207" s="98">
        <f t="shared" si="41"/>
        <v>8.3333333333333339</v>
      </c>
      <c r="O207" s="98">
        <f t="shared" si="42"/>
        <v>7.6923076923076916</v>
      </c>
    </row>
    <row r="208" spans="2:15" ht="15" customHeight="1" x14ac:dyDescent="0.25">
      <c r="B208" s="158"/>
      <c r="C208" s="95" t="s">
        <v>46</v>
      </c>
      <c r="D208" s="98">
        <v>4</v>
      </c>
      <c r="E208" s="98">
        <v>4</v>
      </c>
      <c r="F208" s="98">
        <f t="shared" si="34"/>
        <v>0.16</v>
      </c>
      <c r="G208" s="101">
        <f t="shared" si="43"/>
        <v>0.28000000000000003</v>
      </c>
      <c r="H208" s="101">
        <f t="shared" si="35"/>
        <v>0.32</v>
      </c>
      <c r="I208" s="101">
        <f t="shared" si="36"/>
        <v>0.36</v>
      </c>
      <c r="J208" s="101">
        <f t="shared" si="37"/>
        <v>0.44000000000000006</v>
      </c>
      <c r="K208" s="101">
        <f t="shared" si="38"/>
        <v>0.48</v>
      </c>
      <c r="L208" s="101">
        <f t="shared" si="39"/>
        <v>0.52</v>
      </c>
      <c r="M208" s="98">
        <f t="shared" si="40"/>
        <v>9.0909090909090899</v>
      </c>
      <c r="N208" s="98">
        <f t="shared" si="41"/>
        <v>8.3333333333333339</v>
      </c>
      <c r="O208" s="98">
        <f t="shared" si="42"/>
        <v>7.6923076923076916</v>
      </c>
    </row>
    <row r="209" spans="2:15" ht="15" customHeight="1" x14ac:dyDescent="0.25">
      <c r="B209" s="158"/>
      <c r="C209" s="95" t="s">
        <v>47</v>
      </c>
      <c r="D209" s="98">
        <v>4</v>
      </c>
      <c r="E209" s="98">
        <v>4</v>
      </c>
      <c r="F209" s="98">
        <f t="shared" si="34"/>
        <v>0.16</v>
      </c>
      <c r="G209" s="101">
        <f t="shared" si="43"/>
        <v>0.28000000000000003</v>
      </c>
      <c r="H209" s="101">
        <f t="shared" si="35"/>
        <v>0.32</v>
      </c>
      <c r="I209" s="101">
        <f t="shared" si="36"/>
        <v>0.36</v>
      </c>
      <c r="J209" s="101">
        <f t="shared" si="37"/>
        <v>0.44000000000000006</v>
      </c>
      <c r="K209" s="101">
        <f t="shared" si="38"/>
        <v>0.48</v>
      </c>
      <c r="L209" s="101">
        <f t="shared" si="39"/>
        <v>0.52</v>
      </c>
      <c r="M209" s="98">
        <f t="shared" si="40"/>
        <v>9.0909090909090899</v>
      </c>
      <c r="N209" s="98">
        <f t="shared" si="41"/>
        <v>8.3333333333333339</v>
      </c>
      <c r="O209" s="98">
        <f t="shared" si="42"/>
        <v>7.6923076923076916</v>
      </c>
    </row>
    <row r="210" spans="2:15" ht="15" customHeight="1" x14ac:dyDescent="0.25">
      <c r="B210" s="159"/>
      <c r="C210" s="96" t="s">
        <v>48</v>
      </c>
      <c r="D210" s="99">
        <v>4</v>
      </c>
      <c r="E210" s="99">
        <v>4</v>
      </c>
      <c r="F210" s="99">
        <f t="shared" si="34"/>
        <v>0.16</v>
      </c>
      <c r="G210" s="102">
        <f t="shared" si="43"/>
        <v>0.28000000000000003</v>
      </c>
      <c r="H210" s="102">
        <f t="shared" si="35"/>
        <v>0.32</v>
      </c>
      <c r="I210" s="102">
        <f t="shared" si="36"/>
        <v>0.36</v>
      </c>
      <c r="J210" s="102">
        <f t="shared" si="37"/>
        <v>0.44000000000000006</v>
      </c>
      <c r="K210" s="102">
        <f t="shared" si="38"/>
        <v>0.48</v>
      </c>
      <c r="L210" s="102">
        <f t="shared" si="39"/>
        <v>0.52</v>
      </c>
      <c r="M210" s="99">
        <f t="shared" si="40"/>
        <v>9.0909090909090899</v>
      </c>
      <c r="N210" s="99">
        <f t="shared" si="41"/>
        <v>8.3333333333333339</v>
      </c>
      <c r="O210" s="99">
        <f t="shared" si="42"/>
        <v>7.6923076923076916</v>
      </c>
    </row>
    <row r="211" spans="2:15" ht="15" customHeight="1" x14ac:dyDescent="0.25">
      <c r="B211" s="157">
        <v>1991</v>
      </c>
      <c r="C211" s="94" t="s">
        <v>36</v>
      </c>
      <c r="D211" s="97">
        <v>4</v>
      </c>
      <c r="E211" s="97">
        <v>4</v>
      </c>
      <c r="F211" s="97">
        <f t="shared" si="34"/>
        <v>0.16</v>
      </c>
      <c r="G211" s="100">
        <f t="shared" si="43"/>
        <v>0.28000000000000003</v>
      </c>
      <c r="H211" s="100">
        <f t="shared" si="35"/>
        <v>0.32</v>
      </c>
      <c r="I211" s="100">
        <f t="shared" si="36"/>
        <v>0.36</v>
      </c>
      <c r="J211" s="100">
        <f t="shared" si="37"/>
        <v>0.44000000000000006</v>
      </c>
      <c r="K211" s="100">
        <f t="shared" si="38"/>
        <v>0.48</v>
      </c>
      <c r="L211" s="100">
        <f t="shared" si="39"/>
        <v>0.52</v>
      </c>
      <c r="M211" s="97">
        <f t="shared" si="40"/>
        <v>9.0909090909090899</v>
      </c>
      <c r="N211" s="97">
        <f t="shared" si="41"/>
        <v>8.3333333333333339</v>
      </c>
      <c r="O211" s="97">
        <f t="shared" si="42"/>
        <v>7.6923076923076916</v>
      </c>
    </row>
    <row r="212" spans="2:15" ht="15" customHeight="1" x14ac:dyDescent="0.25">
      <c r="B212" s="158"/>
      <c r="C212" s="95" t="s">
        <v>38</v>
      </c>
      <c r="D212" s="98">
        <v>4</v>
      </c>
      <c r="E212" s="98">
        <v>4</v>
      </c>
      <c r="F212" s="98">
        <f t="shared" si="34"/>
        <v>0.16</v>
      </c>
      <c r="G212" s="101">
        <f t="shared" si="43"/>
        <v>0.28000000000000003</v>
      </c>
      <c r="H212" s="101">
        <f t="shared" si="35"/>
        <v>0.32</v>
      </c>
      <c r="I212" s="101">
        <f t="shared" si="36"/>
        <v>0.36</v>
      </c>
      <c r="J212" s="101">
        <f t="shared" si="37"/>
        <v>0.44000000000000006</v>
      </c>
      <c r="K212" s="101">
        <f t="shared" si="38"/>
        <v>0.48</v>
      </c>
      <c r="L212" s="101">
        <f t="shared" si="39"/>
        <v>0.52</v>
      </c>
      <c r="M212" s="98">
        <f t="shared" si="40"/>
        <v>9.0909090909090899</v>
      </c>
      <c r="N212" s="98">
        <f t="shared" si="41"/>
        <v>8.3333333333333339</v>
      </c>
      <c r="O212" s="98">
        <f t="shared" si="42"/>
        <v>7.6923076923076916</v>
      </c>
    </row>
    <row r="213" spans="2:15" ht="15" customHeight="1" x14ac:dyDescent="0.25">
      <c r="B213" s="158"/>
      <c r="C213" s="95" t="s">
        <v>39</v>
      </c>
      <c r="D213" s="98">
        <v>4</v>
      </c>
      <c r="E213" s="98">
        <v>4</v>
      </c>
      <c r="F213" s="98">
        <f t="shared" si="34"/>
        <v>0.16</v>
      </c>
      <c r="G213" s="101">
        <f t="shared" si="43"/>
        <v>0.28000000000000003</v>
      </c>
      <c r="H213" s="101">
        <f t="shared" si="35"/>
        <v>0.32</v>
      </c>
      <c r="I213" s="101">
        <f t="shared" si="36"/>
        <v>0.36</v>
      </c>
      <c r="J213" s="101">
        <f t="shared" si="37"/>
        <v>0.44000000000000006</v>
      </c>
      <c r="K213" s="101">
        <f t="shared" si="38"/>
        <v>0.48</v>
      </c>
      <c r="L213" s="101">
        <f t="shared" si="39"/>
        <v>0.52</v>
      </c>
      <c r="M213" s="98">
        <f t="shared" si="40"/>
        <v>9.0909090909090899</v>
      </c>
      <c r="N213" s="98">
        <f t="shared" si="41"/>
        <v>8.3333333333333339</v>
      </c>
      <c r="O213" s="98">
        <f t="shared" si="42"/>
        <v>7.6923076923076916</v>
      </c>
    </row>
    <row r="214" spans="2:15" ht="15" customHeight="1" x14ac:dyDescent="0.25">
      <c r="B214" s="158"/>
      <c r="C214" s="95" t="s">
        <v>40</v>
      </c>
      <c r="D214" s="98">
        <v>4</v>
      </c>
      <c r="E214" s="98">
        <v>4</v>
      </c>
      <c r="F214" s="98">
        <f t="shared" si="34"/>
        <v>0.16</v>
      </c>
      <c r="G214" s="101">
        <f t="shared" si="43"/>
        <v>0.28000000000000003</v>
      </c>
      <c r="H214" s="101">
        <f t="shared" si="35"/>
        <v>0.32</v>
      </c>
      <c r="I214" s="101">
        <f t="shared" si="36"/>
        <v>0.36</v>
      </c>
      <c r="J214" s="101">
        <f t="shared" si="37"/>
        <v>0.44000000000000006</v>
      </c>
      <c r="K214" s="101">
        <f t="shared" si="38"/>
        <v>0.48</v>
      </c>
      <c r="L214" s="101">
        <f t="shared" si="39"/>
        <v>0.52</v>
      </c>
      <c r="M214" s="98">
        <f t="shared" si="40"/>
        <v>9.0909090909090899</v>
      </c>
      <c r="N214" s="98">
        <f t="shared" si="41"/>
        <v>8.3333333333333339</v>
      </c>
      <c r="O214" s="98">
        <f t="shared" si="42"/>
        <v>7.6923076923076916</v>
      </c>
    </row>
    <row r="215" spans="2:15" ht="15" customHeight="1" x14ac:dyDescent="0.25">
      <c r="B215" s="158"/>
      <c r="C215" s="95" t="s">
        <v>41</v>
      </c>
      <c r="D215" s="98">
        <v>6</v>
      </c>
      <c r="E215" s="98">
        <v>6</v>
      </c>
      <c r="F215" s="98">
        <f t="shared" si="34"/>
        <v>0.24</v>
      </c>
      <c r="G215" s="101">
        <f t="shared" si="43"/>
        <v>0.42000000000000004</v>
      </c>
      <c r="H215" s="101">
        <f t="shared" si="35"/>
        <v>0.48</v>
      </c>
      <c r="I215" s="101">
        <f t="shared" si="36"/>
        <v>0.54</v>
      </c>
      <c r="J215" s="101">
        <f t="shared" si="37"/>
        <v>0.66</v>
      </c>
      <c r="K215" s="101">
        <f t="shared" si="38"/>
        <v>0.72</v>
      </c>
      <c r="L215" s="101">
        <f t="shared" si="39"/>
        <v>0.78</v>
      </c>
      <c r="M215" s="98">
        <f t="shared" si="40"/>
        <v>9.0909090909090899</v>
      </c>
      <c r="N215" s="98">
        <f t="shared" si="41"/>
        <v>8.3333333333333339</v>
      </c>
      <c r="O215" s="98">
        <f t="shared" si="42"/>
        <v>7.6923076923076916</v>
      </c>
    </row>
    <row r="216" spans="2:15" ht="15" customHeight="1" x14ac:dyDescent="0.25">
      <c r="B216" s="158"/>
      <c r="C216" s="95" t="s">
        <v>42</v>
      </c>
      <c r="D216" s="98">
        <v>6</v>
      </c>
      <c r="E216" s="98">
        <v>6</v>
      </c>
      <c r="F216" s="98">
        <f t="shared" si="34"/>
        <v>0.24</v>
      </c>
      <c r="G216" s="101">
        <f t="shared" si="43"/>
        <v>0.42000000000000004</v>
      </c>
      <c r="H216" s="101">
        <f t="shared" si="35"/>
        <v>0.48</v>
      </c>
      <c r="I216" s="101">
        <f t="shared" si="36"/>
        <v>0.54</v>
      </c>
      <c r="J216" s="101">
        <f t="shared" si="37"/>
        <v>0.66</v>
      </c>
      <c r="K216" s="101">
        <f t="shared" si="38"/>
        <v>0.72</v>
      </c>
      <c r="L216" s="101">
        <f t="shared" si="39"/>
        <v>0.78</v>
      </c>
      <c r="M216" s="98">
        <f t="shared" si="40"/>
        <v>9.0909090909090899</v>
      </c>
      <c r="N216" s="98">
        <f t="shared" si="41"/>
        <v>8.3333333333333339</v>
      </c>
      <c r="O216" s="98">
        <f t="shared" si="42"/>
        <v>7.6923076923076916</v>
      </c>
    </row>
    <row r="217" spans="2:15" ht="15" customHeight="1" x14ac:dyDescent="0.25">
      <c r="B217" s="158"/>
      <c r="C217" s="95" t="s">
        <v>43</v>
      </c>
      <c r="D217" s="98">
        <v>6</v>
      </c>
      <c r="E217" s="98">
        <v>6</v>
      </c>
      <c r="F217" s="98">
        <f t="shared" si="34"/>
        <v>0.24</v>
      </c>
      <c r="G217" s="101">
        <f t="shared" si="43"/>
        <v>0.42000000000000004</v>
      </c>
      <c r="H217" s="101">
        <f t="shared" si="35"/>
        <v>0.48</v>
      </c>
      <c r="I217" s="101">
        <f t="shared" si="36"/>
        <v>0.54</v>
      </c>
      <c r="J217" s="101">
        <f t="shared" si="37"/>
        <v>0.66</v>
      </c>
      <c r="K217" s="101">
        <f t="shared" si="38"/>
        <v>0.72</v>
      </c>
      <c r="L217" s="101">
        <f t="shared" si="39"/>
        <v>0.78</v>
      </c>
      <c r="M217" s="98">
        <f t="shared" si="40"/>
        <v>9.0909090909090899</v>
      </c>
      <c r="N217" s="98">
        <f t="shared" si="41"/>
        <v>8.3333333333333339</v>
      </c>
      <c r="O217" s="98">
        <f t="shared" si="42"/>
        <v>7.6923076923076916</v>
      </c>
    </row>
    <row r="218" spans="2:15" ht="15" customHeight="1" x14ac:dyDescent="0.25">
      <c r="B218" s="158"/>
      <c r="C218" s="95" t="s">
        <v>44</v>
      </c>
      <c r="D218" s="98">
        <v>6</v>
      </c>
      <c r="E218" s="98">
        <v>6</v>
      </c>
      <c r="F218" s="98">
        <f t="shared" si="34"/>
        <v>0.24</v>
      </c>
      <c r="G218" s="101">
        <f t="shared" si="43"/>
        <v>0.42000000000000004</v>
      </c>
      <c r="H218" s="101">
        <f t="shared" si="35"/>
        <v>0.48</v>
      </c>
      <c r="I218" s="101">
        <f t="shared" si="36"/>
        <v>0.54</v>
      </c>
      <c r="J218" s="101">
        <f t="shared" si="37"/>
        <v>0.66</v>
      </c>
      <c r="K218" s="101">
        <f t="shared" si="38"/>
        <v>0.72</v>
      </c>
      <c r="L218" s="101">
        <f t="shared" si="39"/>
        <v>0.78</v>
      </c>
      <c r="M218" s="98">
        <f t="shared" si="40"/>
        <v>9.0909090909090899</v>
      </c>
      <c r="N218" s="98">
        <f t="shared" si="41"/>
        <v>8.3333333333333339</v>
      </c>
      <c r="O218" s="98">
        <f t="shared" si="42"/>
        <v>7.6923076923076916</v>
      </c>
    </row>
    <row r="219" spans="2:15" ht="15" customHeight="1" x14ac:dyDescent="0.25">
      <c r="B219" s="158"/>
      <c r="C219" s="95" t="s">
        <v>45</v>
      </c>
      <c r="D219" s="98">
        <v>6</v>
      </c>
      <c r="E219" s="98">
        <v>6</v>
      </c>
      <c r="F219" s="98">
        <f t="shared" si="34"/>
        <v>0.24</v>
      </c>
      <c r="G219" s="101">
        <f t="shared" si="43"/>
        <v>0.42000000000000004</v>
      </c>
      <c r="H219" s="101">
        <f t="shared" si="35"/>
        <v>0.48</v>
      </c>
      <c r="I219" s="101">
        <f t="shared" si="36"/>
        <v>0.54</v>
      </c>
      <c r="J219" s="101">
        <f t="shared" si="37"/>
        <v>0.66</v>
      </c>
      <c r="K219" s="101">
        <f t="shared" si="38"/>
        <v>0.72</v>
      </c>
      <c r="L219" s="101">
        <f t="shared" si="39"/>
        <v>0.78</v>
      </c>
      <c r="M219" s="98">
        <f t="shared" si="40"/>
        <v>9.0909090909090899</v>
      </c>
      <c r="N219" s="98">
        <f t="shared" si="41"/>
        <v>8.3333333333333339</v>
      </c>
      <c r="O219" s="98">
        <f t="shared" si="42"/>
        <v>7.6923076923076916</v>
      </c>
    </row>
    <row r="220" spans="2:15" ht="15" customHeight="1" x14ac:dyDescent="0.25">
      <c r="B220" s="158"/>
      <c r="C220" s="95" t="s">
        <v>46</v>
      </c>
      <c r="D220" s="98">
        <v>6</v>
      </c>
      <c r="E220" s="98">
        <v>6</v>
      </c>
      <c r="F220" s="98">
        <f t="shared" si="34"/>
        <v>0.24</v>
      </c>
      <c r="G220" s="101">
        <f t="shared" si="43"/>
        <v>0.42000000000000004</v>
      </c>
      <c r="H220" s="101">
        <f t="shared" si="35"/>
        <v>0.48</v>
      </c>
      <c r="I220" s="101">
        <f t="shared" si="36"/>
        <v>0.54</v>
      </c>
      <c r="J220" s="101">
        <f t="shared" si="37"/>
        <v>0.66</v>
      </c>
      <c r="K220" s="101">
        <f t="shared" si="38"/>
        <v>0.72</v>
      </c>
      <c r="L220" s="101">
        <f t="shared" si="39"/>
        <v>0.78</v>
      </c>
      <c r="M220" s="98">
        <f t="shared" si="40"/>
        <v>9.0909090909090899</v>
      </c>
      <c r="N220" s="98">
        <f t="shared" si="41"/>
        <v>8.3333333333333339</v>
      </c>
      <c r="O220" s="98">
        <f t="shared" si="42"/>
        <v>7.6923076923076916</v>
      </c>
    </row>
    <row r="221" spans="2:15" ht="15" customHeight="1" x14ac:dyDescent="0.25">
      <c r="B221" s="158"/>
      <c r="C221" s="95" t="s">
        <v>47</v>
      </c>
      <c r="D221" s="98">
        <v>6</v>
      </c>
      <c r="E221" s="98">
        <v>6</v>
      </c>
      <c r="F221" s="98">
        <f t="shared" si="34"/>
        <v>0.24</v>
      </c>
      <c r="G221" s="101">
        <f t="shared" si="43"/>
        <v>0.42000000000000004</v>
      </c>
      <c r="H221" s="101">
        <f t="shared" si="35"/>
        <v>0.48</v>
      </c>
      <c r="I221" s="101">
        <f t="shared" si="36"/>
        <v>0.54</v>
      </c>
      <c r="J221" s="101">
        <f t="shared" si="37"/>
        <v>0.66</v>
      </c>
      <c r="K221" s="101">
        <f t="shared" si="38"/>
        <v>0.72</v>
      </c>
      <c r="L221" s="101">
        <f t="shared" si="39"/>
        <v>0.78</v>
      </c>
      <c r="M221" s="98">
        <f t="shared" si="40"/>
        <v>9.0909090909090899</v>
      </c>
      <c r="N221" s="98">
        <f t="shared" si="41"/>
        <v>8.3333333333333339</v>
      </c>
      <c r="O221" s="98">
        <f t="shared" si="42"/>
        <v>7.6923076923076916</v>
      </c>
    </row>
    <row r="222" spans="2:15" ht="15" customHeight="1" x14ac:dyDescent="0.25">
      <c r="B222" s="159"/>
      <c r="C222" s="96" t="s">
        <v>48</v>
      </c>
      <c r="D222" s="99">
        <v>8</v>
      </c>
      <c r="E222" s="99">
        <v>8</v>
      </c>
      <c r="F222" s="99">
        <f t="shared" si="34"/>
        <v>0.32</v>
      </c>
      <c r="G222" s="102">
        <f t="shared" si="43"/>
        <v>0.56000000000000005</v>
      </c>
      <c r="H222" s="102">
        <f t="shared" si="35"/>
        <v>0.64</v>
      </c>
      <c r="I222" s="102">
        <f t="shared" si="36"/>
        <v>0.72</v>
      </c>
      <c r="J222" s="102">
        <f t="shared" si="37"/>
        <v>0.88000000000000012</v>
      </c>
      <c r="K222" s="102">
        <f t="shared" si="38"/>
        <v>0.96</v>
      </c>
      <c r="L222" s="102">
        <f t="shared" si="39"/>
        <v>1.04</v>
      </c>
      <c r="M222" s="99">
        <f t="shared" si="40"/>
        <v>9.0909090909090899</v>
      </c>
      <c r="N222" s="99">
        <f t="shared" si="41"/>
        <v>8.3333333333333339</v>
      </c>
      <c r="O222" s="99">
        <f t="shared" si="42"/>
        <v>7.6923076923076916</v>
      </c>
    </row>
    <row r="223" spans="2:15" ht="15" customHeight="1" x14ac:dyDescent="0.25">
      <c r="B223" s="157">
        <v>1992</v>
      </c>
      <c r="C223" s="94" t="s">
        <v>36</v>
      </c>
      <c r="D223" s="97">
        <v>8</v>
      </c>
      <c r="E223" s="97">
        <v>8</v>
      </c>
      <c r="F223" s="97">
        <f t="shared" si="34"/>
        <v>0.32</v>
      </c>
      <c r="G223" s="100">
        <f t="shared" si="43"/>
        <v>0.56000000000000005</v>
      </c>
      <c r="H223" s="100">
        <f t="shared" si="35"/>
        <v>0.64</v>
      </c>
      <c r="I223" s="100">
        <f t="shared" si="36"/>
        <v>0.72</v>
      </c>
      <c r="J223" s="100">
        <f t="shared" si="37"/>
        <v>0.88000000000000012</v>
      </c>
      <c r="K223" s="100">
        <f t="shared" si="38"/>
        <v>0.96</v>
      </c>
      <c r="L223" s="100">
        <f t="shared" si="39"/>
        <v>1.04</v>
      </c>
      <c r="M223" s="97">
        <f t="shared" si="40"/>
        <v>9.0909090909090899</v>
      </c>
      <c r="N223" s="97">
        <f t="shared" si="41"/>
        <v>8.3333333333333339</v>
      </c>
      <c r="O223" s="97">
        <f t="shared" si="42"/>
        <v>7.6923076923076916</v>
      </c>
    </row>
    <row r="224" spans="2:15" ht="15" customHeight="1" x14ac:dyDescent="0.25">
      <c r="B224" s="158"/>
      <c r="C224" s="95" t="s">
        <v>38</v>
      </c>
      <c r="D224" s="98">
        <v>9</v>
      </c>
      <c r="E224" s="98">
        <v>9</v>
      </c>
      <c r="F224" s="98">
        <f t="shared" si="34"/>
        <v>0.36</v>
      </c>
      <c r="G224" s="101">
        <f t="shared" si="43"/>
        <v>0.63000000000000012</v>
      </c>
      <c r="H224" s="101">
        <f t="shared" si="35"/>
        <v>0.72</v>
      </c>
      <c r="I224" s="101">
        <f t="shared" si="36"/>
        <v>0.80999999999999994</v>
      </c>
      <c r="J224" s="101">
        <f t="shared" si="37"/>
        <v>0.9900000000000001</v>
      </c>
      <c r="K224" s="101">
        <f t="shared" si="38"/>
        <v>1.08</v>
      </c>
      <c r="L224" s="101">
        <f t="shared" si="39"/>
        <v>1.17</v>
      </c>
      <c r="M224" s="98">
        <f t="shared" si="40"/>
        <v>9.0909090909090899</v>
      </c>
      <c r="N224" s="98">
        <f t="shared" si="41"/>
        <v>8.3333333333333321</v>
      </c>
      <c r="O224" s="98">
        <f t="shared" si="42"/>
        <v>7.6923076923076925</v>
      </c>
    </row>
    <row r="225" spans="2:15" ht="15" customHeight="1" x14ac:dyDescent="0.25">
      <c r="B225" s="158"/>
      <c r="C225" s="95" t="s">
        <v>39</v>
      </c>
      <c r="D225" s="98">
        <v>9</v>
      </c>
      <c r="E225" s="98">
        <v>9</v>
      </c>
      <c r="F225" s="98">
        <f t="shared" si="34"/>
        <v>0.36</v>
      </c>
      <c r="G225" s="101">
        <f t="shared" si="43"/>
        <v>0.63000000000000012</v>
      </c>
      <c r="H225" s="101">
        <f t="shared" si="35"/>
        <v>0.72</v>
      </c>
      <c r="I225" s="101">
        <f t="shared" si="36"/>
        <v>0.80999999999999994</v>
      </c>
      <c r="J225" s="101">
        <f t="shared" si="37"/>
        <v>0.9900000000000001</v>
      </c>
      <c r="K225" s="101">
        <f t="shared" si="38"/>
        <v>1.08</v>
      </c>
      <c r="L225" s="101">
        <f t="shared" si="39"/>
        <v>1.17</v>
      </c>
      <c r="M225" s="98">
        <f t="shared" si="40"/>
        <v>9.0909090909090899</v>
      </c>
      <c r="N225" s="98">
        <f t="shared" si="41"/>
        <v>8.3333333333333321</v>
      </c>
      <c r="O225" s="98">
        <f t="shared" si="42"/>
        <v>7.6923076923076925</v>
      </c>
    </row>
    <row r="226" spans="2:15" ht="15" customHeight="1" x14ac:dyDescent="0.25">
      <c r="B226" s="158"/>
      <c r="C226" s="95" t="s">
        <v>40</v>
      </c>
      <c r="D226" s="98">
        <v>9</v>
      </c>
      <c r="E226" s="98">
        <v>9</v>
      </c>
      <c r="F226" s="98">
        <f t="shared" si="34"/>
        <v>0.36</v>
      </c>
      <c r="G226" s="101">
        <f t="shared" si="43"/>
        <v>0.63000000000000012</v>
      </c>
      <c r="H226" s="101">
        <f t="shared" si="35"/>
        <v>0.72</v>
      </c>
      <c r="I226" s="101">
        <f t="shared" si="36"/>
        <v>0.80999999999999994</v>
      </c>
      <c r="J226" s="101">
        <f t="shared" si="37"/>
        <v>0.9900000000000001</v>
      </c>
      <c r="K226" s="101">
        <f t="shared" si="38"/>
        <v>1.08</v>
      </c>
      <c r="L226" s="101">
        <f t="shared" si="39"/>
        <v>1.17</v>
      </c>
      <c r="M226" s="98">
        <f t="shared" si="40"/>
        <v>9.0909090909090899</v>
      </c>
      <c r="N226" s="98">
        <f t="shared" si="41"/>
        <v>8.3333333333333321</v>
      </c>
      <c r="O226" s="98">
        <f t="shared" si="42"/>
        <v>7.6923076923076925</v>
      </c>
    </row>
    <row r="227" spans="2:15" ht="15" customHeight="1" x14ac:dyDescent="0.25">
      <c r="B227" s="158"/>
      <c r="C227" s="95" t="s">
        <v>41</v>
      </c>
      <c r="D227" s="98">
        <v>9</v>
      </c>
      <c r="E227" s="98">
        <v>9</v>
      </c>
      <c r="F227" s="98">
        <f t="shared" si="34"/>
        <v>0.36</v>
      </c>
      <c r="G227" s="101">
        <f t="shared" si="43"/>
        <v>0.63000000000000012</v>
      </c>
      <c r="H227" s="101">
        <f t="shared" si="35"/>
        <v>0.72</v>
      </c>
      <c r="I227" s="101">
        <f t="shared" si="36"/>
        <v>0.80999999999999994</v>
      </c>
      <c r="J227" s="101">
        <f t="shared" si="37"/>
        <v>0.9900000000000001</v>
      </c>
      <c r="K227" s="101">
        <f t="shared" si="38"/>
        <v>1.08</v>
      </c>
      <c r="L227" s="101">
        <f t="shared" si="39"/>
        <v>1.17</v>
      </c>
      <c r="M227" s="98">
        <f t="shared" si="40"/>
        <v>9.0909090909090899</v>
      </c>
      <c r="N227" s="98">
        <f t="shared" si="41"/>
        <v>8.3333333333333321</v>
      </c>
      <c r="O227" s="98">
        <f t="shared" si="42"/>
        <v>7.6923076923076925</v>
      </c>
    </row>
    <row r="228" spans="2:15" ht="15" customHeight="1" x14ac:dyDescent="0.25">
      <c r="B228" s="158"/>
      <c r="C228" s="95" t="s">
        <v>42</v>
      </c>
      <c r="D228" s="98">
        <v>9</v>
      </c>
      <c r="E228" s="98">
        <v>9</v>
      </c>
      <c r="F228" s="98">
        <f t="shared" si="34"/>
        <v>0.36</v>
      </c>
      <c r="G228" s="101">
        <f t="shared" si="43"/>
        <v>0.63000000000000012</v>
      </c>
      <c r="H228" s="101">
        <f t="shared" si="35"/>
        <v>0.72</v>
      </c>
      <c r="I228" s="101">
        <f t="shared" si="36"/>
        <v>0.80999999999999994</v>
      </c>
      <c r="J228" s="101">
        <f t="shared" si="37"/>
        <v>0.9900000000000001</v>
      </c>
      <c r="K228" s="101">
        <f t="shared" si="38"/>
        <v>1.08</v>
      </c>
      <c r="L228" s="101">
        <f t="shared" si="39"/>
        <v>1.17</v>
      </c>
      <c r="M228" s="98">
        <f t="shared" si="40"/>
        <v>9.0909090909090899</v>
      </c>
      <c r="N228" s="98">
        <f t="shared" si="41"/>
        <v>8.3333333333333321</v>
      </c>
      <c r="O228" s="98">
        <f t="shared" si="42"/>
        <v>7.6923076923076925</v>
      </c>
    </row>
    <row r="229" spans="2:15" ht="15" customHeight="1" x14ac:dyDescent="0.25">
      <c r="B229" s="158"/>
      <c r="C229" s="95" t="s">
        <v>43</v>
      </c>
      <c r="D229" s="98">
        <v>9</v>
      </c>
      <c r="E229" s="98">
        <v>9</v>
      </c>
      <c r="F229" s="98">
        <f t="shared" si="34"/>
        <v>0.36</v>
      </c>
      <c r="G229" s="101">
        <f t="shared" si="43"/>
        <v>0.63000000000000012</v>
      </c>
      <c r="H229" s="101">
        <f t="shared" si="35"/>
        <v>0.72</v>
      </c>
      <c r="I229" s="101">
        <f t="shared" si="36"/>
        <v>0.80999999999999994</v>
      </c>
      <c r="J229" s="101">
        <f t="shared" si="37"/>
        <v>0.9900000000000001</v>
      </c>
      <c r="K229" s="101">
        <f t="shared" si="38"/>
        <v>1.08</v>
      </c>
      <c r="L229" s="101">
        <f t="shared" si="39"/>
        <v>1.17</v>
      </c>
      <c r="M229" s="98">
        <f t="shared" si="40"/>
        <v>9.0909090909090899</v>
      </c>
      <c r="N229" s="98">
        <f t="shared" si="41"/>
        <v>8.3333333333333321</v>
      </c>
      <c r="O229" s="98">
        <f t="shared" si="42"/>
        <v>7.6923076923076925</v>
      </c>
    </row>
    <row r="230" spans="2:15" ht="15" customHeight="1" x14ac:dyDescent="0.25">
      <c r="B230" s="158"/>
      <c r="C230" s="95" t="s">
        <v>44</v>
      </c>
      <c r="D230" s="98">
        <v>9</v>
      </c>
      <c r="E230" s="98">
        <v>9</v>
      </c>
      <c r="F230" s="98">
        <f t="shared" si="34"/>
        <v>0.36</v>
      </c>
      <c r="G230" s="101">
        <f t="shared" si="43"/>
        <v>0.63000000000000012</v>
      </c>
      <c r="H230" s="101">
        <f t="shared" si="35"/>
        <v>0.72</v>
      </c>
      <c r="I230" s="101">
        <f t="shared" si="36"/>
        <v>0.80999999999999994</v>
      </c>
      <c r="J230" s="101">
        <f t="shared" si="37"/>
        <v>0.9900000000000001</v>
      </c>
      <c r="K230" s="101">
        <f t="shared" si="38"/>
        <v>1.08</v>
      </c>
      <c r="L230" s="101">
        <f t="shared" si="39"/>
        <v>1.17</v>
      </c>
      <c r="M230" s="98">
        <f t="shared" si="40"/>
        <v>9.0909090909090899</v>
      </c>
      <c r="N230" s="98">
        <f t="shared" si="41"/>
        <v>8.3333333333333321</v>
      </c>
      <c r="O230" s="98">
        <f t="shared" si="42"/>
        <v>7.6923076923076925</v>
      </c>
    </row>
    <row r="231" spans="2:15" ht="15" customHeight="1" x14ac:dyDescent="0.25">
      <c r="B231" s="158"/>
      <c r="C231" s="95" t="s">
        <v>45</v>
      </c>
      <c r="D231" s="98">
        <v>9</v>
      </c>
      <c r="E231" s="98">
        <v>9</v>
      </c>
      <c r="F231" s="98">
        <f t="shared" si="34"/>
        <v>0.36</v>
      </c>
      <c r="G231" s="101">
        <f t="shared" si="43"/>
        <v>0.63000000000000012</v>
      </c>
      <c r="H231" s="101">
        <f t="shared" si="35"/>
        <v>0.72</v>
      </c>
      <c r="I231" s="101">
        <f t="shared" si="36"/>
        <v>0.80999999999999994</v>
      </c>
      <c r="J231" s="101">
        <f t="shared" si="37"/>
        <v>0.9900000000000001</v>
      </c>
      <c r="K231" s="101">
        <f t="shared" si="38"/>
        <v>1.08</v>
      </c>
      <c r="L231" s="101">
        <f t="shared" si="39"/>
        <v>1.17</v>
      </c>
      <c r="M231" s="98">
        <f t="shared" si="40"/>
        <v>9.0909090909090899</v>
      </c>
      <c r="N231" s="98">
        <f t="shared" si="41"/>
        <v>8.3333333333333321</v>
      </c>
      <c r="O231" s="98">
        <f t="shared" si="42"/>
        <v>7.6923076923076925</v>
      </c>
    </row>
    <row r="232" spans="2:15" ht="15" customHeight="1" x14ac:dyDescent="0.25">
      <c r="B232" s="158"/>
      <c r="C232" s="95" t="s">
        <v>46</v>
      </c>
      <c r="D232" s="98">
        <v>9</v>
      </c>
      <c r="E232" s="98">
        <v>9</v>
      </c>
      <c r="F232" s="98">
        <f t="shared" si="34"/>
        <v>0.36</v>
      </c>
      <c r="G232" s="101">
        <f t="shared" si="43"/>
        <v>0.63000000000000012</v>
      </c>
      <c r="H232" s="101">
        <f t="shared" si="35"/>
        <v>0.72</v>
      </c>
      <c r="I232" s="101">
        <f t="shared" si="36"/>
        <v>0.80999999999999994</v>
      </c>
      <c r="J232" s="101">
        <f t="shared" si="37"/>
        <v>0.9900000000000001</v>
      </c>
      <c r="K232" s="101">
        <f t="shared" si="38"/>
        <v>1.08</v>
      </c>
      <c r="L232" s="101">
        <f t="shared" si="39"/>
        <v>1.17</v>
      </c>
      <c r="M232" s="98">
        <f t="shared" si="40"/>
        <v>9.0909090909090899</v>
      </c>
      <c r="N232" s="98">
        <f t="shared" si="41"/>
        <v>8.3333333333333321</v>
      </c>
      <c r="O232" s="98">
        <f t="shared" si="42"/>
        <v>7.6923076923076925</v>
      </c>
    </row>
    <row r="233" spans="2:15" ht="15" customHeight="1" x14ac:dyDescent="0.25">
      <c r="B233" s="158"/>
      <c r="C233" s="95" t="s">
        <v>47</v>
      </c>
      <c r="D233" s="98">
        <v>9</v>
      </c>
      <c r="E233" s="98">
        <v>9</v>
      </c>
      <c r="F233" s="98">
        <f t="shared" si="34"/>
        <v>0.36</v>
      </c>
      <c r="G233" s="101">
        <f t="shared" si="43"/>
        <v>0.63000000000000012</v>
      </c>
      <c r="H233" s="101">
        <f t="shared" si="35"/>
        <v>0.72</v>
      </c>
      <c r="I233" s="101">
        <f t="shared" si="36"/>
        <v>0.80999999999999994</v>
      </c>
      <c r="J233" s="101">
        <f t="shared" si="37"/>
        <v>0.9900000000000001</v>
      </c>
      <c r="K233" s="101">
        <f t="shared" si="38"/>
        <v>1.08</v>
      </c>
      <c r="L233" s="101">
        <f t="shared" si="39"/>
        <v>1.17</v>
      </c>
      <c r="M233" s="98">
        <f t="shared" si="40"/>
        <v>9.0909090909090899</v>
      </c>
      <c r="N233" s="98">
        <f t="shared" si="41"/>
        <v>8.3333333333333321</v>
      </c>
      <c r="O233" s="98">
        <f t="shared" si="42"/>
        <v>7.6923076923076925</v>
      </c>
    </row>
    <row r="234" spans="2:15" ht="15" customHeight="1" x14ac:dyDescent="0.25">
      <c r="B234" s="159"/>
      <c r="C234" s="96" t="s">
        <v>48</v>
      </c>
      <c r="D234" s="99">
        <v>9</v>
      </c>
      <c r="E234" s="99">
        <v>9</v>
      </c>
      <c r="F234" s="99">
        <f t="shared" si="34"/>
        <v>0.36</v>
      </c>
      <c r="G234" s="102">
        <f t="shared" si="43"/>
        <v>0.63000000000000012</v>
      </c>
      <c r="H234" s="102">
        <f t="shared" si="35"/>
        <v>0.72</v>
      </c>
      <c r="I234" s="102">
        <f t="shared" si="36"/>
        <v>0.80999999999999994</v>
      </c>
      <c r="J234" s="102">
        <f t="shared" si="37"/>
        <v>0.9900000000000001</v>
      </c>
      <c r="K234" s="102">
        <f t="shared" si="38"/>
        <v>1.08</v>
      </c>
      <c r="L234" s="102">
        <f t="shared" si="39"/>
        <v>1.17</v>
      </c>
      <c r="M234" s="99">
        <f t="shared" si="40"/>
        <v>9.0909090909090899</v>
      </c>
      <c r="N234" s="99">
        <f t="shared" si="41"/>
        <v>8.3333333333333321</v>
      </c>
      <c r="O234" s="99">
        <f t="shared" si="42"/>
        <v>7.6923076923076925</v>
      </c>
    </row>
    <row r="235" spans="2:15" ht="15" customHeight="1" x14ac:dyDescent="0.25">
      <c r="B235" s="157">
        <v>1993</v>
      </c>
      <c r="C235" s="94" t="s">
        <v>36</v>
      </c>
      <c r="D235" s="97">
        <v>9</v>
      </c>
      <c r="E235" s="97">
        <v>9</v>
      </c>
      <c r="F235" s="97">
        <f t="shared" si="34"/>
        <v>0.36</v>
      </c>
      <c r="G235" s="100">
        <f t="shared" si="43"/>
        <v>0.63000000000000012</v>
      </c>
      <c r="H235" s="100">
        <f t="shared" si="35"/>
        <v>0.72</v>
      </c>
      <c r="I235" s="100">
        <f t="shared" si="36"/>
        <v>0.80999999999999994</v>
      </c>
      <c r="J235" s="100">
        <f t="shared" si="37"/>
        <v>0.9900000000000001</v>
      </c>
      <c r="K235" s="100">
        <f t="shared" si="38"/>
        <v>1.08</v>
      </c>
      <c r="L235" s="100">
        <f t="shared" si="39"/>
        <v>1.17</v>
      </c>
      <c r="M235" s="97">
        <f t="shared" si="40"/>
        <v>9.0909090909090899</v>
      </c>
      <c r="N235" s="97">
        <f t="shared" si="41"/>
        <v>8.3333333333333321</v>
      </c>
      <c r="O235" s="97">
        <f t="shared" si="42"/>
        <v>7.6923076923076925</v>
      </c>
    </row>
    <row r="236" spans="2:15" ht="15" customHeight="1" x14ac:dyDescent="0.25">
      <c r="B236" s="158"/>
      <c r="C236" s="95" t="s">
        <v>38</v>
      </c>
      <c r="D236" s="98">
        <v>9</v>
      </c>
      <c r="E236" s="98">
        <v>9</v>
      </c>
      <c r="F236" s="98">
        <f t="shared" si="34"/>
        <v>0.36</v>
      </c>
      <c r="G236" s="101">
        <f t="shared" si="43"/>
        <v>0.63000000000000012</v>
      </c>
      <c r="H236" s="101">
        <f t="shared" si="35"/>
        <v>0.72</v>
      </c>
      <c r="I236" s="101">
        <f t="shared" si="36"/>
        <v>0.80999999999999994</v>
      </c>
      <c r="J236" s="101">
        <f t="shared" si="37"/>
        <v>0.9900000000000001</v>
      </c>
      <c r="K236" s="101">
        <f t="shared" si="38"/>
        <v>1.08</v>
      </c>
      <c r="L236" s="101">
        <f t="shared" si="39"/>
        <v>1.17</v>
      </c>
      <c r="M236" s="98">
        <f t="shared" si="40"/>
        <v>9.0909090909090899</v>
      </c>
      <c r="N236" s="98">
        <f t="shared" si="41"/>
        <v>8.3333333333333321</v>
      </c>
      <c r="O236" s="98">
        <f t="shared" si="42"/>
        <v>7.6923076923076925</v>
      </c>
    </row>
    <row r="237" spans="2:15" ht="15" customHeight="1" x14ac:dyDescent="0.25">
      <c r="B237" s="158"/>
      <c r="C237" s="95" t="s">
        <v>39</v>
      </c>
      <c r="D237" s="98">
        <v>9</v>
      </c>
      <c r="E237" s="98">
        <v>9</v>
      </c>
      <c r="F237" s="98">
        <f t="shared" si="34"/>
        <v>0.36</v>
      </c>
      <c r="G237" s="101">
        <f t="shared" si="43"/>
        <v>0.63000000000000012</v>
      </c>
      <c r="H237" s="101">
        <f t="shared" si="35"/>
        <v>0.72</v>
      </c>
      <c r="I237" s="101">
        <f t="shared" si="36"/>
        <v>0.80999999999999994</v>
      </c>
      <c r="J237" s="101">
        <f t="shared" si="37"/>
        <v>0.9900000000000001</v>
      </c>
      <c r="K237" s="101">
        <f t="shared" si="38"/>
        <v>1.08</v>
      </c>
      <c r="L237" s="101">
        <f t="shared" si="39"/>
        <v>1.17</v>
      </c>
      <c r="M237" s="98">
        <f t="shared" si="40"/>
        <v>9.0909090909090899</v>
      </c>
      <c r="N237" s="98">
        <f t="shared" si="41"/>
        <v>8.3333333333333321</v>
      </c>
      <c r="O237" s="98">
        <f t="shared" si="42"/>
        <v>7.6923076923076925</v>
      </c>
    </row>
    <row r="238" spans="2:15" ht="15" customHeight="1" x14ac:dyDescent="0.25">
      <c r="B238" s="158"/>
      <c r="C238" s="95" t="s">
        <v>40</v>
      </c>
      <c r="D238" s="98">
        <v>9</v>
      </c>
      <c r="E238" s="98">
        <v>9</v>
      </c>
      <c r="F238" s="98">
        <f t="shared" si="34"/>
        <v>0.36</v>
      </c>
      <c r="G238" s="101">
        <f t="shared" si="43"/>
        <v>0.63000000000000012</v>
      </c>
      <c r="H238" s="101">
        <f t="shared" si="35"/>
        <v>0.72</v>
      </c>
      <c r="I238" s="101">
        <f t="shared" si="36"/>
        <v>0.80999999999999994</v>
      </c>
      <c r="J238" s="101">
        <f t="shared" si="37"/>
        <v>0.9900000000000001</v>
      </c>
      <c r="K238" s="101">
        <f t="shared" si="38"/>
        <v>1.08</v>
      </c>
      <c r="L238" s="101">
        <f t="shared" si="39"/>
        <v>1.17</v>
      </c>
      <c r="M238" s="98">
        <f t="shared" si="40"/>
        <v>9.0909090909090899</v>
      </c>
      <c r="N238" s="98">
        <f t="shared" si="41"/>
        <v>8.3333333333333321</v>
      </c>
      <c r="O238" s="98">
        <f t="shared" si="42"/>
        <v>7.6923076923076925</v>
      </c>
    </row>
    <row r="239" spans="2:15" ht="15" customHeight="1" x14ac:dyDescent="0.25">
      <c r="B239" s="158"/>
      <c r="C239" s="95" t="s">
        <v>41</v>
      </c>
      <c r="D239" s="98">
        <v>9</v>
      </c>
      <c r="E239" s="98">
        <v>9</v>
      </c>
      <c r="F239" s="98">
        <f t="shared" si="34"/>
        <v>0.36</v>
      </c>
      <c r="G239" s="101">
        <f t="shared" si="43"/>
        <v>0.63000000000000012</v>
      </c>
      <c r="H239" s="101">
        <f t="shared" si="35"/>
        <v>0.72</v>
      </c>
      <c r="I239" s="101">
        <f t="shared" si="36"/>
        <v>0.80999999999999994</v>
      </c>
      <c r="J239" s="101">
        <f t="shared" si="37"/>
        <v>0.9900000000000001</v>
      </c>
      <c r="K239" s="101">
        <f t="shared" si="38"/>
        <v>1.08</v>
      </c>
      <c r="L239" s="101">
        <f t="shared" si="39"/>
        <v>1.17</v>
      </c>
      <c r="M239" s="98">
        <f t="shared" si="40"/>
        <v>9.0909090909090899</v>
      </c>
      <c r="N239" s="98">
        <f t="shared" si="41"/>
        <v>8.3333333333333321</v>
      </c>
      <c r="O239" s="98">
        <f t="shared" si="42"/>
        <v>7.6923076923076925</v>
      </c>
    </row>
    <row r="240" spans="2:15" ht="15" customHeight="1" x14ac:dyDescent="0.25">
      <c r="B240" s="158"/>
      <c r="C240" s="95" t="s">
        <v>42</v>
      </c>
      <c r="D240" s="98">
        <v>9</v>
      </c>
      <c r="E240" s="98">
        <v>9</v>
      </c>
      <c r="F240" s="98">
        <f t="shared" si="34"/>
        <v>0.36</v>
      </c>
      <c r="G240" s="101">
        <f t="shared" si="43"/>
        <v>0.63000000000000012</v>
      </c>
      <c r="H240" s="101">
        <f t="shared" si="35"/>
        <v>0.72</v>
      </c>
      <c r="I240" s="101">
        <f t="shared" si="36"/>
        <v>0.80999999999999994</v>
      </c>
      <c r="J240" s="101">
        <f t="shared" si="37"/>
        <v>0.9900000000000001</v>
      </c>
      <c r="K240" s="101">
        <f t="shared" si="38"/>
        <v>1.08</v>
      </c>
      <c r="L240" s="101">
        <f t="shared" si="39"/>
        <v>1.17</v>
      </c>
      <c r="M240" s="98">
        <f t="shared" si="40"/>
        <v>9.0909090909090899</v>
      </c>
      <c r="N240" s="98">
        <f t="shared" si="41"/>
        <v>8.3333333333333321</v>
      </c>
      <c r="O240" s="98">
        <f t="shared" si="42"/>
        <v>7.6923076923076925</v>
      </c>
    </row>
    <row r="241" spans="2:15" ht="15" customHeight="1" x14ac:dyDescent="0.25">
      <c r="B241" s="158"/>
      <c r="C241" s="95" t="s">
        <v>43</v>
      </c>
      <c r="D241" s="98">
        <v>9</v>
      </c>
      <c r="E241" s="98">
        <v>9</v>
      </c>
      <c r="F241" s="98">
        <f t="shared" si="34"/>
        <v>0.36</v>
      </c>
      <c r="G241" s="101">
        <f t="shared" si="43"/>
        <v>0.63000000000000012</v>
      </c>
      <c r="H241" s="101">
        <f t="shared" si="35"/>
        <v>0.72</v>
      </c>
      <c r="I241" s="101">
        <f t="shared" si="36"/>
        <v>0.80999999999999994</v>
      </c>
      <c r="J241" s="101">
        <f t="shared" si="37"/>
        <v>0.9900000000000001</v>
      </c>
      <c r="K241" s="101">
        <f t="shared" si="38"/>
        <v>1.08</v>
      </c>
      <c r="L241" s="101">
        <f t="shared" si="39"/>
        <v>1.17</v>
      </c>
      <c r="M241" s="98">
        <f t="shared" si="40"/>
        <v>9.0909090909090899</v>
      </c>
      <c r="N241" s="98">
        <f t="shared" si="41"/>
        <v>8.3333333333333321</v>
      </c>
      <c r="O241" s="98">
        <f t="shared" si="42"/>
        <v>7.6923076923076925</v>
      </c>
    </row>
    <row r="242" spans="2:15" ht="15" customHeight="1" x14ac:dyDescent="0.25">
      <c r="B242" s="158"/>
      <c r="C242" s="95" t="s">
        <v>44</v>
      </c>
      <c r="D242" s="98">
        <v>9</v>
      </c>
      <c r="E242" s="98">
        <v>9</v>
      </c>
      <c r="F242" s="98">
        <f t="shared" si="34"/>
        <v>0.36</v>
      </c>
      <c r="G242" s="101">
        <f t="shared" si="43"/>
        <v>0.63000000000000012</v>
      </c>
      <c r="H242" s="101">
        <f t="shared" si="35"/>
        <v>0.72</v>
      </c>
      <c r="I242" s="101">
        <f t="shared" si="36"/>
        <v>0.80999999999999994</v>
      </c>
      <c r="J242" s="101">
        <f t="shared" si="37"/>
        <v>0.9900000000000001</v>
      </c>
      <c r="K242" s="101">
        <f t="shared" si="38"/>
        <v>1.08</v>
      </c>
      <c r="L242" s="101">
        <f t="shared" si="39"/>
        <v>1.17</v>
      </c>
      <c r="M242" s="98">
        <f t="shared" si="40"/>
        <v>9.0909090909090899</v>
      </c>
      <c r="N242" s="98">
        <f t="shared" si="41"/>
        <v>8.3333333333333321</v>
      </c>
      <c r="O242" s="98">
        <f t="shared" si="42"/>
        <v>7.6923076923076925</v>
      </c>
    </row>
    <row r="243" spans="2:15" ht="15" customHeight="1" x14ac:dyDescent="0.25">
      <c r="B243" s="158"/>
      <c r="C243" s="95" t="s">
        <v>45</v>
      </c>
      <c r="D243" s="98">
        <v>9</v>
      </c>
      <c r="E243" s="98">
        <v>9</v>
      </c>
      <c r="F243" s="98">
        <f t="shared" si="34"/>
        <v>0.36</v>
      </c>
      <c r="G243" s="101">
        <f t="shared" si="43"/>
        <v>0.63000000000000012</v>
      </c>
      <c r="H243" s="101">
        <f t="shared" si="35"/>
        <v>0.72</v>
      </c>
      <c r="I243" s="101">
        <f t="shared" si="36"/>
        <v>0.80999999999999994</v>
      </c>
      <c r="J243" s="101">
        <f t="shared" si="37"/>
        <v>0.9900000000000001</v>
      </c>
      <c r="K243" s="101">
        <f t="shared" si="38"/>
        <v>1.08</v>
      </c>
      <c r="L243" s="101">
        <f t="shared" si="39"/>
        <v>1.17</v>
      </c>
      <c r="M243" s="98">
        <f t="shared" si="40"/>
        <v>9.0909090909090899</v>
      </c>
      <c r="N243" s="98">
        <f t="shared" si="41"/>
        <v>8.3333333333333321</v>
      </c>
      <c r="O243" s="98">
        <f t="shared" si="42"/>
        <v>7.6923076923076925</v>
      </c>
    </row>
    <row r="244" spans="2:15" ht="15" customHeight="1" x14ac:dyDescent="0.25">
      <c r="B244" s="158"/>
      <c r="C244" s="95" t="s">
        <v>46</v>
      </c>
      <c r="D244" s="98">
        <v>9</v>
      </c>
      <c r="E244" s="98">
        <v>9</v>
      </c>
      <c r="F244" s="98">
        <f t="shared" si="34"/>
        <v>0.36</v>
      </c>
      <c r="G244" s="101">
        <f t="shared" si="43"/>
        <v>0.63000000000000012</v>
      </c>
      <c r="H244" s="101">
        <f t="shared" si="35"/>
        <v>0.72</v>
      </c>
      <c r="I244" s="101">
        <f t="shared" si="36"/>
        <v>0.80999999999999994</v>
      </c>
      <c r="J244" s="101">
        <f t="shared" si="37"/>
        <v>0.9900000000000001</v>
      </c>
      <c r="K244" s="101">
        <f t="shared" si="38"/>
        <v>1.08</v>
      </c>
      <c r="L244" s="101">
        <f t="shared" si="39"/>
        <v>1.17</v>
      </c>
      <c r="M244" s="98">
        <f t="shared" si="40"/>
        <v>9.0909090909090899</v>
      </c>
      <c r="N244" s="98">
        <f t="shared" si="41"/>
        <v>8.3333333333333321</v>
      </c>
      <c r="O244" s="98">
        <f t="shared" si="42"/>
        <v>7.6923076923076925</v>
      </c>
    </row>
    <row r="245" spans="2:15" ht="15" customHeight="1" x14ac:dyDescent="0.25">
      <c r="B245" s="158"/>
      <c r="C245" s="95" t="s">
        <v>47</v>
      </c>
      <c r="D245" s="98">
        <v>9</v>
      </c>
      <c r="E245" s="98">
        <v>9</v>
      </c>
      <c r="F245" s="98">
        <f t="shared" si="34"/>
        <v>0.36</v>
      </c>
      <c r="G245" s="101">
        <f t="shared" si="43"/>
        <v>0.63000000000000012</v>
      </c>
      <c r="H245" s="101">
        <f t="shared" si="35"/>
        <v>0.72</v>
      </c>
      <c r="I245" s="101">
        <f t="shared" si="36"/>
        <v>0.80999999999999994</v>
      </c>
      <c r="J245" s="101">
        <f t="shared" si="37"/>
        <v>0.9900000000000001</v>
      </c>
      <c r="K245" s="101">
        <f t="shared" si="38"/>
        <v>1.08</v>
      </c>
      <c r="L245" s="101">
        <f t="shared" si="39"/>
        <v>1.17</v>
      </c>
      <c r="M245" s="98">
        <f t="shared" si="40"/>
        <v>9.0909090909090899</v>
      </c>
      <c r="N245" s="98">
        <f t="shared" si="41"/>
        <v>8.3333333333333321</v>
      </c>
      <c r="O245" s="98">
        <f t="shared" si="42"/>
        <v>7.6923076923076925</v>
      </c>
    </row>
    <row r="246" spans="2:15" ht="15" customHeight="1" x14ac:dyDescent="0.25">
      <c r="B246" s="159"/>
      <c r="C246" s="96" t="s">
        <v>48</v>
      </c>
      <c r="D246" s="99">
        <v>9</v>
      </c>
      <c r="E246" s="99">
        <v>9</v>
      </c>
      <c r="F246" s="99">
        <f t="shared" si="34"/>
        <v>0.36</v>
      </c>
      <c r="G246" s="102">
        <f t="shared" si="43"/>
        <v>0.63000000000000012</v>
      </c>
      <c r="H246" s="102">
        <f t="shared" si="35"/>
        <v>0.72</v>
      </c>
      <c r="I246" s="102">
        <f t="shared" si="36"/>
        <v>0.80999999999999994</v>
      </c>
      <c r="J246" s="102">
        <f t="shared" si="37"/>
        <v>0.9900000000000001</v>
      </c>
      <c r="K246" s="102">
        <f t="shared" si="38"/>
        <v>1.08</v>
      </c>
      <c r="L246" s="102">
        <f t="shared" si="39"/>
        <v>1.17</v>
      </c>
      <c r="M246" s="99">
        <f t="shared" si="40"/>
        <v>9.0909090909090899</v>
      </c>
      <c r="N246" s="99">
        <f t="shared" si="41"/>
        <v>8.3333333333333321</v>
      </c>
      <c r="O246" s="99">
        <f t="shared" si="42"/>
        <v>7.6923076923076925</v>
      </c>
    </row>
    <row r="247" spans="2:15" ht="15" customHeight="1" x14ac:dyDescent="0.25">
      <c r="B247" s="157">
        <v>1994</v>
      </c>
      <c r="C247" s="94" t="s">
        <v>36</v>
      </c>
      <c r="D247" s="97">
        <v>9</v>
      </c>
      <c r="E247" s="97">
        <v>9</v>
      </c>
      <c r="F247" s="97">
        <f t="shared" si="34"/>
        <v>0.36</v>
      </c>
      <c r="G247" s="100">
        <f t="shared" si="43"/>
        <v>0.63000000000000012</v>
      </c>
      <c r="H247" s="100">
        <f t="shared" si="35"/>
        <v>0.72</v>
      </c>
      <c r="I247" s="100">
        <f t="shared" si="36"/>
        <v>0.80999999999999994</v>
      </c>
      <c r="J247" s="100">
        <f t="shared" si="37"/>
        <v>0.9900000000000001</v>
      </c>
      <c r="K247" s="100">
        <f t="shared" si="38"/>
        <v>1.08</v>
      </c>
      <c r="L247" s="100">
        <f t="shared" si="39"/>
        <v>1.17</v>
      </c>
      <c r="M247" s="97">
        <f t="shared" si="40"/>
        <v>9.0909090909090899</v>
      </c>
      <c r="N247" s="97">
        <f t="shared" si="41"/>
        <v>8.3333333333333321</v>
      </c>
      <c r="O247" s="97">
        <f t="shared" si="42"/>
        <v>7.6923076923076925</v>
      </c>
    </row>
    <row r="248" spans="2:15" ht="15" customHeight="1" x14ac:dyDescent="0.25">
      <c r="B248" s="158"/>
      <c r="C248" s="95" t="s">
        <v>38</v>
      </c>
      <c r="D248" s="98">
        <v>9</v>
      </c>
      <c r="E248" s="98">
        <v>9</v>
      </c>
      <c r="F248" s="98">
        <f t="shared" si="34"/>
        <v>0.36</v>
      </c>
      <c r="G248" s="101">
        <f t="shared" si="43"/>
        <v>0.63000000000000012</v>
      </c>
      <c r="H248" s="101">
        <f t="shared" si="35"/>
        <v>0.72</v>
      </c>
      <c r="I248" s="101">
        <f t="shared" si="36"/>
        <v>0.80999999999999994</v>
      </c>
      <c r="J248" s="101">
        <f t="shared" si="37"/>
        <v>0.9900000000000001</v>
      </c>
      <c r="K248" s="101">
        <f t="shared" si="38"/>
        <v>1.08</v>
      </c>
      <c r="L248" s="101">
        <f t="shared" si="39"/>
        <v>1.17</v>
      </c>
      <c r="M248" s="98">
        <f t="shared" si="40"/>
        <v>9.0909090909090899</v>
      </c>
      <c r="N248" s="98">
        <f t="shared" si="41"/>
        <v>8.3333333333333321</v>
      </c>
      <c r="O248" s="98">
        <f t="shared" si="42"/>
        <v>7.6923076923076925</v>
      </c>
    </row>
    <row r="249" spans="2:15" ht="15" customHeight="1" x14ac:dyDescent="0.25">
      <c r="B249" s="158"/>
      <c r="C249" s="95" t="s">
        <v>39</v>
      </c>
      <c r="D249" s="98">
        <v>9</v>
      </c>
      <c r="E249" s="98">
        <v>9</v>
      </c>
      <c r="F249" s="98">
        <f t="shared" si="34"/>
        <v>0.36</v>
      </c>
      <c r="G249" s="101">
        <f t="shared" si="43"/>
        <v>0.63000000000000012</v>
      </c>
      <c r="H249" s="101">
        <f t="shared" si="35"/>
        <v>0.72</v>
      </c>
      <c r="I249" s="101">
        <f t="shared" si="36"/>
        <v>0.80999999999999994</v>
      </c>
      <c r="J249" s="101">
        <f t="shared" si="37"/>
        <v>0.9900000000000001</v>
      </c>
      <c r="K249" s="101">
        <f t="shared" si="38"/>
        <v>1.08</v>
      </c>
      <c r="L249" s="101">
        <f t="shared" si="39"/>
        <v>1.17</v>
      </c>
      <c r="M249" s="98">
        <f t="shared" si="40"/>
        <v>9.0909090909090899</v>
      </c>
      <c r="N249" s="98">
        <f t="shared" si="41"/>
        <v>8.3333333333333321</v>
      </c>
      <c r="O249" s="98">
        <f t="shared" si="42"/>
        <v>7.6923076923076925</v>
      </c>
    </row>
    <row r="250" spans="2:15" ht="15" customHeight="1" x14ac:dyDescent="0.25">
      <c r="B250" s="158"/>
      <c r="C250" s="95" t="s">
        <v>40</v>
      </c>
      <c r="D250" s="98">
        <v>15</v>
      </c>
      <c r="E250" s="98">
        <v>15</v>
      </c>
      <c r="F250" s="98">
        <f t="shared" si="34"/>
        <v>0.6</v>
      </c>
      <c r="G250" s="101">
        <f t="shared" si="43"/>
        <v>1.05</v>
      </c>
      <c r="H250" s="101">
        <f t="shared" si="35"/>
        <v>1.2</v>
      </c>
      <c r="I250" s="101">
        <f t="shared" si="36"/>
        <v>1.3499999999999999</v>
      </c>
      <c r="J250" s="101">
        <f t="shared" si="37"/>
        <v>1.65</v>
      </c>
      <c r="K250" s="101">
        <f t="shared" si="38"/>
        <v>1.7999999999999998</v>
      </c>
      <c r="L250" s="101">
        <f t="shared" si="39"/>
        <v>1.9499999999999997</v>
      </c>
      <c r="M250" s="98">
        <f t="shared" si="40"/>
        <v>9.0909090909090917</v>
      </c>
      <c r="N250" s="98">
        <f t="shared" si="41"/>
        <v>8.3333333333333339</v>
      </c>
      <c r="O250" s="98">
        <f t="shared" si="42"/>
        <v>7.6923076923076934</v>
      </c>
    </row>
    <row r="251" spans="2:15" ht="15" customHeight="1" x14ac:dyDescent="0.25">
      <c r="B251" s="158"/>
      <c r="C251" s="95" t="s">
        <v>41</v>
      </c>
      <c r="D251" s="98">
        <v>15</v>
      </c>
      <c r="E251" s="98">
        <v>15</v>
      </c>
      <c r="F251" s="98">
        <f t="shared" si="34"/>
        <v>0.6</v>
      </c>
      <c r="G251" s="101">
        <f t="shared" si="43"/>
        <v>1.05</v>
      </c>
      <c r="H251" s="101">
        <f t="shared" si="35"/>
        <v>1.2</v>
      </c>
      <c r="I251" s="101">
        <f t="shared" si="36"/>
        <v>1.3499999999999999</v>
      </c>
      <c r="J251" s="101">
        <f t="shared" si="37"/>
        <v>1.65</v>
      </c>
      <c r="K251" s="101">
        <f t="shared" si="38"/>
        <v>1.7999999999999998</v>
      </c>
      <c r="L251" s="101">
        <f t="shared" si="39"/>
        <v>1.9499999999999997</v>
      </c>
      <c r="M251" s="98">
        <f t="shared" si="40"/>
        <v>9.0909090909090917</v>
      </c>
      <c r="N251" s="98">
        <f t="shared" si="41"/>
        <v>8.3333333333333339</v>
      </c>
      <c r="O251" s="98">
        <f t="shared" si="42"/>
        <v>7.6923076923076934</v>
      </c>
    </row>
    <row r="252" spans="2:15" ht="15" customHeight="1" x14ac:dyDescent="0.25">
      <c r="B252" s="158"/>
      <c r="C252" s="95" t="s">
        <v>42</v>
      </c>
      <c r="D252" s="98">
        <v>15</v>
      </c>
      <c r="E252" s="98">
        <v>15</v>
      </c>
      <c r="F252" s="98">
        <f t="shared" si="34"/>
        <v>0.6</v>
      </c>
      <c r="G252" s="101">
        <f t="shared" si="43"/>
        <v>1.05</v>
      </c>
      <c r="H252" s="101">
        <f t="shared" si="35"/>
        <v>1.2</v>
      </c>
      <c r="I252" s="101">
        <f t="shared" si="36"/>
        <v>1.3499999999999999</v>
      </c>
      <c r="J252" s="101">
        <f t="shared" si="37"/>
        <v>1.65</v>
      </c>
      <c r="K252" s="101">
        <f t="shared" si="38"/>
        <v>1.7999999999999998</v>
      </c>
      <c r="L252" s="101">
        <f t="shared" si="39"/>
        <v>1.9499999999999997</v>
      </c>
      <c r="M252" s="98">
        <f t="shared" si="40"/>
        <v>9.0909090909090917</v>
      </c>
      <c r="N252" s="98">
        <f t="shared" si="41"/>
        <v>8.3333333333333339</v>
      </c>
      <c r="O252" s="98">
        <f t="shared" si="42"/>
        <v>7.6923076923076934</v>
      </c>
    </row>
    <row r="253" spans="2:15" ht="15" customHeight="1" x14ac:dyDescent="0.25">
      <c r="B253" s="158"/>
      <c r="C253" s="95" t="s">
        <v>43</v>
      </c>
      <c r="D253" s="98">
        <v>15</v>
      </c>
      <c r="E253" s="98">
        <v>15</v>
      </c>
      <c r="F253" s="98">
        <f t="shared" si="34"/>
        <v>0.6</v>
      </c>
      <c r="G253" s="101">
        <f t="shared" si="43"/>
        <v>1.05</v>
      </c>
      <c r="H253" s="101">
        <f t="shared" si="35"/>
        <v>1.2</v>
      </c>
      <c r="I253" s="101">
        <f t="shared" si="36"/>
        <v>1.3499999999999999</v>
      </c>
      <c r="J253" s="101">
        <f t="shared" si="37"/>
        <v>1.65</v>
      </c>
      <c r="K253" s="101">
        <f t="shared" si="38"/>
        <v>1.7999999999999998</v>
      </c>
      <c r="L253" s="101">
        <f t="shared" si="39"/>
        <v>1.9499999999999997</v>
      </c>
      <c r="M253" s="98">
        <f t="shared" si="40"/>
        <v>9.0909090909090917</v>
      </c>
      <c r="N253" s="98">
        <f t="shared" si="41"/>
        <v>8.3333333333333339</v>
      </c>
      <c r="O253" s="98">
        <f t="shared" si="42"/>
        <v>7.6923076923076934</v>
      </c>
    </row>
    <row r="254" spans="2:15" ht="15" customHeight="1" x14ac:dyDescent="0.25">
      <c r="B254" s="158"/>
      <c r="C254" s="95" t="s">
        <v>44</v>
      </c>
      <c r="D254" s="98">
        <v>15</v>
      </c>
      <c r="E254" s="98">
        <v>15</v>
      </c>
      <c r="F254" s="98">
        <f t="shared" si="34"/>
        <v>0.6</v>
      </c>
      <c r="G254" s="101">
        <f t="shared" si="43"/>
        <v>1.05</v>
      </c>
      <c r="H254" s="101">
        <f t="shared" si="35"/>
        <v>1.2</v>
      </c>
      <c r="I254" s="101">
        <f t="shared" si="36"/>
        <v>1.3499999999999999</v>
      </c>
      <c r="J254" s="101">
        <f t="shared" si="37"/>
        <v>1.65</v>
      </c>
      <c r="K254" s="101">
        <f t="shared" si="38"/>
        <v>1.7999999999999998</v>
      </c>
      <c r="L254" s="101">
        <f t="shared" si="39"/>
        <v>1.9499999999999997</v>
      </c>
      <c r="M254" s="98">
        <f t="shared" si="40"/>
        <v>9.0909090909090917</v>
      </c>
      <c r="N254" s="98">
        <f t="shared" si="41"/>
        <v>8.3333333333333339</v>
      </c>
      <c r="O254" s="98">
        <f t="shared" si="42"/>
        <v>7.6923076923076934</v>
      </c>
    </row>
    <row r="255" spans="2:15" ht="15" customHeight="1" x14ac:dyDescent="0.25">
      <c r="B255" s="158"/>
      <c r="C255" s="95" t="s">
        <v>45</v>
      </c>
      <c r="D255" s="98">
        <v>15</v>
      </c>
      <c r="E255" s="98">
        <v>15</v>
      </c>
      <c r="F255" s="98">
        <f t="shared" si="34"/>
        <v>0.6</v>
      </c>
      <c r="G255" s="101">
        <f t="shared" si="43"/>
        <v>1.05</v>
      </c>
      <c r="H255" s="101">
        <f t="shared" si="35"/>
        <v>1.2</v>
      </c>
      <c r="I255" s="101">
        <f t="shared" si="36"/>
        <v>1.3499999999999999</v>
      </c>
      <c r="J255" s="101">
        <f t="shared" si="37"/>
        <v>1.65</v>
      </c>
      <c r="K255" s="101">
        <f t="shared" si="38"/>
        <v>1.7999999999999998</v>
      </c>
      <c r="L255" s="101">
        <f t="shared" si="39"/>
        <v>1.9499999999999997</v>
      </c>
      <c r="M255" s="98">
        <f t="shared" si="40"/>
        <v>9.0909090909090917</v>
      </c>
      <c r="N255" s="98">
        <f t="shared" si="41"/>
        <v>8.3333333333333339</v>
      </c>
      <c r="O255" s="98">
        <f t="shared" si="42"/>
        <v>7.6923076923076934</v>
      </c>
    </row>
    <row r="256" spans="2:15" ht="15" customHeight="1" x14ac:dyDescent="0.25">
      <c r="B256" s="158"/>
      <c r="C256" s="95" t="s">
        <v>46</v>
      </c>
      <c r="D256" s="98">
        <v>15</v>
      </c>
      <c r="E256" s="98">
        <v>15</v>
      </c>
      <c r="F256" s="98">
        <f t="shared" si="34"/>
        <v>0.6</v>
      </c>
      <c r="G256" s="101">
        <f t="shared" si="43"/>
        <v>1.05</v>
      </c>
      <c r="H256" s="101">
        <f t="shared" si="35"/>
        <v>1.2</v>
      </c>
      <c r="I256" s="101">
        <f t="shared" si="36"/>
        <v>1.3499999999999999</v>
      </c>
      <c r="J256" s="101">
        <f t="shared" si="37"/>
        <v>1.65</v>
      </c>
      <c r="K256" s="101">
        <f t="shared" si="38"/>
        <v>1.7999999999999998</v>
      </c>
      <c r="L256" s="101">
        <f t="shared" si="39"/>
        <v>1.9499999999999997</v>
      </c>
      <c r="M256" s="98">
        <f t="shared" si="40"/>
        <v>9.0909090909090917</v>
      </c>
      <c r="N256" s="98">
        <f t="shared" si="41"/>
        <v>8.3333333333333339</v>
      </c>
      <c r="O256" s="98">
        <f t="shared" si="42"/>
        <v>7.6923076923076934</v>
      </c>
    </row>
    <row r="257" spans="2:15" ht="15" customHeight="1" x14ac:dyDescent="0.25">
      <c r="B257" s="158"/>
      <c r="C257" s="95" t="s">
        <v>47</v>
      </c>
      <c r="D257" s="98">
        <v>15</v>
      </c>
      <c r="E257" s="98">
        <v>15</v>
      </c>
      <c r="F257" s="98">
        <f t="shared" si="34"/>
        <v>0.6</v>
      </c>
      <c r="G257" s="101">
        <f t="shared" si="43"/>
        <v>1.05</v>
      </c>
      <c r="H257" s="101">
        <f t="shared" si="35"/>
        <v>1.2</v>
      </c>
      <c r="I257" s="101">
        <f t="shared" si="36"/>
        <v>1.3499999999999999</v>
      </c>
      <c r="J257" s="101">
        <f t="shared" si="37"/>
        <v>1.65</v>
      </c>
      <c r="K257" s="101">
        <f t="shared" si="38"/>
        <v>1.7999999999999998</v>
      </c>
      <c r="L257" s="101">
        <f t="shared" si="39"/>
        <v>1.9499999999999997</v>
      </c>
      <c r="M257" s="98">
        <f t="shared" si="40"/>
        <v>9.0909090909090917</v>
      </c>
      <c r="N257" s="98">
        <f t="shared" si="41"/>
        <v>8.3333333333333339</v>
      </c>
      <c r="O257" s="98">
        <f t="shared" si="42"/>
        <v>7.6923076923076934</v>
      </c>
    </row>
    <row r="258" spans="2:15" ht="15" customHeight="1" x14ac:dyDescent="0.25">
      <c r="B258" s="159"/>
      <c r="C258" s="96" t="s">
        <v>48</v>
      </c>
      <c r="D258" s="99">
        <v>15</v>
      </c>
      <c r="E258" s="99">
        <v>15</v>
      </c>
      <c r="F258" s="99">
        <f t="shared" si="34"/>
        <v>0.6</v>
      </c>
      <c r="G258" s="102">
        <f t="shared" si="43"/>
        <v>1.05</v>
      </c>
      <c r="H258" s="102">
        <f t="shared" si="35"/>
        <v>1.2</v>
      </c>
      <c r="I258" s="102">
        <f t="shared" si="36"/>
        <v>1.3499999999999999</v>
      </c>
      <c r="J258" s="102">
        <f t="shared" si="37"/>
        <v>1.65</v>
      </c>
      <c r="K258" s="102">
        <f t="shared" si="38"/>
        <v>1.7999999999999998</v>
      </c>
      <c r="L258" s="102">
        <f t="shared" si="39"/>
        <v>1.9499999999999997</v>
      </c>
      <c r="M258" s="99">
        <f t="shared" si="40"/>
        <v>9.0909090909090917</v>
      </c>
      <c r="N258" s="99">
        <f t="shared" si="41"/>
        <v>8.3333333333333339</v>
      </c>
      <c r="O258" s="99">
        <f t="shared" si="42"/>
        <v>7.6923076923076934</v>
      </c>
    </row>
    <row r="259" spans="2:15" ht="15" customHeight="1" x14ac:dyDescent="0.25">
      <c r="B259" s="157">
        <v>1995</v>
      </c>
      <c r="C259" s="94" t="s">
        <v>36</v>
      </c>
      <c r="D259" s="97">
        <v>15</v>
      </c>
      <c r="E259" s="97">
        <v>15</v>
      </c>
      <c r="F259" s="97">
        <f t="shared" si="34"/>
        <v>0.6</v>
      </c>
      <c r="G259" s="100">
        <f t="shared" si="43"/>
        <v>1.05</v>
      </c>
      <c r="H259" s="100">
        <f t="shared" si="35"/>
        <v>1.2</v>
      </c>
      <c r="I259" s="100">
        <f t="shared" si="36"/>
        <v>1.3499999999999999</v>
      </c>
      <c r="J259" s="100">
        <f t="shared" si="37"/>
        <v>1.65</v>
      </c>
      <c r="K259" s="100">
        <f t="shared" si="38"/>
        <v>1.7999999999999998</v>
      </c>
      <c r="L259" s="100">
        <f t="shared" si="39"/>
        <v>1.9499999999999997</v>
      </c>
      <c r="M259" s="97">
        <f t="shared" si="40"/>
        <v>9.0909090909090917</v>
      </c>
      <c r="N259" s="97">
        <f t="shared" si="41"/>
        <v>8.3333333333333339</v>
      </c>
      <c r="O259" s="97">
        <f t="shared" si="42"/>
        <v>7.6923076923076934</v>
      </c>
    </row>
    <row r="260" spans="2:15" ht="15" customHeight="1" x14ac:dyDescent="0.25">
      <c r="B260" s="158"/>
      <c r="C260" s="95" t="s">
        <v>38</v>
      </c>
      <c r="D260" s="98">
        <v>15</v>
      </c>
      <c r="E260" s="98">
        <v>15</v>
      </c>
      <c r="F260" s="98">
        <f t="shared" si="34"/>
        <v>0.6</v>
      </c>
      <c r="G260" s="101">
        <f t="shared" si="43"/>
        <v>1.05</v>
      </c>
      <c r="H260" s="101">
        <f t="shared" si="35"/>
        <v>1.2</v>
      </c>
      <c r="I260" s="101">
        <f t="shared" si="36"/>
        <v>1.3499999999999999</v>
      </c>
      <c r="J260" s="101">
        <f t="shared" si="37"/>
        <v>1.65</v>
      </c>
      <c r="K260" s="101">
        <f t="shared" si="38"/>
        <v>1.7999999999999998</v>
      </c>
      <c r="L260" s="101">
        <f t="shared" si="39"/>
        <v>1.9499999999999997</v>
      </c>
      <c r="M260" s="98">
        <f t="shared" si="40"/>
        <v>9.0909090909090917</v>
      </c>
      <c r="N260" s="98">
        <f t="shared" si="41"/>
        <v>8.3333333333333339</v>
      </c>
      <c r="O260" s="98">
        <f t="shared" si="42"/>
        <v>7.6923076923076934</v>
      </c>
    </row>
    <row r="261" spans="2:15" ht="15" customHeight="1" x14ac:dyDescent="0.25">
      <c r="B261" s="158"/>
      <c r="C261" s="95" t="s">
        <v>39</v>
      </c>
      <c r="D261" s="98">
        <v>15</v>
      </c>
      <c r="E261" s="98">
        <v>15</v>
      </c>
      <c r="F261" s="98">
        <f t="shared" si="34"/>
        <v>0.6</v>
      </c>
      <c r="G261" s="101">
        <f t="shared" si="43"/>
        <v>1.05</v>
      </c>
      <c r="H261" s="101">
        <f t="shared" si="35"/>
        <v>1.2</v>
      </c>
      <c r="I261" s="101">
        <f t="shared" si="36"/>
        <v>1.3499999999999999</v>
      </c>
      <c r="J261" s="101">
        <f t="shared" si="37"/>
        <v>1.65</v>
      </c>
      <c r="K261" s="101">
        <f t="shared" si="38"/>
        <v>1.7999999999999998</v>
      </c>
      <c r="L261" s="101">
        <f t="shared" si="39"/>
        <v>1.9499999999999997</v>
      </c>
      <c r="M261" s="98">
        <f t="shared" si="40"/>
        <v>9.0909090909090917</v>
      </c>
      <c r="N261" s="98">
        <f t="shared" si="41"/>
        <v>8.3333333333333339</v>
      </c>
      <c r="O261" s="98">
        <f t="shared" si="42"/>
        <v>7.6923076923076934</v>
      </c>
    </row>
    <row r="262" spans="2:15" ht="15" customHeight="1" x14ac:dyDescent="0.25">
      <c r="B262" s="158"/>
      <c r="C262" s="95" t="s">
        <v>40</v>
      </c>
      <c r="D262" s="98">
        <v>15</v>
      </c>
      <c r="E262" s="98">
        <v>15</v>
      </c>
      <c r="F262" s="98">
        <f t="shared" si="34"/>
        <v>0.6</v>
      </c>
      <c r="G262" s="101">
        <f t="shared" si="43"/>
        <v>1.05</v>
      </c>
      <c r="H262" s="101">
        <f t="shared" si="35"/>
        <v>1.2</v>
      </c>
      <c r="I262" s="101">
        <f t="shared" si="36"/>
        <v>1.3499999999999999</v>
      </c>
      <c r="J262" s="101">
        <f t="shared" si="37"/>
        <v>1.65</v>
      </c>
      <c r="K262" s="101">
        <f t="shared" si="38"/>
        <v>1.7999999999999998</v>
      </c>
      <c r="L262" s="101">
        <f t="shared" si="39"/>
        <v>1.9499999999999997</v>
      </c>
      <c r="M262" s="98">
        <f t="shared" si="40"/>
        <v>9.0909090909090917</v>
      </c>
      <c r="N262" s="98">
        <f t="shared" si="41"/>
        <v>8.3333333333333339</v>
      </c>
      <c r="O262" s="98">
        <f t="shared" si="42"/>
        <v>7.6923076923076934</v>
      </c>
    </row>
    <row r="263" spans="2:15" ht="15" customHeight="1" x14ac:dyDescent="0.25">
      <c r="B263" s="158"/>
      <c r="C263" s="95" t="s">
        <v>41</v>
      </c>
      <c r="D263" s="98">
        <v>15</v>
      </c>
      <c r="E263" s="98">
        <v>15</v>
      </c>
      <c r="F263" s="98">
        <f t="shared" si="34"/>
        <v>0.6</v>
      </c>
      <c r="G263" s="101">
        <f t="shared" si="43"/>
        <v>1.05</v>
      </c>
      <c r="H263" s="101">
        <f t="shared" si="35"/>
        <v>1.2</v>
      </c>
      <c r="I263" s="101">
        <f t="shared" si="36"/>
        <v>1.3499999999999999</v>
      </c>
      <c r="J263" s="101">
        <f t="shared" si="37"/>
        <v>1.65</v>
      </c>
      <c r="K263" s="101">
        <f t="shared" si="38"/>
        <v>1.7999999999999998</v>
      </c>
      <c r="L263" s="101">
        <f t="shared" si="39"/>
        <v>1.9499999999999997</v>
      </c>
      <c r="M263" s="98">
        <f t="shared" si="40"/>
        <v>9.0909090909090917</v>
      </c>
      <c r="N263" s="98">
        <f t="shared" si="41"/>
        <v>8.3333333333333339</v>
      </c>
      <c r="O263" s="98">
        <f t="shared" si="42"/>
        <v>7.6923076923076934</v>
      </c>
    </row>
    <row r="264" spans="2:15" ht="15" customHeight="1" x14ac:dyDescent="0.25">
      <c r="B264" s="158"/>
      <c r="C264" s="95" t="s">
        <v>42</v>
      </c>
      <c r="D264" s="98">
        <v>15</v>
      </c>
      <c r="E264" s="98">
        <v>15</v>
      </c>
      <c r="F264" s="98">
        <f t="shared" si="34"/>
        <v>0.6</v>
      </c>
      <c r="G264" s="101">
        <f t="shared" si="43"/>
        <v>1.05</v>
      </c>
      <c r="H264" s="101">
        <f t="shared" si="35"/>
        <v>1.2</v>
      </c>
      <c r="I264" s="101">
        <f t="shared" si="36"/>
        <v>1.3499999999999999</v>
      </c>
      <c r="J264" s="101">
        <f t="shared" si="37"/>
        <v>1.65</v>
      </c>
      <c r="K264" s="101">
        <f t="shared" si="38"/>
        <v>1.7999999999999998</v>
      </c>
      <c r="L264" s="101">
        <f t="shared" si="39"/>
        <v>1.9499999999999997</v>
      </c>
      <c r="M264" s="98">
        <f t="shared" si="40"/>
        <v>9.0909090909090917</v>
      </c>
      <c r="N264" s="98">
        <f t="shared" si="41"/>
        <v>8.3333333333333339</v>
      </c>
      <c r="O264" s="98">
        <f t="shared" si="42"/>
        <v>7.6923076923076934</v>
      </c>
    </row>
    <row r="265" spans="2:15" ht="15" customHeight="1" x14ac:dyDescent="0.25">
      <c r="B265" s="158"/>
      <c r="C265" s="95" t="s">
        <v>43</v>
      </c>
      <c r="D265" s="98">
        <v>15</v>
      </c>
      <c r="E265" s="98">
        <v>15</v>
      </c>
      <c r="F265" s="98">
        <f t="shared" si="34"/>
        <v>0.6</v>
      </c>
      <c r="G265" s="101">
        <f t="shared" si="43"/>
        <v>1.05</v>
      </c>
      <c r="H265" s="101">
        <f t="shared" si="35"/>
        <v>1.2</v>
      </c>
      <c r="I265" s="101">
        <f t="shared" si="36"/>
        <v>1.3499999999999999</v>
      </c>
      <c r="J265" s="101">
        <f t="shared" si="37"/>
        <v>1.65</v>
      </c>
      <c r="K265" s="101">
        <f t="shared" si="38"/>
        <v>1.7999999999999998</v>
      </c>
      <c r="L265" s="101">
        <f t="shared" si="39"/>
        <v>1.9499999999999997</v>
      </c>
      <c r="M265" s="98">
        <f t="shared" si="40"/>
        <v>9.0909090909090917</v>
      </c>
      <c r="N265" s="98">
        <f t="shared" si="41"/>
        <v>8.3333333333333339</v>
      </c>
      <c r="O265" s="98">
        <f t="shared" si="42"/>
        <v>7.6923076923076934</v>
      </c>
    </row>
    <row r="266" spans="2:15" ht="15" customHeight="1" x14ac:dyDescent="0.25">
      <c r="B266" s="158"/>
      <c r="C266" s="95" t="s">
        <v>44</v>
      </c>
      <c r="D266" s="98">
        <v>15</v>
      </c>
      <c r="E266" s="98">
        <v>15</v>
      </c>
      <c r="F266" s="98">
        <f t="shared" si="34"/>
        <v>0.6</v>
      </c>
      <c r="G266" s="101">
        <f t="shared" si="43"/>
        <v>1.05</v>
      </c>
      <c r="H266" s="101">
        <f t="shared" si="35"/>
        <v>1.2</v>
      </c>
      <c r="I266" s="101">
        <f t="shared" si="36"/>
        <v>1.3499999999999999</v>
      </c>
      <c r="J266" s="101">
        <f t="shared" si="37"/>
        <v>1.65</v>
      </c>
      <c r="K266" s="101">
        <f t="shared" si="38"/>
        <v>1.7999999999999998</v>
      </c>
      <c r="L266" s="101">
        <f t="shared" si="39"/>
        <v>1.9499999999999997</v>
      </c>
      <c r="M266" s="98">
        <f t="shared" si="40"/>
        <v>9.0909090909090917</v>
      </c>
      <c r="N266" s="98">
        <f t="shared" si="41"/>
        <v>8.3333333333333339</v>
      </c>
      <c r="O266" s="98">
        <f t="shared" si="42"/>
        <v>7.6923076923076934</v>
      </c>
    </row>
    <row r="267" spans="2:15" ht="15" customHeight="1" x14ac:dyDescent="0.25">
      <c r="B267" s="158"/>
      <c r="C267" s="95" t="s">
        <v>45</v>
      </c>
      <c r="D267" s="98">
        <v>15</v>
      </c>
      <c r="E267" s="98">
        <v>15</v>
      </c>
      <c r="F267" s="98">
        <f t="shared" si="34"/>
        <v>0.6</v>
      </c>
      <c r="G267" s="101">
        <f t="shared" si="43"/>
        <v>1.05</v>
      </c>
      <c r="H267" s="101">
        <f t="shared" si="35"/>
        <v>1.2</v>
      </c>
      <c r="I267" s="101">
        <f t="shared" si="36"/>
        <v>1.3499999999999999</v>
      </c>
      <c r="J267" s="101">
        <f t="shared" si="37"/>
        <v>1.65</v>
      </c>
      <c r="K267" s="101">
        <f t="shared" si="38"/>
        <v>1.7999999999999998</v>
      </c>
      <c r="L267" s="101">
        <f t="shared" si="39"/>
        <v>1.9499999999999997</v>
      </c>
      <c r="M267" s="98">
        <f t="shared" si="40"/>
        <v>9.0909090909090917</v>
      </c>
      <c r="N267" s="98">
        <f t="shared" si="41"/>
        <v>8.3333333333333339</v>
      </c>
      <c r="O267" s="98">
        <f t="shared" si="42"/>
        <v>7.6923076923076934</v>
      </c>
    </row>
    <row r="268" spans="2:15" ht="15" customHeight="1" x14ac:dyDescent="0.25">
      <c r="B268" s="158"/>
      <c r="C268" s="95" t="s">
        <v>46</v>
      </c>
      <c r="D268" s="98">
        <v>15</v>
      </c>
      <c r="E268" s="98">
        <v>15</v>
      </c>
      <c r="F268" s="98">
        <f t="shared" si="34"/>
        <v>0.6</v>
      </c>
      <c r="G268" s="101">
        <f t="shared" si="43"/>
        <v>1.05</v>
      </c>
      <c r="H268" s="101">
        <f t="shared" si="35"/>
        <v>1.2</v>
      </c>
      <c r="I268" s="101">
        <f t="shared" si="36"/>
        <v>1.3499999999999999</v>
      </c>
      <c r="J268" s="101">
        <f t="shared" si="37"/>
        <v>1.65</v>
      </c>
      <c r="K268" s="101">
        <f t="shared" si="38"/>
        <v>1.7999999999999998</v>
      </c>
      <c r="L268" s="101">
        <f t="shared" si="39"/>
        <v>1.9499999999999997</v>
      </c>
      <c r="M268" s="98">
        <f t="shared" si="40"/>
        <v>9.0909090909090917</v>
      </c>
      <c r="N268" s="98">
        <f t="shared" si="41"/>
        <v>8.3333333333333339</v>
      </c>
      <c r="O268" s="98">
        <f t="shared" si="42"/>
        <v>7.6923076923076934</v>
      </c>
    </row>
    <row r="269" spans="2:15" ht="15" customHeight="1" x14ac:dyDescent="0.25">
      <c r="B269" s="158"/>
      <c r="C269" s="95" t="s">
        <v>47</v>
      </c>
      <c r="D269" s="98">
        <v>15</v>
      </c>
      <c r="E269" s="98">
        <v>15</v>
      </c>
      <c r="F269" s="98">
        <f t="shared" ref="F269:F332" si="44">+D269*4%</f>
        <v>0.6</v>
      </c>
      <c r="G269" s="101">
        <f t="shared" si="43"/>
        <v>1.05</v>
      </c>
      <c r="H269" s="101">
        <f t="shared" ref="H269:H332" si="45">+D269*8%</f>
        <v>1.2</v>
      </c>
      <c r="I269" s="101">
        <f t="shared" ref="I269:I332" si="46">+D269*9%</f>
        <v>1.3499999999999999</v>
      </c>
      <c r="J269" s="101">
        <f t="shared" ref="J269:J332" si="47">+F269+G269</f>
        <v>1.65</v>
      </c>
      <c r="K269" s="101">
        <f t="shared" ref="K269:K332" si="48">+F269+H269</f>
        <v>1.7999999999999998</v>
      </c>
      <c r="L269" s="101">
        <f t="shared" ref="L269:L332" si="49">+F269+I269</f>
        <v>1.9499999999999997</v>
      </c>
      <c r="M269" s="98">
        <f t="shared" ref="M269:M332" si="50">+E269/J269</f>
        <v>9.0909090909090917</v>
      </c>
      <c r="N269" s="98">
        <f t="shared" ref="N269:N332" si="51">+E269/K269</f>
        <v>8.3333333333333339</v>
      </c>
      <c r="O269" s="98">
        <f t="shared" ref="O269:O332" si="52">+E269/L269</f>
        <v>7.6923076923076934</v>
      </c>
    </row>
    <row r="270" spans="2:15" ht="15" customHeight="1" x14ac:dyDescent="0.25">
      <c r="B270" s="159"/>
      <c r="C270" s="96" t="s">
        <v>48</v>
      </c>
      <c r="D270" s="99">
        <v>15</v>
      </c>
      <c r="E270" s="99">
        <v>15</v>
      </c>
      <c r="F270" s="99">
        <f t="shared" si="44"/>
        <v>0.6</v>
      </c>
      <c r="G270" s="102">
        <f t="shared" ref="G270:G333" si="53">+D270*7%</f>
        <v>1.05</v>
      </c>
      <c r="H270" s="102">
        <f t="shared" si="45"/>
        <v>1.2</v>
      </c>
      <c r="I270" s="102">
        <f t="shared" si="46"/>
        <v>1.3499999999999999</v>
      </c>
      <c r="J270" s="102">
        <f t="shared" si="47"/>
        <v>1.65</v>
      </c>
      <c r="K270" s="102">
        <f t="shared" si="48"/>
        <v>1.7999999999999998</v>
      </c>
      <c r="L270" s="102">
        <f t="shared" si="49"/>
        <v>1.9499999999999997</v>
      </c>
      <c r="M270" s="99">
        <f t="shared" si="50"/>
        <v>9.0909090909090917</v>
      </c>
      <c r="N270" s="99">
        <f t="shared" si="51"/>
        <v>8.3333333333333339</v>
      </c>
      <c r="O270" s="99">
        <f t="shared" si="52"/>
        <v>7.6923076923076934</v>
      </c>
    </row>
    <row r="271" spans="2:15" ht="15" customHeight="1" x14ac:dyDescent="0.25">
      <c r="B271" s="157">
        <v>1996</v>
      </c>
      <c r="C271" s="94" t="s">
        <v>36</v>
      </c>
      <c r="D271" s="97">
        <v>15</v>
      </c>
      <c r="E271" s="97">
        <v>15</v>
      </c>
      <c r="F271" s="97">
        <f t="shared" si="44"/>
        <v>0.6</v>
      </c>
      <c r="G271" s="100">
        <f t="shared" si="53"/>
        <v>1.05</v>
      </c>
      <c r="H271" s="100">
        <f t="shared" si="45"/>
        <v>1.2</v>
      </c>
      <c r="I271" s="100">
        <f t="shared" si="46"/>
        <v>1.3499999999999999</v>
      </c>
      <c r="J271" s="100">
        <f t="shared" si="47"/>
        <v>1.65</v>
      </c>
      <c r="K271" s="100">
        <f t="shared" si="48"/>
        <v>1.7999999999999998</v>
      </c>
      <c r="L271" s="100">
        <f t="shared" si="49"/>
        <v>1.9499999999999997</v>
      </c>
      <c r="M271" s="97">
        <f t="shared" si="50"/>
        <v>9.0909090909090917</v>
      </c>
      <c r="N271" s="97">
        <f t="shared" si="51"/>
        <v>8.3333333333333339</v>
      </c>
      <c r="O271" s="97">
        <f t="shared" si="52"/>
        <v>7.6923076923076934</v>
      </c>
    </row>
    <row r="272" spans="2:15" ht="15" customHeight="1" x14ac:dyDescent="0.25">
      <c r="B272" s="158"/>
      <c r="C272" s="95" t="s">
        <v>38</v>
      </c>
      <c r="D272" s="98">
        <v>15</v>
      </c>
      <c r="E272" s="98">
        <v>15</v>
      </c>
      <c r="F272" s="98">
        <f t="shared" si="44"/>
        <v>0.6</v>
      </c>
      <c r="G272" s="101">
        <f t="shared" si="53"/>
        <v>1.05</v>
      </c>
      <c r="H272" s="101">
        <f t="shared" si="45"/>
        <v>1.2</v>
      </c>
      <c r="I272" s="101">
        <f t="shared" si="46"/>
        <v>1.3499999999999999</v>
      </c>
      <c r="J272" s="101">
        <f t="shared" si="47"/>
        <v>1.65</v>
      </c>
      <c r="K272" s="101">
        <f t="shared" si="48"/>
        <v>1.7999999999999998</v>
      </c>
      <c r="L272" s="101">
        <f t="shared" si="49"/>
        <v>1.9499999999999997</v>
      </c>
      <c r="M272" s="98">
        <f t="shared" si="50"/>
        <v>9.0909090909090917</v>
      </c>
      <c r="N272" s="98">
        <f t="shared" si="51"/>
        <v>8.3333333333333339</v>
      </c>
      <c r="O272" s="98">
        <f t="shared" si="52"/>
        <v>7.6923076923076934</v>
      </c>
    </row>
    <row r="273" spans="2:15" ht="15" customHeight="1" x14ac:dyDescent="0.25">
      <c r="B273" s="158"/>
      <c r="C273" s="95" t="s">
        <v>39</v>
      </c>
      <c r="D273" s="98">
        <v>15</v>
      </c>
      <c r="E273" s="98">
        <v>15</v>
      </c>
      <c r="F273" s="98">
        <f t="shared" si="44"/>
        <v>0.6</v>
      </c>
      <c r="G273" s="101">
        <f t="shared" si="53"/>
        <v>1.05</v>
      </c>
      <c r="H273" s="101">
        <f t="shared" si="45"/>
        <v>1.2</v>
      </c>
      <c r="I273" s="101">
        <f t="shared" si="46"/>
        <v>1.3499999999999999</v>
      </c>
      <c r="J273" s="101">
        <f t="shared" si="47"/>
        <v>1.65</v>
      </c>
      <c r="K273" s="101">
        <f t="shared" si="48"/>
        <v>1.7999999999999998</v>
      </c>
      <c r="L273" s="101">
        <f t="shared" si="49"/>
        <v>1.9499999999999997</v>
      </c>
      <c r="M273" s="98">
        <f t="shared" si="50"/>
        <v>9.0909090909090917</v>
      </c>
      <c r="N273" s="98">
        <f t="shared" si="51"/>
        <v>8.3333333333333339</v>
      </c>
      <c r="O273" s="98">
        <f t="shared" si="52"/>
        <v>7.6923076923076934</v>
      </c>
    </row>
    <row r="274" spans="2:15" ht="15" customHeight="1" x14ac:dyDescent="0.25">
      <c r="B274" s="158"/>
      <c r="C274" s="95" t="s">
        <v>40</v>
      </c>
      <c r="D274" s="98">
        <v>15</v>
      </c>
      <c r="E274" s="98">
        <v>15</v>
      </c>
      <c r="F274" s="98">
        <f t="shared" si="44"/>
        <v>0.6</v>
      </c>
      <c r="G274" s="101">
        <f t="shared" si="53"/>
        <v>1.05</v>
      </c>
      <c r="H274" s="101">
        <f t="shared" si="45"/>
        <v>1.2</v>
      </c>
      <c r="I274" s="101">
        <f t="shared" si="46"/>
        <v>1.3499999999999999</v>
      </c>
      <c r="J274" s="101">
        <f t="shared" si="47"/>
        <v>1.65</v>
      </c>
      <c r="K274" s="101">
        <f t="shared" si="48"/>
        <v>1.7999999999999998</v>
      </c>
      <c r="L274" s="101">
        <f t="shared" si="49"/>
        <v>1.9499999999999997</v>
      </c>
      <c r="M274" s="98">
        <f t="shared" si="50"/>
        <v>9.0909090909090917</v>
      </c>
      <c r="N274" s="98">
        <f t="shared" si="51"/>
        <v>8.3333333333333339</v>
      </c>
      <c r="O274" s="98">
        <f t="shared" si="52"/>
        <v>7.6923076923076934</v>
      </c>
    </row>
    <row r="275" spans="2:15" ht="15" customHeight="1" x14ac:dyDescent="0.25">
      <c r="B275" s="158"/>
      <c r="C275" s="95" t="s">
        <v>41</v>
      </c>
      <c r="D275" s="98">
        <v>15</v>
      </c>
      <c r="E275" s="98">
        <v>15</v>
      </c>
      <c r="F275" s="98">
        <f t="shared" si="44"/>
        <v>0.6</v>
      </c>
      <c r="G275" s="101">
        <f t="shared" si="53"/>
        <v>1.05</v>
      </c>
      <c r="H275" s="101">
        <f t="shared" si="45"/>
        <v>1.2</v>
      </c>
      <c r="I275" s="101">
        <f t="shared" si="46"/>
        <v>1.3499999999999999</v>
      </c>
      <c r="J275" s="101">
        <f t="shared" si="47"/>
        <v>1.65</v>
      </c>
      <c r="K275" s="101">
        <f t="shared" si="48"/>
        <v>1.7999999999999998</v>
      </c>
      <c r="L275" s="101">
        <f t="shared" si="49"/>
        <v>1.9499999999999997</v>
      </c>
      <c r="M275" s="98">
        <f t="shared" si="50"/>
        <v>9.0909090909090917</v>
      </c>
      <c r="N275" s="98">
        <f t="shared" si="51"/>
        <v>8.3333333333333339</v>
      </c>
      <c r="O275" s="98">
        <f t="shared" si="52"/>
        <v>7.6923076923076934</v>
      </c>
    </row>
    <row r="276" spans="2:15" ht="15" customHeight="1" x14ac:dyDescent="0.25">
      <c r="B276" s="158"/>
      <c r="C276" s="95" t="s">
        <v>42</v>
      </c>
      <c r="D276" s="98">
        <v>15</v>
      </c>
      <c r="E276" s="98">
        <v>15</v>
      </c>
      <c r="F276" s="98">
        <f t="shared" si="44"/>
        <v>0.6</v>
      </c>
      <c r="G276" s="101">
        <f t="shared" si="53"/>
        <v>1.05</v>
      </c>
      <c r="H276" s="101">
        <f t="shared" si="45"/>
        <v>1.2</v>
      </c>
      <c r="I276" s="101">
        <f t="shared" si="46"/>
        <v>1.3499999999999999</v>
      </c>
      <c r="J276" s="101">
        <f t="shared" si="47"/>
        <v>1.65</v>
      </c>
      <c r="K276" s="101">
        <f t="shared" si="48"/>
        <v>1.7999999999999998</v>
      </c>
      <c r="L276" s="101">
        <f t="shared" si="49"/>
        <v>1.9499999999999997</v>
      </c>
      <c r="M276" s="98">
        <f t="shared" si="50"/>
        <v>9.0909090909090917</v>
      </c>
      <c r="N276" s="98">
        <f t="shared" si="51"/>
        <v>8.3333333333333339</v>
      </c>
      <c r="O276" s="98">
        <f t="shared" si="52"/>
        <v>7.6923076923076934</v>
      </c>
    </row>
    <row r="277" spans="2:15" ht="15" customHeight="1" x14ac:dyDescent="0.25">
      <c r="B277" s="158"/>
      <c r="C277" s="95" t="s">
        <v>43</v>
      </c>
      <c r="D277" s="98">
        <v>15</v>
      </c>
      <c r="E277" s="98">
        <v>15</v>
      </c>
      <c r="F277" s="98">
        <f t="shared" si="44"/>
        <v>0.6</v>
      </c>
      <c r="G277" s="101">
        <f t="shared" si="53"/>
        <v>1.05</v>
      </c>
      <c r="H277" s="101">
        <f t="shared" si="45"/>
        <v>1.2</v>
      </c>
      <c r="I277" s="101">
        <f t="shared" si="46"/>
        <v>1.3499999999999999</v>
      </c>
      <c r="J277" s="101">
        <f t="shared" si="47"/>
        <v>1.65</v>
      </c>
      <c r="K277" s="101">
        <f t="shared" si="48"/>
        <v>1.7999999999999998</v>
      </c>
      <c r="L277" s="101">
        <f t="shared" si="49"/>
        <v>1.9499999999999997</v>
      </c>
      <c r="M277" s="98">
        <f t="shared" si="50"/>
        <v>9.0909090909090917</v>
      </c>
      <c r="N277" s="98">
        <f t="shared" si="51"/>
        <v>8.3333333333333339</v>
      </c>
      <c r="O277" s="98">
        <f t="shared" si="52"/>
        <v>7.6923076923076934</v>
      </c>
    </row>
    <row r="278" spans="2:15" ht="15" customHeight="1" x14ac:dyDescent="0.25">
      <c r="B278" s="158"/>
      <c r="C278" s="95" t="s">
        <v>44</v>
      </c>
      <c r="D278" s="98">
        <v>15</v>
      </c>
      <c r="E278" s="98">
        <v>15</v>
      </c>
      <c r="F278" s="98">
        <f t="shared" si="44"/>
        <v>0.6</v>
      </c>
      <c r="G278" s="101">
        <f t="shared" si="53"/>
        <v>1.05</v>
      </c>
      <c r="H278" s="101">
        <f t="shared" si="45"/>
        <v>1.2</v>
      </c>
      <c r="I278" s="101">
        <f t="shared" si="46"/>
        <v>1.3499999999999999</v>
      </c>
      <c r="J278" s="101">
        <f t="shared" si="47"/>
        <v>1.65</v>
      </c>
      <c r="K278" s="101">
        <f t="shared" si="48"/>
        <v>1.7999999999999998</v>
      </c>
      <c r="L278" s="101">
        <f t="shared" si="49"/>
        <v>1.9499999999999997</v>
      </c>
      <c r="M278" s="98">
        <f t="shared" si="50"/>
        <v>9.0909090909090917</v>
      </c>
      <c r="N278" s="98">
        <f t="shared" si="51"/>
        <v>8.3333333333333339</v>
      </c>
      <c r="O278" s="98">
        <f t="shared" si="52"/>
        <v>7.6923076923076934</v>
      </c>
    </row>
    <row r="279" spans="2:15" ht="15" customHeight="1" x14ac:dyDescent="0.25">
      <c r="B279" s="158"/>
      <c r="C279" s="95" t="s">
        <v>45</v>
      </c>
      <c r="D279" s="98">
        <v>15</v>
      </c>
      <c r="E279" s="98">
        <v>15</v>
      </c>
      <c r="F279" s="98">
        <f t="shared" si="44"/>
        <v>0.6</v>
      </c>
      <c r="G279" s="101">
        <f t="shared" si="53"/>
        <v>1.05</v>
      </c>
      <c r="H279" s="101">
        <f t="shared" si="45"/>
        <v>1.2</v>
      </c>
      <c r="I279" s="101">
        <f t="shared" si="46"/>
        <v>1.3499999999999999</v>
      </c>
      <c r="J279" s="101">
        <f t="shared" si="47"/>
        <v>1.65</v>
      </c>
      <c r="K279" s="101">
        <f t="shared" si="48"/>
        <v>1.7999999999999998</v>
      </c>
      <c r="L279" s="101">
        <f t="shared" si="49"/>
        <v>1.9499999999999997</v>
      </c>
      <c r="M279" s="98">
        <f t="shared" si="50"/>
        <v>9.0909090909090917</v>
      </c>
      <c r="N279" s="98">
        <f t="shared" si="51"/>
        <v>8.3333333333333339</v>
      </c>
      <c r="O279" s="98">
        <f t="shared" si="52"/>
        <v>7.6923076923076934</v>
      </c>
    </row>
    <row r="280" spans="2:15" ht="15" customHeight="1" x14ac:dyDescent="0.25">
      <c r="B280" s="158"/>
      <c r="C280" s="95" t="s">
        <v>46</v>
      </c>
      <c r="D280" s="98">
        <v>15</v>
      </c>
      <c r="E280" s="98">
        <v>15</v>
      </c>
      <c r="F280" s="98">
        <f t="shared" si="44"/>
        <v>0.6</v>
      </c>
      <c r="G280" s="101">
        <f t="shared" si="53"/>
        <v>1.05</v>
      </c>
      <c r="H280" s="101">
        <f t="shared" si="45"/>
        <v>1.2</v>
      </c>
      <c r="I280" s="101">
        <f t="shared" si="46"/>
        <v>1.3499999999999999</v>
      </c>
      <c r="J280" s="101">
        <f t="shared" si="47"/>
        <v>1.65</v>
      </c>
      <c r="K280" s="101">
        <f t="shared" si="48"/>
        <v>1.7999999999999998</v>
      </c>
      <c r="L280" s="101">
        <f t="shared" si="49"/>
        <v>1.9499999999999997</v>
      </c>
      <c r="M280" s="98">
        <f t="shared" si="50"/>
        <v>9.0909090909090917</v>
      </c>
      <c r="N280" s="98">
        <f t="shared" si="51"/>
        <v>8.3333333333333339</v>
      </c>
      <c r="O280" s="98">
        <f t="shared" si="52"/>
        <v>7.6923076923076934</v>
      </c>
    </row>
    <row r="281" spans="2:15" ht="15" customHeight="1" x14ac:dyDescent="0.25">
      <c r="B281" s="158"/>
      <c r="C281" s="95" t="s">
        <v>47</v>
      </c>
      <c r="D281" s="98">
        <v>15</v>
      </c>
      <c r="E281" s="98">
        <v>15</v>
      </c>
      <c r="F281" s="98">
        <f t="shared" si="44"/>
        <v>0.6</v>
      </c>
      <c r="G281" s="101">
        <f t="shared" si="53"/>
        <v>1.05</v>
      </c>
      <c r="H281" s="101">
        <f t="shared" si="45"/>
        <v>1.2</v>
      </c>
      <c r="I281" s="101">
        <f t="shared" si="46"/>
        <v>1.3499999999999999</v>
      </c>
      <c r="J281" s="101">
        <f t="shared" si="47"/>
        <v>1.65</v>
      </c>
      <c r="K281" s="101">
        <f t="shared" si="48"/>
        <v>1.7999999999999998</v>
      </c>
      <c r="L281" s="101">
        <f t="shared" si="49"/>
        <v>1.9499999999999997</v>
      </c>
      <c r="M281" s="98">
        <f t="shared" si="50"/>
        <v>9.0909090909090917</v>
      </c>
      <c r="N281" s="98">
        <f t="shared" si="51"/>
        <v>8.3333333333333339</v>
      </c>
      <c r="O281" s="98">
        <f t="shared" si="52"/>
        <v>7.6923076923076934</v>
      </c>
    </row>
    <row r="282" spans="2:15" ht="15" customHeight="1" x14ac:dyDescent="0.25">
      <c r="B282" s="159"/>
      <c r="C282" s="96" t="s">
        <v>48</v>
      </c>
      <c r="D282" s="99">
        <v>15</v>
      </c>
      <c r="E282" s="99">
        <v>15</v>
      </c>
      <c r="F282" s="99">
        <f t="shared" si="44"/>
        <v>0.6</v>
      </c>
      <c r="G282" s="102">
        <f t="shared" si="53"/>
        <v>1.05</v>
      </c>
      <c r="H282" s="102">
        <f t="shared" si="45"/>
        <v>1.2</v>
      </c>
      <c r="I282" s="102">
        <f t="shared" si="46"/>
        <v>1.3499999999999999</v>
      </c>
      <c r="J282" s="102">
        <f t="shared" si="47"/>
        <v>1.65</v>
      </c>
      <c r="K282" s="102">
        <f t="shared" si="48"/>
        <v>1.7999999999999998</v>
      </c>
      <c r="L282" s="102">
        <f t="shared" si="49"/>
        <v>1.9499999999999997</v>
      </c>
      <c r="M282" s="99">
        <f t="shared" si="50"/>
        <v>9.0909090909090917</v>
      </c>
      <c r="N282" s="99">
        <f t="shared" si="51"/>
        <v>8.3333333333333339</v>
      </c>
      <c r="O282" s="99">
        <f t="shared" si="52"/>
        <v>7.6923076923076934</v>
      </c>
    </row>
    <row r="283" spans="2:15" ht="15" customHeight="1" x14ac:dyDescent="0.25">
      <c r="B283" s="157">
        <v>1997</v>
      </c>
      <c r="C283" s="94" t="s">
        <v>36</v>
      </c>
      <c r="D283" s="97">
        <v>15</v>
      </c>
      <c r="E283" s="97">
        <v>15</v>
      </c>
      <c r="F283" s="97">
        <f t="shared" si="44"/>
        <v>0.6</v>
      </c>
      <c r="G283" s="100">
        <f t="shared" si="53"/>
        <v>1.05</v>
      </c>
      <c r="H283" s="100">
        <f t="shared" si="45"/>
        <v>1.2</v>
      </c>
      <c r="I283" s="100">
        <f t="shared" si="46"/>
        <v>1.3499999999999999</v>
      </c>
      <c r="J283" s="100">
        <f t="shared" si="47"/>
        <v>1.65</v>
      </c>
      <c r="K283" s="100">
        <f t="shared" si="48"/>
        <v>1.7999999999999998</v>
      </c>
      <c r="L283" s="100">
        <f t="shared" si="49"/>
        <v>1.9499999999999997</v>
      </c>
      <c r="M283" s="97">
        <f t="shared" si="50"/>
        <v>9.0909090909090917</v>
      </c>
      <c r="N283" s="97">
        <f t="shared" si="51"/>
        <v>8.3333333333333339</v>
      </c>
      <c r="O283" s="97">
        <f t="shared" si="52"/>
        <v>7.6923076923076934</v>
      </c>
    </row>
    <row r="284" spans="2:15" ht="15" customHeight="1" x14ac:dyDescent="0.25">
      <c r="B284" s="158"/>
      <c r="C284" s="95" t="s">
        <v>38</v>
      </c>
      <c r="D284" s="98">
        <v>15</v>
      </c>
      <c r="E284" s="98">
        <v>15</v>
      </c>
      <c r="F284" s="98">
        <f t="shared" si="44"/>
        <v>0.6</v>
      </c>
      <c r="G284" s="101">
        <f t="shared" si="53"/>
        <v>1.05</v>
      </c>
      <c r="H284" s="101">
        <f t="shared" si="45"/>
        <v>1.2</v>
      </c>
      <c r="I284" s="101">
        <f t="shared" si="46"/>
        <v>1.3499999999999999</v>
      </c>
      <c r="J284" s="101">
        <f t="shared" si="47"/>
        <v>1.65</v>
      </c>
      <c r="K284" s="101">
        <f t="shared" si="48"/>
        <v>1.7999999999999998</v>
      </c>
      <c r="L284" s="101">
        <f t="shared" si="49"/>
        <v>1.9499999999999997</v>
      </c>
      <c r="M284" s="98">
        <f t="shared" si="50"/>
        <v>9.0909090909090917</v>
      </c>
      <c r="N284" s="98">
        <f t="shared" si="51"/>
        <v>8.3333333333333339</v>
      </c>
      <c r="O284" s="98">
        <f t="shared" si="52"/>
        <v>7.6923076923076934</v>
      </c>
    </row>
    <row r="285" spans="2:15" ht="15" customHeight="1" x14ac:dyDescent="0.25">
      <c r="B285" s="158"/>
      <c r="C285" s="95" t="s">
        <v>39</v>
      </c>
      <c r="D285" s="98">
        <v>15</v>
      </c>
      <c r="E285" s="98">
        <v>15</v>
      </c>
      <c r="F285" s="98">
        <f t="shared" si="44"/>
        <v>0.6</v>
      </c>
      <c r="G285" s="101">
        <f t="shared" si="53"/>
        <v>1.05</v>
      </c>
      <c r="H285" s="101">
        <f t="shared" si="45"/>
        <v>1.2</v>
      </c>
      <c r="I285" s="101">
        <f t="shared" si="46"/>
        <v>1.3499999999999999</v>
      </c>
      <c r="J285" s="101">
        <f t="shared" si="47"/>
        <v>1.65</v>
      </c>
      <c r="K285" s="101">
        <f t="shared" si="48"/>
        <v>1.7999999999999998</v>
      </c>
      <c r="L285" s="101">
        <f t="shared" si="49"/>
        <v>1.9499999999999997</v>
      </c>
      <c r="M285" s="98">
        <f t="shared" si="50"/>
        <v>9.0909090909090917</v>
      </c>
      <c r="N285" s="98">
        <f t="shared" si="51"/>
        <v>8.3333333333333339</v>
      </c>
      <c r="O285" s="98">
        <f t="shared" si="52"/>
        <v>7.6923076923076934</v>
      </c>
    </row>
    <row r="286" spans="2:15" ht="15" customHeight="1" x14ac:dyDescent="0.25">
      <c r="B286" s="158"/>
      <c r="C286" s="95" t="s">
        <v>40</v>
      </c>
      <c r="D286" s="98">
        <v>15</v>
      </c>
      <c r="E286" s="98">
        <v>15</v>
      </c>
      <c r="F286" s="98">
        <f t="shared" si="44"/>
        <v>0.6</v>
      </c>
      <c r="G286" s="101">
        <f t="shared" si="53"/>
        <v>1.05</v>
      </c>
      <c r="H286" s="101">
        <f t="shared" si="45"/>
        <v>1.2</v>
      </c>
      <c r="I286" s="101">
        <f t="shared" si="46"/>
        <v>1.3499999999999999</v>
      </c>
      <c r="J286" s="101">
        <f t="shared" si="47"/>
        <v>1.65</v>
      </c>
      <c r="K286" s="101">
        <f t="shared" si="48"/>
        <v>1.7999999999999998</v>
      </c>
      <c r="L286" s="101">
        <f t="shared" si="49"/>
        <v>1.9499999999999997</v>
      </c>
      <c r="M286" s="98">
        <f t="shared" si="50"/>
        <v>9.0909090909090917</v>
      </c>
      <c r="N286" s="98">
        <f t="shared" si="51"/>
        <v>8.3333333333333339</v>
      </c>
      <c r="O286" s="98">
        <f t="shared" si="52"/>
        <v>7.6923076923076934</v>
      </c>
    </row>
    <row r="287" spans="2:15" ht="15" customHeight="1" x14ac:dyDescent="0.25">
      <c r="B287" s="158"/>
      <c r="C287" s="95" t="s">
        <v>41</v>
      </c>
      <c r="D287" s="98">
        <v>15</v>
      </c>
      <c r="E287" s="98">
        <v>15</v>
      </c>
      <c r="F287" s="98">
        <f t="shared" si="44"/>
        <v>0.6</v>
      </c>
      <c r="G287" s="101">
        <f t="shared" si="53"/>
        <v>1.05</v>
      </c>
      <c r="H287" s="101">
        <f t="shared" si="45"/>
        <v>1.2</v>
      </c>
      <c r="I287" s="101">
        <f t="shared" si="46"/>
        <v>1.3499999999999999</v>
      </c>
      <c r="J287" s="101">
        <f t="shared" si="47"/>
        <v>1.65</v>
      </c>
      <c r="K287" s="101">
        <f t="shared" si="48"/>
        <v>1.7999999999999998</v>
      </c>
      <c r="L287" s="101">
        <f t="shared" si="49"/>
        <v>1.9499999999999997</v>
      </c>
      <c r="M287" s="98">
        <f t="shared" si="50"/>
        <v>9.0909090909090917</v>
      </c>
      <c r="N287" s="98">
        <f t="shared" si="51"/>
        <v>8.3333333333333339</v>
      </c>
      <c r="O287" s="98">
        <f t="shared" si="52"/>
        <v>7.6923076923076934</v>
      </c>
    </row>
    <row r="288" spans="2:15" ht="15" customHeight="1" x14ac:dyDescent="0.25">
      <c r="B288" s="158"/>
      <c r="C288" s="95" t="s">
        <v>42</v>
      </c>
      <c r="D288" s="98">
        <v>75</v>
      </c>
      <c r="E288" s="98">
        <v>75</v>
      </c>
      <c r="F288" s="98">
        <f t="shared" si="44"/>
        <v>3</v>
      </c>
      <c r="G288" s="101">
        <f t="shared" si="53"/>
        <v>5.2500000000000009</v>
      </c>
      <c r="H288" s="101">
        <f t="shared" si="45"/>
        <v>6</v>
      </c>
      <c r="I288" s="101">
        <f t="shared" si="46"/>
        <v>6.75</v>
      </c>
      <c r="J288" s="101">
        <f t="shared" si="47"/>
        <v>8.25</v>
      </c>
      <c r="K288" s="101">
        <f t="shared" si="48"/>
        <v>9</v>
      </c>
      <c r="L288" s="101">
        <f t="shared" si="49"/>
        <v>9.75</v>
      </c>
      <c r="M288" s="98">
        <f t="shared" si="50"/>
        <v>9.0909090909090917</v>
      </c>
      <c r="N288" s="98">
        <f t="shared" si="51"/>
        <v>8.3333333333333339</v>
      </c>
      <c r="O288" s="98">
        <f t="shared" si="52"/>
        <v>7.6923076923076925</v>
      </c>
    </row>
    <row r="289" spans="2:15" ht="15" customHeight="1" x14ac:dyDescent="0.25">
      <c r="B289" s="158"/>
      <c r="C289" s="95" t="s">
        <v>43</v>
      </c>
      <c r="D289" s="98">
        <v>75</v>
      </c>
      <c r="E289" s="98">
        <v>75</v>
      </c>
      <c r="F289" s="98">
        <f t="shared" si="44"/>
        <v>3</v>
      </c>
      <c r="G289" s="101">
        <f t="shared" si="53"/>
        <v>5.2500000000000009</v>
      </c>
      <c r="H289" s="101">
        <f t="shared" si="45"/>
        <v>6</v>
      </c>
      <c r="I289" s="101">
        <f t="shared" si="46"/>
        <v>6.75</v>
      </c>
      <c r="J289" s="101">
        <f t="shared" si="47"/>
        <v>8.25</v>
      </c>
      <c r="K289" s="101">
        <f t="shared" si="48"/>
        <v>9</v>
      </c>
      <c r="L289" s="101">
        <f t="shared" si="49"/>
        <v>9.75</v>
      </c>
      <c r="M289" s="98">
        <f t="shared" si="50"/>
        <v>9.0909090909090917</v>
      </c>
      <c r="N289" s="98">
        <f t="shared" si="51"/>
        <v>8.3333333333333339</v>
      </c>
      <c r="O289" s="98">
        <f t="shared" si="52"/>
        <v>7.6923076923076925</v>
      </c>
    </row>
    <row r="290" spans="2:15" ht="15" customHeight="1" x14ac:dyDescent="0.25">
      <c r="B290" s="158"/>
      <c r="C290" s="95" t="s">
        <v>44</v>
      </c>
      <c r="D290" s="98">
        <v>75</v>
      </c>
      <c r="E290" s="98">
        <v>75</v>
      </c>
      <c r="F290" s="98">
        <f t="shared" si="44"/>
        <v>3</v>
      </c>
      <c r="G290" s="101">
        <f t="shared" si="53"/>
        <v>5.2500000000000009</v>
      </c>
      <c r="H290" s="101">
        <f t="shared" si="45"/>
        <v>6</v>
      </c>
      <c r="I290" s="101">
        <f t="shared" si="46"/>
        <v>6.75</v>
      </c>
      <c r="J290" s="101">
        <f t="shared" si="47"/>
        <v>8.25</v>
      </c>
      <c r="K290" s="101">
        <f t="shared" si="48"/>
        <v>9</v>
      </c>
      <c r="L290" s="101">
        <f t="shared" si="49"/>
        <v>9.75</v>
      </c>
      <c r="M290" s="98">
        <f t="shared" si="50"/>
        <v>9.0909090909090917</v>
      </c>
      <c r="N290" s="98">
        <f t="shared" si="51"/>
        <v>8.3333333333333339</v>
      </c>
      <c r="O290" s="98">
        <f t="shared" si="52"/>
        <v>7.6923076923076925</v>
      </c>
    </row>
    <row r="291" spans="2:15" ht="15" customHeight="1" x14ac:dyDescent="0.25">
      <c r="B291" s="158"/>
      <c r="C291" s="95" t="s">
        <v>45</v>
      </c>
      <c r="D291" s="98">
        <v>75</v>
      </c>
      <c r="E291" s="98">
        <v>75</v>
      </c>
      <c r="F291" s="98">
        <f t="shared" si="44"/>
        <v>3</v>
      </c>
      <c r="G291" s="101">
        <f t="shared" si="53"/>
        <v>5.2500000000000009</v>
      </c>
      <c r="H291" s="101">
        <f t="shared" si="45"/>
        <v>6</v>
      </c>
      <c r="I291" s="101">
        <f t="shared" si="46"/>
        <v>6.75</v>
      </c>
      <c r="J291" s="101">
        <f t="shared" si="47"/>
        <v>8.25</v>
      </c>
      <c r="K291" s="101">
        <f t="shared" si="48"/>
        <v>9</v>
      </c>
      <c r="L291" s="101">
        <f t="shared" si="49"/>
        <v>9.75</v>
      </c>
      <c r="M291" s="98">
        <f t="shared" si="50"/>
        <v>9.0909090909090917</v>
      </c>
      <c r="N291" s="98">
        <f t="shared" si="51"/>
        <v>8.3333333333333339</v>
      </c>
      <c r="O291" s="98">
        <f t="shared" si="52"/>
        <v>7.6923076923076925</v>
      </c>
    </row>
    <row r="292" spans="2:15" ht="15" customHeight="1" x14ac:dyDescent="0.25">
      <c r="B292" s="158"/>
      <c r="C292" s="95" t="s">
        <v>46</v>
      </c>
      <c r="D292" s="98">
        <v>75</v>
      </c>
      <c r="E292" s="98">
        <v>75</v>
      </c>
      <c r="F292" s="98">
        <f t="shared" si="44"/>
        <v>3</v>
      </c>
      <c r="G292" s="101">
        <f t="shared" si="53"/>
        <v>5.2500000000000009</v>
      </c>
      <c r="H292" s="101">
        <f t="shared" si="45"/>
        <v>6</v>
      </c>
      <c r="I292" s="101">
        <f t="shared" si="46"/>
        <v>6.75</v>
      </c>
      <c r="J292" s="101">
        <f t="shared" si="47"/>
        <v>8.25</v>
      </c>
      <c r="K292" s="101">
        <f t="shared" si="48"/>
        <v>9</v>
      </c>
      <c r="L292" s="101">
        <f t="shared" si="49"/>
        <v>9.75</v>
      </c>
      <c r="M292" s="98">
        <f t="shared" si="50"/>
        <v>9.0909090909090917</v>
      </c>
      <c r="N292" s="98">
        <f t="shared" si="51"/>
        <v>8.3333333333333339</v>
      </c>
      <c r="O292" s="98">
        <f t="shared" si="52"/>
        <v>7.6923076923076925</v>
      </c>
    </row>
    <row r="293" spans="2:15" ht="15" customHeight="1" x14ac:dyDescent="0.25">
      <c r="B293" s="158"/>
      <c r="C293" s="95" t="s">
        <v>47</v>
      </c>
      <c r="D293" s="98">
        <v>75</v>
      </c>
      <c r="E293" s="98">
        <v>75</v>
      </c>
      <c r="F293" s="98">
        <f t="shared" si="44"/>
        <v>3</v>
      </c>
      <c r="G293" s="101">
        <f t="shared" si="53"/>
        <v>5.2500000000000009</v>
      </c>
      <c r="H293" s="101">
        <f t="shared" si="45"/>
        <v>6</v>
      </c>
      <c r="I293" s="101">
        <f t="shared" si="46"/>
        <v>6.75</v>
      </c>
      <c r="J293" s="101">
        <f t="shared" si="47"/>
        <v>8.25</v>
      </c>
      <c r="K293" s="101">
        <f t="shared" si="48"/>
        <v>9</v>
      </c>
      <c r="L293" s="101">
        <f t="shared" si="49"/>
        <v>9.75</v>
      </c>
      <c r="M293" s="98">
        <f t="shared" si="50"/>
        <v>9.0909090909090917</v>
      </c>
      <c r="N293" s="98">
        <f t="shared" si="51"/>
        <v>8.3333333333333339</v>
      </c>
      <c r="O293" s="98">
        <f t="shared" si="52"/>
        <v>7.6923076923076925</v>
      </c>
    </row>
    <row r="294" spans="2:15" ht="15" customHeight="1" x14ac:dyDescent="0.25">
      <c r="B294" s="159"/>
      <c r="C294" s="96" t="s">
        <v>48</v>
      </c>
      <c r="D294" s="99">
        <v>75</v>
      </c>
      <c r="E294" s="99">
        <v>75</v>
      </c>
      <c r="F294" s="99">
        <f t="shared" si="44"/>
        <v>3</v>
      </c>
      <c r="G294" s="102">
        <f t="shared" si="53"/>
        <v>5.2500000000000009</v>
      </c>
      <c r="H294" s="102">
        <f t="shared" si="45"/>
        <v>6</v>
      </c>
      <c r="I294" s="102">
        <f t="shared" si="46"/>
        <v>6.75</v>
      </c>
      <c r="J294" s="102">
        <f t="shared" si="47"/>
        <v>8.25</v>
      </c>
      <c r="K294" s="102">
        <f t="shared" si="48"/>
        <v>9</v>
      </c>
      <c r="L294" s="102">
        <f t="shared" si="49"/>
        <v>9.75</v>
      </c>
      <c r="M294" s="99">
        <f t="shared" si="50"/>
        <v>9.0909090909090917</v>
      </c>
      <c r="N294" s="99">
        <f t="shared" si="51"/>
        <v>8.3333333333333339</v>
      </c>
      <c r="O294" s="99">
        <f t="shared" si="52"/>
        <v>7.6923076923076925</v>
      </c>
    </row>
    <row r="295" spans="2:15" ht="15" customHeight="1" x14ac:dyDescent="0.25">
      <c r="B295" s="157">
        <v>1998</v>
      </c>
      <c r="C295" s="94" t="s">
        <v>36</v>
      </c>
      <c r="D295" s="97">
        <v>75</v>
      </c>
      <c r="E295" s="97">
        <v>75</v>
      </c>
      <c r="F295" s="97">
        <f t="shared" si="44"/>
        <v>3</v>
      </c>
      <c r="G295" s="100">
        <f t="shared" si="53"/>
        <v>5.2500000000000009</v>
      </c>
      <c r="H295" s="100">
        <f t="shared" si="45"/>
        <v>6</v>
      </c>
      <c r="I295" s="100">
        <f t="shared" si="46"/>
        <v>6.75</v>
      </c>
      <c r="J295" s="100">
        <f t="shared" si="47"/>
        <v>8.25</v>
      </c>
      <c r="K295" s="100">
        <f t="shared" si="48"/>
        <v>9</v>
      </c>
      <c r="L295" s="100">
        <f t="shared" si="49"/>
        <v>9.75</v>
      </c>
      <c r="M295" s="97">
        <f t="shared" si="50"/>
        <v>9.0909090909090917</v>
      </c>
      <c r="N295" s="97">
        <f t="shared" si="51"/>
        <v>8.3333333333333339</v>
      </c>
      <c r="O295" s="97">
        <f t="shared" si="52"/>
        <v>7.6923076923076925</v>
      </c>
    </row>
    <row r="296" spans="2:15" ht="15" customHeight="1" x14ac:dyDescent="0.25">
      <c r="B296" s="158"/>
      <c r="C296" s="95" t="s">
        <v>38</v>
      </c>
      <c r="D296" s="98">
        <v>75</v>
      </c>
      <c r="E296" s="98">
        <v>75</v>
      </c>
      <c r="F296" s="98">
        <f t="shared" si="44"/>
        <v>3</v>
      </c>
      <c r="G296" s="101">
        <f t="shared" si="53"/>
        <v>5.2500000000000009</v>
      </c>
      <c r="H296" s="101">
        <f t="shared" si="45"/>
        <v>6</v>
      </c>
      <c r="I296" s="101">
        <f t="shared" si="46"/>
        <v>6.75</v>
      </c>
      <c r="J296" s="101">
        <f t="shared" si="47"/>
        <v>8.25</v>
      </c>
      <c r="K296" s="101">
        <f t="shared" si="48"/>
        <v>9</v>
      </c>
      <c r="L296" s="101">
        <f t="shared" si="49"/>
        <v>9.75</v>
      </c>
      <c r="M296" s="98">
        <f t="shared" si="50"/>
        <v>9.0909090909090917</v>
      </c>
      <c r="N296" s="98">
        <f t="shared" si="51"/>
        <v>8.3333333333333339</v>
      </c>
      <c r="O296" s="98">
        <f t="shared" si="52"/>
        <v>7.6923076923076925</v>
      </c>
    </row>
    <row r="297" spans="2:15" ht="15" customHeight="1" x14ac:dyDescent="0.25">
      <c r="B297" s="158"/>
      <c r="C297" s="95" t="s">
        <v>39</v>
      </c>
      <c r="D297" s="98">
        <v>75</v>
      </c>
      <c r="E297" s="98">
        <v>75</v>
      </c>
      <c r="F297" s="98">
        <f t="shared" si="44"/>
        <v>3</v>
      </c>
      <c r="G297" s="101">
        <f t="shared" si="53"/>
        <v>5.2500000000000009</v>
      </c>
      <c r="H297" s="101">
        <f t="shared" si="45"/>
        <v>6</v>
      </c>
      <c r="I297" s="101">
        <f t="shared" si="46"/>
        <v>6.75</v>
      </c>
      <c r="J297" s="101">
        <f t="shared" si="47"/>
        <v>8.25</v>
      </c>
      <c r="K297" s="101">
        <f t="shared" si="48"/>
        <v>9</v>
      </c>
      <c r="L297" s="101">
        <f t="shared" si="49"/>
        <v>9.75</v>
      </c>
      <c r="M297" s="98">
        <f t="shared" si="50"/>
        <v>9.0909090909090917</v>
      </c>
      <c r="N297" s="98">
        <f t="shared" si="51"/>
        <v>8.3333333333333339</v>
      </c>
      <c r="O297" s="98">
        <f t="shared" si="52"/>
        <v>7.6923076923076925</v>
      </c>
    </row>
    <row r="298" spans="2:15" ht="15" customHeight="1" x14ac:dyDescent="0.25">
      <c r="B298" s="158"/>
      <c r="C298" s="95" t="s">
        <v>40</v>
      </c>
      <c r="D298" s="98">
        <v>75</v>
      </c>
      <c r="E298" s="98">
        <v>75</v>
      </c>
      <c r="F298" s="98">
        <f t="shared" si="44"/>
        <v>3</v>
      </c>
      <c r="G298" s="101">
        <f t="shared" si="53"/>
        <v>5.2500000000000009</v>
      </c>
      <c r="H298" s="101">
        <f t="shared" si="45"/>
        <v>6</v>
      </c>
      <c r="I298" s="101">
        <f t="shared" si="46"/>
        <v>6.75</v>
      </c>
      <c r="J298" s="101">
        <f t="shared" si="47"/>
        <v>8.25</v>
      </c>
      <c r="K298" s="101">
        <f t="shared" si="48"/>
        <v>9</v>
      </c>
      <c r="L298" s="101">
        <f t="shared" si="49"/>
        <v>9.75</v>
      </c>
      <c r="M298" s="98">
        <f t="shared" si="50"/>
        <v>9.0909090909090917</v>
      </c>
      <c r="N298" s="98">
        <f t="shared" si="51"/>
        <v>8.3333333333333339</v>
      </c>
      <c r="O298" s="98">
        <f t="shared" si="52"/>
        <v>7.6923076923076925</v>
      </c>
    </row>
    <row r="299" spans="2:15" ht="15" customHeight="1" x14ac:dyDescent="0.25">
      <c r="B299" s="158"/>
      <c r="C299" s="95" t="s">
        <v>41</v>
      </c>
      <c r="D299" s="98">
        <v>100</v>
      </c>
      <c r="E299" s="98">
        <v>100</v>
      </c>
      <c r="F299" s="98">
        <f t="shared" si="44"/>
        <v>4</v>
      </c>
      <c r="G299" s="101">
        <f t="shared" si="53"/>
        <v>7.0000000000000009</v>
      </c>
      <c r="H299" s="101">
        <f t="shared" si="45"/>
        <v>8</v>
      </c>
      <c r="I299" s="101">
        <f t="shared" si="46"/>
        <v>9</v>
      </c>
      <c r="J299" s="101">
        <f t="shared" si="47"/>
        <v>11</v>
      </c>
      <c r="K299" s="101">
        <f t="shared" si="48"/>
        <v>12</v>
      </c>
      <c r="L299" s="101">
        <f t="shared" si="49"/>
        <v>13</v>
      </c>
      <c r="M299" s="98">
        <f t="shared" si="50"/>
        <v>9.0909090909090917</v>
      </c>
      <c r="N299" s="98">
        <f t="shared" si="51"/>
        <v>8.3333333333333339</v>
      </c>
      <c r="O299" s="98">
        <f t="shared" si="52"/>
        <v>7.6923076923076925</v>
      </c>
    </row>
    <row r="300" spans="2:15" ht="15" customHeight="1" x14ac:dyDescent="0.25">
      <c r="B300" s="158"/>
      <c r="C300" s="95" t="s">
        <v>42</v>
      </c>
      <c r="D300" s="98">
        <v>100</v>
      </c>
      <c r="E300" s="98">
        <v>100</v>
      </c>
      <c r="F300" s="98">
        <f t="shared" si="44"/>
        <v>4</v>
      </c>
      <c r="G300" s="101">
        <f t="shared" si="53"/>
        <v>7.0000000000000009</v>
      </c>
      <c r="H300" s="101">
        <f t="shared" si="45"/>
        <v>8</v>
      </c>
      <c r="I300" s="101">
        <f t="shared" si="46"/>
        <v>9</v>
      </c>
      <c r="J300" s="101">
        <f t="shared" si="47"/>
        <v>11</v>
      </c>
      <c r="K300" s="101">
        <f t="shared" si="48"/>
        <v>12</v>
      </c>
      <c r="L300" s="101">
        <f t="shared" si="49"/>
        <v>13</v>
      </c>
      <c r="M300" s="98">
        <f t="shared" si="50"/>
        <v>9.0909090909090917</v>
      </c>
      <c r="N300" s="98">
        <f t="shared" si="51"/>
        <v>8.3333333333333339</v>
      </c>
      <c r="O300" s="98">
        <f t="shared" si="52"/>
        <v>7.6923076923076925</v>
      </c>
    </row>
    <row r="301" spans="2:15" ht="15" customHeight="1" x14ac:dyDescent="0.25">
      <c r="B301" s="158"/>
      <c r="C301" s="95" t="s">
        <v>43</v>
      </c>
      <c r="D301" s="98">
        <v>100</v>
      </c>
      <c r="E301" s="98">
        <v>100</v>
      </c>
      <c r="F301" s="98">
        <f t="shared" si="44"/>
        <v>4</v>
      </c>
      <c r="G301" s="101">
        <f t="shared" si="53"/>
        <v>7.0000000000000009</v>
      </c>
      <c r="H301" s="101">
        <f t="shared" si="45"/>
        <v>8</v>
      </c>
      <c r="I301" s="101">
        <f t="shared" si="46"/>
        <v>9</v>
      </c>
      <c r="J301" s="101">
        <f t="shared" si="47"/>
        <v>11</v>
      </c>
      <c r="K301" s="101">
        <f t="shared" si="48"/>
        <v>12</v>
      </c>
      <c r="L301" s="101">
        <f t="shared" si="49"/>
        <v>13</v>
      </c>
      <c r="M301" s="98">
        <f t="shared" si="50"/>
        <v>9.0909090909090917</v>
      </c>
      <c r="N301" s="98">
        <f t="shared" si="51"/>
        <v>8.3333333333333339</v>
      </c>
      <c r="O301" s="98">
        <f t="shared" si="52"/>
        <v>7.6923076923076925</v>
      </c>
    </row>
    <row r="302" spans="2:15" ht="15" customHeight="1" x14ac:dyDescent="0.25">
      <c r="B302" s="158"/>
      <c r="C302" s="95" t="s">
        <v>44</v>
      </c>
      <c r="D302" s="98">
        <v>100</v>
      </c>
      <c r="E302" s="98">
        <v>100</v>
      </c>
      <c r="F302" s="98">
        <f t="shared" si="44"/>
        <v>4</v>
      </c>
      <c r="G302" s="101">
        <f t="shared" si="53"/>
        <v>7.0000000000000009</v>
      </c>
      <c r="H302" s="101">
        <f t="shared" si="45"/>
        <v>8</v>
      </c>
      <c r="I302" s="101">
        <f t="shared" si="46"/>
        <v>9</v>
      </c>
      <c r="J302" s="101">
        <f t="shared" si="47"/>
        <v>11</v>
      </c>
      <c r="K302" s="101">
        <f t="shared" si="48"/>
        <v>12</v>
      </c>
      <c r="L302" s="101">
        <f t="shared" si="49"/>
        <v>13</v>
      </c>
      <c r="M302" s="98">
        <f t="shared" si="50"/>
        <v>9.0909090909090917</v>
      </c>
      <c r="N302" s="98">
        <f t="shared" si="51"/>
        <v>8.3333333333333339</v>
      </c>
      <c r="O302" s="98">
        <f t="shared" si="52"/>
        <v>7.6923076923076925</v>
      </c>
    </row>
    <row r="303" spans="2:15" ht="15" customHeight="1" x14ac:dyDescent="0.25">
      <c r="B303" s="158"/>
      <c r="C303" s="95" t="s">
        <v>45</v>
      </c>
      <c r="D303" s="98">
        <v>100</v>
      </c>
      <c r="E303" s="98">
        <v>100</v>
      </c>
      <c r="F303" s="98">
        <f t="shared" si="44"/>
        <v>4</v>
      </c>
      <c r="G303" s="101">
        <f t="shared" si="53"/>
        <v>7.0000000000000009</v>
      </c>
      <c r="H303" s="101">
        <f t="shared" si="45"/>
        <v>8</v>
      </c>
      <c r="I303" s="101">
        <f t="shared" si="46"/>
        <v>9</v>
      </c>
      <c r="J303" s="101">
        <f t="shared" si="47"/>
        <v>11</v>
      </c>
      <c r="K303" s="101">
        <f t="shared" si="48"/>
        <v>12</v>
      </c>
      <c r="L303" s="101">
        <f t="shared" si="49"/>
        <v>13</v>
      </c>
      <c r="M303" s="98">
        <f t="shared" si="50"/>
        <v>9.0909090909090917</v>
      </c>
      <c r="N303" s="98">
        <f t="shared" si="51"/>
        <v>8.3333333333333339</v>
      </c>
      <c r="O303" s="98">
        <f t="shared" si="52"/>
        <v>7.6923076923076925</v>
      </c>
    </row>
    <row r="304" spans="2:15" ht="15" customHeight="1" x14ac:dyDescent="0.25">
      <c r="B304" s="158"/>
      <c r="C304" s="95" t="s">
        <v>46</v>
      </c>
      <c r="D304" s="98">
        <v>100</v>
      </c>
      <c r="E304" s="98">
        <v>100</v>
      </c>
      <c r="F304" s="98">
        <f t="shared" si="44"/>
        <v>4</v>
      </c>
      <c r="G304" s="101">
        <f t="shared" si="53"/>
        <v>7.0000000000000009</v>
      </c>
      <c r="H304" s="101">
        <f t="shared" si="45"/>
        <v>8</v>
      </c>
      <c r="I304" s="101">
        <f t="shared" si="46"/>
        <v>9</v>
      </c>
      <c r="J304" s="101">
        <f t="shared" si="47"/>
        <v>11</v>
      </c>
      <c r="K304" s="101">
        <f t="shared" si="48"/>
        <v>12</v>
      </c>
      <c r="L304" s="101">
        <f t="shared" si="49"/>
        <v>13</v>
      </c>
      <c r="M304" s="98">
        <f t="shared" si="50"/>
        <v>9.0909090909090917</v>
      </c>
      <c r="N304" s="98">
        <f t="shared" si="51"/>
        <v>8.3333333333333339</v>
      </c>
      <c r="O304" s="98">
        <f t="shared" si="52"/>
        <v>7.6923076923076925</v>
      </c>
    </row>
    <row r="305" spans="2:15" ht="15" customHeight="1" x14ac:dyDescent="0.25">
      <c r="B305" s="158"/>
      <c r="C305" s="95" t="s">
        <v>47</v>
      </c>
      <c r="D305" s="98">
        <v>100</v>
      </c>
      <c r="E305" s="98">
        <v>100</v>
      </c>
      <c r="F305" s="98">
        <f t="shared" si="44"/>
        <v>4</v>
      </c>
      <c r="G305" s="101">
        <f t="shared" si="53"/>
        <v>7.0000000000000009</v>
      </c>
      <c r="H305" s="101">
        <f t="shared" si="45"/>
        <v>8</v>
      </c>
      <c r="I305" s="101">
        <f t="shared" si="46"/>
        <v>9</v>
      </c>
      <c r="J305" s="101">
        <f t="shared" si="47"/>
        <v>11</v>
      </c>
      <c r="K305" s="101">
        <f t="shared" si="48"/>
        <v>12</v>
      </c>
      <c r="L305" s="101">
        <f t="shared" si="49"/>
        <v>13</v>
      </c>
      <c r="M305" s="98">
        <f t="shared" si="50"/>
        <v>9.0909090909090917</v>
      </c>
      <c r="N305" s="98">
        <f t="shared" si="51"/>
        <v>8.3333333333333339</v>
      </c>
      <c r="O305" s="98">
        <f t="shared" si="52"/>
        <v>7.6923076923076925</v>
      </c>
    </row>
    <row r="306" spans="2:15" ht="15" customHeight="1" x14ac:dyDescent="0.25">
      <c r="B306" s="159"/>
      <c r="C306" s="96" t="s">
        <v>48</v>
      </c>
      <c r="D306" s="99">
        <v>100</v>
      </c>
      <c r="E306" s="99">
        <v>100</v>
      </c>
      <c r="F306" s="99">
        <f t="shared" si="44"/>
        <v>4</v>
      </c>
      <c r="G306" s="102">
        <f t="shared" si="53"/>
        <v>7.0000000000000009</v>
      </c>
      <c r="H306" s="102">
        <f t="shared" si="45"/>
        <v>8</v>
      </c>
      <c r="I306" s="102">
        <f t="shared" si="46"/>
        <v>9</v>
      </c>
      <c r="J306" s="102">
        <f t="shared" si="47"/>
        <v>11</v>
      </c>
      <c r="K306" s="102">
        <f t="shared" si="48"/>
        <v>12</v>
      </c>
      <c r="L306" s="102">
        <f t="shared" si="49"/>
        <v>13</v>
      </c>
      <c r="M306" s="99">
        <f t="shared" si="50"/>
        <v>9.0909090909090917</v>
      </c>
      <c r="N306" s="99">
        <f t="shared" si="51"/>
        <v>8.3333333333333339</v>
      </c>
      <c r="O306" s="99">
        <f t="shared" si="52"/>
        <v>7.6923076923076925</v>
      </c>
    </row>
    <row r="307" spans="2:15" ht="15" customHeight="1" x14ac:dyDescent="0.25">
      <c r="B307" s="157">
        <v>1999</v>
      </c>
      <c r="C307" s="94" t="s">
        <v>36</v>
      </c>
      <c r="D307" s="97">
        <v>100</v>
      </c>
      <c r="E307" s="97">
        <v>100</v>
      </c>
      <c r="F307" s="97">
        <f t="shared" si="44"/>
        <v>4</v>
      </c>
      <c r="G307" s="100">
        <f t="shared" si="53"/>
        <v>7.0000000000000009</v>
      </c>
      <c r="H307" s="100">
        <f t="shared" si="45"/>
        <v>8</v>
      </c>
      <c r="I307" s="100">
        <f t="shared" si="46"/>
        <v>9</v>
      </c>
      <c r="J307" s="100">
        <f t="shared" si="47"/>
        <v>11</v>
      </c>
      <c r="K307" s="100">
        <f t="shared" si="48"/>
        <v>12</v>
      </c>
      <c r="L307" s="100">
        <f t="shared" si="49"/>
        <v>13</v>
      </c>
      <c r="M307" s="97">
        <f t="shared" si="50"/>
        <v>9.0909090909090917</v>
      </c>
      <c r="N307" s="97">
        <f t="shared" si="51"/>
        <v>8.3333333333333339</v>
      </c>
      <c r="O307" s="97">
        <f t="shared" si="52"/>
        <v>7.6923076923076925</v>
      </c>
    </row>
    <row r="308" spans="2:15" ht="15" customHeight="1" x14ac:dyDescent="0.25">
      <c r="B308" s="158"/>
      <c r="C308" s="95" t="s">
        <v>38</v>
      </c>
      <c r="D308" s="98">
        <v>100</v>
      </c>
      <c r="E308" s="98">
        <v>100</v>
      </c>
      <c r="F308" s="98">
        <f t="shared" si="44"/>
        <v>4</v>
      </c>
      <c r="G308" s="101">
        <f t="shared" si="53"/>
        <v>7.0000000000000009</v>
      </c>
      <c r="H308" s="101">
        <f t="shared" si="45"/>
        <v>8</v>
      </c>
      <c r="I308" s="101">
        <f t="shared" si="46"/>
        <v>9</v>
      </c>
      <c r="J308" s="101">
        <f t="shared" si="47"/>
        <v>11</v>
      </c>
      <c r="K308" s="101">
        <f t="shared" si="48"/>
        <v>12</v>
      </c>
      <c r="L308" s="101">
        <f t="shared" si="49"/>
        <v>13</v>
      </c>
      <c r="M308" s="98">
        <f t="shared" si="50"/>
        <v>9.0909090909090917</v>
      </c>
      <c r="N308" s="98">
        <f t="shared" si="51"/>
        <v>8.3333333333333339</v>
      </c>
      <c r="O308" s="98">
        <f t="shared" si="52"/>
        <v>7.6923076923076925</v>
      </c>
    </row>
    <row r="309" spans="2:15" ht="15" customHeight="1" x14ac:dyDescent="0.25">
      <c r="B309" s="158"/>
      <c r="C309" s="95" t="s">
        <v>39</v>
      </c>
      <c r="D309" s="98">
        <v>100</v>
      </c>
      <c r="E309" s="98">
        <v>100</v>
      </c>
      <c r="F309" s="98">
        <f t="shared" si="44"/>
        <v>4</v>
      </c>
      <c r="G309" s="101">
        <f t="shared" si="53"/>
        <v>7.0000000000000009</v>
      </c>
      <c r="H309" s="101">
        <f t="shared" si="45"/>
        <v>8</v>
      </c>
      <c r="I309" s="101">
        <f t="shared" si="46"/>
        <v>9</v>
      </c>
      <c r="J309" s="101">
        <f t="shared" si="47"/>
        <v>11</v>
      </c>
      <c r="K309" s="101">
        <f t="shared" si="48"/>
        <v>12</v>
      </c>
      <c r="L309" s="101">
        <f t="shared" si="49"/>
        <v>13</v>
      </c>
      <c r="M309" s="98">
        <f t="shared" si="50"/>
        <v>9.0909090909090917</v>
      </c>
      <c r="N309" s="98">
        <f t="shared" si="51"/>
        <v>8.3333333333333339</v>
      </c>
      <c r="O309" s="98">
        <f t="shared" si="52"/>
        <v>7.6923076923076925</v>
      </c>
    </row>
    <row r="310" spans="2:15" ht="15" customHeight="1" x14ac:dyDescent="0.25">
      <c r="B310" s="158"/>
      <c r="C310" s="95" t="s">
        <v>40</v>
      </c>
      <c r="D310" s="98">
        <v>100</v>
      </c>
      <c r="E310" s="98">
        <v>100</v>
      </c>
      <c r="F310" s="98">
        <f t="shared" si="44"/>
        <v>4</v>
      </c>
      <c r="G310" s="101">
        <f t="shared" si="53"/>
        <v>7.0000000000000009</v>
      </c>
      <c r="H310" s="101">
        <f t="shared" si="45"/>
        <v>8</v>
      </c>
      <c r="I310" s="101">
        <f t="shared" si="46"/>
        <v>9</v>
      </c>
      <c r="J310" s="101">
        <f t="shared" si="47"/>
        <v>11</v>
      </c>
      <c r="K310" s="101">
        <f t="shared" si="48"/>
        <v>12</v>
      </c>
      <c r="L310" s="101">
        <f t="shared" si="49"/>
        <v>13</v>
      </c>
      <c r="M310" s="98">
        <f t="shared" si="50"/>
        <v>9.0909090909090917</v>
      </c>
      <c r="N310" s="98">
        <f t="shared" si="51"/>
        <v>8.3333333333333339</v>
      </c>
      <c r="O310" s="98">
        <f t="shared" si="52"/>
        <v>7.6923076923076925</v>
      </c>
    </row>
    <row r="311" spans="2:15" ht="15" customHeight="1" x14ac:dyDescent="0.25">
      <c r="B311" s="158"/>
      <c r="C311" s="95" t="s">
        <v>41</v>
      </c>
      <c r="D311" s="98">
        <v>120</v>
      </c>
      <c r="E311" s="98">
        <v>120</v>
      </c>
      <c r="F311" s="98">
        <f t="shared" si="44"/>
        <v>4.8</v>
      </c>
      <c r="G311" s="101">
        <f t="shared" si="53"/>
        <v>8.4</v>
      </c>
      <c r="H311" s="101">
        <f t="shared" si="45"/>
        <v>9.6</v>
      </c>
      <c r="I311" s="101">
        <f t="shared" si="46"/>
        <v>10.799999999999999</v>
      </c>
      <c r="J311" s="101">
        <f t="shared" si="47"/>
        <v>13.2</v>
      </c>
      <c r="K311" s="101">
        <f t="shared" si="48"/>
        <v>14.399999999999999</v>
      </c>
      <c r="L311" s="101">
        <f t="shared" si="49"/>
        <v>15.599999999999998</v>
      </c>
      <c r="M311" s="98">
        <f t="shared" si="50"/>
        <v>9.0909090909090917</v>
      </c>
      <c r="N311" s="98">
        <f t="shared" si="51"/>
        <v>8.3333333333333339</v>
      </c>
      <c r="O311" s="98">
        <f t="shared" si="52"/>
        <v>7.6923076923076934</v>
      </c>
    </row>
    <row r="312" spans="2:15" ht="15" customHeight="1" x14ac:dyDescent="0.25">
      <c r="B312" s="158"/>
      <c r="C312" s="95" t="s">
        <v>42</v>
      </c>
      <c r="D312" s="98">
        <v>120</v>
      </c>
      <c r="E312" s="98">
        <v>120</v>
      </c>
      <c r="F312" s="98">
        <f t="shared" si="44"/>
        <v>4.8</v>
      </c>
      <c r="G312" s="101">
        <f t="shared" si="53"/>
        <v>8.4</v>
      </c>
      <c r="H312" s="101">
        <f t="shared" si="45"/>
        <v>9.6</v>
      </c>
      <c r="I312" s="101">
        <f t="shared" si="46"/>
        <v>10.799999999999999</v>
      </c>
      <c r="J312" s="101">
        <f t="shared" si="47"/>
        <v>13.2</v>
      </c>
      <c r="K312" s="101">
        <f t="shared" si="48"/>
        <v>14.399999999999999</v>
      </c>
      <c r="L312" s="101">
        <f t="shared" si="49"/>
        <v>15.599999999999998</v>
      </c>
      <c r="M312" s="98">
        <f t="shared" si="50"/>
        <v>9.0909090909090917</v>
      </c>
      <c r="N312" s="98">
        <f t="shared" si="51"/>
        <v>8.3333333333333339</v>
      </c>
      <c r="O312" s="98">
        <f t="shared" si="52"/>
        <v>7.6923076923076934</v>
      </c>
    </row>
    <row r="313" spans="2:15" ht="15" customHeight="1" x14ac:dyDescent="0.25">
      <c r="B313" s="158"/>
      <c r="C313" s="95" t="s">
        <v>43</v>
      </c>
      <c r="D313" s="98">
        <v>120</v>
      </c>
      <c r="E313" s="98">
        <v>120</v>
      </c>
      <c r="F313" s="98">
        <f t="shared" si="44"/>
        <v>4.8</v>
      </c>
      <c r="G313" s="101">
        <f t="shared" si="53"/>
        <v>8.4</v>
      </c>
      <c r="H313" s="101">
        <f t="shared" si="45"/>
        <v>9.6</v>
      </c>
      <c r="I313" s="101">
        <f t="shared" si="46"/>
        <v>10.799999999999999</v>
      </c>
      <c r="J313" s="101">
        <f t="shared" si="47"/>
        <v>13.2</v>
      </c>
      <c r="K313" s="101">
        <f t="shared" si="48"/>
        <v>14.399999999999999</v>
      </c>
      <c r="L313" s="101">
        <f t="shared" si="49"/>
        <v>15.599999999999998</v>
      </c>
      <c r="M313" s="98">
        <f t="shared" si="50"/>
        <v>9.0909090909090917</v>
      </c>
      <c r="N313" s="98">
        <f t="shared" si="51"/>
        <v>8.3333333333333339</v>
      </c>
      <c r="O313" s="98">
        <f t="shared" si="52"/>
        <v>7.6923076923076934</v>
      </c>
    </row>
    <row r="314" spans="2:15" ht="15" customHeight="1" x14ac:dyDescent="0.25">
      <c r="B314" s="158"/>
      <c r="C314" s="95" t="s">
        <v>44</v>
      </c>
      <c r="D314" s="98">
        <v>120</v>
      </c>
      <c r="E314" s="98">
        <v>120</v>
      </c>
      <c r="F314" s="98">
        <f t="shared" si="44"/>
        <v>4.8</v>
      </c>
      <c r="G314" s="101">
        <f t="shared" si="53"/>
        <v>8.4</v>
      </c>
      <c r="H314" s="101">
        <f t="shared" si="45"/>
        <v>9.6</v>
      </c>
      <c r="I314" s="101">
        <f t="shared" si="46"/>
        <v>10.799999999999999</v>
      </c>
      <c r="J314" s="101">
        <f t="shared" si="47"/>
        <v>13.2</v>
      </c>
      <c r="K314" s="101">
        <f t="shared" si="48"/>
        <v>14.399999999999999</v>
      </c>
      <c r="L314" s="101">
        <f t="shared" si="49"/>
        <v>15.599999999999998</v>
      </c>
      <c r="M314" s="98">
        <f t="shared" si="50"/>
        <v>9.0909090909090917</v>
      </c>
      <c r="N314" s="98">
        <f t="shared" si="51"/>
        <v>8.3333333333333339</v>
      </c>
      <c r="O314" s="98">
        <f t="shared" si="52"/>
        <v>7.6923076923076934</v>
      </c>
    </row>
    <row r="315" spans="2:15" ht="15" customHeight="1" x14ac:dyDescent="0.25">
      <c r="B315" s="158"/>
      <c r="C315" s="95" t="s">
        <v>45</v>
      </c>
      <c r="D315" s="98">
        <v>120</v>
      </c>
      <c r="E315" s="98">
        <v>120</v>
      </c>
      <c r="F315" s="98">
        <f t="shared" si="44"/>
        <v>4.8</v>
      </c>
      <c r="G315" s="101">
        <f t="shared" si="53"/>
        <v>8.4</v>
      </c>
      <c r="H315" s="101">
        <f t="shared" si="45"/>
        <v>9.6</v>
      </c>
      <c r="I315" s="101">
        <f t="shared" si="46"/>
        <v>10.799999999999999</v>
      </c>
      <c r="J315" s="101">
        <f t="shared" si="47"/>
        <v>13.2</v>
      </c>
      <c r="K315" s="101">
        <f t="shared" si="48"/>
        <v>14.399999999999999</v>
      </c>
      <c r="L315" s="101">
        <f t="shared" si="49"/>
        <v>15.599999999999998</v>
      </c>
      <c r="M315" s="98">
        <f t="shared" si="50"/>
        <v>9.0909090909090917</v>
      </c>
      <c r="N315" s="98">
        <f t="shared" si="51"/>
        <v>8.3333333333333339</v>
      </c>
      <c r="O315" s="98">
        <f t="shared" si="52"/>
        <v>7.6923076923076934</v>
      </c>
    </row>
    <row r="316" spans="2:15" ht="15" customHeight="1" x14ac:dyDescent="0.25">
      <c r="B316" s="158"/>
      <c r="C316" s="95" t="s">
        <v>46</v>
      </c>
      <c r="D316" s="98">
        <v>120</v>
      </c>
      <c r="E316" s="98">
        <v>120</v>
      </c>
      <c r="F316" s="98">
        <f t="shared" si="44"/>
        <v>4.8</v>
      </c>
      <c r="G316" s="101">
        <f t="shared" si="53"/>
        <v>8.4</v>
      </c>
      <c r="H316" s="101">
        <f t="shared" si="45"/>
        <v>9.6</v>
      </c>
      <c r="I316" s="101">
        <f t="shared" si="46"/>
        <v>10.799999999999999</v>
      </c>
      <c r="J316" s="101">
        <f t="shared" si="47"/>
        <v>13.2</v>
      </c>
      <c r="K316" s="101">
        <f t="shared" si="48"/>
        <v>14.399999999999999</v>
      </c>
      <c r="L316" s="101">
        <f t="shared" si="49"/>
        <v>15.599999999999998</v>
      </c>
      <c r="M316" s="98">
        <f t="shared" si="50"/>
        <v>9.0909090909090917</v>
      </c>
      <c r="N316" s="98">
        <f t="shared" si="51"/>
        <v>8.3333333333333339</v>
      </c>
      <c r="O316" s="98">
        <f t="shared" si="52"/>
        <v>7.6923076923076934</v>
      </c>
    </row>
    <row r="317" spans="2:15" ht="15" customHeight="1" x14ac:dyDescent="0.25">
      <c r="B317" s="158"/>
      <c r="C317" s="95" t="s">
        <v>47</v>
      </c>
      <c r="D317" s="98">
        <v>120</v>
      </c>
      <c r="E317" s="98">
        <v>120</v>
      </c>
      <c r="F317" s="98">
        <f t="shared" si="44"/>
        <v>4.8</v>
      </c>
      <c r="G317" s="101">
        <f t="shared" si="53"/>
        <v>8.4</v>
      </c>
      <c r="H317" s="101">
        <f t="shared" si="45"/>
        <v>9.6</v>
      </c>
      <c r="I317" s="101">
        <f t="shared" si="46"/>
        <v>10.799999999999999</v>
      </c>
      <c r="J317" s="101">
        <f t="shared" si="47"/>
        <v>13.2</v>
      </c>
      <c r="K317" s="101">
        <f t="shared" si="48"/>
        <v>14.399999999999999</v>
      </c>
      <c r="L317" s="101">
        <f t="shared" si="49"/>
        <v>15.599999999999998</v>
      </c>
      <c r="M317" s="98">
        <f t="shared" si="50"/>
        <v>9.0909090909090917</v>
      </c>
      <c r="N317" s="98">
        <f t="shared" si="51"/>
        <v>8.3333333333333339</v>
      </c>
      <c r="O317" s="98">
        <f t="shared" si="52"/>
        <v>7.6923076923076934</v>
      </c>
    </row>
    <row r="318" spans="2:15" ht="15" customHeight="1" x14ac:dyDescent="0.25">
      <c r="B318" s="159"/>
      <c r="C318" s="96" t="s">
        <v>48</v>
      </c>
      <c r="D318" s="99">
        <v>120</v>
      </c>
      <c r="E318" s="99">
        <v>120</v>
      </c>
      <c r="F318" s="99">
        <f t="shared" si="44"/>
        <v>4.8</v>
      </c>
      <c r="G318" s="102">
        <f t="shared" si="53"/>
        <v>8.4</v>
      </c>
      <c r="H318" s="102">
        <f t="shared" si="45"/>
        <v>9.6</v>
      </c>
      <c r="I318" s="102">
        <f t="shared" si="46"/>
        <v>10.799999999999999</v>
      </c>
      <c r="J318" s="102">
        <f t="shared" si="47"/>
        <v>13.2</v>
      </c>
      <c r="K318" s="102">
        <f t="shared" si="48"/>
        <v>14.399999999999999</v>
      </c>
      <c r="L318" s="102">
        <f t="shared" si="49"/>
        <v>15.599999999999998</v>
      </c>
      <c r="M318" s="99">
        <f t="shared" si="50"/>
        <v>9.0909090909090917</v>
      </c>
      <c r="N318" s="99">
        <f t="shared" si="51"/>
        <v>8.3333333333333339</v>
      </c>
      <c r="O318" s="99">
        <f t="shared" si="52"/>
        <v>7.6923076923076934</v>
      </c>
    </row>
    <row r="319" spans="2:15" ht="15" customHeight="1" x14ac:dyDescent="0.25">
      <c r="B319" s="157">
        <v>2000</v>
      </c>
      <c r="C319" s="94" t="s">
        <v>36</v>
      </c>
      <c r="D319" s="97">
        <v>120</v>
      </c>
      <c r="E319" s="97">
        <v>120</v>
      </c>
      <c r="F319" s="97">
        <f t="shared" si="44"/>
        <v>4.8</v>
      </c>
      <c r="G319" s="100">
        <f t="shared" si="53"/>
        <v>8.4</v>
      </c>
      <c r="H319" s="100">
        <f t="shared" si="45"/>
        <v>9.6</v>
      </c>
      <c r="I319" s="100">
        <f t="shared" si="46"/>
        <v>10.799999999999999</v>
      </c>
      <c r="J319" s="100">
        <f t="shared" si="47"/>
        <v>13.2</v>
      </c>
      <c r="K319" s="100">
        <f t="shared" si="48"/>
        <v>14.399999999999999</v>
      </c>
      <c r="L319" s="100">
        <f t="shared" si="49"/>
        <v>15.599999999999998</v>
      </c>
      <c r="M319" s="97">
        <f t="shared" si="50"/>
        <v>9.0909090909090917</v>
      </c>
      <c r="N319" s="97">
        <f t="shared" si="51"/>
        <v>8.3333333333333339</v>
      </c>
      <c r="O319" s="97">
        <f t="shared" si="52"/>
        <v>7.6923076923076934</v>
      </c>
    </row>
    <row r="320" spans="2:15" ht="15" customHeight="1" x14ac:dyDescent="0.25">
      <c r="B320" s="158"/>
      <c r="C320" s="95" t="s">
        <v>38</v>
      </c>
      <c r="D320" s="98">
        <v>120</v>
      </c>
      <c r="E320" s="98">
        <v>120</v>
      </c>
      <c r="F320" s="98">
        <f t="shared" si="44"/>
        <v>4.8</v>
      </c>
      <c r="G320" s="101">
        <f t="shared" si="53"/>
        <v>8.4</v>
      </c>
      <c r="H320" s="101">
        <f t="shared" si="45"/>
        <v>9.6</v>
      </c>
      <c r="I320" s="101">
        <f t="shared" si="46"/>
        <v>10.799999999999999</v>
      </c>
      <c r="J320" s="101">
        <f t="shared" si="47"/>
        <v>13.2</v>
      </c>
      <c r="K320" s="101">
        <f t="shared" si="48"/>
        <v>14.399999999999999</v>
      </c>
      <c r="L320" s="101">
        <f t="shared" si="49"/>
        <v>15.599999999999998</v>
      </c>
      <c r="M320" s="98">
        <f t="shared" si="50"/>
        <v>9.0909090909090917</v>
      </c>
      <c r="N320" s="98">
        <f t="shared" si="51"/>
        <v>8.3333333333333339</v>
      </c>
      <c r="O320" s="98">
        <f t="shared" si="52"/>
        <v>7.6923076923076934</v>
      </c>
    </row>
    <row r="321" spans="2:15" ht="15" customHeight="1" x14ac:dyDescent="0.25">
      <c r="B321" s="158"/>
      <c r="C321" s="95" t="s">
        <v>39</v>
      </c>
      <c r="D321" s="98">
        <v>120</v>
      </c>
      <c r="E321" s="98">
        <v>120</v>
      </c>
      <c r="F321" s="98">
        <f t="shared" si="44"/>
        <v>4.8</v>
      </c>
      <c r="G321" s="101">
        <f t="shared" si="53"/>
        <v>8.4</v>
      </c>
      <c r="H321" s="101">
        <f t="shared" si="45"/>
        <v>9.6</v>
      </c>
      <c r="I321" s="101">
        <f t="shared" si="46"/>
        <v>10.799999999999999</v>
      </c>
      <c r="J321" s="101">
        <f t="shared" si="47"/>
        <v>13.2</v>
      </c>
      <c r="K321" s="101">
        <f t="shared" si="48"/>
        <v>14.399999999999999</v>
      </c>
      <c r="L321" s="101">
        <f t="shared" si="49"/>
        <v>15.599999999999998</v>
      </c>
      <c r="M321" s="98">
        <f t="shared" si="50"/>
        <v>9.0909090909090917</v>
      </c>
      <c r="N321" s="98">
        <f t="shared" si="51"/>
        <v>8.3333333333333339</v>
      </c>
      <c r="O321" s="98">
        <f t="shared" si="52"/>
        <v>7.6923076923076934</v>
      </c>
    </row>
    <row r="322" spans="2:15" ht="15" customHeight="1" x14ac:dyDescent="0.25">
      <c r="B322" s="158"/>
      <c r="C322" s="95" t="s">
        <v>40</v>
      </c>
      <c r="D322" s="98">
        <v>120</v>
      </c>
      <c r="E322" s="98">
        <v>120</v>
      </c>
      <c r="F322" s="98">
        <f t="shared" si="44"/>
        <v>4.8</v>
      </c>
      <c r="G322" s="101">
        <f t="shared" si="53"/>
        <v>8.4</v>
      </c>
      <c r="H322" s="101">
        <f t="shared" si="45"/>
        <v>9.6</v>
      </c>
      <c r="I322" s="101">
        <f t="shared" si="46"/>
        <v>10.799999999999999</v>
      </c>
      <c r="J322" s="101">
        <f t="shared" si="47"/>
        <v>13.2</v>
      </c>
      <c r="K322" s="101">
        <f t="shared" si="48"/>
        <v>14.399999999999999</v>
      </c>
      <c r="L322" s="101">
        <f t="shared" si="49"/>
        <v>15.599999999999998</v>
      </c>
      <c r="M322" s="98">
        <f t="shared" si="50"/>
        <v>9.0909090909090917</v>
      </c>
      <c r="N322" s="98">
        <f t="shared" si="51"/>
        <v>8.3333333333333339</v>
      </c>
      <c r="O322" s="98">
        <f t="shared" si="52"/>
        <v>7.6923076923076934</v>
      </c>
    </row>
    <row r="323" spans="2:15" ht="15" customHeight="1" x14ac:dyDescent="0.25">
      <c r="B323" s="158"/>
      <c r="C323" s="95" t="s">
        <v>41</v>
      </c>
      <c r="D323" s="98">
        <v>144</v>
      </c>
      <c r="E323" s="98">
        <v>144</v>
      </c>
      <c r="F323" s="98">
        <f t="shared" si="44"/>
        <v>5.76</v>
      </c>
      <c r="G323" s="101">
        <f t="shared" si="53"/>
        <v>10.080000000000002</v>
      </c>
      <c r="H323" s="101">
        <f t="shared" si="45"/>
        <v>11.52</v>
      </c>
      <c r="I323" s="101">
        <f t="shared" si="46"/>
        <v>12.959999999999999</v>
      </c>
      <c r="J323" s="101">
        <f t="shared" si="47"/>
        <v>15.840000000000002</v>
      </c>
      <c r="K323" s="101">
        <f t="shared" si="48"/>
        <v>17.28</v>
      </c>
      <c r="L323" s="101">
        <f t="shared" si="49"/>
        <v>18.72</v>
      </c>
      <c r="M323" s="98">
        <f t="shared" si="50"/>
        <v>9.0909090909090899</v>
      </c>
      <c r="N323" s="98">
        <f t="shared" si="51"/>
        <v>8.3333333333333321</v>
      </c>
      <c r="O323" s="98">
        <f t="shared" si="52"/>
        <v>7.6923076923076925</v>
      </c>
    </row>
    <row r="324" spans="2:15" ht="15" customHeight="1" x14ac:dyDescent="0.25">
      <c r="B324" s="158"/>
      <c r="C324" s="95" t="s">
        <v>42</v>
      </c>
      <c r="D324" s="98">
        <v>144</v>
      </c>
      <c r="E324" s="98">
        <v>144</v>
      </c>
      <c r="F324" s="98">
        <f t="shared" si="44"/>
        <v>5.76</v>
      </c>
      <c r="G324" s="101">
        <f t="shared" si="53"/>
        <v>10.080000000000002</v>
      </c>
      <c r="H324" s="101">
        <f t="shared" si="45"/>
        <v>11.52</v>
      </c>
      <c r="I324" s="101">
        <f t="shared" si="46"/>
        <v>12.959999999999999</v>
      </c>
      <c r="J324" s="101">
        <f t="shared" si="47"/>
        <v>15.840000000000002</v>
      </c>
      <c r="K324" s="101">
        <f t="shared" si="48"/>
        <v>17.28</v>
      </c>
      <c r="L324" s="101">
        <f t="shared" si="49"/>
        <v>18.72</v>
      </c>
      <c r="M324" s="98">
        <f t="shared" si="50"/>
        <v>9.0909090909090899</v>
      </c>
      <c r="N324" s="98">
        <f t="shared" si="51"/>
        <v>8.3333333333333321</v>
      </c>
      <c r="O324" s="98">
        <f t="shared" si="52"/>
        <v>7.6923076923076925</v>
      </c>
    </row>
    <row r="325" spans="2:15" ht="15" customHeight="1" x14ac:dyDescent="0.25">
      <c r="B325" s="158"/>
      <c r="C325" s="95" t="s">
        <v>43</v>
      </c>
      <c r="D325" s="98">
        <v>144</v>
      </c>
      <c r="E325" s="98">
        <v>144</v>
      </c>
      <c r="F325" s="98">
        <f t="shared" si="44"/>
        <v>5.76</v>
      </c>
      <c r="G325" s="101">
        <f t="shared" si="53"/>
        <v>10.080000000000002</v>
      </c>
      <c r="H325" s="101">
        <f t="shared" si="45"/>
        <v>11.52</v>
      </c>
      <c r="I325" s="101">
        <f t="shared" si="46"/>
        <v>12.959999999999999</v>
      </c>
      <c r="J325" s="101">
        <f t="shared" si="47"/>
        <v>15.840000000000002</v>
      </c>
      <c r="K325" s="101">
        <f t="shared" si="48"/>
        <v>17.28</v>
      </c>
      <c r="L325" s="101">
        <f t="shared" si="49"/>
        <v>18.72</v>
      </c>
      <c r="M325" s="98">
        <f t="shared" si="50"/>
        <v>9.0909090909090899</v>
      </c>
      <c r="N325" s="98">
        <f t="shared" si="51"/>
        <v>8.3333333333333321</v>
      </c>
      <c r="O325" s="98">
        <f t="shared" si="52"/>
        <v>7.6923076923076925</v>
      </c>
    </row>
    <row r="326" spans="2:15" ht="15" customHeight="1" x14ac:dyDescent="0.25">
      <c r="B326" s="158"/>
      <c r="C326" s="95" t="s">
        <v>44</v>
      </c>
      <c r="D326" s="98">
        <v>144</v>
      </c>
      <c r="E326" s="98">
        <v>144</v>
      </c>
      <c r="F326" s="98">
        <f t="shared" si="44"/>
        <v>5.76</v>
      </c>
      <c r="G326" s="101">
        <f t="shared" si="53"/>
        <v>10.080000000000002</v>
      </c>
      <c r="H326" s="101">
        <f t="shared" si="45"/>
        <v>11.52</v>
      </c>
      <c r="I326" s="101">
        <f t="shared" si="46"/>
        <v>12.959999999999999</v>
      </c>
      <c r="J326" s="101">
        <f t="shared" si="47"/>
        <v>15.840000000000002</v>
      </c>
      <c r="K326" s="101">
        <f t="shared" si="48"/>
        <v>17.28</v>
      </c>
      <c r="L326" s="101">
        <f t="shared" si="49"/>
        <v>18.72</v>
      </c>
      <c r="M326" s="98">
        <f t="shared" si="50"/>
        <v>9.0909090909090899</v>
      </c>
      <c r="N326" s="98">
        <f t="shared" si="51"/>
        <v>8.3333333333333321</v>
      </c>
      <c r="O326" s="98">
        <f t="shared" si="52"/>
        <v>7.6923076923076925</v>
      </c>
    </row>
    <row r="327" spans="2:15" ht="15" customHeight="1" x14ac:dyDescent="0.25">
      <c r="B327" s="158"/>
      <c r="C327" s="95" t="s">
        <v>45</v>
      </c>
      <c r="D327" s="98">
        <v>144</v>
      </c>
      <c r="E327" s="98">
        <v>144</v>
      </c>
      <c r="F327" s="98">
        <f t="shared" si="44"/>
        <v>5.76</v>
      </c>
      <c r="G327" s="101">
        <f t="shared" si="53"/>
        <v>10.080000000000002</v>
      </c>
      <c r="H327" s="101">
        <f t="shared" si="45"/>
        <v>11.52</v>
      </c>
      <c r="I327" s="101">
        <f t="shared" si="46"/>
        <v>12.959999999999999</v>
      </c>
      <c r="J327" s="101">
        <f t="shared" si="47"/>
        <v>15.840000000000002</v>
      </c>
      <c r="K327" s="101">
        <f t="shared" si="48"/>
        <v>17.28</v>
      </c>
      <c r="L327" s="101">
        <f t="shared" si="49"/>
        <v>18.72</v>
      </c>
      <c r="M327" s="98">
        <f t="shared" si="50"/>
        <v>9.0909090909090899</v>
      </c>
      <c r="N327" s="98">
        <f t="shared" si="51"/>
        <v>8.3333333333333321</v>
      </c>
      <c r="O327" s="98">
        <f t="shared" si="52"/>
        <v>7.6923076923076925</v>
      </c>
    </row>
    <row r="328" spans="2:15" ht="15" customHeight="1" x14ac:dyDescent="0.25">
      <c r="B328" s="158"/>
      <c r="C328" s="95" t="s">
        <v>46</v>
      </c>
      <c r="D328" s="98">
        <v>144</v>
      </c>
      <c r="E328" s="98">
        <v>144</v>
      </c>
      <c r="F328" s="98">
        <f t="shared" si="44"/>
        <v>5.76</v>
      </c>
      <c r="G328" s="101">
        <f t="shared" si="53"/>
        <v>10.080000000000002</v>
      </c>
      <c r="H328" s="101">
        <f t="shared" si="45"/>
        <v>11.52</v>
      </c>
      <c r="I328" s="101">
        <f t="shared" si="46"/>
        <v>12.959999999999999</v>
      </c>
      <c r="J328" s="101">
        <f t="shared" si="47"/>
        <v>15.840000000000002</v>
      </c>
      <c r="K328" s="101">
        <f t="shared" si="48"/>
        <v>17.28</v>
      </c>
      <c r="L328" s="101">
        <f t="shared" si="49"/>
        <v>18.72</v>
      </c>
      <c r="M328" s="98">
        <f t="shared" si="50"/>
        <v>9.0909090909090899</v>
      </c>
      <c r="N328" s="98">
        <f t="shared" si="51"/>
        <v>8.3333333333333321</v>
      </c>
      <c r="O328" s="98">
        <f t="shared" si="52"/>
        <v>7.6923076923076925</v>
      </c>
    </row>
    <row r="329" spans="2:15" ht="15" customHeight="1" x14ac:dyDescent="0.25">
      <c r="B329" s="158"/>
      <c r="C329" s="95" t="s">
        <v>47</v>
      </c>
      <c r="D329" s="98">
        <v>144</v>
      </c>
      <c r="E329" s="98">
        <v>144</v>
      </c>
      <c r="F329" s="98">
        <f t="shared" si="44"/>
        <v>5.76</v>
      </c>
      <c r="G329" s="101">
        <f t="shared" si="53"/>
        <v>10.080000000000002</v>
      </c>
      <c r="H329" s="101">
        <f t="shared" si="45"/>
        <v>11.52</v>
      </c>
      <c r="I329" s="101">
        <f t="shared" si="46"/>
        <v>12.959999999999999</v>
      </c>
      <c r="J329" s="101">
        <f t="shared" si="47"/>
        <v>15.840000000000002</v>
      </c>
      <c r="K329" s="101">
        <f t="shared" si="48"/>
        <v>17.28</v>
      </c>
      <c r="L329" s="101">
        <f t="shared" si="49"/>
        <v>18.72</v>
      </c>
      <c r="M329" s="98">
        <f t="shared" si="50"/>
        <v>9.0909090909090899</v>
      </c>
      <c r="N329" s="98">
        <f t="shared" si="51"/>
        <v>8.3333333333333321</v>
      </c>
      <c r="O329" s="98">
        <f t="shared" si="52"/>
        <v>7.6923076923076925</v>
      </c>
    </row>
    <row r="330" spans="2:15" ht="15" customHeight="1" x14ac:dyDescent="0.25">
      <c r="B330" s="159"/>
      <c r="C330" s="96" t="s">
        <v>48</v>
      </c>
      <c r="D330" s="99">
        <v>144</v>
      </c>
      <c r="E330" s="99">
        <v>144</v>
      </c>
      <c r="F330" s="99">
        <f t="shared" si="44"/>
        <v>5.76</v>
      </c>
      <c r="G330" s="102">
        <f t="shared" si="53"/>
        <v>10.080000000000002</v>
      </c>
      <c r="H330" s="102">
        <f t="shared" si="45"/>
        <v>11.52</v>
      </c>
      <c r="I330" s="102">
        <f t="shared" si="46"/>
        <v>12.959999999999999</v>
      </c>
      <c r="J330" s="102">
        <f t="shared" si="47"/>
        <v>15.840000000000002</v>
      </c>
      <c r="K330" s="102">
        <f t="shared" si="48"/>
        <v>17.28</v>
      </c>
      <c r="L330" s="102">
        <f t="shared" si="49"/>
        <v>18.72</v>
      </c>
      <c r="M330" s="99">
        <f t="shared" si="50"/>
        <v>9.0909090909090899</v>
      </c>
      <c r="N330" s="99">
        <f t="shared" si="51"/>
        <v>8.3333333333333321</v>
      </c>
      <c r="O330" s="99">
        <f t="shared" si="52"/>
        <v>7.6923076923076925</v>
      </c>
    </row>
    <row r="331" spans="2:15" ht="15" customHeight="1" x14ac:dyDescent="0.25">
      <c r="B331" s="157">
        <v>2001</v>
      </c>
      <c r="C331" s="94" t="s">
        <v>36</v>
      </c>
      <c r="D331" s="97">
        <v>144</v>
      </c>
      <c r="E331" s="97">
        <v>144</v>
      </c>
      <c r="F331" s="97">
        <f t="shared" si="44"/>
        <v>5.76</v>
      </c>
      <c r="G331" s="100">
        <f t="shared" si="53"/>
        <v>10.080000000000002</v>
      </c>
      <c r="H331" s="100">
        <f t="shared" si="45"/>
        <v>11.52</v>
      </c>
      <c r="I331" s="100">
        <f t="shared" si="46"/>
        <v>12.959999999999999</v>
      </c>
      <c r="J331" s="100">
        <f t="shared" si="47"/>
        <v>15.840000000000002</v>
      </c>
      <c r="K331" s="100">
        <f t="shared" si="48"/>
        <v>17.28</v>
      </c>
      <c r="L331" s="100">
        <f t="shared" si="49"/>
        <v>18.72</v>
      </c>
      <c r="M331" s="97">
        <f t="shared" si="50"/>
        <v>9.0909090909090899</v>
      </c>
      <c r="N331" s="97">
        <f t="shared" si="51"/>
        <v>8.3333333333333321</v>
      </c>
      <c r="O331" s="97">
        <f t="shared" si="52"/>
        <v>7.6923076923076925</v>
      </c>
    </row>
    <row r="332" spans="2:15" ht="15" customHeight="1" x14ac:dyDescent="0.25">
      <c r="B332" s="158"/>
      <c r="C332" s="95" t="s">
        <v>38</v>
      </c>
      <c r="D332" s="98">
        <v>144</v>
      </c>
      <c r="E332" s="98">
        <v>144</v>
      </c>
      <c r="F332" s="98">
        <f t="shared" si="44"/>
        <v>5.76</v>
      </c>
      <c r="G332" s="101">
        <f t="shared" si="53"/>
        <v>10.080000000000002</v>
      </c>
      <c r="H332" s="101">
        <f t="shared" si="45"/>
        <v>11.52</v>
      </c>
      <c r="I332" s="101">
        <f t="shared" si="46"/>
        <v>12.959999999999999</v>
      </c>
      <c r="J332" s="101">
        <f t="shared" si="47"/>
        <v>15.840000000000002</v>
      </c>
      <c r="K332" s="101">
        <f t="shared" si="48"/>
        <v>17.28</v>
      </c>
      <c r="L332" s="101">
        <f t="shared" si="49"/>
        <v>18.72</v>
      </c>
      <c r="M332" s="98">
        <f t="shared" si="50"/>
        <v>9.0909090909090899</v>
      </c>
      <c r="N332" s="98">
        <f t="shared" si="51"/>
        <v>8.3333333333333321</v>
      </c>
      <c r="O332" s="98">
        <f t="shared" si="52"/>
        <v>7.6923076923076925</v>
      </c>
    </row>
    <row r="333" spans="2:15" ht="15" customHeight="1" x14ac:dyDescent="0.25">
      <c r="B333" s="158"/>
      <c r="C333" s="95" t="s">
        <v>39</v>
      </c>
      <c r="D333" s="98">
        <v>144</v>
      </c>
      <c r="E333" s="98">
        <v>144</v>
      </c>
      <c r="F333" s="98">
        <f t="shared" ref="F333:F396" si="54">+D333*4%</f>
        <v>5.76</v>
      </c>
      <c r="G333" s="101">
        <f t="shared" si="53"/>
        <v>10.080000000000002</v>
      </c>
      <c r="H333" s="101">
        <f t="shared" ref="H333:H396" si="55">+D333*8%</f>
        <v>11.52</v>
      </c>
      <c r="I333" s="101">
        <f t="shared" ref="I333:I396" si="56">+D333*9%</f>
        <v>12.959999999999999</v>
      </c>
      <c r="J333" s="101">
        <f t="shared" ref="J333:J396" si="57">+F333+G333</f>
        <v>15.840000000000002</v>
      </c>
      <c r="K333" s="101">
        <f t="shared" ref="K333:K396" si="58">+F333+H333</f>
        <v>17.28</v>
      </c>
      <c r="L333" s="101">
        <f t="shared" ref="L333:L396" si="59">+F333+I333</f>
        <v>18.72</v>
      </c>
      <c r="M333" s="98">
        <f t="shared" ref="M333:M396" si="60">+E333/J333</f>
        <v>9.0909090909090899</v>
      </c>
      <c r="N333" s="98">
        <f t="shared" ref="N333:N396" si="61">+E333/K333</f>
        <v>8.3333333333333321</v>
      </c>
      <c r="O333" s="98">
        <f t="shared" ref="O333:O396" si="62">+E333/L333</f>
        <v>7.6923076923076925</v>
      </c>
    </row>
    <row r="334" spans="2:15" ht="15" customHeight="1" x14ac:dyDescent="0.25">
      <c r="B334" s="158"/>
      <c r="C334" s="95" t="s">
        <v>40</v>
      </c>
      <c r="D334" s="98">
        <v>144</v>
      </c>
      <c r="E334" s="98">
        <v>144</v>
      </c>
      <c r="F334" s="98">
        <f t="shared" si="54"/>
        <v>5.76</v>
      </c>
      <c r="G334" s="101">
        <f t="shared" ref="G334:G397" si="63">+D334*7%</f>
        <v>10.080000000000002</v>
      </c>
      <c r="H334" s="101">
        <f t="shared" si="55"/>
        <v>11.52</v>
      </c>
      <c r="I334" s="101">
        <f t="shared" si="56"/>
        <v>12.959999999999999</v>
      </c>
      <c r="J334" s="101">
        <f t="shared" si="57"/>
        <v>15.840000000000002</v>
      </c>
      <c r="K334" s="101">
        <f t="shared" si="58"/>
        <v>17.28</v>
      </c>
      <c r="L334" s="101">
        <f t="shared" si="59"/>
        <v>18.72</v>
      </c>
      <c r="M334" s="98">
        <f t="shared" si="60"/>
        <v>9.0909090909090899</v>
      </c>
      <c r="N334" s="98">
        <f t="shared" si="61"/>
        <v>8.3333333333333321</v>
      </c>
      <c r="O334" s="98">
        <f t="shared" si="62"/>
        <v>7.6923076923076925</v>
      </c>
    </row>
    <row r="335" spans="2:15" ht="15" customHeight="1" x14ac:dyDescent="0.25">
      <c r="B335" s="158"/>
      <c r="C335" s="95" t="s">
        <v>41</v>
      </c>
      <c r="D335" s="98">
        <v>158.4</v>
      </c>
      <c r="E335" s="98">
        <v>158.4</v>
      </c>
      <c r="F335" s="98">
        <f t="shared" si="54"/>
        <v>6.3360000000000003</v>
      </c>
      <c r="G335" s="101">
        <f t="shared" si="63"/>
        <v>11.088000000000001</v>
      </c>
      <c r="H335" s="101">
        <f t="shared" si="55"/>
        <v>12.672000000000001</v>
      </c>
      <c r="I335" s="101">
        <f t="shared" si="56"/>
        <v>14.256</v>
      </c>
      <c r="J335" s="101">
        <f t="shared" si="57"/>
        <v>17.423999999999999</v>
      </c>
      <c r="K335" s="101">
        <f t="shared" si="58"/>
        <v>19.008000000000003</v>
      </c>
      <c r="L335" s="101">
        <f t="shared" si="59"/>
        <v>20.591999999999999</v>
      </c>
      <c r="M335" s="98">
        <f t="shared" si="60"/>
        <v>9.0909090909090917</v>
      </c>
      <c r="N335" s="98">
        <f t="shared" si="61"/>
        <v>8.3333333333333321</v>
      </c>
      <c r="O335" s="98">
        <f t="shared" si="62"/>
        <v>7.6923076923076934</v>
      </c>
    </row>
    <row r="336" spans="2:15" ht="15" customHeight="1" x14ac:dyDescent="0.25">
      <c r="B336" s="158"/>
      <c r="C336" s="95" t="s">
        <v>42</v>
      </c>
      <c r="D336" s="98">
        <v>158.4</v>
      </c>
      <c r="E336" s="98">
        <v>158.4</v>
      </c>
      <c r="F336" s="98">
        <f t="shared" si="54"/>
        <v>6.3360000000000003</v>
      </c>
      <c r="G336" s="101">
        <f t="shared" si="63"/>
        <v>11.088000000000001</v>
      </c>
      <c r="H336" s="101">
        <f t="shared" si="55"/>
        <v>12.672000000000001</v>
      </c>
      <c r="I336" s="101">
        <f t="shared" si="56"/>
        <v>14.256</v>
      </c>
      <c r="J336" s="101">
        <f t="shared" si="57"/>
        <v>17.423999999999999</v>
      </c>
      <c r="K336" s="101">
        <f t="shared" si="58"/>
        <v>19.008000000000003</v>
      </c>
      <c r="L336" s="101">
        <f t="shared" si="59"/>
        <v>20.591999999999999</v>
      </c>
      <c r="M336" s="98">
        <f t="shared" si="60"/>
        <v>9.0909090909090917</v>
      </c>
      <c r="N336" s="98">
        <f t="shared" si="61"/>
        <v>8.3333333333333321</v>
      </c>
      <c r="O336" s="98">
        <f t="shared" si="62"/>
        <v>7.6923076923076934</v>
      </c>
    </row>
    <row r="337" spans="2:15" ht="15" customHeight="1" x14ac:dyDescent="0.25">
      <c r="B337" s="158"/>
      <c r="C337" s="95" t="s">
        <v>43</v>
      </c>
      <c r="D337" s="98">
        <v>158.4</v>
      </c>
      <c r="E337" s="98">
        <v>158.4</v>
      </c>
      <c r="F337" s="98">
        <f t="shared" si="54"/>
        <v>6.3360000000000003</v>
      </c>
      <c r="G337" s="101">
        <f t="shared" si="63"/>
        <v>11.088000000000001</v>
      </c>
      <c r="H337" s="101">
        <f t="shared" si="55"/>
        <v>12.672000000000001</v>
      </c>
      <c r="I337" s="101">
        <f t="shared" si="56"/>
        <v>14.256</v>
      </c>
      <c r="J337" s="101">
        <f t="shared" si="57"/>
        <v>17.423999999999999</v>
      </c>
      <c r="K337" s="101">
        <f t="shared" si="58"/>
        <v>19.008000000000003</v>
      </c>
      <c r="L337" s="101">
        <f t="shared" si="59"/>
        <v>20.591999999999999</v>
      </c>
      <c r="M337" s="98">
        <f t="shared" si="60"/>
        <v>9.0909090909090917</v>
      </c>
      <c r="N337" s="98">
        <f t="shared" si="61"/>
        <v>8.3333333333333321</v>
      </c>
      <c r="O337" s="98">
        <f t="shared" si="62"/>
        <v>7.6923076923076934</v>
      </c>
    </row>
    <row r="338" spans="2:15" ht="15" customHeight="1" x14ac:dyDescent="0.25">
      <c r="B338" s="158"/>
      <c r="C338" s="95" t="s">
        <v>44</v>
      </c>
      <c r="D338" s="98">
        <v>158.4</v>
      </c>
      <c r="E338" s="98">
        <v>158.4</v>
      </c>
      <c r="F338" s="98">
        <f t="shared" si="54"/>
        <v>6.3360000000000003</v>
      </c>
      <c r="G338" s="101">
        <f t="shared" si="63"/>
        <v>11.088000000000001</v>
      </c>
      <c r="H338" s="101">
        <f t="shared" si="55"/>
        <v>12.672000000000001</v>
      </c>
      <c r="I338" s="101">
        <f t="shared" si="56"/>
        <v>14.256</v>
      </c>
      <c r="J338" s="101">
        <f t="shared" si="57"/>
        <v>17.423999999999999</v>
      </c>
      <c r="K338" s="101">
        <f t="shared" si="58"/>
        <v>19.008000000000003</v>
      </c>
      <c r="L338" s="101">
        <f t="shared" si="59"/>
        <v>20.591999999999999</v>
      </c>
      <c r="M338" s="98">
        <f t="shared" si="60"/>
        <v>9.0909090909090917</v>
      </c>
      <c r="N338" s="98">
        <f t="shared" si="61"/>
        <v>8.3333333333333321</v>
      </c>
      <c r="O338" s="98">
        <f t="shared" si="62"/>
        <v>7.6923076923076934</v>
      </c>
    </row>
    <row r="339" spans="2:15" ht="15" customHeight="1" x14ac:dyDescent="0.25">
      <c r="B339" s="158"/>
      <c r="C339" s="95" t="s">
        <v>45</v>
      </c>
      <c r="D339" s="98">
        <v>158.4</v>
      </c>
      <c r="E339" s="98">
        <v>158.4</v>
      </c>
      <c r="F339" s="98">
        <f t="shared" si="54"/>
        <v>6.3360000000000003</v>
      </c>
      <c r="G339" s="101">
        <f t="shared" si="63"/>
        <v>11.088000000000001</v>
      </c>
      <c r="H339" s="101">
        <f t="shared" si="55"/>
        <v>12.672000000000001</v>
      </c>
      <c r="I339" s="101">
        <f t="shared" si="56"/>
        <v>14.256</v>
      </c>
      <c r="J339" s="101">
        <f t="shared" si="57"/>
        <v>17.423999999999999</v>
      </c>
      <c r="K339" s="101">
        <f t="shared" si="58"/>
        <v>19.008000000000003</v>
      </c>
      <c r="L339" s="101">
        <f t="shared" si="59"/>
        <v>20.591999999999999</v>
      </c>
      <c r="M339" s="98">
        <f t="shared" si="60"/>
        <v>9.0909090909090917</v>
      </c>
      <c r="N339" s="98">
        <f t="shared" si="61"/>
        <v>8.3333333333333321</v>
      </c>
      <c r="O339" s="98">
        <f t="shared" si="62"/>
        <v>7.6923076923076934</v>
      </c>
    </row>
    <row r="340" spans="2:15" ht="15" customHeight="1" x14ac:dyDescent="0.25">
      <c r="B340" s="158"/>
      <c r="C340" s="95" t="s">
        <v>46</v>
      </c>
      <c r="D340" s="98">
        <v>158.4</v>
      </c>
      <c r="E340" s="98">
        <v>158.4</v>
      </c>
      <c r="F340" s="98">
        <f t="shared" si="54"/>
        <v>6.3360000000000003</v>
      </c>
      <c r="G340" s="101">
        <f t="shared" si="63"/>
        <v>11.088000000000001</v>
      </c>
      <c r="H340" s="101">
        <f t="shared" si="55"/>
        <v>12.672000000000001</v>
      </c>
      <c r="I340" s="101">
        <f t="shared" si="56"/>
        <v>14.256</v>
      </c>
      <c r="J340" s="101">
        <f t="shared" si="57"/>
        <v>17.423999999999999</v>
      </c>
      <c r="K340" s="101">
        <f t="shared" si="58"/>
        <v>19.008000000000003</v>
      </c>
      <c r="L340" s="101">
        <f t="shared" si="59"/>
        <v>20.591999999999999</v>
      </c>
      <c r="M340" s="98">
        <f t="shared" si="60"/>
        <v>9.0909090909090917</v>
      </c>
      <c r="N340" s="98">
        <f t="shared" si="61"/>
        <v>8.3333333333333321</v>
      </c>
      <c r="O340" s="98">
        <f t="shared" si="62"/>
        <v>7.6923076923076934</v>
      </c>
    </row>
    <row r="341" spans="2:15" ht="15" customHeight="1" x14ac:dyDescent="0.25">
      <c r="B341" s="158"/>
      <c r="C341" s="95" t="s">
        <v>47</v>
      </c>
      <c r="D341" s="98">
        <v>158.4</v>
      </c>
      <c r="E341" s="98">
        <v>158.4</v>
      </c>
      <c r="F341" s="98">
        <f t="shared" si="54"/>
        <v>6.3360000000000003</v>
      </c>
      <c r="G341" s="101">
        <f t="shared" si="63"/>
        <v>11.088000000000001</v>
      </c>
      <c r="H341" s="101">
        <f t="shared" si="55"/>
        <v>12.672000000000001</v>
      </c>
      <c r="I341" s="101">
        <f t="shared" si="56"/>
        <v>14.256</v>
      </c>
      <c r="J341" s="101">
        <f t="shared" si="57"/>
        <v>17.423999999999999</v>
      </c>
      <c r="K341" s="101">
        <f t="shared" si="58"/>
        <v>19.008000000000003</v>
      </c>
      <c r="L341" s="101">
        <f t="shared" si="59"/>
        <v>20.591999999999999</v>
      </c>
      <c r="M341" s="98">
        <f t="shared" si="60"/>
        <v>9.0909090909090917</v>
      </c>
      <c r="N341" s="98">
        <f t="shared" si="61"/>
        <v>8.3333333333333321</v>
      </c>
      <c r="O341" s="98">
        <f t="shared" si="62"/>
        <v>7.6923076923076934</v>
      </c>
    </row>
    <row r="342" spans="2:15" ht="15" customHeight="1" x14ac:dyDescent="0.25">
      <c r="B342" s="159"/>
      <c r="C342" s="96" t="s">
        <v>48</v>
      </c>
      <c r="D342" s="99">
        <v>158.4</v>
      </c>
      <c r="E342" s="99">
        <v>158.4</v>
      </c>
      <c r="F342" s="99">
        <f t="shared" si="54"/>
        <v>6.3360000000000003</v>
      </c>
      <c r="G342" s="102">
        <f t="shared" si="63"/>
        <v>11.088000000000001</v>
      </c>
      <c r="H342" s="102">
        <f t="shared" si="55"/>
        <v>12.672000000000001</v>
      </c>
      <c r="I342" s="102">
        <f t="shared" si="56"/>
        <v>14.256</v>
      </c>
      <c r="J342" s="102">
        <f t="shared" si="57"/>
        <v>17.423999999999999</v>
      </c>
      <c r="K342" s="102">
        <f t="shared" si="58"/>
        <v>19.008000000000003</v>
      </c>
      <c r="L342" s="102">
        <f t="shared" si="59"/>
        <v>20.591999999999999</v>
      </c>
      <c r="M342" s="99">
        <f t="shared" si="60"/>
        <v>9.0909090909090917</v>
      </c>
      <c r="N342" s="99">
        <f t="shared" si="61"/>
        <v>8.3333333333333321</v>
      </c>
      <c r="O342" s="99">
        <f t="shared" si="62"/>
        <v>7.6923076923076934</v>
      </c>
    </row>
    <row r="343" spans="2:15" ht="15" customHeight="1" x14ac:dyDescent="0.25">
      <c r="B343" s="157">
        <v>2002</v>
      </c>
      <c r="C343" s="94" t="s">
        <v>36</v>
      </c>
      <c r="D343" s="97">
        <v>158.4</v>
      </c>
      <c r="E343" s="97">
        <v>158.4</v>
      </c>
      <c r="F343" s="97">
        <f t="shared" si="54"/>
        <v>6.3360000000000003</v>
      </c>
      <c r="G343" s="100">
        <f t="shared" si="63"/>
        <v>11.088000000000001</v>
      </c>
      <c r="H343" s="100">
        <f t="shared" si="55"/>
        <v>12.672000000000001</v>
      </c>
      <c r="I343" s="100">
        <f t="shared" si="56"/>
        <v>14.256</v>
      </c>
      <c r="J343" s="100">
        <f t="shared" si="57"/>
        <v>17.423999999999999</v>
      </c>
      <c r="K343" s="100">
        <f t="shared" si="58"/>
        <v>19.008000000000003</v>
      </c>
      <c r="L343" s="100">
        <f t="shared" si="59"/>
        <v>20.591999999999999</v>
      </c>
      <c r="M343" s="97">
        <f t="shared" si="60"/>
        <v>9.0909090909090917</v>
      </c>
      <c r="N343" s="97">
        <f t="shared" si="61"/>
        <v>8.3333333333333321</v>
      </c>
      <c r="O343" s="97">
        <f t="shared" si="62"/>
        <v>7.6923076923076934</v>
      </c>
    </row>
    <row r="344" spans="2:15" ht="15" customHeight="1" x14ac:dyDescent="0.25">
      <c r="B344" s="158"/>
      <c r="C344" s="95" t="s">
        <v>38</v>
      </c>
      <c r="D344" s="98">
        <v>158.4</v>
      </c>
      <c r="E344" s="98">
        <v>158.4</v>
      </c>
      <c r="F344" s="98">
        <f t="shared" si="54"/>
        <v>6.3360000000000003</v>
      </c>
      <c r="G344" s="101">
        <f t="shared" si="63"/>
        <v>11.088000000000001</v>
      </c>
      <c r="H344" s="101">
        <f t="shared" si="55"/>
        <v>12.672000000000001</v>
      </c>
      <c r="I344" s="101">
        <f t="shared" si="56"/>
        <v>14.256</v>
      </c>
      <c r="J344" s="101">
        <f t="shared" si="57"/>
        <v>17.423999999999999</v>
      </c>
      <c r="K344" s="101">
        <f t="shared" si="58"/>
        <v>19.008000000000003</v>
      </c>
      <c r="L344" s="101">
        <f t="shared" si="59"/>
        <v>20.591999999999999</v>
      </c>
      <c r="M344" s="98">
        <f t="shared" si="60"/>
        <v>9.0909090909090917</v>
      </c>
      <c r="N344" s="98">
        <f t="shared" si="61"/>
        <v>8.3333333333333321</v>
      </c>
      <c r="O344" s="98">
        <f t="shared" si="62"/>
        <v>7.6923076923076934</v>
      </c>
    </row>
    <row r="345" spans="2:15" ht="15" customHeight="1" x14ac:dyDescent="0.25">
      <c r="B345" s="158"/>
      <c r="C345" s="95" t="s">
        <v>39</v>
      </c>
      <c r="D345" s="98">
        <v>158.4</v>
      </c>
      <c r="E345" s="98">
        <v>158.4</v>
      </c>
      <c r="F345" s="98">
        <f t="shared" si="54"/>
        <v>6.3360000000000003</v>
      </c>
      <c r="G345" s="101">
        <f t="shared" si="63"/>
        <v>11.088000000000001</v>
      </c>
      <c r="H345" s="101">
        <f t="shared" si="55"/>
        <v>12.672000000000001</v>
      </c>
      <c r="I345" s="101">
        <f t="shared" si="56"/>
        <v>14.256</v>
      </c>
      <c r="J345" s="101">
        <f t="shared" si="57"/>
        <v>17.423999999999999</v>
      </c>
      <c r="K345" s="101">
        <f t="shared" si="58"/>
        <v>19.008000000000003</v>
      </c>
      <c r="L345" s="101">
        <f t="shared" si="59"/>
        <v>20.591999999999999</v>
      </c>
      <c r="M345" s="98">
        <f t="shared" si="60"/>
        <v>9.0909090909090917</v>
      </c>
      <c r="N345" s="98">
        <f t="shared" si="61"/>
        <v>8.3333333333333321</v>
      </c>
      <c r="O345" s="98">
        <f t="shared" si="62"/>
        <v>7.6923076923076934</v>
      </c>
    </row>
    <row r="346" spans="2:15" ht="15" customHeight="1" x14ac:dyDescent="0.25">
      <c r="B346" s="158"/>
      <c r="C346" s="95" t="s">
        <v>40</v>
      </c>
      <c r="D346" s="98">
        <v>158.4</v>
      </c>
      <c r="E346" s="98">
        <v>158.4</v>
      </c>
      <c r="F346" s="98">
        <f t="shared" si="54"/>
        <v>6.3360000000000003</v>
      </c>
      <c r="G346" s="101">
        <f t="shared" si="63"/>
        <v>11.088000000000001</v>
      </c>
      <c r="H346" s="101">
        <f t="shared" si="55"/>
        <v>12.672000000000001</v>
      </c>
      <c r="I346" s="101">
        <f t="shared" si="56"/>
        <v>14.256</v>
      </c>
      <c r="J346" s="101">
        <f t="shared" si="57"/>
        <v>17.423999999999999</v>
      </c>
      <c r="K346" s="101">
        <f t="shared" si="58"/>
        <v>19.008000000000003</v>
      </c>
      <c r="L346" s="101">
        <f t="shared" si="59"/>
        <v>20.591999999999999</v>
      </c>
      <c r="M346" s="98">
        <f t="shared" si="60"/>
        <v>9.0909090909090917</v>
      </c>
      <c r="N346" s="98">
        <f t="shared" si="61"/>
        <v>8.3333333333333321</v>
      </c>
      <c r="O346" s="98">
        <f t="shared" si="62"/>
        <v>7.6923076923076934</v>
      </c>
    </row>
    <row r="347" spans="2:15" ht="15" customHeight="1" x14ac:dyDescent="0.25">
      <c r="B347" s="158"/>
      <c r="C347" s="95" t="s">
        <v>41</v>
      </c>
      <c r="D347" s="98">
        <v>190.08</v>
      </c>
      <c r="E347" s="98">
        <v>190.08</v>
      </c>
      <c r="F347" s="98">
        <f t="shared" si="54"/>
        <v>7.6032000000000011</v>
      </c>
      <c r="G347" s="101">
        <f t="shared" si="63"/>
        <v>13.305600000000002</v>
      </c>
      <c r="H347" s="101">
        <f t="shared" si="55"/>
        <v>15.206400000000002</v>
      </c>
      <c r="I347" s="101">
        <f t="shared" si="56"/>
        <v>17.107199999999999</v>
      </c>
      <c r="J347" s="101">
        <f t="shared" si="57"/>
        <v>20.908800000000003</v>
      </c>
      <c r="K347" s="101">
        <f t="shared" si="58"/>
        <v>22.809600000000003</v>
      </c>
      <c r="L347" s="101">
        <f t="shared" si="59"/>
        <v>24.7104</v>
      </c>
      <c r="M347" s="98">
        <f t="shared" si="60"/>
        <v>9.0909090909090899</v>
      </c>
      <c r="N347" s="98">
        <f t="shared" si="61"/>
        <v>8.3333333333333321</v>
      </c>
      <c r="O347" s="98">
        <f t="shared" si="62"/>
        <v>7.6923076923076925</v>
      </c>
    </row>
    <row r="348" spans="2:15" ht="15" customHeight="1" x14ac:dyDescent="0.25">
      <c r="B348" s="158"/>
      <c r="C348" s="95" t="s">
        <v>42</v>
      </c>
      <c r="D348" s="98">
        <v>190.08</v>
      </c>
      <c r="E348" s="98">
        <v>190.08</v>
      </c>
      <c r="F348" s="98">
        <f t="shared" si="54"/>
        <v>7.6032000000000011</v>
      </c>
      <c r="G348" s="101">
        <f t="shared" si="63"/>
        <v>13.305600000000002</v>
      </c>
      <c r="H348" s="101">
        <f t="shared" si="55"/>
        <v>15.206400000000002</v>
      </c>
      <c r="I348" s="101">
        <f t="shared" si="56"/>
        <v>17.107199999999999</v>
      </c>
      <c r="J348" s="101">
        <f t="shared" si="57"/>
        <v>20.908800000000003</v>
      </c>
      <c r="K348" s="101">
        <f t="shared" si="58"/>
        <v>22.809600000000003</v>
      </c>
      <c r="L348" s="101">
        <f t="shared" si="59"/>
        <v>24.7104</v>
      </c>
      <c r="M348" s="98">
        <f t="shared" si="60"/>
        <v>9.0909090909090899</v>
      </c>
      <c r="N348" s="98">
        <f t="shared" si="61"/>
        <v>8.3333333333333321</v>
      </c>
      <c r="O348" s="98">
        <f t="shared" si="62"/>
        <v>7.6923076923076925</v>
      </c>
    </row>
    <row r="349" spans="2:15" ht="15" customHeight="1" x14ac:dyDescent="0.25">
      <c r="B349" s="158"/>
      <c r="C349" s="95" t="s">
        <v>43</v>
      </c>
      <c r="D349" s="98">
        <v>190.08</v>
      </c>
      <c r="E349" s="98">
        <v>190.08</v>
      </c>
      <c r="F349" s="98">
        <f t="shared" si="54"/>
        <v>7.6032000000000011</v>
      </c>
      <c r="G349" s="101">
        <f t="shared" si="63"/>
        <v>13.305600000000002</v>
      </c>
      <c r="H349" s="101">
        <f t="shared" si="55"/>
        <v>15.206400000000002</v>
      </c>
      <c r="I349" s="101">
        <f t="shared" si="56"/>
        <v>17.107199999999999</v>
      </c>
      <c r="J349" s="101">
        <f t="shared" si="57"/>
        <v>20.908800000000003</v>
      </c>
      <c r="K349" s="101">
        <f t="shared" si="58"/>
        <v>22.809600000000003</v>
      </c>
      <c r="L349" s="101">
        <f t="shared" si="59"/>
        <v>24.7104</v>
      </c>
      <c r="M349" s="98">
        <f t="shared" si="60"/>
        <v>9.0909090909090899</v>
      </c>
      <c r="N349" s="98">
        <f t="shared" si="61"/>
        <v>8.3333333333333321</v>
      </c>
      <c r="O349" s="98">
        <f t="shared" si="62"/>
        <v>7.6923076923076925</v>
      </c>
    </row>
    <row r="350" spans="2:15" ht="15" customHeight="1" x14ac:dyDescent="0.25">
      <c r="B350" s="158"/>
      <c r="C350" s="95" t="s">
        <v>44</v>
      </c>
      <c r="D350" s="98">
        <v>190.08</v>
      </c>
      <c r="E350" s="98">
        <v>190.08</v>
      </c>
      <c r="F350" s="98">
        <f t="shared" si="54"/>
        <v>7.6032000000000011</v>
      </c>
      <c r="G350" s="101">
        <f t="shared" si="63"/>
        <v>13.305600000000002</v>
      </c>
      <c r="H350" s="101">
        <f t="shared" si="55"/>
        <v>15.206400000000002</v>
      </c>
      <c r="I350" s="101">
        <f t="shared" si="56"/>
        <v>17.107199999999999</v>
      </c>
      <c r="J350" s="101">
        <f t="shared" si="57"/>
        <v>20.908800000000003</v>
      </c>
      <c r="K350" s="101">
        <f t="shared" si="58"/>
        <v>22.809600000000003</v>
      </c>
      <c r="L350" s="101">
        <f t="shared" si="59"/>
        <v>24.7104</v>
      </c>
      <c r="M350" s="98">
        <f t="shared" si="60"/>
        <v>9.0909090909090899</v>
      </c>
      <c r="N350" s="98">
        <f t="shared" si="61"/>
        <v>8.3333333333333321</v>
      </c>
      <c r="O350" s="98">
        <f t="shared" si="62"/>
        <v>7.6923076923076925</v>
      </c>
    </row>
    <row r="351" spans="2:15" ht="15" customHeight="1" x14ac:dyDescent="0.25">
      <c r="B351" s="158"/>
      <c r="C351" s="95" t="s">
        <v>45</v>
      </c>
      <c r="D351" s="98">
        <v>190.08</v>
      </c>
      <c r="E351" s="98">
        <v>190.08</v>
      </c>
      <c r="F351" s="98">
        <f t="shared" si="54"/>
        <v>7.6032000000000011</v>
      </c>
      <c r="G351" s="101">
        <f t="shared" si="63"/>
        <v>13.305600000000002</v>
      </c>
      <c r="H351" s="101">
        <f t="shared" si="55"/>
        <v>15.206400000000002</v>
      </c>
      <c r="I351" s="101">
        <f t="shared" si="56"/>
        <v>17.107199999999999</v>
      </c>
      <c r="J351" s="101">
        <f t="shared" si="57"/>
        <v>20.908800000000003</v>
      </c>
      <c r="K351" s="101">
        <f t="shared" si="58"/>
        <v>22.809600000000003</v>
      </c>
      <c r="L351" s="101">
        <f t="shared" si="59"/>
        <v>24.7104</v>
      </c>
      <c r="M351" s="98">
        <f t="shared" si="60"/>
        <v>9.0909090909090899</v>
      </c>
      <c r="N351" s="98">
        <f t="shared" si="61"/>
        <v>8.3333333333333321</v>
      </c>
      <c r="O351" s="98">
        <f t="shared" si="62"/>
        <v>7.6923076923076925</v>
      </c>
    </row>
    <row r="352" spans="2:15" ht="15" customHeight="1" x14ac:dyDescent="0.25">
      <c r="B352" s="158"/>
      <c r="C352" s="95" t="s">
        <v>46</v>
      </c>
      <c r="D352" s="98">
        <v>190.08</v>
      </c>
      <c r="E352" s="98">
        <v>190.08</v>
      </c>
      <c r="F352" s="98">
        <f t="shared" si="54"/>
        <v>7.6032000000000011</v>
      </c>
      <c r="G352" s="101">
        <f t="shared" si="63"/>
        <v>13.305600000000002</v>
      </c>
      <c r="H352" s="101">
        <f t="shared" si="55"/>
        <v>15.206400000000002</v>
      </c>
      <c r="I352" s="101">
        <f t="shared" si="56"/>
        <v>17.107199999999999</v>
      </c>
      <c r="J352" s="101">
        <f t="shared" si="57"/>
        <v>20.908800000000003</v>
      </c>
      <c r="K352" s="101">
        <f t="shared" si="58"/>
        <v>22.809600000000003</v>
      </c>
      <c r="L352" s="101">
        <f t="shared" si="59"/>
        <v>24.7104</v>
      </c>
      <c r="M352" s="98">
        <f t="shared" si="60"/>
        <v>9.0909090909090899</v>
      </c>
      <c r="N352" s="98">
        <f t="shared" si="61"/>
        <v>8.3333333333333321</v>
      </c>
      <c r="O352" s="98">
        <f t="shared" si="62"/>
        <v>7.6923076923076925</v>
      </c>
    </row>
    <row r="353" spans="2:15" ht="15" customHeight="1" x14ac:dyDescent="0.25">
      <c r="B353" s="158"/>
      <c r="C353" s="95" t="s">
        <v>47</v>
      </c>
      <c r="D353" s="98">
        <v>190.08</v>
      </c>
      <c r="E353" s="98">
        <v>190.08</v>
      </c>
      <c r="F353" s="98">
        <f t="shared" si="54"/>
        <v>7.6032000000000011</v>
      </c>
      <c r="G353" s="101">
        <f t="shared" si="63"/>
        <v>13.305600000000002</v>
      </c>
      <c r="H353" s="101">
        <f t="shared" si="55"/>
        <v>15.206400000000002</v>
      </c>
      <c r="I353" s="101">
        <f t="shared" si="56"/>
        <v>17.107199999999999</v>
      </c>
      <c r="J353" s="101">
        <f t="shared" si="57"/>
        <v>20.908800000000003</v>
      </c>
      <c r="K353" s="101">
        <f t="shared" si="58"/>
        <v>22.809600000000003</v>
      </c>
      <c r="L353" s="101">
        <f t="shared" si="59"/>
        <v>24.7104</v>
      </c>
      <c r="M353" s="98">
        <f t="shared" si="60"/>
        <v>9.0909090909090899</v>
      </c>
      <c r="N353" s="98">
        <f t="shared" si="61"/>
        <v>8.3333333333333321</v>
      </c>
      <c r="O353" s="98">
        <f t="shared" si="62"/>
        <v>7.6923076923076925</v>
      </c>
    </row>
    <row r="354" spans="2:15" ht="15" customHeight="1" x14ac:dyDescent="0.25">
      <c r="B354" s="159"/>
      <c r="C354" s="96" t="s">
        <v>48</v>
      </c>
      <c r="D354" s="99">
        <v>190.08</v>
      </c>
      <c r="E354" s="99">
        <v>190.08</v>
      </c>
      <c r="F354" s="99">
        <f t="shared" si="54"/>
        <v>7.6032000000000011</v>
      </c>
      <c r="G354" s="102">
        <f t="shared" si="63"/>
        <v>13.305600000000002</v>
      </c>
      <c r="H354" s="102">
        <f t="shared" si="55"/>
        <v>15.206400000000002</v>
      </c>
      <c r="I354" s="102">
        <f t="shared" si="56"/>
        <v>17.107199999999999</v>
      </c>
      <c r="J354" s="102">
        <f t="shared" si="57"/>
        <v>20.908800000000003</v>
      </c>
      <c r="K354" s="102">
        <f t="shared" si="58"/>
        <v>22.809600000000003</v>
      </c>
      <c r="L354" s="102">
        <f t="shared" si="59"/>
        <v>24.7104</v>
      </c>
      <c r="M354" s="99">
        <f t="shared" si="60"/>
        <v>9.0909090909090899</v>
      </c>
      <c r="N354" s="99">
        <f t="shared" si="61"/>
        <v>8.3333333333333321</v>
      </c>
      <c r="O354" s="99">
        <f t="shared" si="62"/>
        <v>7.6923076923076925</v>
      </c>
    </row>
    <row r="355" spans="2:15" ht="15" customHeight="1" x14ac:dyDescent="0.25">
      <c r="B355" s="157">
        <v>2003</v>
      </c>
      <c r="C355" s="94" t="s">
        <v>36</v>
      </c>
      <c r="D355" s="97">
        <v>190.08</v>
      </c>
      <c r="E355" s="97">
        <v>190.08</v>
      </c>
      <c r="F355" s="97">
        <f t="shared" si="54"/>
        <v>7.6032000000000011</v>
      </c>
      <c r="G355" s="100">
        <f t="shared" si="63"/>
        <v>13.305600000000002</v>
      </c>
      <c r="H355" s="100">
        <f t="shared" si="55"/>
        <v>15.206400000000002</v>
      </c>
      <c r="I355" s="100">
        <f t="shared" si="56"/>
        <v>17.107199999999999</v>
      </c>
      <c r="J355" s="100">
        <f t="shared" si="57"/>
        <v>20.908800000000003</v>
      </c>
      <c r="K355" s="100">
        <f t="shared" si="58"/>
        <v>22.809600000000003</v>
      </c>
      <c r="L355" s="100">
        <f t="shared" si="59"/>
        <v>24.7104</v>
      </c>
      <c r="M355" s="97">
        <f t="shared" si="60"/>
        <v>9.0909090909090899</v>
      </c>
      <c r="N355" s="97">
        <f t="shared" si="61"/>
        <v>8.3333333333333321</v>
      </c>
      <c r="O355" s="97">
        <f t="shared" si="62"/>
        <v>7.6923076923076925</v>
      </c>
    </row>
    <row r="356" spans="2:15" ht="15" customHeight="1" x14ac:dyDescent="0.25">
      <c r="B356" s="158"/>
      <c r="C356" s="95" t="s">
        <v>38</v>
      </c>
      <c r="D356" s="98">
        <v>190.08</v>
      </c>
      <c r="E356" s="98">
        <v>190.08</v>
      </c>
      <c r="F356" s="98">
        <f t="shared" si="54"/>
        <v>7.6032000000000011</v>
      </c>
      <c r="G356" s="101">
        <f t="shared" si="63"/>
        <v>13.305600000000002</v>
      </c>
      <c r="H356" s="101">
        <f t="shared" si="55"/>
        <v>15.206400000000002</v>
      </c>
      <c r="I356" s="101">
        <f t="shared" si="56"/>
        <v>17.107199999999999</v>
      </c>
      <c r="J356" s="101">
        <f t="shared" si="57"/>
        <v>20.908800000000003</v>
      </c>
      <c r="K356" s="101">
        <f t="shared" si="58"/>
        <v>22.809600000000003</v>
      </c>
      <c r="L356" s="101">
        <f t="shared" si="59"/>
        <v>24.7104</v>
      </c>
      <c r="M356" s="98">
        <f t="shared" si="60"/>
        <v>9.0909090909090899</v>
      </c>
      <c r="N356" s="98">
        <f t="shared" si="61"/>
        <v>8.3333333333333321</v>
      </c>
      <c r="O356" s="98">
        <f t="shared" si="62"/>
        <v>7.6923076923076925</v>
      </c>
    </row>
    <row r="357" spans="2:15" ht="15" customHeight="1" x14ac:dyDescent="0.25">
      <c r="B357" s="158"/>
      <c r="C357" s="95" t="s">
        <v>39</v>
      </c>
      <c r="D357" s="98">
        <v>190.08</v>
      </c>
      <c r="E357" s="98">
        <v>190.08</v>
      </c>
      <c r="F357" s="98">
        <f t="shared" si="54"/>
        <v>7.6032000000000011</v>
      </c>
      <c r="G357" s="101">
        <f t="shared" si="63"/>
        <v>13.305600000000002</v>
      </c>
      <c r="H357" s="101">
        <f t="shared" si="55"/>
        <v>15.206400000000002</v>
      </c>
      <c r="I357" s="101">
        <f t="shared" si="56"/>
        <v>17.107199999999999</v>
      </c>
      <c r="J357" s="101">
        <f t="shared" si="57"/>
        <v>20.908800000000003</v>
      </c>
      <c r="K357" s="101">
        <f t="shared" si="58"/>
        <v>22.809600000000003</v>
      </c>
      <c r="L357" s="101">
        <f t="shared" si="59"/>
        <v>24.7104</v>
      </c>
      <c r="M357" s="98">
        <f t="shared" si="60"/>
        <v>9.0909090909090899</v>
      </c>
      <c r="N357" s="98">
        <f t="shared" si="61"/>
        <v>8.3333333333333321</v>
      </c>
      <c r="O357" s="98">
        <f t="shared" si="62"/>
        <v>7.6923076923076925</v>
      </c>
    </row>
    <row r="358" spans="2:15" ht="15" customHeight="1" x14ac:dyDescent="0.25">
      <c r="B358" s="158"/>
      <c r="C358" s="95" t="s">
        <v>40</v>
      </c>
      <c r="D358" s="98">
        <v>190.08</v>
      </c>
      <c r="E358" s="98">
        <v>190.08</v>
      </c>
      <c r="F358" s="98">
        <f t="shared" si="54"/>
        <v>7.6032000000000011</v>
      </c>
      <c r="G358" s="101">
        <f t="shared" si="63"/>
        <v>13.305600000000002</v>
      </c>
      <c r="H358" s="101">
        <f t="shared" si="55"/>
        <v>15.206400000000002</v>
      </c>
      <c r="I358" s="101">
        <f t="shared" si="56"/>
        <v>17.107199999999999</v>
      </c>
      <c r="J358" s="101">
        <f t="shared" si="57"/>
        <v>20.908800000000003</v>
      </c>
      <c r="K358" s="101">
        <f t="shared" si="58"/>
        <v>22.809600000000003</v>
      </c>
      <c r="L358" s="101">
        <f t="shared" si="59"/>
        <v>24.7104</v>
      </c>
      <c r="M358" s="98">
        <f t="shared" si="60"/>
        <v>9.0909090909090899</v>
      </c>
      <c r="N358" s="98">
        <f t="shared" si="61"/>
        <v>8.3333333333333321</v>
      </c>
      <c r="O358" s="98">
        <f t="shared" si="62"/>
        <v>7.6923076923076925</v>
      </c>
    </row>
    <row r="359" spans="2:15" ht="15" customHeight="1" x14ac:dyDescent="0.25">
      <c r="B359" s="158"/>
      <c r="C359" s="95" t="s">
        <v>41</v>
      </c>
      <c r="D359" s="98">
        <v>190.08</v>
      </c>
      <c r="E359" s="98">
        <v>190.08</v>
      </c>
      <c r="F359" s="98">
        <f t="shared" si="54"/>
        <v>7.6032000000000011</v>
      </c>
      <c r="G359" s="101">
        <f t="shared" si="63"/>
        <v>13.305600000000002</v>
      </c>
      <c r="H359" s="101">
        <f t="shared" si="55"/>
        <v>15.206400000000002</v>
      </c>
      <c r="I359" s="101">
        <f t="shared" si="56"/>
        <v>17.107199999999999</v>
      </c>
      <c r="J359" s="101">
        <f t="shared" si="57"/>
        <v>20.908800000000003</v>
      </c>
      <c r="K359" s="101">
        <f t="shared" si="58"/>
        <v>22.809600000000003</v>
      </c>
      <c r="L359" s="101">
        <f t="shared" si="59"/>
        <v>24.7104</v>
      </c>
      <c r="M359" s="98">
        <f t="shared" si="60"/>
        <v>9.0909090909090899</v>
      </c>
      <c r="N359" s="98">
        <f t="shared" si="61"/>
        <v>8.3333333333333321</v>
      </c>
      <c r="O359" s="98">
        <f t="shared" si="62"/>
        <v>7.6923076923076925</v>
      </c>
    </row>
    <row r="360" spans="2:15" ht="15" customHeight="1" x14ac:dyDescent="0.25">
      <c r="B360" s="158"/>
      <c r="C360" s="95" t="s">
        <v>42</v>
      </c>
      <c r="D360" s="98">
        <v>190.08</v>
      </c>
      <c r="E360" s="98">
        <v>190.08</v>
      </c>
      <c r="F360" s="98">
        <f t="shared" si="54"/>
        <v>7.6032000000000011</v>
      </c>
      <c r="G360" s="101">
        <f t="shared" si="63"/>
        <v>13.305600000000002</v>
      </c>
      <c r="H360" s="101">
        <f t="shared" si="55"/>
        <v>15.206400000000002</v>
      </c>
      <c r="I360" s="101">
        <f t="shared" si="56"/>
        <v>17.107199999999999</v>
      </c>
      <c r="J360" s="101">
        <f t="shared" si="57"/>
        <v>20.908800000000003</v>
      </c>
      <c r="K360" s="101">
        <f t="shared" si="58"/>
        <v>22.809600000000003</v>
      </c>
      <c r="L360" s="101">
        <f t="shared" si="59"/>
        <v>24.7104</v>
      </c>
      <c r="M360" s="98">
        <f t="shared" si="60"/>
        <v>9.0909090909090899</v>
      </c>
      <c r="N360" s="98">
        <f t="shared" si="61"/>
        <v>8.3333333333333321</v>
      </c>
      <c r="O360" s="98">
        <f t="shared" si="62"/>
        <v>7.6923076923076925</v>
      </c>
    </row>
    <row r="361" spans="2:15" ht="15" customHeight="1" x14ac:dyDescent="0.25">
      <c r="B361" s="158"/>
      <c r="C361" s="95" t="s">
        <v>43</v>
      </c>
      <c r="D361" s="98">
        <v>209.09</v>
      </c>
      <c r="E361" s="98">
        <v>209.09</v>
      </c>
      <c r="F361" s="98">
        <f t="shared" si="54"/>
        <v>8.3635999999999999</v>
      </c>
      <c r="G361" s="101">
        <f t="shared" si="63"/>
        <v>14.636300000000002</v>
      </c>
      <c r="H361" s="101">
        <f t="shared" si="55"/>
        <v>16.7272</v>
      </c>
      <c r="I361" s="101">
        <f t="shared" si="56"/>
        <v>18.818100000000001</v>
      </c>
      <c r="J361" s="101">
        <f t="shared" si="57"/>
        <v>22.999900000000004</v>
      </c>
      <c r="K361" s="101">
        <f t="shared" si="58"/>
        <v>25.090800000000002</v>
      </c>
      <c r="L361" s="101">
        <f t="shared" si="59"/>
        <v>27.181699999999999</v>
      </c>
      <c r="M361" s="98">
        <f t="shared" si="60"/>
        <v>9.0909090909090899</v>
      </c>
      <c r="N361" s="98">
        <f t="shared" si="61"/>
        <v>8.3333333333333321</v>
      </c>
      <c r="O361" s="98">
        <f t="shared" si="62"/>
        <v>7.6923076923076925</v>
      </c>
    </row>
    <row r="362" spans="2:15" ht="15" customHeight="1" x14ac:dyDescent="0.25">
      <c r="B362" s="158"/>
      <c r="C362" s="95" t="s">
        <v>44</v>
      </c>
      <c r="D362" s="98">
        <v>209.09</v>
      </c>
      <c r="E362" s="98">
        <v>209.09</v>
      </c>
      <c r="F362" s="98">
        <f t="shared" si="54"/>
        <v>8.3635999999999999</v>
      </c>
      <c r="G362" s="101">
        <f t="shared" si="63"/>
        <v>14.636300000000002</v>
      </c>
      <c r="H362" s="101">
        <f t="shared" si="55"/>
        <v>16.7272</v>
      </c>
      <c r="I362" s="101">
        <f t="shared" si="56"/>
        <v>18.818100000000001</v>
      </c>
      <c r="J362" s="101">
        <f t="shared" si="57"/>
        <v>22.999900000000004</v>
      </c>
      <c r="K362" s="101">
        <f t="shared" si="58"/>
        <v>25.090800000000002</v>
      </c>
      <c r="L362" s="101">
        <f t="shared" si="59"/>
        <v>27.181699999999999</v>
      </c>
      <c r="M362" s="98">
        <f t="shared" si="60"/>
        <v>9.0909090909090899</v>
      </c>
      <c r="N362" s="98">
        <f t="shared" si="61"/>
        <v>8.3333333333333321</v>
      </c>
      <c r="O362" s="98">
        <f t="shared" si="62"/>
        <v>7.6923076923076925</v>
      </c>
    </row>
    <row r="363" spans="2:15" ht="15" customHeight="1" x14ac:dyDescent="0.25">
      <c r="B363" s="158"/>
      <c r="C363" s="95" t="s">
        <v>45</v>
      </c>
      <c r="D363" s="98">
        <v>209.09</v>
      </c>
      <c r="E363" s="98">
        <v>209.09</v>
      </c>
      <c r="F363" s="98">
        <f t="shared" si="54"/>
        <v>8.3635999999999999</v>
      </c>
      <c r="G363" s="101">
        <f t="shared" si="63"/>
        <v>14.636300000000002</v>
      </c>
      <c r="H363" s="101">
        <f t="shared" si="55"/>
        <v>16.7272</v>
      </c>
      <c r="I363" s="101">
        <f t="shared" si="56"/>
        <v>18.818100000000001</v>
      </c>
      <c r="J363" s="101">
        <f t="shared" si="57"/>
        <v>22.999900000000004</v>
      </c>
      <c r="K363" s="101">
        <f t="shared" si="58"/>
        <v>25.090800000000002</v>
      </c>
      <c r="L363" s="101">
        <f t="shared" si="59"/>
        <v>27.181699999999999</v>
      </c>
      <c r="M363" s="98">
        <f t="shared" si="60"/>
        <v>9.0909090909090899</v>
      </c>
      <c r="N363" s="98">
        <f t="shared" si="61"/>
        <v>8.3333333333333321</v>
      </c>
      <c r="O363" s="98">
        <f t="shared" si="62"/>
        <v>7.6923076923076925</v>
      </c>
    </row>
    <row r="364" spans="2:15" ht="15" customHeight="1" x14ac:dyDescent="0.25">
      <c r="B364" s="158"/>
      <c r="C364" s="95" t="s">
        <v>46</v>
      </c>
      <c r="D364" s="98">
        <v>247.10400000000001</v>
      </c>
      <c r="E364" s="98">
        <v>247.10400000000001</v>
      </c>
      <c r="F364" s="98">
        <f t="shared" si="54"/>
        <v>9.8841600000000014</v>
      </c>
      <c r="G364" s="101">
        <f t="shared" si="63"/>
        <v>17.297280000000004</v>
      </c>
      <c r="H364" s="101">
        <f t="shared" si="55"/>
        <v>19.768320000000003</v>
      </c>
      <c r="I364" s="101">
        <f t="shared" si="56"/>
        <v>22.239360000000001</v>
      </c>
      <c r="J364" s="101">
        <f t="shared" si="57"/>
        <v>27.181440000000006</v>
      </c>
      <c r="K364" s="101">
        <f t="shared" si="58"/>
        <v>29.652480000000004</v>
      </c>
      <c r="L364" s="101">
        <f t="shared" si="59"/>
        <v>32.123519999999999</v>
      </c>
      <c r="M364" s="98">
        <f t="shared" si="60"/>
        <v>9.0909090909090899</v>
      </c>
      <c r="N364" s="98">
        <f t="shared" si="61"/>
        <v>8.3333333333333321</v>
      </c>
      <c r="O364" s="98">
        <f t="shared" si="62"/>
        <v>7.6923076923076925</v>
      </c>
    </row>
    <row r="365" spans="2:15" ht="15" customHeight="1" x14ac:dyDescent="0.25">
      <c r="B365" s="158"/>
      <c r="C365" s="95" t="s">
        <v>47</v>
      </c>
      <c r="D365" s="98">
        <v>247.10400000000001</v>
      </c>
      <c r="E365" s="98">
        <v>247.10400000000001</v>
      </c>
      <c r="F365" s="98">
        <f t="shared" si="54"/>
        <v>9.8841600000000014</v>
      </c>
      <c r="G365" s="101">
        <f t="shared" si="63"/>
        <v>17.297280000000004</v>
      </c>
      <c r="H365" s="101">
        <f t="shared" si="55"/>
        <v>19.768320000000003</v>
      </c>
      <c r="I365" s="101">
        <f t="shared" si="56"/>
        <v>22.239360000000001</v>
      </c>
      <c r="J365" s="101">
        <f t="shared" si="57"/>
        <v>27.181440000000006</v>
      </c>
      <c r="K365" s="101">
        <f t="shared" si="58"/>
        <v>29.652480000000004</v>
      </c>
      <c r="L365" s="101">
        <f t="shared" si="59"/>
        <v>32.123519999999999</v>
      </c>
      <c r="M365" s="98">
        <f t="shared" si="60"/>
        <v>9.0909090909090899</v>
      </c>
      <c r="N365" s="98">
        <f t="shared" si="61"/>
        <v>8.3333333333333321</v>
      </c>
      <c r="O365" s="98">
        <f t="shared" si="62"/>
        <v>7.6923076923076925</v>
      </c>
    </row>
    <row r="366" spans="2:15" ht="15" customHeight="1" x14ac:dyDescent="0.25">
      <c r="B366" s="159"/>
      <c r="C366" s="96" t="s">
        <v>48</v>
      </c>
      <c r="D366" s="99">
        <v>247.10400000000001</v>
      </c>
      <c r="E366" s="99">
        <v>247.10400000000001</v>
      </c>
      <c r="F366" s="99">
        <f t="shared" si="54"/>
        <v>9.8841600000000014</v>
      </c>
      <c r="G366" s="102">
        <f t="shared" si="63"/>
        <v>17.297280000000004</v>
      </c>
      <c r="H366" s="102">
        <f t="shared" si="55"/>
        <v>19.768320000000003</v>
      </c>
      <c r="I366" s="102">
        <f t="shared" si="56"/>
        <v>22.239360000000001</v>
      </c>
      <c r="J366" s="102">
        <f t="shared" si="57"/>
        <v>27.181440000000006</v>
      </c>
      <c r="K366" s="102">
        <f t="shared" si="58"/>
        <v>29.652480000000004</v>
      </c>
      <c r="L366" s="102">
        <f t="shared" si="59"/>
        <v>32.123519999999999</v>
      </c>
      <c r="M366" s="99">
        <f t="shared" si="60"/>
        <v>9.0909090909090899</v>
      </c>
      <c r="N366" s="99">
        <f t="shared" si="61"/>
        <v>8.3333333333333321</v>
      </c>
      <c r="O366" s="99">
        <f t="shared" si="62"/>
        <v>7.6923076923076925</v>
      </c>
    </row>
    <row r="367" spans="2:15" ht="15" customHeight="1" x14ac:dyDescent="0.25">
      <c r="B367" s="157">
        <v>2004</v>
      </c>
      <c r="C367" s="94" t="s">
        <v>36</v>
      </c>
      <c r="D367" s="97">
        <v>247.10400000000001</v>
      </c>
      <c r="E367" s="97">
        <v>247.10400000000001</v>
      </c>
      <c r="F367" s="97">
        <f t="shared" si="54"/>
        <v>9.8841600000000014</v>
      </c>
      <c r="G367" s="100">
        <f t="shared" si="63"/>
        <v>17.297280000000004</v>
      </c>
      <c r="H367" s="100">
        <f t="shared" si="55"/>
        <v>19.768320000000003</v>
      </c>
      <c r="I367" s="100">
        <f t="shared" si="56"/>
        <v>22.239360000000001</v>
      </c>
      <c r="J367" s="100">
        <f t="shared" si="57"/>
        <v>27.181440000000006</v>
      </c>
      <c r="K367" s="100">
        <f t="shared" si="58"/>
        <v>29.652480000000004</v>
      </c>
      <c r="L367" s="100">
        <f t="shared" si="59"/>
        <v>32.123519999999999</v>
      </c>
      <c r="M367" s="97">
        <f t="shared" si="60"/>
        <v>9.0909090909090899</v>
      </c>
      <c r="N367" s="97">
        <f t="shared" si="61"/>
        <v>8.3333333333333321</v>
      </c>
      <c r="O367" s="97">
        <f t="shared" si="62"/>
        <v>7.6923076923076925</v>
      </c>
    </row>
    <row r="368" spans="2:15" ht="15" customHeight="1" x14ac:dyDescent="0.25">
      <c r="B368" s="158"/>
      <c r="C368" s="95" t="s">
        <v>38</v>
      </c>
      <c r="D368" s="98">
        <v>247.10400000000001</v>
      </c>
      <c r="E368" s="98">
        <v>247.10400000000001</v>
      </c>
      <c r="F368" s="98">
        <f t="shared" si="54"/>
        <v>9.8841600000000014</v>
      </c>
      <c r="G368" s="101">
        <f t="shared" si="63"/>
        <v>17.297280000000004</v>
      </c>
      <c r="H368" s="101">
        <f t="shared" si="55"/>
        <v>19.768320000000003</v>
      </c>
      <c r="I368" s="101">
        <f t="shared" si="56"/>
        <v>22.239360000000001</v>
      </c>
      <c r="J368" s="101">
        <f t="shared" si="57"/>
        <v>27.181440000000006</v>
      </c>
      <c r="K368" s="101">
        <f t="shared" si="58"/>
        <v>29.652480000000004</v>
      </c>
      <c r="L368" s="101">
        <f t="shared" si="59"/>
        <v>32.123519999999999</v>
      </c>
      <c r="M368" s="98">
        <f t="shared" si="60"/>
        <v>9.0909090909090899</v>
      </c>
      <c r="N368" s="98">
        <f t="shared" si="61"/>
        <v>8.3333333333333321</v>
      </c>
      <c r="O368" s="98">
        <f t="shared" si="62"/>
        <v>7.6923076923076925</v>
      </c>
    </row>
    <row r="369" spans="2:15" ht="15" customHeight="1" x14ac:dyDescent="0.25">
      <c r="B369" s="158"/>
      <c r="C369" s="95" t="s">
        <v>39</v>
      </c>
      <c r="D369" s="98">
        <v>247.10400000000001</v>
      </c>
      <c r="E369" s="98">
        <v>247.10400000000001</v>
      </c>
      <c r="F369" s="98">
        <f t="shared" si="54"/>
        <v>9.8841600000000014</v>
      </c>
      <c r="G369" s="101">
        <f t="shared" si="63"/>
        <v>17.297280000000004</v>
      </c>
      <c r="H369" s="101">
        <f t="shared" si="55"/>
        <v>19.768320000000003</v>
      </c>
      <c r="I369" s="101">
        <f t="shared" si="56"/>
        <v>22.239360000000001</v>
      </c>
      <c r="J369" s="101">
        <f t="shared" si="57"/>
        <v>27.181440000000006</v>
      </c>
      <c r="K369" s="101">
        <f t="shared" si="58"/>
        <v>29.652480000000004</v>
      </c>
      <c r="L369" s="101">
        <f t="shared" si="59"/>
        <v>32.123519999999999</v>
      </c>
      <c r="M369" s="98">
        <f t="shared" si="60"/>
        <v>9.0909090909090899</v>
      </c>
      <c r="N369" s="98">
        <f t="shared" si="61"/>
        <v>8.3333333333333321</v>
      </c>
      <c r="O369" s="98">
        <f t="shared" si="62"/>
        <v>7.6923076923076925</v>
      </c>
    </row>
    <row r="370" spans="2:15" ht="15" customHeight="1" x14ac:dyDescent="0.25">
      <c r="B370" s="158"/>
      <c r="C370" s="95" t="s">
        <v>40</v>
      </c>
      <c r="D370" s="98">
        <v>247.10400000000001</v>
      </c>
      <c r="E370" s="98">
        <v>247.10400000000001</v>
      </c>
      <c r="F370" s="98">
        <f t="shared" si="54"/>
        <v>9.8841600000000014</v>
      </c>
      <c r="G370" s="101">
        <f t="shared" si="63"/>
        <v>17.297280000000004</v>
      </c>
      <c r="H370" s="101">
        <f t="shared" si="55"/>
        <v>19.768320000000003</v>
      </c>
      <c r="I370" s="101">
        <f t="shared" si="56"/>
        <v>22.239360000000001</v>
      </c>
      <c r="J370" s="101">
        <f t="shared" si="57"/>
        <v>27.181440000000006</v>
      </c>
      <c r="K370" s="101">
        <f t="shared" si="58"/>
        <v>29.652480000000004</v>
      </c>
      <c r="L370" s="101">
        <f t="shared" si="59"/>
        <v>32.123519999999999</v>
      </c>
      <c r="M370" s="98">
        <f t="shared" si="60"/>
        <v>9.0909090909090899</v>
      </c>
      <c r="N370" s="98">
        <f t="shared" si="61"/>
        <v>8.3333333333333321</v>
      </c>
      <c r="O370" s="98">
        <f t="shared" si="62"/>
        <v>7.6923076923076925</v>
      </c>
    </row>
    <row r="371" spans="2:15" ht="15" customHeight="1" x14ac:dyDescent="0.25">
      <c r="B371" s="158"/>
      <c r="C371" s="95" t="s">
        <v>41</v>
      </c>
      <c r="D371" s="98">
        <v>296.52</v>
      </c>
      <c r="E371" s="98">
        <v>296.52</v>
      </c>
      <c r="F371" s="98">
        <f t="shared" si="54"/>
        <v>11.860799999999999</v>
      </c>
      <c r="G371" s="101">
        <f t="shared" si="63"/>
        <v>20.756399999999999</v>
      </c>
      <c r="H371" s="101">
        <f t="shared" si="55"/>
        <v>23.721599999999999</v>
      </c>
      <c r="I371" s="101">
        <f t="shared" si="56"/>
        <v>26.686799999999998</v>
      </c>
      <c r="J371" s="101">
        <f t="shared" si="57"/>
        <v>32.617199999999997</v>
      </c>
      <c r="K371" s="101">
        <f t="shared" si="58"/>
        <v>35.5824</v>
      </c>
      <c r="L371" s="101">
        <f t="shared" si="59"/>
        <v>38.547599999999996</v>
      </c>
      <c r="M371" s="98">
        <f t="shared" si="60"/>
        <v>9.0909090909090917</v>
      </c>
      <c r="N371" s="98">
        <f t="shared" si="61"/>
        <v>8.3333333333333321</v>
      </c>
      <c r="O371" s="98">
        <f t="shared" si="62"/>
        <v>7.6923076923076925</v>
      </c>
    </row>
    <row r="372" spans="2:15" ht="15" customHeight="1" x14ac:dyDescent="0.25">
      <c r="B372" s="158"/>
      <c r="C372" s="95" t="s">
        <v>42</v>
      </c>
      <c r="D372" s="98">
        <v>296.52</v>
      </c>
      <c r="E372" s="98">
        <v>296.52</v>
      </c>
      <c r="F372" s="98">
        <f t="shared" si="54"/>
        <v>11.860799999999999</v>
      </c>
      <c r="G372" s="101">
        <f t="shared" si="63"/>
        <v>20.756399999999999</v>
      </c>
      <c r="H372" s="101">
        <f t="shared" si="55"/>
        <v>23.721599999999999</v>
      </c>
      <c r="I372" s="101">
        <f t="shared" si="56"/>
        <v>26.686799999999998</v>
      </c>
      <c r="J372" s="101">
        <f t="shared" si="57"/>
        <v>32.617199999999997</v>
      </c>
      <c r="K372" s="101">
        <f t="shared" si="58"/>
        <v>35.5824</v>
      </c>
      <c r="L372" s="101">
        <f t="shared" si="59"/>
        <v>38.547599999999996</v>
      </c>
      <c r="M372" s="98">
        <f t="shared" si="60"/>
        <v>9.0909090909090917</v>
      </c>
      <c r="N372" s="98">
        <f t="shared" si="61"/>
        <v>8.3333333333333321</v>
      </c>
      <c r="O372" s="98">
        <f t="shared" si="62"/>
        <v>7.6923076923076925</v>
      </c>
    </row>
    <row r="373" spans="2:15" ht="15" customHeight="1" x14ac:dyDescent="0.25">
      <c r="B373" s="158"/>
      <c r="C373" s="95" t="s">
        <v>43</v>
      </c>
      <c r="D373" s="98">
        <v>296.52</v>
      </c>
      <c r="E373" s="98">
        <v>296.52</v>
      </c>
      <c r="F373" s="98">
        <f t="shared" si="54"/>
        <v>11.860799999999999</v>
      </c>
      <c r="G373" s="101">
        <f t="shared" si="63"/>
        <v>20.756399999999999</v>
      </c>
      <c r="H373" s="101">
        <f t="shared" si="55"/>
        <v>23.721599999999999</v>
      </c>
      <c r="I373" s="101">
        <f t="shared" si="56"/>
        <v>26.686799999999998</v>
      </c>
      <c r="J373" s="101">
        <f t="shared" si="57"/>
        <v>32.617199999999997</v>
      </c>
      <c r="K373" s="101">
        <f t="shared" si="58"/>
        <v>35.5824</v>
      </c>
      <c r="L373" s="101">
        <f t="shared" si="59"/>
        <v>38.547599999999996</v>
      </c>
      <c r="M373" s="98">
        <f t="shared" si="60"/>
        <v>9.0909090909090917</v>
      </c>
      <c r="N373" s="98">
        <f t="shared" si="61"/>
        <v>8.3333333333333321</v>
      </c>
      <c r="O373" s="98">
        <f t="shared" si="62"/>
        <v>7.6923076923076925</v>
      </c>
    </row>
    <row r="374" spans="2:15" ht="15" customHeight="1" x14ac:dyDescent="0.25">
      <c r="B374" s="158"/>
      <c r="C374" s="95" t="s">
        <v>44</v>
      </c>
      <c r="D374" s="98">
        <v>321.24</v>
      </c>
      <c r="E374" s="98">
        <v>321.24</v>
      </c>
      <c r="F374" s="98">
        <f t="shared" si="54"/>
        <v>12.849600000000001</v>
      </c>
      <c r="G374" s="101">
        <f t="shared" si="63"/>
        <v>22.486800000000002</v>
      </c>
      <c r="H374" s="101">
        <f t="shared" si="55"/>
        <v>25.699200000000001</v>
      </c>
      <c r="I374" s="101">
        <f t="shared" si="56"/>
        <v>28.9116</v>
      </c>
      <c r="J374" s="101">
        <f t="shared" si="57"/>
        <v>35.336400000000005</v>
      </c>
      <c r="K374" s="101">
        <f t="shared" si="58"/>
        <v>38.5488</v>
      </c>
      <c r="L374" s="101">
        <f t="shared" si="59"/>
        <v>41.761200000000002</v>
      </c>
      <c r="M374" s="98">
        <f t="shared" si="60"/>
        <v>9.0909090909090899</v>
      </c>
      <c r="N374" s="98">
        <f t="shared" si="61"/>
        <v>8.3333333333333339</v>
      </c>
      <c r="O374" s="98">
        <f t="shared" si="62"/>
        <v>7.6923076923076925</v>
      </c>
    </row>
    <row r="375" spans="2:15" ht="15" customHeight="1" x14ac:dyDescent="0.25">
      <c r="B375" s="158"/>
      <c r="C375" s="95" t="s">
        <v>45</v>
      </c>
      <c r="D375" s="98">
        <v>321.24</v>
      </c>
      <c r="E375" s="98">
        <v>321.24</v>
      </c>
      <c r="F375" s="98">
        <f t="shared" si="54"/>
        <v>12.849600000000001</v>
      </c>
      <c r="G375" s="101">
        <f t="shared" si="63"/>
        <v>22.486800000000002</v>
      </c>
      <c r="H375" s="101">
        <f t="shared" si="55"/>
        <v>25.699200000000001</v>
      </c>
      <c r="I375" s="101">
        <f t="shared" si="56"/>
        <v>28.9116</v>
      </c>
      <c r="J375" s="101">
        <f t="shared" si="57"/>
        <v>35.336400000000005</v>
      </c>
      <c r="K375" s="101">
        <f t="shared" si="58"/>
        <v>38.5488</v>
      </c>
      <c r="L375" s="101">
        <f t="shared" si="59"/>
        <v>41.761200000000002</v>
      </c>
      <c r="M375" s="98">
        <f t="shared" si="60"/>
        <v>9.0909090909090899</v>
      </c>
      <c r="N375" s="98">
        <f t="shared" si="61"/>
        <v>8.3333333333333339</v>
      </c>
      <c r="O375" s="98">
        <f t="shared" si="62"/>
        <v>7.6923076923076925</v>
      </c>
    </row>
    <row r="376" spans="2:15" ht="15" customHeight="1" x14ac:dyDescent="0.25">
      <c r="B376" s="158"/>
      <c r="C376" s="95" t="s">
        <v>46</v>
      </c>
      <c r="D376" s="98">
        <v>321.24</v>
      </c>
      <c r="E376" s="98">
        <v>321.24</v>
      </c>
      <c r="F376" s="98">
        <f t="shared" si="54"/>
        <v>12.849600000000001</v>
      </c>
      <c r="G376" s="101">
        <f t="shared" si="63"/>
        <v>22.486800000000002</v>
      </c>
      <c r="H376" s="101">
        <f t="shared" si="55"/>
        <v>25.699200000000001</v>
      </c>
      <c r="I376" s="101">
        <f t="shared" si="56"/>
        <v>28.9116</v>
      </c>
      <c r="J376" s="101">
        <f t="shared" si="57"/>
        <v>35.336400000000005</v>
      </c>
      <c r="K376" s="101">
        <f t="shared" si="58"/>
        <v>38.5488</v>
      </c>
      <c r="L376" s="101">
        <f t="shared" si="59"/>
        <v>41.761200000000002</v>
      </c>
      <c r="M376" s="98">
        <f t="shared" si="60"/>
        <v>9.0909090909090899</v>
      </c>
      <c r="N376" s="98">
        <f t="shared" si="61"/>
        <v>8.3333333333333339</v>
      </c>
      <c r="O376" s="98">
        <f t="shared" si="62"/>
        <v>7.6923076923076925</v>
      </c>
    </row>
    <row r="377" spans="2:15" ht="15" customHeight="1" x14ac:dyDescent="0.25">
      <c r="B377" s="158"/>
      <c r="C377" s="95" t="s">
        <v>47</v>
      </c>
      <c r="D377" s="98">
        <v>321.24</v>
      </c>
      <c r="E377" s="98">
        <v>321.24</v>
      </c>
      <c r="F377" s="98">
        <f t="shared" si="54"/>
        <v>12.849600000000001</v>
      </c>
      <c r="G377" s="101">
        <f t="shared" si="63"/>
        <v>22.486800000000002</v>
      </c>
      <c r="H377" s="101">
        <f t="shared" si="55"/>
        <v>25.699200000000001</v>
      </c>
      <c r="I377" s="101">
        <f t="shared" si="56"/>
        <v>28.9116</v>
      </c>
      <c r="J377" s="101">
        <f t="shared" si="57"/>
        <v>35.336400000000005</v>
      </c>
      <c r="K377" s="101">
        <f t="shared" si="58"/>
        <v>38.5488</v>
      </c>
      <c r="L377" s="101">
        <f t="shared" si="59"/>
        <v>41.761200000000002</v>
      </c>
      <c r="M377" s="98">
        <f t="shared" si="60"/>
        <v>9.0909090909090899</v>
      </c>
      <c r="N377" s="98">
        <f t="shared" si="61"/>
        <v>8.3333333333333339</v>
      </c>
      <c r="O377" s="98">
        <f t="shared" si="62"/>
        <v>7.6923076923076925</v>
      </c>
    </row>
    <row r="378" spans="2:15" ht="15" customHeight="1" x14ac:dyDescent="0.25">
      <c r="B378" s="159"/>
      <c r="C378" s="96" t="s">
        <v>48</v>
      </c>
      <c r="D378" s="99">
        <v>321.24</v>
      </c>
      <c r="E378" s="99">
        <v>321.24</v>
      </c>
      <c r="F378" s="99">
        <f t="shared" si="54"/>
        <v>12.849600000000001</v>
      </c>
      <c r="G378" s="102">
        <f t="shared" si="63"/>
        <v>22.486800000000002</v>
      </c>
      <c r="H378" s="102">
        <f t="shared" si="55"/>
        <v>25.699200000000001</v>
      </c>
      <c r="I378" s="102">
        <f t="shared" si="56"/>
        <v>28.9116</v>
      </c>
      <c r="J378" s="102">
        <f t="shared" si="57"/>
        <v>35.336400000000005</v>
      </c>
      <c r="K378" s="102">
        <f t="shared" si="58"/>
        <v>38.5488</v>
      </c>
      <c r="L378" s="102">
        <f t="shared" si="59"/>
        <v>41.761200000000002</v>
      </c>
      <c r="M378" s="99">
        <f t="shared" si="60"/>
        <v>9.0909090909090899</v>
      </c>
      <c r="N378" s="99">
        <f t="shared" si="61"/>
        <v>8.3333333333333339</v>
      </c>
      <c r="O378" s="99">
        <f t="shared" si="62"/>
        <v>7.6923076923076925</v>
      </c>
    </row>
    <row r="379" spans="2:15" ht="15" customHeight="1" x14ac:dyDescent="0.25">
      <c r="B379" s="157">
        <v>2005</v>
      </c>
      <c r="C379" s="94" t="s">
        <v>36</v>
      </c>
      <c r="D379" s="97">
        <v>321.24</v>
      </c>
      <c r="E379" s="97">
        <v>321.24</v>
      </c>
      <c r="F379" s="97">
        <f t="shared" si="54"/>
        <v>12.849600000000001</v>
      </c>
      <c r="G379" s="100">
        <f t="shared" si="63"/>
        <v>22.486800000000002</v>
      </c>
      <c r="H379" s="100">
        <f t="shared" si="55"/>
        <v>25.699200000000001</v>
      </c>
      <c r="I379" s="100">
        <f t="shared" si="56"/>
        <v>28.9116</v>
      </c>
      <c r="J379" s="100">
        <f t="shared" si="57"/>
        <v>35.336400000000005</v>
      </c>
      <c r="K379" s="100">
        <f t="shared" si="58"/>
        <v>38.5488</v>
      </c>
      <c r="L379" s="100">
        <f t="shared" si="59"/>
        <v>41.761200000000002</v>
      </c>
      <c r="M379" s="97">
        <f t="shared" si="60"/>
        <v>9.0909090909090899</v>
      </c>
      <c r="N379" s="97">
        <f t="shared" si="61"/>
        <v>8.3333333333333339</v>
      </c>
      <c r="O379" s="97">
        <f t="shared" si="62"/>
        <v>7.6923076923076925</v>
      </c>
    </row>
    <row r="380" spans="2:15" ht="15" customHeight="1" x14ac:dyDescent="0.25">
      <c r="B380" s="158"/>
      <c r="C380" s="95" t="s">
        <v>38</v>
      </c>
      <c r="D380" s="98">
        <v>321.24</v>
      </c>
      <c r="E380" s="98">
        <v>321.24</v>
      </c>
      <c r="F380" s="98">
        <f t="shared" si="54"/>
        <v>12.849600000000001</v>
      </c>
      <c r="G380" s="101">
        <f t="shared" si="63"/>
        <v>22.486800000000002</v>
      </c>
      <c r="H380" s="101">
        <f t="shared" si="55"/>
        <v>25.699200000000001</v>
      </c>
      <c r="I380" s="101">
        <f t="shared" si="56"/>
        <v>28.9116</v>
      </c>
      <c r="J380" s="101">
        <f t="shared" si="57"/>
        <v>35.336400000000005</v>
      </c>
      <c r="K380" s="101">
        <f t="shared" si="58"/>
        <v>38.5488</v>
      </c>
      <c r="L380" s="101">
        <f t="shared" si="59"/>
        <v>41.761200000000002</v>
      </c>
      <c r="M380" s="98">
        <f t="shared" si="60"/>
        <v>9.0909090909090899</v>
      </c>
      <c r="N380" s="98">
        <f t="shared" si="61"/>
        <v>8.3333333333333339</v>
      </c>
      <c r="O380" s="98">
        <f t="shared" si="62"/>
        <v>7.6923076923076925</v>
      </c>
    </row>
    <row r="381" spans="2:15" ht="15" customHeight="1" x14ac:dyDescent="0.25">
      <c r="B381" s="158"/>
      <c r="C381" s="95" t="s">
        <v>39</v>
      </c>
      <c r="D381" s="98">
        <v>321.24</v>
      </c>
      <c r="E381" s="98">
        <v>321.24</v>
      </c>
      <c r="F381" s="98">
        <f t="shared" si="54"/>
        <v>12.849600000000001</v>
      </c>
      <c r="G381" s="101">
        <f t="shared" si="63"/>
        <v>22.486800000000002</v>
      </c>
      <c r="H381" s="101">
        <f t="shared" si="55"/>
        <v>25.699200000000001</v>
      </c>
      <c r="I381" s="101">
        <f t="shared" si="56"/>
        <v>28.9116</v>
      </c>
      <c r="J381" s="101">
        <f t="shared" si="57"/>
        <v>35.336400000000005</v>
      </c>
      <c r="K381" s="101">
        <f t="shared" si="58"/>
        <v>38.5488</v>
      </c>
      <c r="L381" s="101">
        <f t="shared" si="59"/>
        <v>41.761200000000002</v>
      </c>
      <c r="M381" s="98">
        <f t="shared" si="60"/>
        <v>9.0909090909090899</v>
      </c>
      <c r="N381" s="98">
        <f t="shared" si="61"/>
        <v>8.3333333333333339</v>
      </c>
      <c r="O381" s="98">
        <f t="shared" si="62"/>
        <v>7.6923076923076925</v>
      </c>
    </row>
    <row r="382" spans="2:15" ht="15" customHeight="1" x14ac:dyDescent="0.25">
      <c r="B382" s="158"/>
      <c r="C382" s="95" t="s">
        <v>40</v>
      </c>
      <c r="D382" s="98">
        <v>321.24</v>
      </c>
      <c r="E382" s="98">
        <v>321.24</v>
      </c>
      <c r="F382" s="98">
        <f t="shared" si="54"/>
        <v>12.849600000000001</v>
      </c>
      <c r="G382" s="101">
        <f t="shared" si="63"/>
        <v>22.486800000000002</v>
      </c>
      <c r="H382" s="101">
        <f t="shared" si="55"/>
        <v>25.699200000000001</v>
      </c>
      <c r="I382" s="101">
        <f t="shared" si="56"/>
        <v>28.9116</v>
      </c>
      <c r="J382" s="101">
        <f t="shared" si="57"/>
        <v>35.336400000000005</v>
      </c>
      <c r="K382" s="101">
        <f t="shared" si="58"/>
        <v>38.5488</v>
      </c>
      <c r="L382" s="101">
        <f t="shared" si="59"/>
        <v>41.761200000000002</v>
      </c>
      <c r="M382" s="98">
        <f t="shared" si="60"/>
        <v>9.0909090909090899</v>
      </c>
      <c r="N382" s="98">
        <f t="shared" si="61"/>
        <v>8.3333333333333339</v>
      </c>
      <c r="O382" s="98">
        <f t="shared" si="62"/>
        <v>7.6923076923076925</v>
      </c>
    </row>
    <row r="383" spans="2:15" ht="15" customHeight="1" x14ac:dyDescent="0.25">
      <c r="B383" s="158"/>
      <c r="C383" s="95" t="s">
        <v>41</v>
      </c>
      <c r="D383" s="98">
        <v>405</v>
      </c>
      <c r="E383" s="98">
        <v>405</v>
      </c>
      <c r="F383" s="98">
        <f t="shared" si="54"/>
        <v>16.2</v>
      </c>
      <c r="G383" s="101">
        <f t="shared" si="63"/>
        <v>28.35</v>
      </c>
      <c r="H383" s="101">
        <f t="shared" si="55"/>
        <v>32.4</v>
      </c>
      <c r="I383" s="101">
        <f t="shared" si="56"/>
        <v>36.449999999999996</v>
      </c>
      <c r="J383" s="101">
        <f t="shared" si="57"/>
        <v>44.55</v>
      </c>
      <c r="K383" s="101">
        <f t="shared" si="58"/>
        <v>48.599999999999994</v>
      </c>
      <c r="L383" s="101">
        <f t="shared" si="59"/>
        <v>52.649999999999991</v>
      </c>
      <c r="M383" s="98">
        <f t="shared" si="60"/>
        <v>9.0909090909090917</v>
      </c>
      <c r="N383" s="98">
        <f t="shared" si="61"/>
        <v>8.3333333333333339</v>
      </c>
      <c r="O383" s="98">
        <f t="shared" si="62"/>
        <v>7.6923076923076934</v>
      </c>
    </row>
    <row r="384" spans="2:15" ht="15" customHeight="1" x14ac:dyDescent="0.25">
      <c r="B384" s="158"/>
      <c r="C384" s="95" t="s">
        <v>42</v>
      </c>
      <c r="D384" s="98">
        <v>405</v>
      </c>
      <c r="E384" s="98">
        <v>405</v>
      </c>
      <c r="F384" s="98">
        <f t="shared" si="54"/>
        <v>16.2</v>
      </c>
      <c r="G384" s="101">
        <f t="shared" si="63"/>
        <v>28.35</v>
      </c>
      <c r="H384" s="101">
        <f t="shared" si="55"/>
        <v>32.4</v>
      </c>
      <c r="I384" s="101">
        <f t="shared" si="56"/>
        <v>36.449999999999996</v>
      </c>
      <c r="J384" s="101">
        <f t="shared" si="57"/>
        <v>44.55</v>
      </c>
      <c r="K384" s="101">
        <f t="shared" si="58"/>
        <v>48.599999999999994</v>
      </c>
      <c r="L384" s="101">
        <f t="shared" si="59"/>
        <v>52.649999999999991</v>
      </c>
      <c r="M384" s="98">
        <f t="shared" si="60"/>
        <v>9.0909090909090917</v>
      </c>
      <c r="N384" s="98">
        <f t="shared" si="61"/>
        <v>8.3333333333333339</v>
      </c>
      <c r="O384" s="98">
        <f t="shared" si="62"/>
        <v>7.6923076923076934</v>
      </c>
    </row>
    <row r="385" spans="2:15" ht="15" customHeight="1" x14ac:dyDescent="0.25">
      <c r="B385" s="158"/>
      <c r="C385" s="95" t="s">
        <v>43</v>
      </c>
      <c r="D385" s="98">
        <v>405</v>
      </c>
      <c r="E385" s="98">
        <v>405</v>
      </c>
      <c r="F385" s="98">
        <f t="shared" si="54"/>
        <v>16.2</v>
      </c>
      <c r="G385" s="101">
        <f t="shared" si="63"/>
        <v>28.35</v>
      </c>
      <c r="H385" s="101">
        <f t="shared" si="55"/>
        <v>32.4</v>
      </c>
      <c r="I385" s="101">
        <f t="shared" si="56"/>
        <v>36.449999999999996</v>
      </c>
      <c r="J385" s="101">
        <f t="shared" si="57"/>
        <v>44.55</v>
      </c>
      <c r="K385" s="101">
        <f t="shared" si="58"/>
        <v>48.599999999999994</v>
      </c>
      <c r="L385" s="101">
        <f t="shared" si="59"/>
        <v>52.649999999999991</v>
      </c>
      <c r="M385" s="98">
        <f t="shared" si="60"/>
        <v>9.0909090909090917</v>
      </c>
      <c r="N385" s="98">
        <f t="shared" si="61"/>
        <v>8.3333333333333339</v>
      </c>
      <c r="O385" s="98">
        <f t="shared" si="62"/>
        <v>7.6923076923076934</v>
      </c>
    </row>
    <row r="386" spans="2:15" ht="15" customHeight="1" x14ac:dyDescent="0.25">
      <c r="B386" s="158"/>
      <c r="C386" s="95" t="s">
        <v>44</v>
      </c>
      <c r="D386" s="98">
        <v>405</v>
      </c>
      <c r="E386" s="98">
        <v>405</v>
      </c>
      <c r="F386" s="98">
        <f t="shared" si="54"/>
        <v>16.2</v>
      </c>
      <c r="G386" s="101">
        <f t="shared" si="63"/>
        <v>28.35</v>
      </c>
      <c r="H386" s="101">
        <f t="shared" si="55"/>
        <v>32.4</v>
      </c>
      <c r="I386" s="101">
        <f t="shared" si="56"/>
        <v>36.449999999999996</v>
      </c>
      <c r="J386" s="101">
        <f t="shared" si="57"/>
        <v>44.55</v>
      </c>
      <c r="K386" s="101">
        <f t="shared" si="58"/>
        <v>48.599999999999994</v>
      </c>
      <c r="L386" s="101">
        <f t="shared" si="59"/>
        <v>52.649999999999991</v>
      </c>
      <c r="M386" s="98">
        <f t="shared" si="60"/>
        <v>9.0909090909090917</v>
      </c>
      <c r="N386" s="98">
        <f t="shared" si="61"/>
        <v>8.3333333333333339</v>
      </c>
      <c r="O386" s="98">
        <f t="shared" si="62"/>
        <v>7.6923076923076934</v>
      </c>
    </row>
    <row r="387" spans="2:15" ht="15" customHeight="1" x14ac:dyDescent="0.25">
      <c r="B387" s="158"/>
      <c r="C387" s="95" t="s">
        <v>45</v>
      </c>
      <c r="D387" s="98">
        <v>405</v>
      </c>
      <c r="E387" s="98">
        <v>405</v>
      </c>
      <c r="F387" s="98">
        <f t="shared" si="54"/>
        <v>16.2</v>
      </c>
      <c r="G387" s="101">
        <f t="shared" si="63"/>
        <v>28.35</v>
      </c>
      <c r="H387" s="101">
        <f t="shared" si="55"/>
        <v>32.4</v>
      </c>
      <c r="I387" s="101">
        <f t="shared" si="56"/>
        <v>36.449999999999996</v>
      </c>
      <c r="J387" s="101">
        <f t="shared" si="57"/>
        <v>44.55</v>
      </c>
      <c r="K387" s="101">
        <f t="shared" si="58"/>
        <v>48.599999999999994</v>
      </c>
      <c r="L387" s="101">
        <f t="shared" si="59"/>
        <v>52.649999999999991</v>
      </c>
      <c r="M387" s="98">
        <f t="shared" si="60"/>
        <v>9.0909090909090917</v>
      </c>
      <c r="N387" s="98">
        <f t="shared" si="61"/>
        <v>8.3333333333333339</v>
      </c>
      <c r="O387" s="98">
        <f t="shared" si="62"/>
        <v>7.6923076923076934</v>
      </c>
    </row>
    <row r="388" spans="2:15" ht="15" customHeight="1" x14ac:dyDescent="0.25">
      <c r="B388" s="158"/>
      <c r="C388" s="95" t="s">
        <v>46</v>
      </c>
      <c r="D388" s="98">
        <v>405</v>
      </c>
      <c r="E388" s="98">
        <v>405</v>
      </c>
      <c r="F388" s="98">
        <f t="shared" si="54"/>
        <v>16.2</v>
      </c>
      <c r="G388" s="101">
        <f t="shared" si="63"/>
        <v>28.35</v>
      </c>
      <c r="H388" s="101">
        <f t="shared" si="55"/>
        <v>32.4</v>
      </c>
      <c r="I388" s="101">
        <f t="shared" si="56"/>
        <v>36.449999999999996</v>
      </c>
      <c r="J388" s="101">
        <f t="shared" si="57"/>
        <v>44.55</v>
      </c>
      <c r="K388" s="101">
        <f t="shared" si="58"/>
        <v>48.599999999999994</v>
      </c>
      <c r="L388" s="101">
        <f t="shared" si="59"/>
        <v>52.649999999999991</v>
      </c>
      <c r="M388" s="98">
        <f t="shared" si="60"/>
        <v>9.0909090909090917</v>
      </c>
      <c r="N388" s="98">
        <f t="shared" si="61"/>
        <v>8.3333333333333339</v>
      </c>
      <c r="O388" s="98">
        <f t="shared" si="62"/>
        <v>7.6923076923076934</v>
      </c>
    </row>
    <row r="389" spans="2:15" ht="15" customHeight="1" x14ac:dyDescent="0.25">
      <c r="B389" s="158"/>
      <c r="C389" s="95" t="s">
        <v>47</v>
      </c>
      <c r="D389" s="98">
        <v>405</v>
      </c>
      <c r="E389" s="98">
        <v>405</v>
      </c>
      <c r="F389" s="98">
        <f t="shared" si="54"/>
        <v>16.2</v>
      </c>
      <c r="G389" s="101">
        <f t="shared" si="63"/>
        <v>28.35</v>
      </c>
      <c r="H389" s="101">
        <f t="shared" si="55"/>
        <v>32.4</v>
      </c>
      <c r="I389" s="101">
        <f t="shared" si="56"/>
        <v>36.449999999999996</v>
      </c>
      <c r="J389" s="101">
        <f t="shared" si="57"/>
        <v>44.55</v>
      </c>
      <c r="K389" s="101">
        <f t="shared" si="58"/>
        <v>48.599999999999994</v>
      </c>
      <c r="L389" s="101">
        <f t="shared" si="59"/>
        <v>52.649999999999991</v>
      </c>
      <c r="M389" s="98">
        <f t="shared" si="60"/>
        <v>9.0909090909090917</v>
      </c>
      <c r="N389" s="98">
        <f t="shared" si="61"/>
        <v>8.3333333333333339</v>
      </c>
      <c r="O389" s="98">
        <f t="shared" si="62"/>
        <v>7.6923076923076934</v>
      </c>
    </row>
    <row r="390" spans="2:15" ht="15" customHeight="1" x14ac:dyDescent="0.25">
      <c r="B390" s="159"/>
      <c r="C390" s="96" t="s">
        <v>48</v>
      </c>
      <c r="D390" s="99">
        <v>405</v>
      </c>
      <c r="E390" s="99">
        <v>405</v>
      </c>
      <c r="F390" s="99">
        <f t="shared" si="54"/>
        <v>16.2</v>
      </c>
      <c r="G390" s="102">
        <f t="shared" si="63"/>
        <v>28.35</v>
      </c>
      <c r="H390" s="102">
        <f t="shared" si="55"/>
        <v>32.4</v>
      </c>
      <c r="I390" s="102">
        <f t="shared" si="56"/>
        <v>36.449999999999996</v>
      </c>
      <c r="J390" s="102">
        <f t="shared" si="57"/>
        <v>44.55</v>
      </c>
      <c r="K390" s="102">
        <f t="shared" si="58"/>
        <v>48.599999999999994</v>
      </c>
      <c r="L390" s="102">
        <f t="shared" si="59"/>
        <v>52.649999999999991</v>
      </c>
      <c r="M390" s="99">
        <f t="shared" si="60"/>
        <v>9.0909090909090917</v>
      </c>
      <c r="N390" s="99">
        <f t="shared" si="61"/>
        <v>8.3333333333333339</v>
      </c>
      <c r="O390" s="99">
        <f t="shared" si="62"/>
        <v>7.6923076923076934</v>
      </c>
    </row>
    <row r="391" spans="2:15" ht="15" customHeight="1" x14ac:dyDescent="0.25">
      <c r="B391" s="157">
        <v>2006</v>
      </c>
      <c r="C391" s="94" t="s">
        <v>36</v>
      </c>
      <c r="D391" s="97">
        <v>405</v>
      </c>
      <c r="E391" s="97">
        <v>405</v>
      </c>
      <c r="F391" s="97">
        <f t="shared" si="54"/>
        <v>16.2</v>
      </c>
      <c r="G391" s="100">
        <f t="shared" si="63"/>
        <v>28.35</v>
      </c>
      <c r="H391" s="100">
        <f t="shared" si="55"/>
        <v>32.4</v>
      </c>
      <c r="I391" s="100">
        <f t="shared" si="56"/>
        <v>36.449999999999996</v>
      </c>
      <c r="J391" s="100">
        <f t="shared" si="57"/>
        <v>44.55</v>
      </c>
      <c r="K391" s="100">
        <f t="shared" si="58"/>
        <v>48.599999999999994</v>
      </c>
      <c r="L391" s="100">
        <f t="shared" si="59"/>
        <v>52.649999999999991</v>
      </c>
      <c r="M391" s="97">
        <f t="shared" si="60"/>
        <v>9.0909090909090917</v>
      </c>
      <c r="N391" s="97">
        <f t="shared" si="61"/>
        <v>8.3333333333333339</v>
      </c>
      <c r="O391" s="97">
        <f t="shared" si="62"/>
        <v>7.6923076923076934</v>
      </c>
    </row>
    <row r="392" spans="2:15" ht="15" customHeight="1" x14ac:dyDescent="0.25">
      <c r="B392" s="158"/>
      <c r="C392" s="95" t="s">
        <v>38</v>
      </c>
      <c r="D392" s="98">
        <v>465.75</v>
      </c>
      <c r="E392" s="98">
        <v>465.75</v>
      </c>
      <c r="F392" s="98">
        <f t="shared" si="54"/>
        <v>18.63</v>
      </c>
      <c r="G392" s="101">
        <f t="shared" si="63"/>
        <v>32.602500000000006</v>
      </c>
      <c r="H392" s="101">
        <f t="shared" si="55"/>
        <v>37.26</v>
      </c>
      <c r="I392" s="101">
        <f t="shared" si="56"/>
        <v>41.917499999999997</v>
      </c>
      <c r="J392" s="101">
        <f t="shared" si="57"/>
        <v>51.232500000000002</v>
      </c>
      <c r="K392" s="101">
        <f t="shared" si="58"/>
        <v>55.89</v>
      </c>
      <c r="L392" s="101">
        <f t="shared" si="59"/>
        <v>60.547499999999999</v>
      </c>
      <c r="M392" s="98">
        <f t="shared" si="60"/>
        <v>9.0909090909090899</v>
      </c>
      <c r="N392" s="98">
        <f t="shared" si="61"/>
        <v>8.3333333333333339</v>
      </c>
      <c r="O392" s="98">
        <f t="shared" si="62"/>
        <v>7.6923076923076925</v>
      </c>
    </row>
    <row r="393" spans="2:15" ht="15" customHeight="1" x14ac:dyDescent="0.25">
      <c r="B393" s="158"/>
      <c r="C393" s="95" t="s">
        <v>39</v>
      </c>
      <c r="D393" s="98">
        <v>465.75</v>
      </c>
      <c r="E393" s="98">
        <v>465.75</v>
      </c>
      <c r="F393" s="98">
        <f t="shared" si="54"/>
        <v>18.63</v>
      </c>
      <c r="G393" s="101">
        <f t="shared" si="63"/>
        <v>32.602500000000006</v>
      </c>
      <c r="H393" s="101">
        <f t="shared" si="55"/>
        <v>37.26</v>
      </c>
      <c r="I393" s="101">
        <f t="shared" si="56"/>
        <v>41.917499999999997</v>
      </c>
      <c r="J393" s="101">
        <f t="shared" si="57"/>
        <v>51.232500000000002</v>
      </c>
      <c r="K393" s="101">
        <f t="shared" si="58"/>
        <v>55.89</v>
      </c>
      <c r="L393" s="101">
        <f t="shared" si="59"/>
        <v>60.547499999999999</v>
      </c>
      <c r="M393" s="98">
        <f t="shared" si="60"/>
        <v>9.0909090909090899</v>
      </c>
      <c r="N393" s="98">
        <f t="shared" si="61"/>
        <v>8.3333333333333339</v>
      </c>
      <c r="O393" s="98">
        <f t="shared" si="62"/>
        <v>7.6923076923076925</v>
      </c>
    </row>
    <row r="394" spans="2:15" ht="15" customHeight="1" x14ac:dyDescent="0.25">
      <c r="B394" s="158"/>
      <c r="C394" s="95" t="s">
        <v>40</v>
      </c>
      <c r="D394" s="98">
        <v>465.75</v>
      </c>
      <c r="E394" s="98">
        <v>465.75</v>
      </c>
      <c r="F394" s="98">
        <f t="shared" si="54"/>
        <v>18.63</v>
      </c>
      <c r="G394" s="101">
        <f t="shared" si="63"/>
        <v>32.602500000000006</v>
      </c>
      <c r="H394" s="101">
        <f t="shared" si="55"/>
        <v>37.26</v>
      </c>
      <c r="I394" s="101">
        <f t="shared" si="56"/>
        <v>41.917499999999997</v>
      </c>
      <c r="J394" s="101">
        <f t="shared" si="57"/>
        <v>51.232500000000002</v>
      </c>
      <c r="K394" s="101">
        <f t="shared" si="58"/>
        <v>55.89</v>
      </c>
      <c r="L394" s="101">
        <f t="shared" si="59"/>
        <v>60.547499999999999</v>
      </c>
      <c r="M394" s="98">
        <f t="shared" si="60"/>
        <v>9.0909090909090899</v>
      </c>
      <c r="N394" s="98">
        <f t="shared" si="61"/>
        <v>8.3333333333333339</v>
      </c>
      <c r="O394" s="98">
        <f t="shared" si="62"/>
        <v>7.6923076923076925</v>
      </c>
    </row>
    <row r="395" spans="2:15" ht="15" customHeight="1" x14ac:dyDescent="0.25">
      <c r="B395" s="158"/>
      <c r="C395" s="95" t="s">
        <v>41</v>
      </c>
      <c r="D395" s="98">
        <v>465.75</v>
      </c>
      <c r="E395" s="98">
        <v>465.75</v>
      </c>
      <c r="F395" s="98">
        <f t="shared" si="54"/>
        <v>18.63</v>
      </c>
      <c r="G395" s="101">
        <f t="shared" si="63"/>
        <v>32.602500000000006</v>
      </c>
      <c r="H395" s="101">
        <f t="shared" si="55"/>
        <v>37.26</v>
      </c>
      <c r="I395" s="101">
        <f t="shared" si="56"/>
        <v>41.917499999999997</v>
      </c>
      <c r="J395" s="101">
        <f t="shared" si="57"/>
        <v>51.232500000000002</v>
      </c>
      <c r="K395" s="101">
        <f t="shared" si="58"/>
        <v>55.89</v>
      </c>
      <c r="L395" s="101">
        <f t="shared" si="59"/>
        <v>60.547499999999999</v>
      </c>
      <c r="M395" s="98">
        <f t="shared" si="60"/>
        <v>9.0909090909090899</v>
      </c>
      <c r="N395" s="98">
        <f t="shared" si="61"/>
        <v>8.3333333333333339</v>
      </c>
      <c r="O395" s="98">
        <f t="shared" si="62"/>
        <v>7.6923076923076925</v>
      </c>
    </row>
    <row r="396" spans="2:15" ht="15" customHeight="1" x14ac:dyDescent="0.25">
      <c r="B396" s="158"/>
      <c r="C396" s="95" t="s">
        <v>42</v>
      </c>
      <c r="D396" s="98">
        <v>465.75</v>
      </c>
      <c r="E396" s="98">
        <v>465.75</v>
      </c>
      <c r="F396" s="98">
        <f t="shared" si="54"/>
        <v>18.63</v>
      </c>
      <c r="G396" s="101">
        <f t="shared" si="63"/>
        <v>32.602500000000006</v>
      </c>
      <c r="H396" s="101">
        <f t="shared" si="55"/>
        <v>37.26</v>
      </c>
      <c r="I396" s="101">
        <f t="shared" si="56"/>
        <v>41.917499999999997</v>
      </c>
      <c r="J396" s="101">
        <f t="shared" si="57"/>
        <v>51.232500000000002</v>
      </c>
      <c r="K396" s="101">
        <f t="shared" si="58"/>
        <v>55.89</v>
      </c>
      <c r="L396" s="101">
        <f t="shared" si="59"/>
        <v>60.547499999999999</v>
      </c>
      <c r="M396" s="98">
        <f t="shared" si="60"/>
        <v>9.0909090909090899</v>
      </c>
      <c r="N396" s="98">
        <f t="shared" si="61"/>
        <v>8.3333333333333339</v>
      </c>
      <c r="O396" s="98">
        <f t="shared" si="62"/>
        <v>7.6923076923076925</v>
      </c>
    </row>
    <row r="397" spans="2:15" ht="15" customHeight="1" x14ac:dyDescent="0.25">
      <c r="B397" s="158"/>
      <c r="C397" s="95" t="s">
        <v>43</v>
      </c>
      <c r="D397" s="98">
        <v>465.75</v>
      </c>
      <c r="E397" s="98">
        <v>465.75</v>
      </c>
      <c r="F397" s="98">
        <f t="shared" ref="F397:F460" si="64">+D397*4%</f>
        <v>18.63</v>
      </c>
      <c r="G397" s="101">
        <f t="shared" si="63"/>
        <v>32.602500000000006</v>
      </c>
      <c r="H397" s="101">
        <f t="shared" ref="H397:H460" si="65">+D397*8%</f>
        <v>37.26</v>
      </c>
      <c r="I397" s="101">
        <f t="shared" ref="I397:I460" si="66">+D397*9%</f>
        <v>41.917499999999997</v>
      </c>
      <c r="J397" s="101">
        <f t="shared" ref="J397:J460" si="67">+F397+G397</f>
        <v>51.232500000000002</v>
      </c>
      <c r="K397" s="101">
        <f t="shared" ref="K397:K460" si="68">+F397+H397</f>
        <v>55.89</v>
      </c>
      <c r="L397" s="101">
        <f t="shared" ref="L397:L460" si="69">+F397+I397</f>
        <v>60.547499999999999</v>
      </c>
      <c r="M397" s="98">
        <f t="shared" ref="M397:M460" si="70">+E397/J397</f>
        <v>9.0909090909090899</v>
      </c>
      <c r="N397" s="98">
        <f t="shared" ref="N397:N460" si="71">+E397/K397</f>
        <v>8.3333333333333339</v>
      </c>
      <c r="O397" s="98">
        <f t="shared" ref="O397:O460" si="72">+E397/L397</f>
        <v>7.6923076923076925</v>
      </c>
    </row>
    <row r="398" spans="2:15" ht="15" customHeight="1" x14ac:dyDescent="0.25">
      <c r="B398" s="158"/>
      <c r="C398" s="95" t="s">
        <v>44</v>
      </c>
      <c r="D398" s="98">
        <v>465.75</v>
      </c>
      <c r="E398" s="98">
        <v>465.75</v>
      </c>
      <c r="F398" s="98">
        <f t="shared" si="64"/>
        <v>18.63</v>
      </c>
      <c r="G398" s="101">
        <f t="shared" ref="G398:G461" si="73">+D398*7%</f>
        <v>32.602500000000006</v>
      </c>
      <c r="H398" s="101">
        <f t="shared" si="65"/>
        <v>37.26</v>
      </c>
      <c r="I398" s="101">
        <f t="shared" si="66"/>
        <v>41.917499999999997</v>
      </c>
      <c r="J398" s="101">
        <f t="shared" si="67"/>
        <v>51.232500000000002</v>
      </c>
      <c r="K398" s="101">
        <f t="shared" si="68"/>
        <v>55.89</v>
      </c>
      <c r="L398" s="101">
        <f t="shared" si="69"/>
        <v>60.547499999999999</v>
      </c>
      <c r="M398" s="98">
        <f t="shared" si="70"/>
        <v>9.0909090909090899</v>
      </c>
      <c r="N398" s="98">
        <f t="shared" si="71"/>
        <v>8.3333333333333339</v>
      </c>
      <c r="O398" s="98">
        <f t="shared" si="72"/>
        <v>7.6923076923076925</v>
      </c>
    </row>
    <row r="399" spans="2:15" ht="15" customHeight="1" x14ac:dyDescent="0.25">
      <c r="B399" s="158"/>
      <c r="C399" s="95" t="s">
        <v>45</v>
      </c>
      <c r="D399" s="98">
        <v>512.33000000000004</v>
      </c>
      <c r="E399" s="98">
        <v>512.33000000000004</v>
      </c>
      <c r="F399" s="98">
        <f t="shared" si="64"/>
        <v>20.493200000000002</v>
      </c>
      <c r="G399" s="101">
        <f t="shared" si="73"/>
        <v>35.863100000000003</v>
      </c>
      <c r="H399" s="101">
        <f t="shared" si="65"/>
        <v>40.986400000000003</v>
      </c>
      <c r="I399" s="101">
        <f t="shared" si="66"/>
        <v>46.109700000000004</v>
      </c>
      <c r="J399" s="101">
        <f t="shared" si="67"/>
        <v>56.356300000000005</v>
      </c>
      <c r="K399" s="101">
        <f t="shared" si="68"/>
        <v>61.479600000000005</v>
      </c>
      <c r="L399" s="101">
        <f t="shared" si="69"/>
        <v>66.602900000000005</v>
      </c>
      <c r="M399" s="98">
        <f t="shared" si="70"/>
        <v>9.0909090909090917</v>
      </c>
      <c r="N399" s="98">
        <f t="shared" si="71"/>
        <v>8.3333333333333339</v>
      </c>
      <c r="O399" s="98">
        <f t="shared" si="72"/>
        <v>7.6923076923076925</v>
      </c>
    </row>
    <row r="400" spans="2:15" ht="15" customHeight="1" x14ac:dyDescent="0.25">
      <c r="B400" s="158"/>
      <c r="C400" s="95" t="s">
        <v>46</v>
      </c>
      <c r="D400" s="98">
        <v>512.33000000000004</v>
      </c>
      <c r="E400" s="98">
        <v>512.33000000000004</v>
      </c>
      <c r="F400" s="98">
        <f t="shared" si="64"/>
        <v>20.493200000000002</v>
      </c>
      <c r="G400" s="101">
        <f t="shared" si="73"/>
        <v>35.863100000000003</v>
      </c>
      <c r="H400" s="101">
        <f t="shared" si="65"/>
        <v>40.986400000000003</v>
      </c>
      <c r="I400" s="101">
        <f t="shared" si="66"/>
        <v>46.109700000000004</v>
      </c>
      <c r="J400" s="101">
        <f t="shared" si="67"/>
        <v>56.356300000000005</v>
      </c>
      <c r="K400" s="101">
        <f t="shared" si="68"/>
        <v>61.479600000000005</v>
      </c>
      <c r="L400" s="101">
        <f t="shared" si="69"/>
        <v>66.602900000000005</v>
      </c>
      <c r="M400" s="98">
        <f t="shared" si="70"/>
        <v>9.0909090909090917</v>
      </c>
      <c r="N400" s="98">
        <f t="shared" si="71"/>
        <v>8.3333333333333339</v>
      </c>
      <c r="O400" s="98">
        <f t="shared" si="72"/>
        <v>7.6923076923076925</v>
      </c>
    </row>
    <row r="401" spans="2:15" ht="15" customHeight="1" x14ac:dyDescent="0.25">
      <c r="B401" s="158"/>
      <c r="C401" s="95" t="s">
        <v>47</v>
      </c>
      <c r="D401" s="98">
        <v>512.33000000000004</v>
      </c>
      <c r="E401" s="98">
        <v>512.33000000000004</v>
      </c>
      <c r="F401" s="98">
        <f t="shared" si="64"/>
        <v>20.493200000000002</v>
      </c>
      <c r="G401" s="101">
        <f t="shared" si="73"/>
        <v>35.863100000000003</v>
      </c>
      <c r="H401" s="101">
        <f t="shared" si="65"/>
        <v>40.986400000000003</v>
      </c>
      <c r="I401" s="101">
        <f t="shared" si="66"/>
        <v>46.109700000000004</v>
      </c>
      <c r="J401" s="101">
        <f t="shared" si="67"/>
        <v>56.356300000000005</v>
      </c>
      <c r="K401" s="101">
        <f t="shared" si="68"/>
        <v>61.479600000000005</v>
      </c>
      <c r="L401" s="101">
        <f t="shared" si="69"/>
        <v>66.602900000000005</v>
      </c>
      <c r="M401" s="98">
        <f t="shared" si="70"/>
        <v>9.0909090909090917</v>
      </c>
      <c r="N401" s="98">
        <f t="shared" si="71"/>
        <v>8.3333333333333339</v>
      </c>
      <c r="O401" s="98">
        <f t="shared" si="72"/>
        <v>7.6923076923076925</v>
      </c>
    </row>
    <row r="402" spans="2:15" ht="15" customHeight="1" x14ac:dyDescent="0.25">
      <c r="B402" s="159"/>
      <c r="C402" s="96" t="s">
        <v>48</v>
      </c>
      <c r="D402" s="99">
        <v>512.33000000000004</v>
      </c>
      <c r="E402" s="99">
        <v>512.33000000000004</v>
      </c>
      <c r="F402" s="99">
        <f t="shared" si="64"/>
        <v>20.493200000000002</v>
      </c>
      <c r="G402" s="102">
        <f t="shared" si="73"/>
        <v>35.863100000000003</v>
      </c>
      <c r="H402" s="102">
        <f t="shared" si="65"/>
        <v>40.986400000000003</v>
      </c>
      <c r="I402" s="102">
        <f t="shared" si="66"/>
        <v>46.109700000000004</v>
      </c>
      <c r="J402" s="102">
        <f t="shared" si="67"/>
        <v>56.356300000000005</v>
      </c>
      <c r="K402" s="102">
        <f t="shared" si="68"/>
        <v>61.479600000000005</v>
      </c>
      <c r="L402" s="102">
        <f t="shared" si="69"/>
        <v>66.602900000000005</v>
      </c>
      <c r="M402" s="99">
        <f t="shared" si="70"/>
        <v>9.0909090909090917</v>
      </c>
      <c r="N402" s="99">
        <f t="shared" si="71"/>
        <v>8.3333333333333339</v>
      </c>
      <c r="O402" s="99">
        <f t="shared" si="72"/>
        <v>7.6923076923076925</v>
      </c>
    </row>
    <row r="403" spans="2:15" ht="15" customHeight="1" x14ac:dyDescent="0.25">
      <c r="B403" s="157">
        <v>2007</v>
      </c>
      <c r="C403" s="94" t="s">
        <v>36</v>
      </c>
      <c r="D403" s="97">
        <v>512.33000000000004</v>
      </c>
      <c r="E403" s="97">
        <v>512.33000000000004</v>
      </c>
      <c r="F403" s="97">
        <f t="shared" si="64"/>
        <v>20.493200000000002</v>
      </c>
      <c r="G403" s="100">
        <f t="shared" si="73"/>
        <v>35.863100000000003</v>
      </c>
      <c r="H403" s="100">
        <f t="shared" si="65"/>
        <v>40.986400000000003</v>
      </c>
      <c r="I403" s="100">
        <f t="shared" si="66"/>
        <v>46.109700000000004</v>
      </c>
      <c r="J403" s="100">
        <f t="shared" si="67"/>
        <v>56.356300000000005</v>
      </c>
      <c r="K403" s="100">
        <f t="shared" si="68"/>
        <v>61.479600000000005</v>
      </c>
      <c r="L403" s="100">
        <f t="shared" si="69"/>
        <v>66.602900000000005</v>
      </c>
      <c r="M403" s="97">
        <f t="shared" si="70"/>
        <v>9.0909090909090917</v>
      </c>
      <c r="N403" s="97">
        <f t="shared" si="71"/>
        <v>8.3333333333333339</v>
      </c>
      <c r="O403" s="97">
        <f t="shared" si="72"/>
        <v>7.6923076923076925</v>
      </c>
    </row>
    <row r="404" spans="2:15" ht="15" customHeight="1" x14ac:dyDescent="0.25">
      <c r="B404" s="158"/>
      <c r="C404" s="95" t="s">
        <v>38</v>
      </c>
      <c r="D404" s="98">
        <v>512.33000000000004</v>
      </c>
      <c r="E404" s="98">
        <v>512.33000000000004</v>
      </c>
      <c r="F404" s="98">
        <f t="shared" si="64"/>
        <v>20.493200000000002</v>
      </c>
      <c r="G404" s="101">
        <f t="shared" si="73"/>
        <v>35.863100000000003</v>
      </c>
      <c r="H404" s="101">
        <f t="shared" si="65"/>
        <v>40.986400000000003</v>
      </c>
      <c r="I404" s="101">
        <f t="shared" si="66"/>
        <v>46.109700000000004</v>
      </c>
      <c r="J404" s="101">
        <f t="shared" si="67"/>
        <v>56.356300000000005</v>
      </c>
      <c r="K404" s="101">
        <f t="shared" si="68"/>
        <v>61.479600000000005</v>
      </c>
      <c r="L404" s="101">
        <f t="shared" si="69"/>
        <v>66.602900000000005</v>
      </c>
      <c r="M404" s="98">
        <f t="shared" si="70"/>
        <v>9.0909090909090917</v>
      </c>
      <c r="N404" s="98">
        <f t="shared" si="71"/>
        <v>8.3333333333333339</v>
      </c>
      <c r="O404" s="98">
        <f t="shared" si="72"/>
        <v>7.6923076923076925</v>
      </c>
    </row>
    <row r="405" spans="2:15" ht="15" customHeight="1" x14ac:dyDescent="0.25">
      <c r="B405" s="158"/>
      <c r="C405" s="95" t="s">
        <v>39</v>
      </c>
      <c r="D405" s="98">
        <v>512.33000000000004</v>
      </c>
      <c r="E405" s="98">
        <v>512.33000000000004</v>
      </c>
      <c r="F405" s="98">
        <f t="shared" si="64"/>
        <v>20.493200000000002</v>
      </c>
      <c r="G405" s="101">
        <f t="shared" si="73"/>
        <v>35.863100000000003</v>
      </c>
      <c r="H405" s="101">
        <f t="shared" si="65"/>
        <v>40.986400000000003</v>
      </c>
      <c r="I405" s="101">
        <f t="shared" si="66"/>
        <v>46.109700000000004</v>
      </c>
      <c r="J405" s="101">
        <f t="shared" si="67"/>
        <v>56.356300000000005</v>
      </c>
      <c r="K405" s="101">
        <f t="shared" si="68"/>
        <v>61.479600000000005</v>
      </c>
      <c r="L405" s="101">
        <f t="shared" si="69"/>
        <v>66.602900000000005</v>
      </c>
      <c r="M405" s="98">
        <f t="shared" si="70"/>
        <v>9.0909090909090917</v>
      </c>
      <c r="N405" s="98">
        <f t="shared" si="71"/>
        <v>8.3333333333333339</v>
      </c>
      <c r="O405" s="98">
        <f t="shared" si="72"/>
        <v>7.6923076923076925</v>
      </c>
    </row>
    <row r="406" spans="2:15" ht="15" customHeight="1" x14ac:dyDescent="0.25">
      <c r="B406" s="158"/>
      <c r="C406" s="95" t="s">
        <v>40</v>
      </c>
      <c r="D406" s="98">
        <v>512.33000000000004</v>
      </c>
      <c r="E406" s="98">
        <v>512.33000000000004</v>
      </c>
      <c r="F406" s="98">
        <f t="shared" si="64"/>
        <v>20.493200000000002</v>
      </c>
      <c r="G406" s="101">
        <f t="shared" si="73"/>
        <v>35.863100000000003</v>
      </c>
      <c r="H406" s="101">
        <f t="shared" si="65"/>
        <v>40.986400000000003</v>
      </c>
      <c r="I406" s="101">
        <f t="shared" si="66"/>
        <v>46.109700000000004</v>
      </c>
      <c r="J406" s="101">
        <f t="shared" si="67"/>
        <v>56.356300000000005</v>
      </c>
      <c r="K406" s="101">
        <f t="shared" si="68"/>
        <v>61.479600000000005</v>
      </c>
      <c r="L406" s="101">
        <f t="shared" si="69"/>
        <v>66.602900000000005</v>
      </c>
      <c r="M406" s="98">
        <f t="shared" si="70"/>
        <v>9.0909090909090917</v>
      </c>
      <c r="N406" s="98">
        <f t="shared" si="71"/>
        <v>8.3333333333333339</v>
      </c>
      <c r="O406" s="98">
        <f t="shared" si="72"/>
        <v>7.6923076923076925</v>
      </c>
    </row>
    <row r="407" spans="2:15" ht="15" customHeight="1" x14ac:dyDescent="0.25">
      <c r="B407" s="158"/>
      <c r="C407" s="95" t="s">
        <v>41</v>
      </c>
      <c r="D407" s="98">
        <v>614.79</v>
      </c>
      <c r="E407" s="98">
        <v>614.79</v>
      </c>
      <c r="F407" s="98">
        <f t="shared" si="64"/>
        <v>24.5916</v>
      </c>
      <c r="G407" s="101">
        <f t="shared" si="73"/>
        <v>43.035299999999999</v>
      </c>
      <c r="H407" s="101">
        <f t="shared" si="65"/>
        <v>49.183199999999999</v>
      </c>
      <c r="I407" s="101">
        <f t="shared" si="66"/>
        <v>55.331099999999992</v>
      </c>
      <c r="J407" s="101">
        <f t="shared" si="67"/>
        <v>67.626900000000006</v>
      </c>
      <c r="K407" s="101">
        <f t="shared" si="68"/>
        <v>73.774799999999999</v>
      </c>
      <c r="L407" s="101">
        <f t="shared" si="69"/>
        <v>79.922699999999992</v>
      </c>
      <c r="M407" s="98">
        <f t="shared" si="70"/>
        <v>9.0909090909090899</v>
      </c>
      <c r="N407" s="98">
        <f t="shared" si="71"/>
        <v>8.3333333333333321</v>
      </c>
      <c r="O407" s="98">
        <f t="shared" si="72"/>
        <v>7.6923076923076925</v>
      </c>
    </row>
    <row r="408" spans="2:15" ht="15" customHeight="1" x14ac:dyDescent="0.25">
      <c r="B408" s="158"/>
      <c r="C408" s="95" t="s">
        <v>42</v>
      </c>
      <c r="D408" s="98">
        <v>614.79</v>
      </c>
      <c r="E408" s="98">
        <v>614.79</v>
      </c>
      <c r="F408" s="98">
        <f t="shared" si="64"/>
        <v>24.5916</v>
      </c>
      <c r="G408" s="101">
        <f t="shared" si="73"/>
        <v>43.035299999999999</v>
      </c>
      <c r="H408" s="101">
        <f t="shared" si="65"/>
        <v>49.183199999999999</v>
      </c>
      <c r="I408" s="101">
        <f t="shared" si="66"/>
        <v>55.331099999999992</v>
      </c>
      <c r="J408" s="101">
        <f t="shared" si="67"/>
        <v>67.626900000000006</v>
      </c>
      <c r="K408" s="101">
        <f t="shared" si="68"/>
        <v>73.774799999999999</v>
      </c>
      <c r="L408" s="101">
        <f t="shared" si="69"/>
        <v>79.922699999999992</v>
      </c>
      <c r="M408" s="98">
        <f t="shared" si="70"/>
        <v>9.0909090909090899</v>
      </c>
      <c r="N408" s="98">
        <f t="shared" si="71"/>
        <v>8.3333333333333321</v>
      </c>
      <c r="O408" s="98">
        <f t="shared" si="72"/>
        <v>7.6923076923076925</v>
      </c>
    </row>
    <row r="409" spans="2:15" ht="15" customHeight="1" x14ac:dyDescent="0.25">
      <c r="B409" s="158"/>
      <c r="C409" s="95" t="s">
        <v>43</v>
      </c>
      <c r="D409" s="98">
        <v>614.79</v>
      </c>
      <c r="E409" s="98">
        <v>614.79</v>
      </c>
      <c r="F409" s="98">
        <f t="shared" si="64"/>
        <v>24.5916</v>
      </c>
      <c r="G409" s="101">
        <f t="shared" si="73"/>
        <v>43.035299999999999</v>
      </c>
      <c r="H409" s="101">
        <f t="shared" si="65"/>
        <v>49.183199999999999</v>
      </c>
      <c r="I409" s="101">
        <f t="shared" si="66"/>
        <v>55.331099999999992</v>
      </c>
      <c r="J409" s="101">
        <f t="shared" si="67"/>
        <v>67.626900000000006</v>
      </c>
      <c r="K409" s="101">
        <f t="shared" si="68"/>
        <v>73.774799999999999</v>
      </c>
      <c r="L409" s="101">
        <f t="shared" si="69"/>
        <v>79.922699999999992</v>
      </c>
      <c r="M409" s="98">
        <f t="shared" si="70"/>
        <v>9.0909090909090899</v>
      </c>
      <c r="N409" s="98">
        <f t="shared" si="71"/>
        <v>8.3333333333333321</v>
      </c>
      <c r="O409" s="98">
        <f t="shared" si="72"/>
        <v>7.6923076923076925</v>
      </c>
    </row>
    <row r="410" spans="2:15" ht="15" customHeight="1" x14ac:dyDescent="0.25">
      <c r="B410" s="158"/>
      <c r="C410" s="95" t="s">
        <v>44</v>
      </c>
      <c r="D410" s="98">
        <v>614.79</v>
      </c>
      <c r="E410" s="98">
        <v>614.79</v>
      </c>
      <c r="F410" s="98">
        <f t="shared" si="64"/>
        <v>24.5916</v>
      </c>
      <c r="G410" s="101">
        <f t="shared" si="73"/>
        <v>43.035299999999999</v>
      </c>
      <c r="H410" s="101">
        <f t="shared" si="65"/>
        <v>49.183199999999999</v>
      </c>
      <c r="I410" s="101">
        <f t="shared" si="66"/>
        <v>55.331099999999992</v>
      </c>
      <c r="J410" s="101">
        <f t="shared" si="67"/>
        <v>67.626900000000006</v>
      </c>
      <c r="K410" s="101">
        <f t="shared" si="68"/>
        <v>73.774799999999999</v>
      </c>
      <c r="L410" s="101">
        <f t="shared" si="69"/>
        <v>79.922699999999992</v>
      </c>
      <c r="M410" s="98">
        <f t="shared" si="70"/>
        <v>9.0909090909090899</v>
      </c>
      <c r="N410" s="98">
        <f t="shared" si="71"/>
        <v>8.3333333333333321</v>
      </c>
      <c r="O410" s="98">
        <f t="shared" si="72"/>
        <v>7.6923076923076925</v>
      </c>
    </row>
    <row r="411" spans="2:15" ht="15" customHeight="1" x14ac:dyDescent="0.25">
      <c r="B411" s="158"/>
      <c r="C411" s="95" t="s">
        <v>45</v>
      </c>
      <c r="D411" s="98">
        <v>614.79</v>
      </c>
      <c r="E411" s="98">
        <v>614.79</v>
      </c>
      <c r="F411" s="98">
        <f t="shared" si="64"/>
        <v>24.5916</v>
      </c>
      <c r="G411" s="101">
        <f t="shared" si="73"/>
        <v>43.035299999999999</v>
      </c>
      <c r="H411" s="101">
        <f t="shared" si="65"/>
        <v>49.183199999999999</v>
      </c>
      <c r="I411" s="101">
        <f t="shared" si="66"/>
        <v>55.331099999999992</v>
      </c>
      <c r="J411" s="101">
        <f t="shared" si="67"/>
        <v>67.626900000000006</v>
      </c>
      <c r="K411" s="101">
        <f t="shared" si="68"/>
        <v>73.774799999999999</v>
      </c>
      <c r="L411" s="101">
        <f t="shared" si="69"/>
        <v>79.922699999999992</v>
      </c>
      <c r="M411" s="98">
        <f t="shared" si="70"/>
        <v>9.0909090909090899</v>
      </c>
      <c r="N411" s="98">
        <f t="shared" si="71"/>
        <v>8.3333333333333321</v>
      </c>
      <c r="O411" s="98">
        <f t="shared" si="72"/>
        <v>7.6923076923076925</v>
      </c>
    </row>
    <row r="412" spans="2:15" ht="15" customHeight="1" x14ac:dyDescent="0.25">
      <c r="B412" s="158"/>
      <c r="C412" s="95" t="s">
        <v>46</v>
      </c>
      <c r="D412" s="98">
        <v>614.79</v>
      </c>
      <c r="E412" s="98">
        <v>614.79</v>
      </c>
      <c r="F412" s="98">
        <f t="shared" si="64"/>
        <v>24.5916</v>
      </c>
      <c r="G412" s="101">
        <f t="shared" si="73"/>
        <v>43.035299999999999</v>
      </c>
      <c r="H412" s="101">
        <f t="shared" si="65"/>
        <v>49.183199999999999</v>
      </c>
      <c r="I412" s="101">
        <f t="shared" si="66"/>
        <v>55.331099999999992</v>
      </c>
      <c r="J412" s="101">
        <f t="shared" si="67"/>
        <v>67.626900000000006</v>
      </c>
      <c r="K412" s="101">
        <f t="shared" si="68"/>
        <v>73.774799999999999</v>
      </c>
      <c r="L412" s="101">
        <f t="shared" si="69"/>
        <v>79.922699999999992</v>
      </c>
      <c r="M412" s="98">
        <f t="shared" si="70"/>
        <v>9.0909090909090899</v>
      </c>
      <c r="N412" s="98">
        <f t="shared" si="71"/>
        <v>8.3333333333333321</v>
      </c>
      <c r="O412" s="98">
        <f t="shared" si="72"/>
        <v>7.6923076923076925</v>
      </c>
    </row>
    <row r="413" spans="2:15" ht="15" customHeight="1" x14ac:dyDescent="0.25">
      <c r="B413" s="158"/>
      <c r="C413" s="95" t="s">
        <v>47</v>
      </c>
      <c r="D413" s="98">
        <v>614.79</v>
      </c>
      <c r="E413" s="98">
        <v>614.79</v>
      </c>
      <c r="F413" s="98">
        <f t="shared" si="64"/>
        <v>24.5916</v>
      </c>
      <c r="G413" s="101">
        <f t="shared" si="73"/>
        <v>43.035299999999999</v>
      </c>
      <c r="H413" s="101">
        <f t="shared" si="65"/>
        <v>49.183199999999999</v>
      </c>
      <c r="I413" s="101">
        <f t="shared" si="66"/>
        <v>55.331099999999992</v>
      </c>
      <c r="J413" s="101">
        <f t="shared" si="67"/>
        <v>67.626900000000006</v>
      </c>
      <c r="K413" s="101">
        <f t="shared" si="68"/>
        <v>73.774799999999999</v>
      </c>
      <c r="L413" s="101">
        <f t="shared" si="69"/>
        <v>79.922699999999992</v>
      </c>
      <c r="M413" s="98">
        <f t="shared" si="70"/>
        <v>9.0909090909090899</v>
      </c>
      <c r="N413" s="98">
        <f t="shared" si="71"/>
        <v>8.3333333333333321</v>
      </c>
      <c r="O413" s="98">
        <f t="shared" si="72"/>
        <v>7.6923076923076925</v>
      </c>
    </row>
    <row r="414" spans="2:15" ht="15" customHeight="1" x14ac:dyDescent="0.25">
      <c r="B414" s="159"/>
      <c r="C414" s="96" t="s">
        <v>48</v>
      </c>
      <c r="D414" s="99">
        <v>614.79</v>
      </c>
      <c r="E414" s="99">
        <v>614.79</v>
      </c>
      <c r="F414" s="99">
        <f t="shared" si="64"/>
        <v>24.5916</v>
      </c>
      <c r="G414" s="102">
        <f t="shared" si="73"/>
        <v>43.035299999999999</v>
      </c>
      <c r="H414" s="102">
        <f t="shared" si="65"/>
        <v>49.183199999999999</v>
      </c>
      <c r="I414" s="102">
        <f t="shared" si="66"/>
        <v>55.331099999999992</v>
      </c>
      <c r="J414" s="102">
        <f t="shared" si="67"/>
        <v>67.626900000000006</v>
      </c>
      <c r="K414" s="102">
        <f t="shared" si="68"/>
        <v>73.774799999999999</v>
      </c>
      <c r="L414" s="102">
        <f t="shared" si="69"/>
        <v>79.922699999999992</v>
      </c>
      <c r="M414" s="99">
        <f t="shared" si="70"/>
        <v>9.0909090909090899</v>
      </c>
      <c r="N414" s="99">
        <f t="shared" si="71"/>
        <v>8.3333333333333321</v>
      </c>
      <c r="O414" s="99">
        <f t="shared" si="72"/>
        <v>7.6923076923076925</v>
      </c>
    </row>
    <row r="415" spans="2:15" ht="15" customHeight="1" x14ac:dyDescent="0.25">
      <c r="B415" s="157">
        <v>2008</v>
      </c>
      <c r="C415" s="94" t="s">
        <v>36</v>
      </c>
      <c r="D415" s="97">
        <v>614.79</v>
      </c>
      <c r="E415" s="97">
        <v>614.79</v>
      </c>
      <c r="F415" s="97">
        <f t="shared" si="64"/>
        <v>24.5916</v>
      </c>
      <c r="G415" s="100">
        <f t="shared" si="73"/>
        <v>43.035299999999999</v>
      </c>
      <c r="H415" s="100">
        <f t="shared" si="65"/>
        <v>49.183199999999999</v>
      </c>
      <c r="I415" s="100">
        <f t="shared" si="66"/>
        <v>55.331099999999992</v>
      </c>
      <c r="J415" s="100">
        <f t="shared" si="67"/>
        <v>67.626900000000006</v>
      </c>
      <c r="K415" s="100">
        <f t="shared" si="68"/>
        <v>73.774799999999999</v>
      </c>
      <c r="L415" s="100">
        <f t="shared" si="69"/>
        <v>79.922699999999992</v>
      </c>
      <c r="M415" s="97">
        <f t="shared" si="70"/>
        <v>9.0909090909090899</v>
      </c>
      <c r="N415" s="97">
        <f t="shared" si="71"/>
        <v>8.3333333333333321</v>
      </c>
      <c r="O415" s="97">
        <f t="shared" si="72"/>
        <v>7.6923076923076925</v>
      </c>
    </row>
    <row r="416" spans="2:15" ht="15" customHeight="1" x14ac:dyDescent="0.25">
      <c r="B416" s="158"/>
      <c r="C416" s="95" t="s">
        <v>38</v>
      </c>
      <c r="D416" s="98">
        <v>614.79</v>
      </c>
      <c r="E416" s="98">
        <v>614.79</v>
      </c>
      <c r="F416" s="98">
        <f t="shared" si="64"/>
        <v>24.5916</v>
      </c>
      <c r="G416" s="101">
        <f t="shared" si="73"/>
        <v>43.035299999999999</v>
      </c>
      <c r="H416" s="101">
        <f t="shared" si="65"/>
        <v>49.183199999999999</v>
      </c>
      <c r="I416" s="101">
        <f t="shared" si="66"/>
        <v>55.331099999999992</v>
      </c>
      <c r="J416" s="101">
        <f t="shared" si="67"/>
        <v>67.626900000000006</v>
      </c>
      <c r="K416" s="101">
        <f t="shared" si="68"/>
        <v>73.774799999999999</v>
      </c>
      <c r="L416" s="101">
        <f t="shared" si="69"/>
        <v>79.922699999999992</v>
      </c>
      <c r="M416" s="98">
        <f t="shared" si="70"/>
        <v>9.0909090909090899</v>
      </c>
      <c r="N416" s="98">
        <f t="shared" si="71"/>
        <v>8.3333333333333321</v>
      </c>
      <c r="O416" s="98">
        <f t="shared" si="72"/>
        <v>7.6923076923076925</v>
      </c>
    </row>
    <row r="417" spans="2:15" ht="15" customHeight="1" x14ac:dyDescent="0.25">
      <c r="B417" s="158"/>
      <c r="C417" s="95" t="s">
        <v>39</v>
      </c>
      <c r="D417" s="98">
        <v>614.79</v>
      </c>
      <c r="E417" s="98">
        <v>614.79</v>
      </c>
      <c r="F417" s="98">
        <f t="shared" si="64"/>
        <v>24.5916</v>
      </c>
      <c r="G417" s="101">
        <f t="shared" si="73"/>
        <v>43.035299999999999</v>
      </c>
      <c r="H417" s="101">
        <f t="shared" si="65"/>
        <v>49.183199999999999</v>
      </c>
      <c r="I417" s="101">
        <f t="shared" si="66"/>
        <v>55.331099999999992</v>
      </c>
      <c r="J417" s="101">
        <f t="shared" si="67"/>
        <v>67.626900000000006</v>
      </c>
      <c r="K417" s="101">
        <f t="shared" si="68"/>
        <v>73.774799999999999</v>
      </c>
      <c r="L417" s="101">
        <f t="shared" si="69"/>
        <v>79.922699999999992</v>
      </c>
      <c r="M417" s="98">
        <f t="shared" si="70"/>
        <v>9.0909090909090899</v>
      </c>
      <c r="N417" s="98">
        <f t="shared" si="71"/>
        <v>8.3333333333333321</v>
      </c>
      <c r="O417" s="98">
        <f t="shared" si="72"/>
        <v>7.6923076923076925</v>
      </c>
    </row>
    <row r="418" spans="2:15" ht="15" customHeight="1" x14ac:dyDescent="0.25">
      <c r="B418" s="158"/>
      <c r="C418" s="95" t="s">
        <v>40</v>
      </c>
      <c r="D418" s="98">
        <v>614.79</v>
      </c>
      <c r="E418" s="98">
        <v>614.79</v>
      </c>
      <c r="F418" s="98">
        <f t="shared" si="64"/>
        <v>24.5916</v>
      </c>
      <c r="G418" s="101">
        <f t="shared" si="73"/>
        <v>43.035299999999999</v>
      </c>
      <c r="H418" s="101">
        <f t="shared" si="65"/>
        <v>49.183199999999999</v>
      </c>
      <c r="I418" s="101">
        <f t="shared" si="66"/>
        <v>55.331099999999992</v>
      </c>
      <c r="J418" s="101">
        <f t="shared" si="67"/>
        <v>67.626900000000006</v>
      </c>
      <c r="K418" s="101">
        <f t="shared" si="68"/>
        <v>73.774799999999999</v>
      </c>
      <c r="L418" s="101">
        <f t="shared" si="69"/>
        <v>79.922699999999992</v>
      </c>
      <c r="M418" s="98">
        <f t="shared" si="70"/>
        <v>9.0909090909090899</v>
      </c>
      <c r="N418" s="98">
        <f t="shared" si="71"/>
        <v>8.3333333333333321</v>
      </c>
      <c r="O418" s="98">
        <f t="shared" si="72"/>
        <v>7.6923076923076925</v>
      </c>
    </row>
    <row r="419" spans="2:15" ht="15" customHeight="1" x14ac:dyDescent="0.25">
      <c r="B419" s="158"/>
      <c r="C419" s="95" t="s">
        <v>41</v>
      </c>
      <c r="D419" s="98">
        <v>799.23</v>
      </c>
      <c r="E419" s="98">
        <v>799.23</v>
      </c>
      <c r="F419" s="98">
        <f t="shared" si="64"/>
        <v>31.969200000000001</v>
      </c>
      <c r="G419" s="101">
        <f t="shared" si="73"/>
        <v>55.946100000000008</v>
      </c>
      <c r="H419" s="101">
        <f t="shared" si="65"/>
        <v>63.938400000000001</v>
      </c>
      <c r="I419" s="101">
        <f t="shared" si="66"/>
        <v>71.930700000000002</v>
      </c>
      <c r="J419" s="101">
        <f t="shared" si="67"/>
        <v>87.915300000000002</v>
      </c>
      <c r="K419" s="101">
        <f t="shared" si="68"/>
        <v>95.907600000000002</v>
      </c>
      <c r="L419" s="101">
        <f t="shared" si="69"/>
        <v>103.8999</v>
      </c>
      <c r="M419" s="98">
        <f t="shared" si="70"/>
        <v>9.0909090909090917</v>
      </c>
      <c r="N419" s="98">
        <f t="shared" si="71"/>
        <v>8.3333333333333339</v>
      </c>
      <c r="O419" s="98">
        <f t="shared" si="72"/>
        <v>7.6923076923076925</v>
      </c>
    </row>
    <row r="420" spans="2:15" ht="15" customHeight="1" x14ac:dyDescent="0.25">
      <c r="B420" s="158"/>
      <c r="C420" s="95" t="s">
        <v>42</v>
      </c>
      <c r="D420" s="98">
        <v>799.23</v>
      </c>
      <c r="E420" s="98">
        <v>799.23</v>
      </c>
      <c r="F420" s="98">
        <f t="shared" si="64"/>
        <v>31.969200000000001</v>
      </c>
      <c r="G420" s="101">
        <f t="shared" si="73"/>
        <v>55.946100000000008</v>
      </c>
      <c r="H420" s="101">
        <f t="shared" si="65"/>
        <v>63.938400000000001</v>
      </c>
      <c r="I420" s="101">
        <f t="shared" si="66"/>
        <v>71.930700000000002</v>
      </c>
      <c r="J420" s="101">
        <f t="shared" si="67"/>
        <v>87.915300000000002</v>
      </c>
      <c r="K420" s="101">
        <f t="shared" si="68"/>
        <v>95.907600000000002</v>
      </c>
      <c r="L420" s="101">
        <f t="shared" si="69"/>
        <v>103.8999</v>
      </c>
      <c r="M420" s="98">
        <f t="shared" si="70"/>
        <v>9.0909090909090917</v>
      </c>
      <c r="N420" s="98">
        <f t="shared" si="71"/>
        <v>8.3333333333333339</v>
      </c>
      <c r="O420" s="98">
        <f t="shared" si="72"/>
        <v>7.6923076923076925</v>
      </c>
    </row>
    <row r="421" spans="2:15" ht="15" customHeight="1" x14ac:dyDescent="0.25">
      <c r="B421" s="158"/>
      <c r="C421" s="95" t="s">
        <v>43</v>
      </c>
      <c r="D421" s="98">
        <v>799.23</v>
      </c>
      <c r="E421" s="98">
        <v>799.23</v>
      </c>
      <c r="F421" s="98">
        <f t="shared" si="64"/>
        <v>31.969200000000001</v>
      </c>
      <c r="G421" s="101">
        <f t="shared" si="73"/>
        <v>55.946100000000008</v>
      </c>
      <c r="H421" s="101">
        <f t="shared" si="65"/>
        <v>63.938400000000001</v>
      </c>
      <c r="I421" s="101">
        <f t="shared" si="66"/>
        <v>71.930700000000002</v>
      </c>
      <c r="J421" s="101">
        <f t="shared" si="67"/>
        <v>87.915300000000002</v>
      </c>
      <c r="K421" s="101">
        <f t="shared" si="68"/>
        <v>95.907600000000002</v>
      </c>
      <c r="L421" s="101">
        <f t="shared" si="69"/>
        <v>103.8999</v>
      </c>
      <c r="M421" s="98">
        <f t="shared" si="70"/>
        <v>9.0909090909090917</v>
      </c>
      <c r="N421" s="98">
        <f t="shared" si="71"/>
        <v>8.3333333333333339</v>
      </c>
      <c r="O421" s="98">
        <f t="shared" si="72"/>
        <v>7.6923076923076925</v>
      </c>
    </row>
    <row r="422" spans="2:15" ht="15" customHeight="1" x14ac:dyDescent="0.25">
      <c r="B422" s="158"/>
      <c r="C422" s="95" t="s">
        <v>44</v>
      </c>
      <c r="D422" s="98">
        <v>799.23</v>
      </c>
      <c r="E422" s="98">
        <v>799.23</v>
      </c>
      <c r="F422" s="98">
        <f t="shared" si="64"/>
        <v>31.969200000000001</v>
      </c>
      <c r="G422" s="101">
        <f t="shared" si="73"/>
        <v>55.946100000000008</v>
      </c>
      <c r="H422" s="101">
        <f t="shared" si="65"/>
        <v>63.938400000000001</v>
      </c>
      <c r="I422" s="101">
        <f t="shared" si="66"/>
        <v>71.930700000000002</v>
      </c>
      <c r="J422" s="101">
        <f t="shared" si="67"/>
        <v>87.915300000000002</v>
      </c>
      <c r="K422" s="101">
        <f t="shared" si="68"/>
        <v>95.907600000000002</v>
      </c>
      <c r="L422" s="101">
        <f t="shared" si="69"/>
        <v>103.8999</v>
      </c>
      <c r="M422" s="98">
        <f t="shared" si="70"/>
        <v>9.0909090909090917</v>
      </c>
      <c r="N422" s="98">
        <f t="shared" si="71"/>
        <v>8.3333333333333339</v>
      </c>
      <c r="O422" s="98">
        <f t="shared" si="72"/>
        <v>7.6923076923076925</v>
      </c>
    </row>
    <row r="423" spans="2:15" ht="15" customHeight="1" x14ac:dyDescent="0.25">
      <c r="B423" s="158"/>
      <c r="C423" s="95" t="s">
        <v>45</v>
      </c>
      <c r="D423" s="98">
        <v>799.23</v>
      </c>
      <c r="E423" s="98">
        <v>799.23</v>
      </c>
      <c r="F423" s="98">
        <f t="shared" si="64"/>
        <v>31.969200000000001</v>
      </c>
      <c r="G423" s="101">
        <f t="shared" si="73"/>
        <v>55.946100000000008</v>
      </c>
      <c r="H423" s="101">
        <f t="shared" si="65"/>
        <v>63.938400000000001</v>
      </c>
      <c r="I423" s="101">
        <f t="shared" si="66"/>
        <v>71.930700000000002</v>
      </c>
      <c r="J423" s="101">
        <f t="shared" si="67"/>
        <v>87.915300000000002</v>
      </c>
      <c r="K423" s="101">
        <f t="shared" si="68"/>
        <v>95.907600000000002</v>
      </c>
      <c r="L423" s="101">
        <f t="shared" si="69"/>
        <v>103.8999</v>
      </c>
      <c r="M423" s="98">
        <f t="shared" si="70"/>
        <v>9.0909090909090917</v>
      </c>
      <c r="N423" s="98">
        <f t="shared" si="71"/>
        <v>8.3333333333333339</v>
      </c>
      <c r="O423" s="98">
        <f t="shared" si="72"/>
        <v>7.6923076923076925</v>
      </c>
    </row>
    <row r="424" spans="2:15" ht="15" customHeight="1" x14ac:dyDescent="0.25">
      <c r="B424" s="158"/>
      <c r="C424" s="95" t="s">
        <v>46</v>
      </c>
      <c r="D424" s="98">
        <v>799.23</v>
      </c>
      <c r="E424" s="98">
        <v>799.23</v>
      </c>
      <c r="F424" s="98">
        <f t="shared" si="64"/>
        <v>31.969200000000001</v>
      </c>
      <c r="G424" s="101">
        <f t="shared" si="73"/>
        <v>55.946100000000008</v>
      </c>
      <c r="H424" s="101">
        <f t="shared" si="65"/>
        <v>63.938400000000001</v>
      </c>
      <c r="I424" s="101">
        <f t="shared" si="66"/>
        <v>71.930700000000002</v>
      </c>
      <c r="J424" s="101">
        <f t="shared" si="67"/>
        <v>87.915300000000002</v>
      </c>
      <c r="K424" s="101">
        <f t="shared" si="68"/>
        <v>95.907600000000002</v>
      </c>
      <c r="L424" s="101">
        <f t="shared" si="69"/>
        <v>103.8999</v>
      </c>
      <c r="M424" s="98">
        <f t="shared" si="70"/>
        <v>9.0909090909090917</v>
      </c>
      <c r="N424" s="98">
        <f t="shared" si="71"/>
        <v>8.3333333333333339</v>
      </c>
      <c r="O424" s="98">
        <f t="shared" si="72"/>
        <v>7.6923076923076925</v>
      </c>
    </row>
    <row r="425" spans="2:15" ht="15" customHeight="1" x14ac:dyDescent="0.25">
      <c r="B425" s="158"/>
      <c r="C425" s="95" t="s">
        <v>47</v>
      </c>
      <c r="D425" s="98">
        <v>799.23</v>
      </c>
      <c r="E425" s="98">
        <v>799.23</v>
      </c>
      <c r="F425" s="98">
        <f t="shared" si="64"/>
        <v>31.969200000000001</v>
      </c>
      <c r="G425" s="101">
        <f t="shared" si="73"/>
        <v>55.946100000000008</v>
      </c>
      <c r="H425" s="101">
        <f t="shared" si="65"/>
        <v>63.938400000000001</v>
      </c>
      <c r="I425" s="101">
        <f t="shared" si="66"/>
        <v>71.930700000000002</v>
      </c>
      <c r="J425" s="101">
        <f t="shared" si="67"/>
        <v>87.915300000000002</v>
      </c>
      <c r="K425" s="101">
        <f t="shared" si="68"/>
        <v>95.907600000000002</v>
      </c>
      <c r="L425" s="101">
        <f t="shared" si="69"/>
        <v>103.8999</v>
      </c>
      <c r="M425" s="98">
        <f t="shared" si="70"/>
        <v>9.0909090909090917</v>
      </c>
      <c r="N425" s="98">
        <f t="shared" si="71"/>
        <v>8.3333333333333339</v>
      </c>
      <c r="O425" s="98">
        <f t="shared" si="72"/>
        <v>7.6923076923076925</v>
      </c>
    </row>
    <row r="426" spans="2:15" ht="15" customHeight="1" x14ac:dyDescent="0.25">
      <c r="B426" s="159"/>
      <c r="C426" s="96" t="s">
        <v>48</v>
      </c>
      <c r="D426" s="99">
        <v>799.23</v>
      </c>
      <c r="E426" s="99">
        <v>799.23</v>
      </c>
      <c r="F426" s="99">
        <f t="shared" si="64"/>
        <v>31.969200000000001</v>
      </c>
      <c r="G426" s="102">
        <f t="shared" si="73"/>
        <v>55.946100000000008</v>
      </c>
      <c r="H426" s="102">
        <f t="shared" si="65"/>
        <v>63.938400000000001</v>
      </c>
      <c r="I426" s="102">
        <f t="shared" si="66"/>
        <v>71.930700000000002</v>
      </c>
      <c r="J426" s="102">
        <f t="shared" si="67"/>
        <v>87.915300000000002</v>
      </c>
      <c r="K426" s="102">
        <f t="shared" si="68"/>
        <v>95.907600000000002</v>
      </c>
      <c r="L426" s="102">
        <f t="shared" si="69"/>
        <v>103.8999</v>
      </c>
      <c r="M426" s="99">
        <f t="shared" si="70"/>
        <v>9.0909090909090917</v>
      </c>
      <c r="N426" s="99">
        <f t="shared" si="71"/>
        <v>8.3333333333333339</v>
      </c>
      <c r="O426" s="99">
        <f t="shared" si="72"/>
        <v>7.6923076923076925</v>
      </c>
    </row>
    <row r="427" spans="2:15" ht="15" customHeight="1" x14ac:dyDescent="0.25">
      <c r="B427" s="157">
        <v>2009</v>
      </c>
      <c r="C427" s="94" t="s">
        <v>36</v>
      </c>
      <c r="D427" s="97">
        <v>799.23</v>
      </c>
      <c r="E427" s="97">
        <v>799.23</v>
      </c>
      <c r="F427" s="97">
        <f t="shared" si="64"/>
        <v>31.969200000000001</v>
      </c>
      <c r="G427" s="100">
        <f t="shared" si="73"/>
        <v>55.946100000000008</v>
      </c>
      <c r="H427" s="100">
        <f t="shared" si="65"/>
        <v>63.938400000000001</v>
      </c>
      <c r="I427" s="100">
        <f t="shared" si="66"/>
        <v>71.930700000000002</v>
      </c>
      <c r="J427" s="100">
        <f t="shared" si="67"/>
        <v>87.915300000000002</v>
      </c>
      <c r="K427" s="100">
        <f t="shared" si="68"/>
        <v>95.907600000000002</v>
      </c>
      <c r="L427" s="100">
        <f t="shared" si="69"/>
        <v>103.8999</v>
      </c>
      <c r="M427" s="97">
        <f t="shared" si="70"/>
        <v>9.0909090909090917</v>
      </c>
      <c r="N427" s="97">
        <f t="shared" si="71"/>
        <v>8.3333333333333339</v>
      </c>
      <c r="O427" s="97">
        <f t="shared" si="72"/>
        <v>7.6923076923076925</v>
      </c>
    </row>
    <row r="428" spans="2:15" ht="15" customHeight="1" x14ac:dyDescent="0.25">
      <c r="B428" s="158"/>
      <c r="C428" s="95" t="s">
        <v>38</v>
      </c>
      <c r="D428" s="98">
        <v>799.23</v>
      </c>
      <c r="E428" s="98">
        <v>799.23</v>
      </c>
      <c r="F428" s="98">
        <f t="shared" si="64"/>
        <v>31.969200000000001</v>
      </c>
      <c r="G428" s="101">
        <f t="shared" si="73"/>
        <v>55.946100000000008</v>
      </c>
      <c r="H428" s="101">
        <f t="shared" si="65"/>
        <v>63.938400000000001</v>
      </c>
      <c r="I428" s="101">
        <f t="shared" si="66"/>
        <v>71.930700000000002</v>
      </c>
      <c r="J428" s="101">
        <f t="shared" si="67"/>
        <v>87.915300000000002</v>
      </c>
      <c r="K428" s="101">
        <f t="shared" si="68"/>
        <v>95.907600000000002</v>
      </c>
      <c r="L428" s="101">
        <f t="shared" si="69"/>
        <v>103.8999</v>
      </c>
      <c r="M428" s="98">
        <f t="shared" si="70"/>
        <v>9.0909090909090917</v>
      </c>
      <c r="N428" s="98">
        <f t="shared" si="71"/>
        <v>8.3333333333333339</v>
      </c>
      <c r="O428" s="98">
        <f t="shared" si="72"/>
        <v>7.6923076923076925</v>
      </c>
    </row>
    <row r="429" spans="2:15" ht="15" customHeight="1" x14ac:dyDescent="0.25">
      <c r="B429" s="158"/>
      <c r="C429" s="95" t="s">
        <v>39</v>
      </c>
      <c r="D429" s="98">
        <v>799.23</v>
      </c>
      <c r="E429" s="98">
        <v>799.23</v>
      </c>
      <c r="F429" s="98">
        <f t="shared" si="64"/>
        <v>31.969200000000001</v>
      </c>
      <c r="G429" s="101">
        <f t="shared" si="73"/>
        <v>55.946100000000008</v>
      </c>
      <c r="H429" s="101">
        <f t="shared" si="65"/>
        <v>63.938400000000001</v>
      </c>
      <c r="I429" s="101">
        <f t="shared" si="66"/>
        <v>71.930700000000002</v>
      </c>
      <c r="J429" s="101">
        <f t="shared" si="67"/>
        <v>87.915300000000002</v>
      </c>
      <c r="K429" s="101">
        <f t="shared" si="68"/>
        <v>95.907600000000002</v>
      </c>
      <c r="L429" s="101">
        <f t="shared" si="69"/>
        <v>103.8999</v>
      </c>
      <c r="M429" s="98">
        <f t="shared" si="70"/>
        <v>9.0909090909090917</v>
      </c>
      <c r="N429" s="98">
        <f t="shared" si="71"/>
        <v>8.3333333333333339</v>
      </c>
      <c r="O429" s="98">
        <f t="shared" si="72"/>
        <v>7.6923076923076925</v>
      </c>
    </row>
    <row r="430" spans="2:15" ht="15" customHeight="1" x14ac:dyDescent="0.25">
      <c r="B430" s="158"/>
      <c r="C430" s="95" t="s">
        <v>40</v>
      </c>
      <c r="D430" s="98">
        <v>799.23</v>
      </c>
      <c r="E430" s="98">
        <v>799.23</v>
      </c>
      <c r="F430" s="98">
        <f t="shared" si="64"/>
        <v>31.969200000000001</v>
      </c>
      <c r="G430" s="101">
        <f t="shared" si="73"/>
        <v>55.946100000000008</v>
      </c>
      <c r="H430" s="101">
        <f t="shared" si="65"/>
        <v>63.938400000000001</v>
      </c>
      <c r="I430" s="101">
        <f t="shared" si="66"/>
        <v>71.930700000000002</v>
      </c>
      <c r="J430" s="101">
        <f t="shared" si="67"/>
        <v>87.915300000000002</v>
      </c>
      <c r="K430" s="101">
        <f t="shared" si="68"/>
        <v>95.907600000000002</v>
      </c>
      <c r="L430" s="101">
        <f t="shared" si="69"/>
        <v>103.8999</v>
      </c>
      <c r="M430" s="98">
        <f t="shared" si="70"/>
        <v>9.0909090909090917</v>
      </c>
      <c r="N430" s="98">
        <f t="shared" si="71"/>
        <v>8.3333333333333339</v>
      </c>
      <c r="O430" s="98">
        <f t="shared" si="72"/>
        <v>7.6923076923076925</v>
      </c>
    </row>
    <row r="431" spans="2:15" ht="15" customHeight="1" x14ac:dyDescent="0.25">
      <c r="B431" s="158"/>
      <c r="C431" s="95" t="s">
        <v>41</v>
      </c>
      <c r="D431" s="98">
        <v>879.3</v>
      </c>
      <c r="E431" s="98">
        <v>879.3</v>
      </c>
      <c r="F431" s="98">
        <f t="shared" si="64"/>
        <v>35.171999999999997</v>
      </c>
      <c r="G431" s="101">
        <f t="shared" si="73"/>
        <v>61.551000000000002</v>
      </c>
      <c r="H431" s="101">
        <f t="shared" si="65"/>
        <v>70.343999999999994</v>
      </c>
      <c r="I431" s="101">
        <f t="shared" si="66"/>
        <v>79.136999999999986</v>
      </c>
      <c r="J431" s="101">
        <f t="shared" si="67"/>
        <v>96.722999999999999</v>
      </c>
      <c r="K431" s="101">
        <f t="shared" si="68"/>
        <v>105.51599999999999</v>
      </c>
      <c r="L431" s="101">
        <f t="shared" si="69"/>
        <v>114.30899999999998</v>
      </c>
      <c r="M431" s="98">
        <f t="shared" si="70"/>
        <v>9.0909090909090899</v>
      </c>
      <c r="N431" s="98">
        <f t="shared" si="71"/>
        <v>8.3333333333333339</v>
      </c>
      <c r="O431" s="98">
        <f t="shared" si="72"/>
        <v>7.6923076923076934</v>
      </c>
    </row>
    <row r="432" spans="2:15" ht="15" customHeight="1" x14ac:dyDescent="0.25">
      <c r="B432" s="158"/>
      <c r="C432" s="95" t="s">
        <v>42</v>
      </c>
      <c r="D432" s="98">
        <v>879.3</v>
      </c>
      <c r="E432" s="98">
        <v>879.3</v>
      </c>
      <c r="F432" s="98">
        <f t="shared" si="64"/>
        <v>35.171999999999997</v>
      </c>
      <c r="G432" s="101">
        <f t="shared" si="73"/>
        <v>61.551000000000002</v>
      </c>
      <c r="H432" s="101">
        <f t="shared" si="65"/>
        <v>70.343999999999994</v>
      </c>
      <c r="I432" s="101">
        <f t="shared" si="66"/>
        <v>79.136999999999986</v>
      </c>
      <c r="J432" s="101">
        <f t="shared" si="67"/>
        <v>96.722999999999999</v>
      </c>
      <c r="K432" s="101">
        <f t="shared" si="68"/>
        <v>105.51599999999999</v>
      </c>
      <c r="L432" s="101">
        <f t="shared" si="69"/>
        <v>114.30899999999998</v>
      </c>
      <c r="M432" s="98">
        <f t="shared" si="70"/>
        <v>9.0909090909090899</v>
      </c>
      <c r="N432" s="98">
        <f t="shared" si="71"/>
        <v>8.3333333333333339</v>
      </c>
      <c r="O432" s="98">
        <f t="shared" si="72"/>
        <v>7.6923076923076934</v>
      </c>
    </row>
    <row r="433" spans="2:15" ht="15" customHeight="1" x14ac:dyDescent="0.25">
      <c r="B433" s="158"/>
      <c r="C433" s="95" t="s">
        <v>43</v>
      </c>
      <c r="D433" s="98">
        <v>879.3</v>
      </c>
      <c r="E433" s="98">
        <v>879.3</v>
      </c>
      <c r="F433" s="98">
        <f t="shared" si="64"/>
        <v>35.171999999999997</v>
      </c>
      <c r="G433" s="101">
        <f t="shared" si="73"/>
        <v>61.551000000000002</v>
      </c>
      <c r="H433" s="101">
        <f t="shared" si="65"/>
        <v>70.343999999999994</v>
      </c>
      <c r="I433" s="101">
        <f t="shared" si="66"/>
        <v>79.136999999999986</v>
      </c>
      <c r="J433" s="101">
        <f t="shared" si="67"/>
        <v>96.722999999999999</v>
      </c>
      <c r="K433" s="101">
        <f t="shared" si="68"/>
        <v>105.51599999999999</v>
      </c>
      <c r="L433" s="101">
        <f t="shared" si="69"/>
        <v>114.30899999999998</v>
      </c>
      <c r="M433" s="98">
        <f t="shared" si="70"/>
        <v>9.0909090909090899</v>
      </c>
      <c r="N433" s="98">
        <f t="shared" si="71"/>
        <v>8.3333333333333339</v>
      </c>
      <c r="O433" s="98">
        <f t="shared" si="72"/>
        <v>7.6923076923076934</v>
      </c>
    </row>
    <row r="434" spans="2:15" ht="15" customHeight="1" x14ac:dyDescent="0.25">
      <c r="B434" s="158"/>
      <c r="C434" s="95" t="s">
        <v>44</v>
      </c>
      <c r="D434" s="98">
        <v>879.3</v>
      </c>
      <c r="E434" s="98">
        <v>879.3</v>
      </c>
      <c r="F434" s="98">
        <f t="shared" si="64"/>
        <v>35.171999999999997</v>
      </c>
      <c r="G434" s="101">
        <f t="shared" si="73"/>
        <v>61.551000000000002</v>
      </c>
      <c r="H434" s="101">
        <f t="shared" si="65"/>
        <v>70.343999999999994</v>
      </c>
      <c r="I434" s="101">
        <f t="shared" si="66"/>
        <v>79.136999999999986</v>
      </c>
      <c r="J434" s="101">
        <f t="shared" si="67"/>
        <v>96.722999999999999</v>
      </c>
      <c r="K434" s="101">
        <f t="shared" si="68"/>
        <v>105.51599999999999</v>
      </c>
      <c r="L434" s="101">
        <f t="shared" si="69"/>
        <v>114.30899999999998</v>
      </c>
      <c r="M434" s="98">
        <f t="shared" si="70"/>
        <v>9.0909090909090899</v>
      </c>
      <c r="N434" s="98">
        <f t="shared" si="71"/>
        <v>8.3333333333333339</v>
      </c>
      <c r="O434" s="98">
        <f t="shared" si="72"/>
        <v>7.6923076923076934</v>
      </c>
    </row>
    <row r="435" spans="2:15" ht="15" customHeight="1" x14ac:dyDescent="0.25">
      <c r="B435" s="158"/>
      <c r="C435" s="95" t="s">
        <v>45</v>
      </c>
      <c r="D435" s="98">
        <v>967.5</v>
      </c>
      <c r="E435" s="98">
        <v>967.5</v>
      </c>
      <c r="F435" s="98">
        <f t="shared" si="64"/>
        <v>38.700000000000003</v>
      </c>
      <c r="G435" s="101">
        <f t="shared" si="73"/>
        <v>67.725000000000009</v>
      </c>
      <c r="H435" s="101">
        <f t="shared" si="65"/>
        <v>77.400000000000006</v>
      </c>
      <c r="I435" s="101">
        <f t="shared" si="66"/>
        <v>87.075000000000003</v>
      </c>
      <c r="J435" s="101">
        <f t="shared" si="67"/>
        <v>106.42500000000001</v>
      </c>
      <c r="K435" s="101">
        <f t="shared" si="68"/>
        <v>116.10000000000001</v>
      </c>
      <c r="L435" s="101">
        <f t="shared" si="69"/>
        <v>125.77500000000001</v>
      </c>
      <c r="M435" s="98">
        <f t="shared" si="70"/>
        <v>9.0909090909090899</v>
      </c>
      <c r="N435" s="98">
        <f t="shared" si="71"/>
        <v>8.3333333333333321</v>
      </c>
      <c r="O435" s="98">
        <f t="shared" si="72"/>
        <v>7.6923076923076916</v>
      </c>
    </row>
    <row r="436" spans="2:15" ht="15" customHeight="1" x14ac:dyDescent="0.25">
      <c r="B436" s="158"/>
      <c r="C436" s="95" t="s">
        <v>46</v>
      </c>
      <c r="D436" s="98">
        <v>967.5</v>
      </c>
      <c r="E436" s="98">
        <v>967.5</v>
      </c>
      <c r="F436" s="98">
        <f t="shared" si="64"/>
        <v>38.700000000000003</v>
      </c>
      <c r="G436" s="101">
        <f t="shared" si="73"/>
        <v>67.725000000000009</v>
      </c>
      <c r="H436" s="101">
        <f t="shared" si="65"/>
        <v>77.400000000000006</v>
      </c>
      <c r="I436" s="101">
        <f t="shared" si="66"/>
        <v>87.075000000000003</v>
      </c>
      <c r="J436" s="101">
        <f t="shared" si="67"/>
        <v>106.42500000000001</v>
      </c>
      <c r="K436" s="101">
        <f t="shared" si="68"/>
        <v>116.10000000000001</v>
      </c>
      <c r="L436" s="101">
        <f t="shared" si="69"/>
        <v>125.77500000000001</v>
      </c>
      <c r="M436" s="98">
        <f t="shared" si="70"/>
        <v>9.0909090909090899</v>
      </c>
      <c r="N436" s="98">
        <f t="shared" si="71"/>
        <v>8.3333333333333321</v>
      </c>
      <c r="O436" s="98">
        <f t="shared" si="72"/>
        <v>7.6923076923076916</v>
      </c>
    </row>
    <row r="437" spans="2:15" ht="15" customHeight="1" x14ac:dyDescent="0.25">
      <c r="B437" s="158"/>
      <c r="C437" s="95" t="s">
        <v>47</v>
      </c>
      <c r="D437" s="98">
        <v>967.5</v>
      </c>
      <c r="E437" s="98">
        <v>967.5</v>
      </c>
      <c r="F437" s="98">
        <f t="shared" si="64"/>
        <v>38.700000000000003</v>
      </c>
      <c r="G437" s="101">
        <f t="shared" si="73"/>
        <v>67.725000000000009</v>
      </c>
      <c r="H437" s="101">
        <f t="shared" si="65"/>
        <v>77.400000000000006</v>
      </c>
      <c r="I437" s="101">
        <f t="shared" si="66"/>
        <v>87.075000000000003</v>
      </c>
      <c r="J437" s="101">
        <f t="shared" si="67"/>
        <v>106.42500000000001</v>
      </c>
      <c r="K437" s="101">
        <f t="shared" si="68"/>
        <v>116.10000000000001</v>
      </c>
      <c r="L437" s="101">
        <f t="shared" si="69"/>
        <v>125.77500000000001</v>
      </c>
      <c r="M437" s="98">
        <f t="shared" si="70"/>
        <v>9.0909090909090899</v>
      </c>
      <c r="N437" s="98">
        <f t="shared" si="71"/>
        <v>8.3333333333333321</v>
      </c>
      <c r="O437" s="98">
        <f t="shared" si="72"/>
        <v>7.6923076923076916</v>
      </c>
    </row>
    <row r="438" spans="2:15" ht="15" customHeight="1" x14ac:dyDescent="0.25">
      <c r="B438" s="159"/>
      <c r="C438" s="96" t="s">
        <v>48</v>
      </c>
      <c r="D438" s="99">
        <v>967.5</v>
      </c>
      <c r="E438" s="99">
        <v>967.5</v>
      </c>
      <c r="F438" s="99">
        <f t="shared" si="64"/>
        <v>38.700000000000003</v>
      </c>
      <c r="G438" s="102">
        <f t="shared" si="73"/>
        <v>67.725000000000009</v>
      </c>
      <c r="H438" s="102">
        <f t="shared" si="65"/>
        <v>77.400000000000006</v>
      </c>
      <c r="I438" s="102">
        <f t="shared" si="66"/>
        <v>87.075000000000003</v>
      </c>
      <c r="J438" s="102">
        <f t="shared" si="67"/>
        <v>106.42500000000001</v>
      </c>
      <c r="K438" s="102">
        <f t="shared" si="68"/>
        <v>116.10000000000001</v>
      </c>
      <c r="L438" s="102">
        <f t="shared" si="69"/>
        <v>125.77500000000001</v>
      </c>
      <c r="M438" s="99">
        <f t="shared" si="70"/>
        <v>9.0909090909090899</v>
      </c>
      <c r="N438" s="99">
        <f t="shared" si="71"/>
        <v>8.3333333333333321</v>
      </c>
      <c r="O438" s="99">
        <f t="shared" si="72"/>
        <v>7.6923076923076916</v>
      </c>
    </row>
    <row r="439" spans="2:15" ht="15" customHeight="1" x14ac:dyDescent="0.25">
      <c r="B439" s="157">
        <v>2010</v>
      </c>
      <c r="C439" s="94" t="s">
        <v>36</v>
      </c>
      <c r="D439" s="97">
        <v>967.5</v>
      </c>
      <c r="E439" s="97">
        <v>967.5</v>
      </c>
      <c r="F439" s="97">
        <f t="shared" si="64"/>
        <v>38.700000000000003</v>
      </c>
      <c r="G439" s="100">
        <f t="shared" si="73"/>
        <v>67.725000000000009</v>
      </c>
      <c r="H439" s="100">
        <f t="shared" si="65"/>
        <v>77.400000000000006</v>
      </c>
      <c r="I439" s="100">
        <f t="shared" si="66"/>
        <v>87.075000000000003</v>
      </c>
      <c r="J439" s="100">
        <f t="shared" si="67"/>
        <v>106.42500000000001</v>
      </c>
      <c r="K439" s="100">
        <f t="shared" si="68"/>
        <v>116.10000000000001</v>
      </c>
      <c r="L439" s="100">
        <f t="shared" si="69"/>
        <v>125.77500000000001</v>
      </c>
      <c r="M439" s="97">
        <f t="shared" si="70"/>
        <v>9.0909090909090899</v>
      </c>
      <c r="N439" s="97">
        <f t="shared" si="71"/>
        <v>8.3333333333333321</v>
      </c>
      <c r="O439" s="97">
        <f t="shared" si="72"/>
        <v>7.6923076923076916</v>
      </c>
    </row>
    <row r="440" spans="2:15" ht="15" customHeight="1" x14ac:dyDescent="0.25">
      <c r="B440" s="158"/>
      <c r="C440" s="95" t="s">
        <v>38</v>
      </c>
      <c r="D440" s="98">
        <v>967.5</v>
      </c>
      <c r="E440" s="98">
        <v>967.5</v>
      </c>
      <c r="F440" s="98">
        <f t="shared" si="64"/>
        <v>38.700000000000003</v>
      </c>
      <c r="G440" s="101">
        <f t="shared" si="73"/>
        <v>67.725000000000009</v>
      </c>
      <c r="H440" s="101">
        <f t="shared" si="65"/>
        <v>77.400000000000006</v>
      </c>
      <c r="I440" s="101">
        <f t="shared" si="66"/>
        <v>87.075000000000003</v>
      </c>
      <c r="J440" s="101">
        <f t="shared" si="67"/>
        <v>106.42500000000001</v>
      </c>
      <c r="K440" s="101">
        <f t="shared" si="68"/>
        <v>116.10000000000001</v>
      </c>
      <c r="L440" s="101">
        <f t="shared" si="69"/>
        <v>125.77500000000001</v>
      </c>
      <c r="M440" s="98">
        <f t="shared" si="70"/>
        <v>9.0909090909090899</v>
      </c>
      <c r="N440" s="98">
        <f t="shared" si="71"/>
        <v>8.3333333333333321</v>
      </c>
      <c r="O440" s="98">
        <f t="shared" si="72"/>
        <v>7.6923076923076916</v>
      </c>
    </row>
    <row r="441" spans="2:15" ht="15" customHeight="1" x14ac:dyDescent="0.25">
      <c r="B441" s="158"/>
      <c r="C441" s="95" t="s">
        <v>39</v>
      </c>
      <c r="D441" s="98">
        <v>1064.25</v>
      </c>
      <c r="E441" s="98">
        <v>1064.25</v>
      </c>
      <c r="F441" s="98">
        <f t="shared" si="64"/>
        <v>42.57</v>
      </c>
      <c r="G441" s="101">
        <f t="shared" si="73"/>
        <v>74.497500000000002</v>
      </c>
      <c r="H441" s="101">
        <f t="shared" si="65"/>
        <v>85.14</v>
      </c>
      <c r="I441" s="101">
        <f t="shared" si="66"/>
        <v>95.782499999999999</v>
      </c>
      <c r="J441" s="101">
        <f t="shared" si="67"/>
        <v>117.0675</v>
      </c>
      <c r="K441" s="101">
        <f t="shared" si="68"/>
        <v>127.71000000000001</v>
      </c>
      <c r="L441" s="101">
        <f t="shared" si="69"/>
        <v>138.35249999999999</v>
      </c>
      <c r="M441" s="98">
        <f t="shared" si="70"/>
        <v>9.0909090909090917</v>
      </c>
      <c r="N441" s="98">
        <f t="shared" si="71"/>
        <v>8.3333333333333321</v>
      </c>
      <c r="O441" s="98">
        <f t="shared" si="72"/>
        <v>7.6923076923076925</v>
      </c>
    </row>
    <row r="442" spans="2:15" ht="15" customHeight="1" x14ac:dyDescent="0.25">
      <c r="B442" s="158"/>
      <c r="C442" s="95" t="s">
        <v>40</v>
      </c>
      <c r="D442" s="98">
        <v>1064.25</v>
      </c>
      <c r="E442" s="98">
        <v>1064.25</v>
      </c>
      <c r="F442" s="98">
        <f t="shared" si="64"/>
        <v>42.57</v>
      </c>
      <c r="G442" s="101">
        <f t="shared" si="73"/>
        <v>74.497500000000002</v>
      </c>
      <c r="H442" s="101">
        <f t="shared" si="65"/>
        <v>85.14</v>
      </c>
      <c r="I442" s="101">
        <f t="shared" si="66"/>
        <v>95.782499999999999</v>
      </c>
      <c r="J442" s="101">
        <f t="shared" si="67"/>
        <v>117.0675</v>
      </c>
      <c r="K442" s="101">
        <f t="shared" si="68"/>
        <v>127.71000000000001</v>
      </c>
      <c r="L442" s="101">
        <f t="shared" si="69"/>
        <v>138.35249999999999</v>
      </c>
      <c r="M442" s="98">
        <f t="shared" si="70"/>
        <v>9.0909090909090917</v>
      </c>
      <c r="N442" s="98">
        <f t="shared" si="71"/>
        <v>8.3333333333333321</v>
      </c>
      <c r="O442" s="98">
        <f t="shared" si="72"/>
        <v>7.6923076923076925</v>
      </c>
    </row>
    <row r="443" spans="2:15" ht="15" customHeight="1" x14ac:dyDescent="0.25">
      <c r="B443" s="158"/>
      <c r="C443" s="95" t="s">
        <v>41</v>
      </c>
      <c r="D443" s="98">
        <v>1064.25</v>
      </c>
      <c r="E443" s="98">
        <v>1064.25</v>
      </c>
      <c r="F443" s="98">
        <f t="shared" si="64"/>
        <v>42.57</v>
      </c>
      <c r="G443" s="101">
        <f t="shared" si="73"/>
        <v>74.497500000000002</v>
      </c>
      <c r="H443" s="101">
        <f t="shared" si="65"/>
        <v>85.14</v>
      </c>
      <c r="I443" s="101">
        <f t="shared" si="66"/>
        <v>95.782499999999999</v>
      </c>
      <c r="J443" s="101">
        <f t="shared" si="67"/>
        <v>117.0675</v>
      </c>
      <c r="K443" s="101">
        <f t="shared" si="68"/>
        <v>127.71000000000001</v>
      </c>
      <c r="L443" s="101">
        <f t="shared" si="69"/>
        <v>138.35249999999999</v>
      </c>
      <c r="M443" s="98">
        <f t="shared" si="70"/>
        <v>9.0909090909090917</v>
      </c>
      <c r="N443" s="98">
        <f t="shared" si="71"/>
        <v>8.3333333333333321</v>
      </c>
      <c r="O443" s="98">
        <f t="shared" si="72"/>
        <v>7.6923076923076925</v>
      </c>
    </row>
    <row r="444" spans="2:15" ht="15" customHeight="1" x14ac:dyDescent="0.25">
      <c r="B444" s="158"/>
      <c r="C444" s="95" t="s">
        <v>42</v>
      </c>
      <c r="D444" s="98">
        <v>1064.25</v>
      </c>
      <c r="E444" s="98">
        <v>1064.25</v>
      </c>
      <c r="F444" s="98">
        <f t="shared" si="64"/>
        <v>42.57</v>
      </c>
      <c r="G444" s="101">
        <f t="shared" si="73"/>
        <v>74.497500000000002</v>
      </c>
      <c r="H444" s="101">
        <f t="shared" si="65"/>
        <v>85.14</v>
      </c>
      <c r="I444" s="101">
        <f t="shared" si="66"/>
        <v>95.782499999999999</v>
      </c>
      <c r="J444" s="101">
        <f t="shared" si="67"/>
        <v>117.0675</v>
      </c>
      <c r="K444" s="101">
        <f t="shared" si="68"/>
        <v>127.71000000000001</v>
      </c>
      <c r="L444" s="101">
        <f t="shared" si="69"/>
        <v>138.35249999999999</v>
      </c>
      <c r="M444" s="98">
        <f t="shared" si="70"/>
        <v>9.0909090909090917</v>
      </c>
      <c r="N444" s="98">
        <f t="shared" si="71"/>
        <v>8.3333333333333321</v>
      </c>
      <c r="O444" s="98">
        <f t="shared" si="72"/>
        <v>7.6923076923076925</v>
      </c>
    </row>
    <row r="445" spans="2:15" ht="15" customHeight="1" x14ac:dyDescent="0.25">
      <c r="B445" s="158"/>
      <c r="C445" s="95" t="s">
        <v>43</v>
      </c>
      <c r="D445" s="98">
        <v>1064.25</v>
      </c>
      <c r="E445" s="98">
        <v>1064.25</v>
      </c>
      <c r="F445" s="98">
        <f t="shared" si="64"/>
        <v>42.57</v>
      </c>
      <c r="G445" s="101">
        <f t="shared" si="73"/>
        <v>74.497500000000002</v>
      </c>
      <c r="H445" s="101">
        <f t="shared" si="65"/>
        <v>85.14</v>
      </c>
      <c r="I445" s="101">
        <f t="shared" si="66"/>
        <v>95.782499999999999</v>
      </c>
      <c r="J445" s="101">
        <f t="shared" si="67"/>
        <v>117.0675</v>
      </c>
      <c r="K445" s="101">
        <f t="shared" si="68"/>
        <v>127.71000000000001</v>
      </c>
      <c r="L445" s="101">
        <f t="shared" si="69"/>
        <v>138.35249999999999</v>
      </c>
      <c r="M445" s="98">
        <f t="shared" si="70"/>
        <v>9.0909090909090917</v>
      </c>
      <c r="N445" s="98">
        <f t="shared" si="71"/>
        <v>8.3333333333333321</v>
      </c>
      <c r="O445" s="98">
        <f t="shared" si="72"/>
        <v>7.6923076923076925</v>
      </c>
    </row>
    <row r="446" spans="2:15" ht="15" customHeight="1" x14ac:dyDescent="0.25">
      <c r="B446" s="158"/>
      <c r="C446" s="95" t="s">
        <v>44</v>
      </c>
      <c r="D446" s="98">
        <v>1064.25</v>
      </c>
      <c r="E446" s="98">
        <v>1064.25</v>
      </c>
      <c r="F446" s="98">
        <f t="shared" si="64"/>
        <v>42.57</v>
      </c>
      <c r="G446" s="101">
        <f t="shared" si="73"/>
        <v>74.497500000000002</v>
      </c>
      <c r="H446" s="101">
        <f t="shared" si="65"/>
        <v>85.14</v>
      </c>
      <c r="I446" s="101">
        <f t="shared" si="66"/>
        <v>95.782499999999999</v>
      </c>
      <c r="J446" s="101">
        <f t="shared" si="67"/>
        <v>117.0675</v>
      </c>
      <c r="K446" s="101">
        <f t="shared" si="68"/>
        <v>127.71000000000001</v>
      </c>
      <c r="L446" s="101">
        <f t="shared" si="69"/>
        <v>138.35249999999999</v>
      </c>
      <c r="M446" s="98">
        <f t="shared" si="70"/>
        <v>9.0909090909090917</v>
      </c>
      <c r="N446" s="98">
        <f t="shared" si="71"/>
        <v>8.3333333333333321</v>
      </c>
      <c r="O446" s="98">
        <f t="shared" si="72"/>
        <v>7.6923076923076925</v>
      </c>
    </row>
    <row r="447" spans="2:15" ht="15" customHeight="1" x14ac:dyDescent="0.25">
      <c r="B447" s="158"/>
      <c r="C447" s="95" t="s">
        <v>45</v>
      </c>
      <c r="D447" s="98">
        <v>1223.8900000000001</v>
      </c>
      <c r="E447" s="98">
        <v>1223.8900000000001</v>
      </c>
      <c r="F447" s="98">
        <f t="shared" si="64"/>
        <v>48.955600000000004</v>
      </c>
      <c r="G447" s="101">
        <f t="shared" si="73"/>
        <v>85.672300000000021</v>
      </c>
      <c r="H447" s="101">
        <f t="shared" si="65"/>
        <v>97.911200000000008</v>
      </c>
      <c r="I447" s="101">
        <f t="shared" si="66"/>
        <v>110.15010000000001</v>
      </c>
      <c r="J447" s="101">
        <f t="shared" si="67"/>
        <v>134.62790000000001</v>
      </c>
      <c r="K447" s="101">
        <f t="shared" si="68"/>
        <v>146.86680000000001</v>
      </c>
      <c r="L447" s="101">
        <f t="shared" si="69"/>
        <v>159.10570000000001</v>
      </c>
      <c r="M447" s="98">
        <f t="shared" si="70"/>
        <v>9.0909090909090917</v>
      </c>
      <c r="N447" s="98">
        <f t="shared" si="71"/>
        <v>8.3333333333333339</v>
      </c>
      <c r="O447" s="98">
        <f t="shared" si="72"/>
        <v>7.6923076923076925</v>
      </c>
    </row>
    <row r="448" spans="2:15" ht="15" customHeight="1" x14ac:dyDescent="0.25">
      <c r="B448" s="158"/>
      <c r="C448" s="95" t="s">
        <v>46</v>
      </c>
      <c r="D448" s="98">
        <v>1223.8900000000001</v>
      </c>
      <c r="E448" s="98">
        <v>1223.8900000000001</v>
      </c>
      <c r="F448" s="98">
        <f t="shared" si="64"/>
        <v>48.955600000000004</v>
      </c>
      <c r="G448" s="101">
        <f t="shared" si="73"/>
        <v>85.672300000000021</v>
      </c>
      <c r="H448" s="101">
        <f t="shared" si="65"/>
        <v>97.911200000000008</v>
      </c>
      <c r="I448" s="101">
        <f t="shared" si="66"/>
        <v>110.15010000000001</v>
      </c>
      <c r="J448" s="101">
        <f t="shared" si="67"/>
        <v>134.62790000000001</v>
      </c>
      <c r="K448" s="101">
        <f t="shared" si="68"/>
        <v>146.86680000000001</v>
      </c>
      <c r="L448" s="101">
        <f t="shared" si="69"/>
        <v>159.10570000000001</v>
      </c>
      <c r="M448" s="98">
        <f t="shared" si="70"/>
        <v>9.0909090909090917</v>
      </c>
      <c r="N448" s="98">
        <f t="shared" si="71"/>
        <v>8.3333333333333339</v>
      </c>
      <c r="O448" s="98">
        <f t="shared" si="72"/>
        <v>7.6923076923076925</v>
      </c>
    </row>
    <row r="449" spans="2:15" ht="15" customHeight="1" x14ac:dyDescent="0.25">
      <c r="B449" s="158"/>
      <c r="C449" s="95" t="s">
        <v>47</v>
      </c>
      <c r="D449" s="98">
        <v>1223.8900000000001</v>
      </c>
      <c r="E449" s="98">
        <v>1223.8900000000001</v>
      </c>
      <c r="F449" s="98">
        <f t="shared" si="64"/>
        <v>48.955600000000004</v>
      </c>
      <c r="G449" s="101">
        <f t="shared" si="73"/>
        <v>85.672300000000021</v>
      </c>
      <c r="H449" s="101">
        <f t="shared" si="65"/>
        <v>97.911200000000008</v>
      </c>
      <c r="I449" s="101">
        <f t="shared" si="66"/>
        <v>110.15010000000001</v>
      </c>
      <c r="J449" s="101">
        <f t="shared" si="67"/>
        <v>134.62790000000001</v>
      </c>
      <c r="K449" s="101">
        <f t="shared" si="68"/>
        <v>146.86680000000001</v>
      </c>
      <c r="L449" s="101">
        <f t="shared" si="69"/>
        <v>159.10570000000001</v>
      </c>
      <c r="M449" s="98">
        <f t="shared" si="70"/>
        <v>9.0909090909090917</v>
      </c>
      <c r="N449" s="98">
        <f t="shared" si="71"/>
        <v>8.3333333333333339</v>
      </c>
      <c r="O449" s="98">
        <f t="shared" si="72"/>
        <v>7.6923076923076925</v>
      </c>
    </row>
    <row r="450" spans="2:15" ht="15" customHeight="1" x14ac:dyDescent="0.25">
      <c r="B450" s="159"/>
      <c r="C450" s="96" t="s">
        <v>48</v>
      </c>
      <c r="D450" s="99">
        <v>1223.8900000000001</v>
      </c>
      <c r="E450" s="99">
        <v>1223.8900000000001</v>
      </c>
      <c r="F450" s="99">
        <f t="shared" si="64"/>
        <v>48.955600000000004</v>
      </c>
      <c r="G450" s="102">
        <f t="shared" si="73"/>
        <v>85.672300000000021</v>
      </c>
      <c r="H450" s="102">
        <f t="shared" si="65"/>
        <v>97.911200000000008</v>
      </c>
      <c r="I450" s="102">
        <f t="shared" si="66"/>
        <v>110.15010000000001</v>
      </c>
      <c r="J450" s="102">
        <f t="shared" si="67"/>
        <v>134.62790000000001</v>
      </c>
      <c r="K450" s="102">
        <f t="shared" si="68"/>
        <v>146.86680000000001</v>
      </c>
      <c r="L450" s="102">
        <f t="shared" si="69"/>
        <v>159.10570000000001</v>
      </c>
      <c r="M450" s="99">
        <f t="shared" si="70"/>
        <v>9.0909090909090917</v>
      </c>
      <c r="N450" s="99">
        <f t="shared" si="71"/>
        <v>8.3333333333333339</v>
      </c>
      <c r="O450" s="99">
        <f t="shared" si="72"/>
        <v>7.6923076923076925</v>
      </c>
    </row>
    <row r="451" spans="2:15" ht="15" customHeight="1" x14ac:dyDescent="0.25">
      <c r="B451" s="157">
        <v>2011</v>
      </c>
      <c r="C451" s="94" t="s">
        <v>36</v>
      </c>
      <c r="D451" s="97">
        <v>1223.8900000000001</v>
      </c>
      <c r="E451" s="97">
        <v>1223.8900000000001</v>
      </c>
      <c r="F451" s="97">
        <f t="shared" si="64"/>
        <v>48.955600000000004</v>
      </c>
      <c r="G451" s="100">
        <f t="shared" si="73"/>
        <v>85.672300000000021</v>
      </c>
      <c r="H451" s="100">
        <f t="shared" si="65"/>
        <v>97.911200000000008</v>
      </c>
      <c r="I451" s="100">
        <f t="shared" si="66"/>
        <v>110.15010000000001</v>
      </c>
      <c r="J451" s="100">
        <f t="shared" si="67"/>
        <v>134.62790000000001</v>
      </c>
      <c r="K451" s="100">
        <f t="shared" si="68"/>
        <v>146.86680000000001</v>
      </c>
      <c r="L451" s="100">
        <f t="shared" si="69"/>
        <v>159.10570000000001</v>
      </c>
      <c r="M451" s="97">
        <f t="shared" si="70"/>
        <v>9.0909090909090917</v>
      </c>
      <c r="N451" s="97">
        <f t="shared" si="71"/>
        <v>8.3333333333333339</v>
      </c>
      <c r="O451" s="97">
        <f t="shared" si="72"/>
        <v>7.6923076923076925</v>
      </c>
    </row>
    <row r="452" spans="2:15" ht="15" customHeight="1" x14ac:dyDescent="0.25">
      <c r="B452" s="158"/>
      <c r="C452" s="95" t="s">
        <v>38</v>
      </c>
      <c r="D452" s="98">
        <v>1223.8900000000001</v>
      </c>
      <c r="E452" s="98">
        <v>1223.8900000000001</v>
      </c>
      <c r="F452" s="98">
        <f t="shared" si="64"/>
        <v>48.955600000000004</v>
      </c>
      <c r="G452" s="101">
        <f t="shared" si="73"/>
        <v>85.672300000000021</v>
      </c>
      <c r="H452" s="101">
        <f t="shared" si="65"/>
        <v>97.911200000000008</v>
      </c>
      <c r="I452" s="101">
        <f t="shared" si="66"/>
        <v>110.15010000000001</v>
      </c>
      <c r="J452" s="101">
        <f t="shared" si="67"/>
        <v>134.62790000000001</v>
      </c>
      <c r="K452" s="101">
        <f t="shared" si="68"/>
        <v>146.86680000000001</v>
      </c>
      <c r="L452" s="101">
        <f t="shared" si="69"/>
        <v>159.10570000000001</v>
      </c>
      <c r="M452" s="98">
        <f t="shared" si="70"/>
        <v>9.0909090909090917</v>
      </c>
      <c r="N452" s="98">
        <f t="shared" si="71"/>
        <v>8.3333333333333339</v>
      </c>
      <c r="O452" s="98">
        <f t="shared" si="72"/>
        <v>7.6923076923076925</v>
      </c>
    </row>
    <row r="453" spans="2:15" ht="15" customHeight="1" x14ac:dyDescent="0.25">
      <c r="B453" s="158"/>
      <c r="C453" s="95" t="s">
        <v>39</v>
      </c>
      <c r="D453" s="98">
        <v>1223.8900000000001</v>
      </c>
      <c r="E453" s="98">
        <v>1223.8900000000001</v>
      </c>
      <c r="F453" s="98">
        <f t="shared" si="64"/>
        <v>48.955600000000004</v>
      </c>
      <c r="G453" s="101">
        <f t="shared" si="73"/>
        <v>85.672300000000021</v>
      </c>
      <c r="H453" s="101">
        <f t="shared" si="65"/>
        <v>97.911200000000008</v>
      </c>
      <c r="I453" s="101">
        <f t="shared" si="66"/>
        <v>110.15010000000001</v>
      </c>
      <c r="J453" s="101">
        <f t="shared" si="67"/>
        <v>134.62790000000001</v>
      </c>
      <c r="K453" s="101">
        <f t="shared" si="68"/>
        <v>146.86680000000001</v>
      </c>
      <c r="L453" s="101">
        <f t="shared" si="69"/>
        <v>159.10570000000001</v>
      </c>
      <c r="M453" s="98">
        <f t="shared" si="70"/>
        <v>9.0909090909090917</v>
      </c>
      <c r="N453" s="98">
        <f t="shared" si="71"/>
        <v>8.3333333333333339</v>
      </c>
      <c r="O453" s="98">
        <f t="shared" si="72"/>
        <v>7.6923076923076925</v>
      </c>
    </row>
    <row r="454" spans="2:15" ht="15" customHeight="1" x14ac:dyDescent="0.25">
      <c r="B454" s="158"/>
      <c r="C454" s="95" t="s">
        <v>40</v>
      </c>
      <c r="D454" s="98">
        <v>1223.8900000000001</v>
      </c>
      <c r="E454" s="98">
        <v>1223.8900000000001</v>
      </c>
      <c r="F454" s="98">
        <f t="shared" si="64"/>
        <v>48.955600000000004</v>
      </c>
      <c r="G454" s="101">
        <f t="shared" si="73"/>
        <v>85.672300000000021</v>
      </c>
      <c r="H454" s="101">
        <f t="shared" si="65"/>
        <v>97.911200000000008</v>
      </c>
      <c r="I454" s="101">
        <f t="shared" si="66"/>
        <v>110.15010000000001</v>
      </c>
      <c r="J454" s="101">
        <f t="shared" si="67"/>
        <v>134.62790000000001</v>
      </c>
      <c r="K454" s="101">
        <f t="shared" si="68"/>
        <v>146.86680000000001</v>
      </c>
      <c r="L454" s="101">
        <f t="shared" si="69"/>
        <v>159.10570000000001</v>
      </c>
      <c r="M454" s="98">
        <f t="shared" si="70"/>
        <v>9.0909090909090917</v>
      </c>
      <c r="N454" s="98">
        <f t="shared" si="71"/>
        <v>8.3333333333333339</v>
      </c>
      <c r="O454" s="98">
        <f t="shared" si="72"/>
        <v>7.6923076923076925</v>
      </c>
    </row>
    <row r="455" spans="2:15" ht="15" customHeight="1" x14ac:dyDescent="0.25">
      <c r="B455" s="158"/>
      <c r="C455" s="95" t="s">
        <v>41</v>
      </c>
      <c r="D455" s="98">
        <v>1407.47</v>
      </c>
      <c r="E455" s="98">
        <v>1407.47</v>
      </c>
      <c r="F455" s="98">
        <f t="shared" si="64"/>
        <v>56.2988</v>
      </c>
      <c r="G455" s="101">
        <f t="shared" si="73"/>
        <v>98.522900000000007</v>
      </c>
      <c r="H455" s="101">
        <f t="shared" si="65"/>
        <v>112.5976</v>
      </c>
      <c r="I455" s="101">
        <f t="shared" si="66"/>
        <v>126.67229999999999</v>
      </c>
      <c r="J455" s="101">
        <f t="shared" si="67"/>
        <v>154.82170000000002</v>
      </c>
      <c r="K455" s="101">
        <f t="shared" si="68"/>
        <v>168.8964</v>
      </c>
      <c r="L455" s="101">
        <f t="shared" si="69"/>
        <v>182.97109999999998</v>
      </c>
      <c r="M455" s="98">
        <f t="shared" si="70"/>
        <v>9.0909090909090899</v>
      </c>
      <c r="N455" s="98">
        <f t="shared" si="71"/>
        <v>8.3333333333333339</v>
      </c>
      <c r="O455" s="98">
        <f t="shared" si="72"/>
        <v>7.6923076923076934</v>
      </c>
    </row>
    <row r="456" spans="2:15" ht="15" customHeight="1" x14ac:dyDescent="0.25">
      <c r="B456" s="158"/>
      <c r="C456" s="95" t="s">
        <v>42</v>
      </c>
      <c r="D456" s="98">
        <v>1407.47</v>
      </c>
      <c r="E456" s="98">
        <v>1407.47</v>
      </c>
      <c r="F456" s="98">
        <f t="shared" si="64"/>
        <v>56.2988</v>
      </c>
      <c r="G456" s="101">
        <f t="shared" si="73"/>
        <v>98.522900000000007</v>
      </c>
      <c r="H456" s="101">
        <f t="shared" si="65"/>
        <v>112.5976</v>
      </c>
      <c r="I456" s="101">
        <f t="shared" si="66"/>
        <v>126.67229999999999</v>
      </c>
      <c r="J456" s="101">
        <f t="shared" si="67"/>
        <v>154.82170000000002</v>
      </c>
      <c r="K456" s="101">
        <f t="shared" si="68"/>
        <v>168.8964</v>
      </c>
      <c r="L456" s="101">
        <f t="shared" si="69"/>
        <v>182.97109999999998</v>
      </c>
      <c r="M456" s="98">
        <f t="shared" si="70"/>
        <v>9.0909090909090899</v>
      </c>
      <c r="N456" s="98">
        <f t="shared" si="71"/>
        <v>8.3333333333333339</v>
      </c>
      <c r="O456" s="98">
        <f t="shared" si="72"/>
        <v>7.6923076923076934</v>
      </c>
    </row>
    <row r="457" spans="2:15" ht="15" customHeight="1" x14ac:dyDescent="0.25">
      <c r="B457" s="158"/>
      <c r="C457" s="95" t="s">
        <v>43</v>
      </c>
      <c r="D457" s="98">
        <v>1407.47</v>
      </c>
      <c r="E457" s="98">
        <v>1407.47</v>
      </c>
      <c r="F457" s="98">
        <f t="shared" si="64"/>
        <v>56.2988</v>
      </c>
      <c r="G457" s="101">
        <f t="shared" si="73"/>
        <v>98.522900000000007</v>
      </c>
      <c r="H457" s="101">
        <f t="shared" si="65"/>
        <v>112.5976</v>
      </c>
      <c r="I457" s="101">
        <f t="shared" si="66"/>
        <v>126.67229999999999</v>
      </c>
      <c r="J457" s="101">
        <f t="shared" si="67"/>
        <v>154.82170000000002</v>
      </c>
      <c r="K457" s="101">
        <f t="shared" si="68"/>
        <v>168.8964</v>
      </c>
      <c r="L457" s="101">
        <f t="shared" si="69"/>
        <v>182.97109999999998</v>
      </c>
      <c r="M457" s="98">
        <f t="shared" si="70"/>
        <v>9.0909090909090899</v>
      </c>
      <c r="N457" s="98">
        <f t="shared" si="71"/>
        <v>8.3333333333333339</v>
      </c>
      <c r="O457" s="98">
        <f t="shared" si="72"/>
        <v>7.6923076923076934</v>
      </c>
    </row>
    <row r="458" spans="2:15" ht="15" customHeight="1" x14ac:dyDescent="0.25">
      <c r="B458" s="158"/>
      <c r="C458" s="95" t="s">
        <v>44</v>
      </c>
      <c r="D458" s="98">
        <v>1407.47</v>
      </c>
      <c r="E458" s="98">
        <v>1407.47</v>
      </c>
      <c r="F458" s="98">
        <f t="shared" si="64"/>
        <v>56.2988</v>
      </c>
      <c r="G458" s="101">
        <f t="shared" si="73"/>
        <v>98.522900000000007</v>
      </c>
      <c r="H458" s="101">
        <f t="shared" si="65"/>
        <v>112.5976</v>
      </c>
      <c r="I458" s="101">
        <f t="shared" si="66"/>
        <v>126.67229999999999</v>
      </c>
      <c r="J458" s="101">
        <f t="shared" si="67"/>
        <v>154.82170000000002</v>
      </c>
      <c r="K458" s="101">
        <f t="shared" si="68"/>
        <v>168.8964</v>
      </c>
      <c r="L458" s="101">
        <f t="shared" si="69"/>
        <v>182.97109999999998</v>
      </c>
      <c r="M458" s="98">
        <f t="shared" si="70"/>
        <v>9.0909090909090899</v>
      </c>
      <c r="N458" s="98">
        <f t="shared" si="71"/>
        <v>8.3333333333333339</v>
      </c>
      <c r="O458" s="98">
        <f t="shared" si="72"/>
        <v>7.6923076923076934</v>
      </c>
    </row>
    <row r="459" spans="2:15" ht="15" customHeight="1" x14ac:dyDescent="0.25">
      <c r="B459" s="158"/>
      <c r="C459" s="95" t="s">
        <v>45</v>
      </c>
      <c r="D459" s="98">
        <v>1548.22</v>
      </c>
      <c r="E459" s="98">
        <v>1548.22</v>
      </c>
      <c r="F459" s="98">
        <f t="shared" si="64"/>
        <v>61.928800000000003</v>
      </c>
      <c r="G459" s="101">
        <f t="shared" si="73"/>
        <v>108.37540000000001</v>
      </c>
      <c r="H459" s="101">
        <f t="shared" si="65"/>
        <v>123.85760000000001</v>
      </c>
      <c r="I459" s="101">
        <f t="shared" si="66"/>
        <v>139.3398</v>
      </c>
      <c r="J459" s="101">
        <f t="shared" si="67"/>
        <v>170.30420000000001</v>
      </c>
      <c r="K459" s="101">
        <f t="shared" si="68"/>
        <v>185.78640000000001</v>
      </c>
      <c r="L459" s="101">
        <f t="shared" si="69"/>
        <v>201.26859999999999</v>
      </c>
      <c r="M459" s="98">
        <f t="shared" si="70"/>
        <v>9.0909090909090899</v>
      </c>
      <c r="N459" s="98">
        <f t="shared" si="71"/>
        <v>8.3333333333333321</v>
      </c>
      <c r="O459" s="98">
        <f t="shared" si="72"/>
        <v>7.6923076923076925</v>
      </c>
    </row>
    <row r="460" spans="2:15" ht="15" customHeight="1" x14ac:dyDescent="0.25">
      <c r="B460" s="158"/>
      <c r="C460" s="95" t="s">
        <v>46</v>
      </c>
      <c r="D460" s="98">
        <v>1548.22</v>
      </c>
      <c r="E460" s="98">
        <v>1548.22</v>
      </c>
      <c r="F460" s="98">
        <f t="shared" si="64"/>
        <v>61.928800000000003</v>
      </c>
      <c r="G460" s="101">
        <f t="shared" si="73"/>
        <v>108.37540000000001</v>
      </c>
      <c r="H460" s="101">
        <f t="shared" si="65"/>
        <v>123.85760000000001</v>
      </c>
      <c r="I460" s="101">
        <f t="shared" si="66"/>
        <v>139.3398</v>
      </c>
      <c r="J460" s="101">
        <f t="shared" si="67"/>
        <v>170.30420000000001</v>
      </c>
      <c r="K460" s="101">
        <f t="shared" si="68"/>
        <v>185.78640000000001</v>
      </c>
      <c r="L460" s="101">
        <f t="shared" si="69"/>
        <v>201.26859999999999</v>
      </c>
      <c r="M460" s="98">
        <f t="shared" si="70"/>
        <v>9.0909090909090899</v>
      </c>
      <c r="N460" s="98">
        <f t="shared" si="71"/>
        <v>8.3333333333333321</v>
      </c>
      <c r="O460" s="98">
        <f t="shared" si="72"/>
        <v>7.6923076923076925</v>
      </c>
    </row>
    <row r="461" spans="2:15" ht="15" customHeight="1" x14ac:dyDescent="0.25">
      <c r="B461" s="158"/>
      <c r="C461" s="95" t="s">
        <v>47</v>
      </c>
      <c r="D461" s="98">
        <v>1548.22</v>
      </c>
      <c r="E461" s="98">
        <v>1548.22</v>
      </c>
      <c r="F461" s="98">
        <f t="shared" ref="F461:F524" si="74">+D461*4%</f>
        <v>61.928800000000003</v>
      </c>
      <c r="G461" s="101">
        <f t="shared" si="73"/>
        <v>108.37540000000001</v>
      </c>
      <c r="H461" s="101">
        <f t="shared" ref="H461:H524" si="75">+D461*8%</f>
        <v>123.85760000000001</v>
      </c>
      <c r="I461" s="101">
        <f t="shared" ref="I461:I524" si="76">+D461*9%</f>
        <v>139.3398</v>
      </c>
      <c r="J461" s="101">
        <f t="shared" ref="J461:J524" si="77">+F461+G461</f>
        <v>170.30420000000001</v>
      </c>
      <c r="K461" s="101">
        <f t="shared" ref="K461:K524" si="78">+F461+H461</f>
        <v>185.78640000000001</v>
      </c>
      <c r="L461" s="101">
        <f t="shared" ref="L461:L524" si="79">+F461+I461</f>
        <v>201.26859999999999</v>
      </c>
      <c r="M461" s="98">
        <f t="shared" ref="M461:M524" si="80">+E461/J461</f>
        <v>9.0909090909090899</v>
      </c>
      <c r="N461" s="98">
        <f t="shared" ref="N461:N524" si="81">+E461/K461</f>
        <v>8.3333333333333321</v>
      </c>
      <c r="O461" s="98">
        <f t="shared" ref="O461:O524" si="82">+E461/L461</f>
        <v>7.6923076923076925</v>
      </c>
    </row>
    <row r="462" spans="2:15" ht="15" customHeight="1" x14ac:dyDescent="0.25">
      <c r="B462" s="159"/>
      <c r="C462" s="96" t="s">
        <v>48</v>
      </c>
      <c r="D462" s="99">
        <v>1548.22</v>
      </c>
      <c r="E462" s="99">
        <v>1548.22</v>
      </c>
      <c r="F462" s="99">
        <f t="shared" si="74"/>
        <v>61.928800000000003</v>
      </c>
      <c r="G462" s="102">
        <f t="shared" ref="G462:G525" si="83">+D462*7%</f>
        <v>108.37540000000001</v>
      </c>
      <c r="H462" s="102">
        <f t="shared" si="75"/>
        <v>123.85760000000001</v>
      </c>
      <c r="I462" s="102">
        <f t="shared" si="76"/>
        <v>139.3398</v>
      </c>
      <c r="J462" s="102">
        <f t="shared" si="77"/>
        <v>170.30420000000001</v>
      </c>
      <c r="K462" s="102">
        <f t="shared" si="78"/>
        <v>185.78640000000001</v>
      </c>
      <c r="L462" s="102">
        <f t="shared" si="79"/>
        <v>201.26859999999999</v>
      </c>
      <c r="M462" s="99">
        <f t="shared" si="80"/>
        <v>9.0909090909090899</v>
      </c>
      <c r="N462" s="99">
        <f t="shared" si="81"/>
        <v>8.3333333333333321</v>
      </c>
      <c r="O462" s="99">
        <f t="shared" si="82"/>
        <v>7.6923076923076925</v>
      </c>
    </row>
    <row r="463" spans="2:15" ht="15" customHeight="1" x14ac:dyDescent="0.25">
      <c r="B463" s="157">
        <v>2012</v>
      </c>
      <c r="C463" s="94" t="s">
        <v>36</v>
      </c>
      <c r="D463" s="97">
        <v>1548.22</v>
      </c>
      <c r="E463" s="97">
        <v>1548.22</v>
      </c>
      <c r="F463" s="97">
        <f t="shared" si="74"/>
        <v>61.928800000000003</v>
      </c>
      <c r="G463" s="100">
        <f t="shared" si="83"/>
        <v>108.37540000000001</v>
      </c>
      <c r="H463" s="100">
        <f t="shared" si="75"/>
        <v>123.85760000000001</v>
      </c>
      <c r="I463" s="100">
        <f t="shared" si="76"/>
        <v>139.3398</v>
      </c>
      <c r="J463" s="100">
        <f t="shared" si="77"/>
        <v>170.30420000000001</v>
      </c>
      <c r="K463" s="100">
        <f t="shared" si="78"/>
        <v>185.78640000000001</v>
      </c>
      <c r="L463" s="100">
        <f t="shared" si="79"/>
        <v>201.26859999999999</v>
      </c>
      <c r="M463" s="97">
        <f t="shared" si="80"/>
        <v>9.0909090909090899</v>
      </c>
      <c r="N463" s="97">
        <f t="shared" si="81"/>
        <v>8.3333333333333321</v>
      </c>
      <c r="O463" s="97">
        <f t="shared" si="82"/>
        <v>7.6923076923076925</v>
      </c>
    </row>
    <row r="464" spans="2:15" ht="15" customHeight="1" x14ac:dyDescent="0.25">
      <c r="B464" s="158"/>
      <c r="C464" s="95" t="s">
        <v>38</v>
      </c>
      <c r="D464" s="98">
        <v>1548.22</v>
      </c>
      <c r="E464" s="98">
        <v>1548.22</v>
      </c>
      <c r="F464" s="98">
        <f t="shared" si="74"/>
        <v>61.928800000000003</v>
      </c>
      <c r="G464" s="101">
        <f t="shared" si="83"/>
        <v>108.37540000000001</v>
      </c>
      <c r="H464" s="101">
        <f t="shared" si="75"/>
        <v>123.85760000000001</v>
      </c>
      <c r="I464" s="101">
        <f t="shared" si="76"/>
        <v>139.3398</v>
      </c>
      <c r="J464" s="101">
        <f t="shared" si="77"/>
        <v>170.30420000000001</v>
      </c>
      <c r="K464" s="101">
        <f t="shared" si="78"/>
        <v>185.78640000000001</v>
      </c>
      <c r="L464" s="101">
        <f t="shared" si="79"/>
        <v>201.26859999999999</v>
      </c>
      <c r="M464" s="98">
        <f t="shared" si="80"/>
        <v>9.0909090909090899</v>
      </c>
      <c r="N464" s="98">
        <f t="shared" si="81"/>
        <v>8.3333333333333321</v>
      </c>
      <c r="O464" s="98">
        <f t="shared" si="82"/>
        <v>7.6923076923076925</v>
      </c>
    </row>
    <row r="465" spans="2:15" ht="15" customHeight="1" x14ac:dyDescent="0.25">
      <c r="B465" s="158"/>
      <c r="C465" s="95" t="s">
        <v>39</v>
      </c>
      <c r="D465" s="98">
        <v>1548.22</v>
      </c>
      <c r="E465" s="98">
        <v>1548.22</v>
      </c>
      <c r="F465" s="98">
        <f t="shared" si="74"/>
        <v>61.928800000000003</v>
      </c>
      <c r="G465" s="101">
        <f t="shared" si="83"/>
        <v>108.37540000000001</v>
      </c>
      <c r="H465" s="101">
        <f t="shared" si="75"/>
        <v>123.85760000000001</v>
      </c>
      <c r="I465" s="101">
        <f t="shared" si="76"/>
        <v>139.3398</v>
      </c>
      <c r="J465" s="101">
        <f t="shared" si="77"/>
        <v>170.30420000000001</v>
      </c>
      <c r="K465" s="101">
        <f t="shared" si="78"/>
        <v>185.78640000000001</v>
      </c>
      <c r="L465" s="101">
        <f t="shared" si="79"/>
        <v>201.26859999999999</v>
      </c>
      <c r="M465" s="98">
        <f t="shared" si="80"/>
        <v>9.0909090909090899</v>
      </c>
      <c r="N465" s="98">
        <f t="shared" si="81"/>
        <v>8.3333333333333321</v>
      </c>
      <c r="O465" s="98">
        <f t="shared" si="82"/>
        <v>7.6923076923076925</v>
      </c>
    </row>
    <row r="466" spans="2:15" ht="15" customHeight="1" x14ac:dyDescent="0.25">
      <c r="B466" s="158"/>
      <c r="C466" s="95" t="s">
        <v>40</v>
      </c>
      <c r="D466" s="98">
        <v>1548.22</v>
      </c>
      <c r="E466" s="98">
        <v>1548.22</v>
      </c>
      <c r="F466" s="98">
        <f t="shared" si="74"/>
        <v>61.928800000000003</v>
      </c>
      <c r="G466" s="101">
        <f t="shared" si="83"/>
        <v>108.37540000000001</v>
      </c>
      <c r="H466" s="101">
        <f t="shared" si="75"/>
        <v>123.85760000000001</v>
      </c>
      <c r="I466" s="101">
        <f t="shared" si="76"/>
        <v>139.3398</v>
      </c>
      <c r="J466" s="101">
        <f t="shared" si="77"/>
        <v>170.30420000000001</v>
      </c>
      <c r="K466" s="101">
        <f t="shared" si="78"/>
        <v>185.78640000000001</v>
      </c>
      <c r="L466" s="101">
        <f t="shared" si="79"/>
        <v>201.26859999999999</v>
      </c>
      <c r="M466" s="98">
        <f t="shared" si="80"/>
        <v>9.0909090909090899</v>
      </c>
      <c r="N466" s="98">
        <f t="shared" si="81"/>
        <v>8.3333333333333321</v>
      </c>
      <c r="O466" s="98">
        <f t="shared" si="82"/>
        <v>7.6923076923076925</v>
      </c>
    </row>
    <row r="467" spans="2:15" ht="15" customHeight="1" x14ac:dyDescent="0.25">
      <c r="B467" s="158"/>
      <c r="C467" s="95" t="s">
        <v>41</v>
      </c>
      <c r="D467" s="98">
        <v>1780.45</v>
      </c>
      <c r="E467" s="98">
        <v>1780.45</v>
      </c>
      <c r="F467" s="98">
        <f t="shared" si="74"/>
        <v>71.218000000000004</v>
      </c>
      <c r="G467" s="101">
        <f t="shared" si="83"/>
        <v>124.63150000000002</v>
      </c>
      <c r="H467" s="101">
        <f t="shared" si="75"/>
        <v>142.43600000000001</v>
      </c>
      <c r="I467" s="101">
        <f t="shared" si="76"/>
        <v>160.2405</v>
      </c>
      <c r="J467" s="101">
        <f t="shared" si="77"/>
        <v>195.84950000000003</v>
      </c>
      <c r="K467" s="101">
        <f t="shared" si="78"/>
        <v>213.654</v>
      </c>
      <c r="L467" s="101">
        <f t="shared" si="79"/>
        <v>231.45850000000002</v>
      </c>
      <c r="M467" s="98">
        <f t="shared" si="80"/>
        <v>9.0909090909090899</v>
      </c>
      <c r="N467" s="98">
        <f t="shared" si="81"/>
        <v>8.3333333333333339</v>
      </c>
      <c r="O467" s="98">
        <f t="shared" si="82"/>
        <v>7.6923076923076916</v>
      </c>
    </row>
    <row r="468" spans="2:15" ht="15" customHeight="1" x14ac:dyDescent="0.25">
      <c r="B468" s="158"/>
      <c r="C468" s="95" t="s">
        <v>42</v>
      </c>
      <c r="D468" s="98">
        <v>1780.45</v>
      </c>
      <c r="E468" s="98">
        <v>1780.45</v>
      </c>
      <c r="F468" s="98">
        <f t="shared" si="74"/>
        <v>71.218000000000004</v>
      </c>
      <c r="G468" s="101">
        <f t="shared" si="83"/>
        <v>124.63150000000002</v>
      </c>
      <c r="H468" s="101">
        <f t="shared" si="75"/>
        <v>142.43600000000001</v>
      </c>
      <c r="I468" s="101">
        <f t="shared" si="76"/>
        <v>160.2405</v>
      </c>
      <c r="J468" s="101">
        <f t="shared" si="77"/>
        <v>195.84950000000003</v>
      </c>
      <c r="K468" s="101">
        <f t="shared" si="78"/>
        <v>213.654</v>
      </c>
      <c r="L468" s="101">
        <f t="shared" si="79"/>
        <v>231.45850000000002</v>
      </c>
      <c r="M468" s="98">
        <f t="shared" si="80"/>
        <v>9.0909090909090899</v>
      </c>
      <c r="N468" s="98">
        <f t="shared" si="81"/>
        <v>8.3333333333333339</v>
      </c>
      <c r="O468" s="98">
        <f t="shared" si="82"/>
        <v>7.6923076923076916</v>
      </c>
    </row>
    <row r="469" spans="2:15" ht="15" customHeight="1" x14ac:dyDescent="0.25">
      <c r="B469" s="158"/>
      <c r="C469" s="95" t="s">
        <v>43</v>
      </c>
      <c r="D469" s="98">
        <v>1780.45</v>
      </c>
      <c r="E469" s="98">
        <v>1780.45</v>
      </c>
      <c r="F469" s="98">
        <f t="shared" si="74"/>
        <v>71.218000000000004</v>
      </c>
      <c r="G469" s="101">
        <f t="shared" si="83"/>
        <v>124.63150000000002</v>
      </c>
      <c r="H469" s="101">
        <f t="shared" si="75"/>
        <v>142.43600000000001</v>
      </c>
      <c r="I469" s="101">
        <f t="shared" si="76"/>
        <v>160.2405</v>
      </c>
      <c r="J469" s="101">
        <f t="shared" si="77"/>
        <v>195.84950000000003</v>
      </c>
      <c r="K469" s="101">
        <f t="shared" si="78"/>
        <v>213.654</v>
      </c>
      <c r="L469" s="101">
        <f t="shared" si="79"/>
        <v>231.45850000000002</v>
      </c>
      <c r="M469" s="98">
        <f t="shared" si="80"/>
        <v>9.0909090909090899</v>
      </c>
      <c r="N469" s="98">
        <f t="shared" si="81"/>
        <v>8.3333333333333339</v>
      </c>
      <c r="O469" s="98">
        <f t="shared" si="82"/>
        <v>7.6923076923076916</v>
      </c>
    </row>
    <row r="470" spans="2:15" ht="15" customHeight="1" x14ac:dyDescent="0.25">
      <c r="B470" s="158"/>
      <c r="C470" s="95" t="s">
        <v>44</v>
      </c>
      <c r="D470" s="98">
        <v>1780.45</v>
      </c>
      <c r="E470" s="98">
        <v>1780.45</v>
      </c>
      <c r="F470" s="98">
        <f t="shared" si="74"/>
        <v>71.218000000000004</v>
      </c>
      <c r="G470" s="101">
        <f t="shared" si="83"/>
        <v>124.63150000000002</v>
      </c>
      <c r="H470" s="101">
        <f t="shared" si="75"/>
        <v>142.43600000000001</v>
      </c>
      <c r="I470" s="101">
        <f t="shared" si="76"/>
        <v>160.2405</v>
      </c>
      <c r="J470" s="101">
        <f t="shared" si="77"/>
        <v>195.84950000000003</v>
      </c>
      <c r="K470" s="101">
        <f t="shared" si="78"/>
        <v>213.654</v>
      </c>
      <c r="L470" s="101">
        <f t="shared" si="79"/>
        <v>231.45850000000002</v>
      </c>
      <c r="M470" s="98">
        <f t="shared" si="80"/>
        <v>9.0909090909090899</v>
      </c>
      <c r="N470" s="98">
        <f t="shared" si="81"/>
        <v>8.3333333333333339</v>
      </c>
      <c r="O470" s="98">
        <f t="shared" si="82"/>
        <v>7.6923076923076916</v>
      </c>
    </row>
    <row r="471" spans="2:15" ht="15" customHeight="1" x14ac:dyDescent="0.25">
      <c r="B471" s="158"/>
      <c r="C471" s="95" t="s">
        <v>45</v>
      </c>
      <c r="D471" s="98">
        <v>2047.52</v>
      </c>
      <c r="E471" s="98">
        <v>2047.52</v>
      </c>
      <c r="F471" s="98">
        <f t="shared" si="74"/>
        <v>81.900800000000004</v>
      </c>
      <c r="G471" s="101">
        <f t="shared" si="83"/>
        <v>143.32640000000001</v>
      </c>
      <c r="H471" s="101">
        <f t="shared" si="75"/>
        <v>163.80160000000001</v>
      </c>
      <c r="I471" s="101">
        <f t="shared" si="76"/>
        <v>184.27679999999998</v>
      </c>
      <c r="J471" s="101">
        <f t="shared" si="77"/>
        <v>225.22720000000001</v>
      </c>
      <c r="K471" s="101">
        <f t="shared" si="78"/>
        <v>245.70240000000001</v>
      </c>
      <c r="L471" s="101">
        <f t="shared" si="79"/>
        <v>266.17759999999998</v>
      </c>
      <c r="M471" s="98">
        <f t="shared" si="80"/>
        <v>9.0909090909090899</v>
      </c>
      <c r="N471" s="98">
        <f t="shared" si="81"/>
        <v>8.3333333333333321</v>
      </c>
      <c r="O471" s="98">
        <f t="shared" si="82"/>
        <v>7.6923076923076925</v>
      </c>
    </row>
    <row r="472" spans="2:15" ht="15" customHeight="1" x14ac:dyDescent="0.25">
      <c r="B472" s="158"/>
      <c r="C472" s="95" t="s">
        <v>46</v>
      </c>
      <c r="D472" s="98">
        <v>2047.52</v>
      </c>
      <c r="E472" s="98">
        <v>2047.52</v>
      </c>
      <c r="F472" s="98">
        <f t="shared" si="74"/>
        <v>81.900800000000004</v>
      </c>
      <c r="G472" s="101">
        <f t="shared" si="83"/>
        <v>143.32640000000001</v>
      </c>
      <c r="H472" s="101">
        <f t="shared" si="75"/>
        <v>163.80160000000001</v>
      </c>
      <c r="I472" s="101">
        <f t="shared" si="76"/>
        <v>184.27679999999998</v>
      </c>
      <c r="J472" s="101">
        <f t="shared" si="77"/>
        <v>225.22720000000001</v>
      </c>
      <c r="K472" s="101">
        <f t="shared" si="78"/>
        <v>245.70240000000001</v>
      </c>
      <c r="L472" s="101">
        <f t="shared" si="79"/>
        <v>266.17759999999998</v>
      </c>
      <c r="M472" s="98">
        <f t="shared" si="80"/>
        <v>9.0909090909090899</v>
      </c>
      <c r="N472" s="98">
        <f t="shared" si="81"/>
        <v>8.3333333333333321</v>
      </c>
      <c r="O472" s="98">
        <f t="shared" si="82"/>
        <v>7.6923076923076925</v>
      </c>
    </row>
    <row r="473" spans="2:15" ht="15" customHeight="1" x14ac:dyDescent="0.25">
      <c r="B473" s="158"/>
      <c r="C473" s="95" t="s">
        <v>47</v>
      </c>
      <c r="D473" s="98">
        <v>2047.52</v>
      </c>
      <c r="E473" s="98">
        <v>2047.52</v>
      </c>
      <c r="F473" s="98">
        <f t="shared" si="74"/>
        <v>81.900800000000004</v>
      </c>
      <c r="G473" s="101">
        <f t="shared" si="83"/>
        <v>143.32640000000001</v>
      </c>
      <c r="H473" s="101">
        <f t="shared" si="75"/>
        <v>163.80160000000001</v>
      </c>
      <c r="I473" s="101">
        <f t="shared" si="76"/>
        <v>184.27679999999998</v>
      </c>
      <c r="J473" s="101">
        <f t="shared" si="77"/>
        <v>225.22720000000001</v>
      </c>
      <c r="K473" s="101">
        <f t="shared" si="78"/>
        <v>245.70240000000001</v>
      </c>
      <c r="L473" s="101">
        <f t="shared" si="79"/>
        <v>266.17759999999998</v>
      </c>
      <c r="M473" s="98">
        <f t="shared" si="80"/>
        <v>9.0909090909090899</v>
      </c>
      <c r="N473" s="98">
        <f t="shared" si="81"/>
        <v>8.3333333333333321</v>
      </c>
      <c r="O473" s="98">
        <f t="shared" si="82"/>
        <v>7.6923076923076925</v>
      </c>
    </row>
    <row r="474" spans="2:15" ht="15" customHeight="1" x14ac:dyDescent="0.25">
      <c r="B474" s="159"/>
      <c r="C474" s="96" t="s">
        <v>48</v>
      </c>
      <c r="D474" s="99">
        <v>2047.52</v>
      </c>
      <c r="E474" s="99">
        <v>2047.52</v>
      </c>
      <c r="F474" s="99">
        <f t="shared" si="74"/>
        <v>81.900800000000004</v>
      </c>
      <c r="G474" s="102">
        <f t="shared" si="83"/>
        <v>143.32640000000001</v>
      </c>
      <c r="H474" s="102">
        <f t="shared" si="75"/>
        <v>163.80160000000001</v>
      </c>
      <c r="I474" s="102">
        <f t="shared" si="76"/>
        <v>184.27679999999998</v>
      </c>
      <c r="J474" s="102">
        <f t="shared" si="77"/>
        <v>225.22720000000001</v>
      </c>
      <c r="K474" s="102">
        <f t="shared" si="78"/>
        <v>245.70240000000001</v>
      </c>
      <c r="L474" s="102">
        <f t="shared" si="79"/>
        <v>266.17759999999998</v>
      </c>
      <c r="M474" s="99">
        <f t="shared" si="80"/>
        <v>9.0909090909090899</v>
      </c>
      <c r="N474" s="99">
        <f t="shared" si="81"/>
        <v>8.3333333333333321</v>
      </c>
      <c r="O474" s="99">
        <f t="shared" si="82"/>
        <v>7.6923076923076925</v>
      </c>
    </row>
    <row r="475" spans="2:15" ht="15" customHeight="1" x14ac:dyDescent="0.25">
      <c r="B475" s="157">
        <v>2013</v>
      </c>
      <c r="C475" s="94" t="s">
        <v>36</v>
      </c>
      <c r="D475" s="97">
        <v>2047.52</v>
      </c>
      <c r="E475" s="97">
        <v>2047.52</v>
      </c>
      <c r="F475" s="97">
        <f t="shared" si="74"/>
        <v>81.900800000000004</v>
      </c>
      <c r="G475" s="100">
        <f t="shared" si="83"/>
        <v>143.32640000000001</v>
      </c>
      <c r="H475" s="100">
        <f t="shared" si="75"/>
        <v>163.80160000000001</v>
      </c>
      <c r="I475" s="100">
        <f t="shared" si="76"/>
        <v>184.27679999999998</v>
      </c>
      <c r="J475" s="100">
        <f t="shared" si="77"/>
        <v>225.22720000000001</v>
      </c>
      <c r="K475" s="100">
        <f t="shared" si="78"/>
        <v>245.70240000000001</v>
      </c>
      <c r="L475" s="100">
        <f t="shared" si="79"/>
        <v>266.17759999999998</v>
      </c>
      <c r="M475" s="97">
        <f t="shared" si="80"/>
        <v>9.0909090909090899</v>
      </c>
      <c r="N475" s="97">
        <f t="shared" si="81"/>
        <v>8.3333333333333321</v>
      </c>
      <c r="O475" s="97">
        <f t="shared" si="82"/>
        <v>7.6923076923076925</v>
      </c>
    </row>
    <row r="476" spans="2:15" ht="15" customHeight="1" x14ac:dyDescent="0.25">
      <c r="B476" s="158"/>
      <c r="C476" s="95" t="s">
        <v>38</v>
      </c>
      <c r="D476" s="98">
        <v>2047.52</v>
      </c>
      <c r="E476" s="98">
        <v>2047.52</v>
      </c>
      <c r="F476" s="98">
        <f t="shared" si="74"/>
        <v>81.900800000000004</v>
      </c>
      <c r="G476" s="101">
        <f t="shared" si="83"/>
        <v>143.32640000000001</v>
      </c>
      <c r="H476" s="101">
        <f t="shared" si="75"/>
        <v>163.80160000000001</v>
      </c>
      <c r="I476" s="101">
        <f t="shared" si="76"/>
        <v>184.27679999999998</v>
      </c>
      <c r="J476" s="101">
        <f t="shared" si="77"/>
        <v>225.22720000000001</v>
      </c>
      <c r="K476" s="101">
        <f t="shared" si="78"/>
        <v>245.70240000000001</v>
      </c>
      <c r="L476" s="101">
        <f t="shared" si="79"/>
        <v>266.17759999999998</v>
      </c>
      <c r="M476" s="98">
        <f t="shared" si="80"/>
        <v>9.0909090909090899</v>
      </c>
      <c r="N476" s="98">
        <f t="shared" si="81"/>
        <v>8.3333333333333321</v>
      </c>
      <c r="O476" s="98">
        <f t="shared" si="82"/>
        <v>7.6923076923076925</v>
      </c>
    </row>
    <row r="477" spans="2:15" ht="15" customHeight="1" x14ac:dyDescent="0.25">
      <c r="B477" s="158"/>
      <c r="C477" s="95" t="s">
        <v>39</v>
      </c>
      <c r="D477" s="98">
        <v>2047.52</v>
      </c>
      <c r="E477" s="98">
        <v>2047.52</v>
      </c>
      <c r="F477" s="98">
        <f t="shared" si="74"/>
        <v>81.900800000000004</v>
      </c>
      <c r="G477" s="101">
        <f t="shared" si="83"/>
        <v>143.32640000000001</v>
      </c>
      <c r="H477" s="101">
        <f t="shared" si="75"/>
        <v>163.80160000000001</v>
      </c>
      <c r="I477" s="101">
        <f t="shared" si="76"/>
        <v>184.27679999999998</v>
      </c>
      <c r="J477" s="101">
        <f t="shared" si="77"/>
        <v>225.22720000000001</v>
      </c>
      <c r="K477" s="101">
        <f t="shared" si="78"/>
        <v>245.70240000000001</v>
      </c>
      <c r="L477" s="101">
        <f t="shared" si="79"/>
        <v>266.17759999999998</v>
      </c>
      <c r="M477" s="98">
        <f t="shared" si="80"/>
        <v>9.0909090909090899</v>
      </c>
      <c r="N477" s="98">
        <f t="shared" si="81"/>
        <v>8.3333333333333321</v>
      </c>
      <c r="O477" s="98">
        <f t="shared" si="82"/>
        <v>7.6923076923076925</v>
      </c>
    </row>
    <row r="478" spans="2:15" ht="15" customHeight="1" x14ac:dyDescent="0.25">
      <c r="B478" s="158"/>
      <c r="C478" s="95" t="s">
        <v>40</v>
      </c>
      <c r="D478" s="98">
        <v>2047.52</v>
      </c>
      <c r="E478" s="98">
        <v>2047.52</v>
      </c>
      <c r="F478" s="98">
        <f t="shared" si="74"/>
        <v>81.900800000000004</v>
      </c>
      <c r="G478" s="101">
        <f t="shared" si="83"/>
        <v>143.32640000000001</v>
      </c>
      <c r="H478" s="101">
        <f t="shared" si="75"/>
        <v>163.80160000000001</v>
      </c>
      <c r="I478" s="101">
        <f t="shared" si="76"/>
        <v>184.27679999999998</v>
      </c>
      <c r="J478" s="101">
        <f t="shared" si="77"/>
        <v>225.22720000000001</v>
      </c>
      <c r="K478" s="101">
        <f t="shared" si="78"/>
        <v>245.70240000000001</v>
      </c>
      <c r="L478" s="101">
        <f t="shared" si="79"/>
        <v>266.17759999999998</v>
      </c>
      <c r="M478" s="98">
        <f t="shared" si="80"/>
        <v>9.0909090909090899</v>
      </c>
      <c r="N478" s="98">
        <f t="shared" si="81"/>
        <v>8.3333333333333321</v>
      </c>
      <c r="O478" s="98">
        <f t="shared" si="82"/>
        <v>7.6923076923076925</v>
      </c>
    </row>
    <row r="479" spans="2:15" ht="15" customHeight="1" x14ac:dyDescent="0.25">
      <c r="B479" s="158"/>
      <c r="C479" s="95" t="s">
        <v>41</v>
      </c>
      <c r="D479" s="98">
        <v>2457</v>
      </c>
      <c r="E479" s="98">
        <v>2457</v>
      </c>
      <c r="F479" s="98">
        <f t="shared" si="74"/>
        <v>98.28</v>
      </c>
      <c r="G479" s="101">
        <f t="shared" si="83"/>
        <v>171.99</v>
      </c>
      <c r="H479" s="101">
        <f t="shared" si="75"/>
        <v>196.56</v>
      </c>
      <c r="I479" s="101">
        <f t="shared" si="76"/>
        <v>221.13</v>
      </c>
      <c r="J479" s="101">
        <f t="shared" si="77"/>
        <v>270.27</v>
      </c>
      <c r="K479" s="101">
        <f t="shared" si="78"/>
        <v>294.84000000000003</v>
      </c>
      <c r="L479" s="101">
        <f t="shared" si="79"/>
        <v>319.40999999999997</v>
      </c>
      <c r="M479" s="98">
        <f t="shared" si="80"/>
        <v>9.0909090909090917</v>
      </c>
      <c r="N479" s="98">
        <f t="shared" si="81"/>
        <v>8.3333333333333321</v>
      </c>
      <c r="O479" s="98">
        <f t="shared" si="82"/>
        <v>7.6923076923076934</v>
      </c>
    </row>
    <row r="480" spans="2:15" ht="15" customHeight="1" x14ac:dyDescent="0.25">
      <c r="B480" s="158"/>
      <c r="C480" s="95" t="s">
        <v>42</v>
      </c>
      <c r="D480" s="98">
        <v>2457</v>
      </c>
      <c r="E480" s="98">
        <v>2457</v>
      </c>
      <c r="F480" s="98">
        <f t="shared" si="74"/>
        <v>98.28</v>
      </c>
      <c r="G480" s="101">
        <f t="shared" si="83"/>
        <v>171.99</v>
      </c>
      <c r="H480" s="101">
        <f t="shared" si="75"/>
        <v>196.56</v>
      </c>
      <c r="I480" s="101">
        <f t="shared" si="76"/>
        <v>221.13</v>
      </c>
      <c r="J480" s="101">
        <f t="shared" si="77"/>
        <v>270.27</v>
      </c>
      <c r="K480" s="101">
        <f t="shared" si="78"/>
        <v>294.84000000000003</v>
      </c>
      <c r="L480" s="101">
        <f t="shared" si="79"/>
        <v>319.40999999999997</v>
      </c>
      <c r="M480" s="98">
        <f t="shared" si="80"/>
        <v>9.0909090909090917</v>
      </c>
      <c r="N480" s="98">
        <f t="shared" si="81"/>
        <v>8.3333333333333321</v>
      </c>
      <c r="O480" s="98">
        <f t="shared" si="82"/>
        <v>7.6923076923076934</v>
      </c>
    </row>
    <row r="481" spans="2:15" ht="15" customHeight="1" x14ac:dyDescent="0.25">
      <c r="B481" s="158"/>
      <c r="C481" s="95" t="s">
        <v>43</v>
      </c>
      <c r="D481" s="98">
        <v>2457</v>
      </c>
      <c r="E481" s="98">
        <v>2457</v>
      </c>
      <c r="F481" s="98">
        <f t="shared" si="74"/>
        <v>98.28</v>
      </c>
      <c r="G481" s="101">
        <f t="shared" si="83"/>
        <v>171.99</v>
      </c>
      <c r="H481" s="101">
        <f t="shared" si="75"/>
        <v>196.56</v>
      </c>
      <c r="I481" s="101">
        <f t="shared" si="76"/>
        <v>221.13</v>
      </c>
      <c r="J481" s="101">
        <f t="shared" si="77"/>
        <v>270.27</v>
      </c>
      <c r="K481" s="101">
        <f t="shared" si="78"/>
        <v>294.84000000000003</v>
      </c>
      <c r="L481" s="101">
        <f t="shared" si="79"/>
        <v>319.40999999999997</v>
      </c>
      <c r="M481" s="98">
        <f t="shared" si="80"/>
        <v>9.0909090909090917</v>
      </c>
      <c r="N481" s="98">
        <f t="shared" si="81"/>
        <v>8.3333333333333321</v>
      </c>
      <c r="O481" s="98">
        <f t="shared" si="82"/>
        <v>7.6923076923076934</v>
      </c>
    </row>
    <row r="482" spans="2:15" ht="15" customHeight="1" x14ac:dyDescent="0.25">
      <c r="B482" s="158"/>
      <c r="C482" s="95" t="s">
        <v>44</v>
      </c>
      <c r="D482" s="98">
        <v>2457</v>
      </c>
      <c r="E482" s="98">
        <v>2457</v>
      </c>
      <c r="F482" s="98">
        <f t="shared" si="74"/>
        <v>98.28</v>
      </c>
      <c r="G482" s="101">
        <f t="shared" si="83"/>
        <v>171.99</v>
      </c>
      <c r="H482" s="101">
        <f t="shared" si="75"/>
        <v>196.56</v>
      </c>
      <c r="I482" s="101">
        <f t="shared" si="76"/>
        <v>221.13</v>
      </c>
      <c r="J482" s="101">
        <f t="shared" si="77"/>
        <v>270.27</v>
      </c>
      <c r="K482" s="101">
        <f t="shared" si="78"/>
        <v>294.84000000000003</v>
      </c>
      <c r="L482" s="101">
        <f t="shared" si="79"/>
        <v>319.40999999999997</v>
      </c>
      <c r="M482" s="98">
        <f t="shared" si="80"/>
        <v>9.0909090909090917</v>
      </c>
      <c r="N482" s="98">
        <f t="shared" si="81"/>
        <v>8.3333333333333321</v>
      </c>
      <c r="O482" s="98">
        <f t="shared" si="82"/>
        <v>7.6923076923076934</v>
      </c>
    </row>
    <row r="483" spans="2:15" ht="15" customHeight="1" x14ac:dyDescent="0.25">
      <c r="B483" s="158"/>
      <c r="C483" s="95" t="s">
        <v>45</v>
      </c>
      <c r="D483" s="98">
        <v>2702.72</v>
      </c>
      <c r="E483" s="98">
        <v>2702.72</v>
      </c>
      <c r="F483" s="98">
        <f t="shared" si="74"/>
        <v>108.10879999999999</v>
      </c>
      <c r="G483" s="101">
        <f t="shared" si="83"/>
        <v>189.19040000000001</v>
      </c>
      <c r="H483" s="101">
        <f t="shared" si="75"/>
        <v>216.21759999999998</v>
      </c>
      <c r="I483" s="101">
        <f t="shared" si="76"/>
        <v>243.24479999999997</v>
      </c>
      <c r="J483" s="101">
        <f t="shared" si="77"/>
        <v>297.29919999999998</v>
      </c>
      <c r="K483" s="101">
        <f t="shared" si="78"/>
        <v>324.32639999999998</v>
      </c>
      <c r="L483" s="101">
        <f t="shared" si="79"/>
        <v>351.35359999999997</v>
      </c>
      <c r="M483" s="98">
        <f t="shared" si="80"/>
        <v>9.0909090909090899</v>
      </c>
      <c r="N483" s="98">
        <f t="shared" si="81"/>
        <v>8.3333333333333339</v>
      </c>
      <c r="O483" s="98">
        <f t="shared" si="82"/>
        <v>7.6923076923076925</v>
      </c>
    </row>
    <row r="484" spans="2:15" ht="15" customHeight="1" x14ac:dyDescent="0.25">
      <c r="B484" s="158"/>
      <c r="C484" s="95" t="s">
        <v>46</v>
      </c>
      <c r="D484" s="98">
        <v>2702.72</v>
      </c>
      <c r="E484" s="98">
        <v>2702.72</v>
      </c>
      <c r="F484" s="98">
        <f t="shared" si="74"/>
        <v>108.10879999999999</v>
      </c>
      <c r="G484" s="101">
        <f t="shared" si="83"/>
        <v>189.19040000000001</v>
      </c>
      <c r="H484" s="101">
        <f t="shared" si="75"/>
        <v>216.21759999999998</v>
      </c>
      <c r="I484" s="101">
        <f t="shared" si="76"/>
        <v>243.24479999999997</v>
      </c>
      <c r="J484" s="101">
        <f t="shared" si="77"/>
        <v>297.29919999999998</v>
      </c>
      <c r="K484" s="101">
        <f t="shared" si="78"/>
        <v>324.32639999999998</v>
      </c>
      <c r="L484" s="101">
        <f t="shared" si="79"/>
        <v>351.35359999999997</v>
      </c>
      <c r="M484" s="98">
        <f t="shared" si="80"/>
        <v>9.0909090909090899</v>
      </c>
      <c r="N484" s="98">
        <f t="shared" si="81"/>
        <v>8.3333333333333339</v>
      </c>
      <c r="O484" s="98">
        <f t="shared" si="82"/>
        <v>7.6923076923076925</v>
      </c>
    </row>
    <row r="485" spans="2:15" ht="15" customHeight="1" x14ac:dyDescent="0.25">
      <c r="B485" s="158"/>
      <c r="C485" s="95" t="s">
        <v>47</v>
      </c>
      <c r="D485" s="98">
        <v>2973</v>
      </c>
      <c r="E485" s="98">
        <v>2973</v>
      </c>
      <c r="F485" s="98">
        <f t="shared" si="74"/>
        <v>118.92</v>
      </c>
      <c r="G485" s="101">
        <f t="shared" si="83"/>
        <v>208.11</v>
      </c>
      <c r="H485" s="101">
        <f t="shared" si="75"/>
        <v>237.84</v>
      </c>
      <c r="I485" s="101">
        <f t="shared" si="76"/>
        <v>267.57</v>
      </c>
      <c r="J485" s="101">
        <f t="shared" si="77"/>
        <v>327.03000000000003</v>
      </c>
      <c r="K485" s="101">
        <f t="shared" si="78"/>
        <v>356.76</v>
      </c>
      <c r="L485" s="101">
        <f t="shared" si="79"/>
        <v>386.49</v>
      </c>
      <c r="M485" s="98">
        <f t="shared" si="80"/>
        <v>9.0909090909090899</v>
      </c>
      <c r="N485" s="98">
        <f t="shared" si="81"/>
        <v>8.3333333333333339</v>
      </c>
      <c r="O485" s="98">
        <f t="shared" si="82"/>
        <v>7.6923076923076925</v>
      </c>
    </row>
    <row r="486" spans="2:15" ht="15" customHeight="1" x14ac:dyDescent="0.25">
      <c r="B486" s="159"/>
      <c r="C486" s="96" t="s">
        <v>48</v>
      </c>
      <c r="D486" s="99">
        <v>2973</v>
      </c>
      <c r="E486" s="99">
        <v>2973</v>
      </c>
      <c r="F486" s="99">
        <f t="shared" si="74"/>
        <v>118.92</v>
      </c>
      <c r="G486" s="102">
        <f t="shared" si="83"/>
        <v>208.11</v>
      </c>
      <c r="H486" s="102">
        <f t="shared" si="75"/>
        <v>237.84</v>
      </c>
      <c r="I486" s="102">
        <f t="shared" si="76"/>
        <v>267.57</v>
      </c>
      <c r="J486" s="102">
        <f t="shared" si="77"/>
        <v>327.03000000000003</v>
      </c>
      <c r="K486" s="102">
        <f t="shared" si="78"/>
        <v>356.76</v>
      </c>
      <c r="L486" s="102">
        <f t="shared" si="79"/>
        <v>386.49</v>
      </c>
      <c r="M486" s="99">
        <f t="shared" si="80"/>
        <v>9.0909090909090899</v>
      </c>
      <c r="N486" s="99">
        <f t="shared" si="81"/>
        <v>8.3333333333333339</v>
      </c>
      <c r="O486" s="99">
        <f t="shared" si="82"/>
        <v>7.6923076923076925</v>
      </c>
    </row>
    <row r="487" spans="2:15" ht="15" customHeight="1" x14ac:dyDescent="0.25">
      <c r="B487" s="157">
        <v>2014</v>
      </c>
      <c r="C487" s="94" t="s">
        <v>36</v>
      </c>
      <c r="D487" s="97">
        <v>3270.3</v>
      </c>
      <c r="E487" s="97">
        <v>3270.3</v>
      </c>
      <c r="F487" s="97">
        <f t="shared" si="74"/>
        <v>130.81200000000001</v>
      </c>
      <c r="G487" s="100">
        <f t="shared" si="83"/>
        <v>228.92100000000002</v>
      </c>
      <c r="H487" s="100">
        <f t="shared" si="75"/>
        <v>261.62400000000002</v>
      </c>
      <c r="I487" s="100">
        <f t="shared" si="76"/>
        <v>294.327</v>
      </c>
      <c r="J487" s="100">
        <f t="shared" si="77"/>
        <v>359.73300000000006</v>
      </c>
      <c r="K487" s="100">
        <f t="shared" si="78"/>
        <v>392.43600000000004</v>
      </c>
      <c r="L487" s="100">
        <f t="shared" si="79"/>
        <v>425.13900000000001</v>
      </c>
      <c r="M487" s="97">
        <f t="shared" si="80"/>
        <v>9.0909090909090899</v>
      </c>
      <c r="N487" s="97">
        <f t="shared" si="81"/>
        <v>8.3333333333333339</v>
      </c>
      <c r="O487" s="97">
        <f t="shared" si="82"/>
        <v>7.6923076923076925</v>
      </c>
    </row>
    <row r="488" spans="2:15" ht="15" customHeight="1" x14ac:dyDescent="0.25">
      <c r="B488" s="158"/>
      <c r="C488" s="95" t="s">
        <v>38</v>
      </c>
      <c r="D488" s="98">
        <v>3270.3</v>
      </c>
      <c r="E488" s="98">
        <v>3270.3</v>
      </c>
      <c r="F488" s="98">
        <f t="shared" si="74"/>
        <v>130.81200000000001</v>
      </c>
      <c r="G488" s="101">
        <f t="shared" si="83"/>
        <v>228.92100000000002</v>
      </c>
      <c r="H488" s="101">
        <f t="shared" si="75"/>
        <v>261.62400000000002</v>
      </c>
      <c r="I488" s="101">
        <f t="shared" si="76"/>
        <v>294.327</v>
      </c>
      <c r="J488" s="101">
        <f t="shared" si="77"/>
        <v>359.73300000000006</v>
      </c>
      <c r="K488" s="101">
        <f t="shared" si="78"/>
        <v>392.43600000000004</v>
      </c>
      <c r="L488" s="101">
        <f t="shared" si="79"/>
        <v>425.13900000000001</v>
      </c>
      <c r="M488" s="98">
        <f t="shared" si="80"/>
        <v>9.0909090909090899</v>
      </c>
      <c r="N488" s="98">
        <f t="shared" si="81"/>
        <v>8.3333333333333339</v>
      </c>
      <c r="O488" s="98">
        <f t="shared" si="82"/>
        <v>7.6923076923076925</v>
      </c>
    </row>
    <row r="489" spans="2:15" ht="15" customHeight="1" x14ac:dyDescent="0.25">
      <c r="B489" s="158"/>
      <c r="C489" s="95" t="s">
        <v>39</v>
      </c>
      <c r="D489" s="98">
        <v>3270.3</v>
      </c>
      <c r="E489" s="98">
        <v>3270.3</v>
      </c>
      <c r="F489" s="98">
        <f t="shared" si="74"/>
        <v>130.81200000000001</v>
      </c>
      <c r="G489" s="101">
        <f t="shared" si="83"/>
        <v>228.92100000000002</v>
      </c>
      <c r="H489" s="101">
        <f t="shared" si="75"/>
        <v>261.62400000000002</v>
      </c>
      <c r="I489" s="101">
        <f t="shared" si="76"/>
        <v>294.327</v>
      </c>
      <c r="J489" s="101">
        <f t="shared" si="77"/>
        <v>359.73300000000006</v>
      </c>
      <c r="K489" s="101">
        <f t="shared" si="78"/>
        <v>392.43600000000004</v>
      </c>
      <c r="L489" s="101">
        <f t="shared" si="79"/>
        <v>425.13900000000001</v>
      </c>
      <c r="M489" s="98">
        <f t="shared" si="80"/>
        <v>9.0909090909090899</v>
      </c>
      <c r="N489" s="98">
        <f t="shared" si="81"/>
        <v>8.3333333333333339</v>
      </c>
      <c r="O489" s="98">
        <f t="shared" si="82"/>
        <v>7.6923076923076925</v>
      </c>
    </row>
    <row r="490" spans="2:15" ht="15" customHeight="1" x14ac:dyDescent="0.25">
      <c r="B490" s="158"/>
      <c r="C490" s="95" t="s">
        <v>40</v>
      </c>
      <c r="D490" s="98">
        <v>3270.3</v>
      </c>
      <c r="E490" s="98">
        <v>3270.3</v>
      </c>
      <c r="F490" s="98">
        <f t="shared" si="74"/>
        <v>130.81200000000001</v>
      </c>
      <c r="G490" s="101">
        <f t="shared" si="83"/>
        <v>228.92100000000002</v>
      </c>
      <c r="H490" s="101">
        <f t="shared" si="75"/>
        <v>261.62400000000002</v>
      </c>
      <c r="I490" s="101">
        <f t="shared" si="76"/>
        <v>294.327</v>
      </c>
      <c r="J490" s="101">
        <f t="shared" si="77"/>
        <v>359.73300000000006</v>
      </c>
      <c r="K490" s="101">
        <f t="shared" si="78"/>
        <v>392.43600000000004</v>
      </c>
      <c r="L490" s="101">
        <f t="shared" si="79"/>
        <v>425.13900000000001</v>
      </c>
      <c r="M490" s="98">
        <f t="shared" si="80"/>
        <v>9.0909090909090899</v>
      </c>
      <c r="N490" s="98">
        <f t="shared" si="81"/>
        <v>8.3333333333333339</v>
      </c>
      <c r="O490" s="98">
        <f t="shared" si="82"/>
        <v>7.6923076923076925</v>
      </c>
    </row>
    <row r="491" spans="2:15" ht="15" customHeight="1" x14ac:dyDescent="0.25">
      <c r="B491" s="158"/>
      <c r="C491" s="95" t="s">
        <v>41</v>
      </c>
      <c r="D491" s="98">
        <v>4251</v>
      </c>
      <c r="E491" s="98">
        <v>4251</v>
      </c>
      <c r="F491" s="98">
        <f t="shared" si="74"/>
        <v>170.04</v>
      </c>
      <c r="G491" s="101">
        <f t="shared" si="83"/>
        <v>297.57000000000005</v>
      </c>
      <c r="H491" s="101">
        <f t="shared" si="75"/>
        <v>340.08</v>
      </c>
      <c r="I491" s="101">
        <f t="shared" si="76"/>
        <v>382.59</v>
      </c>
      <c r="J491" s="101">
        <f t="shared" si="77"/>
        <v>467.61</v>
      </c>
      <c r="K491" s="101">
        <f t="shared" si="78"/>
        <v>510.12</v>
      </c>
      <c r="L491" s="101">
        <f t="shared" si="79"/>
        <v>552.63</v>
      </c>
      <c r="M491" s="98">
        <f t="shared" si="80"/>
        <v>9.0909090909090899</v>
      </c>
      <c r="N491" s="98">
        <f t="shared" si="81"/>
        <v>8.3333333333333339</v>
      </c>
      <c r="O491" s="98">
        <f t="shared" si="82"/>
        <v>7.6923076923076925</v>
      </c>
    </row>
    <row r="492" spans="2:15" ht="15" customHeight="1" x14ac:dyDescent="0.25">
      <c r="B492" s="158"/>
      <c r="C492" s="95" t="s">
        <v>42</v>
      </c>
      <c r="D492" s="98">
        <v>4251</v>
      </c>
      <c r="E492" s="98">
        <v>4251</v>
      </c>
      <c r="F492" s="98">
        <f t="shared" si="74"/>
        <v>170.04</v>
      </c>
      <c r="G492" s="101">
        <f t="shared" si="83"/>
        <v>297.57000000000005</v>
      </c>
      <c r="H492" s="101">
        <f t="shared" si="75"/>
        <v>340.08</v>
      </c>
      <c r="I492" s="101">
        <f t="shared" si="76"/>
        <v>382.59</v>
      </c>
      <c r="J492" s="101">
        <f t="shared" si="77"/>
        <v>467.61</v>
      </c>
      <c r="K492" s="101">
        <f t="shared" si="78"/>
        <v>510.12</v>
      </c>
      <c r="L492" s="101">
        <f t="shared" si="79"/>
        <v>552.63</v>
      </c>
      <c r="M492" s="98">
        <f t="shared" si="80"/>
        <v>9.0909090909090899</v>
      </c>
      <c r="N492" s="98">
        <f t="shared" si="81"/>
        <v>8.3333333333333339</v>
      </c>
      <c r="O492" s="98">
        <f t="shared" si="82"/>
        <v>7.6923076923076925</v>
      </c>
    </row>
    <row r="493" spans="2:15" ht="15" customHeight="1" x14ac:dyDescent="0.25">
      <c r="B493" s="158"/>
      <c r="C493" s="95" t="s">
        <v>43</v>
      </c>
      <c r="D493" s="98">
        <v>4251</v>
      </c>
      <c r="E493" s="98">
        <v>4251</v>
      </c>
      <c r="F493" s="98">
        <f t="shared" si="74"/>
        <v>170.04</v>
      </c>
      <c r="G493" s="101">
        <f t="shared" si="83"/>
        <v>297.57000000000005</v>
      </c>
      <c r="H493" s="101">
        <f t="shared" si="75"/>
        <v>340.08</v>
      </c>
      <c r="I493" s="101">
        <f t="shared" si="76"/>
        <v>382.59</v>
      </c>
      <c r="J493" s="101">
        <f t="shared" si="77"/>
        <v>467.61</v>
      </c>
      <c r="K493" s="101">
        <f t="shared" si="78"/>
        <v>510.12</v>
      </c>
      <c r="L493" s="101">
        <f t="shared" si="79"/>
        <v>552.63</v>
      </c>
      <c r="M493" s="98">
        <f t="shared" si="80"/>
        <v>9.0909090909090899</v>
      </c>
      <c r="N493" s="98">
        <f t="shared" si="81"/>
        <v>8.3333333333333339</v>
      </c>
      <c r="O493" s="98">
        <f t="shared" si="82"/>
        <v>7.6923076923076925</v>
      </c>
    </row>
    <row r="494" spans="2:15" ht="15" customHeight="1" x14ac:dyDescent="0.25">
      <c r="B494" s="158"/>
      <c r="C494" s="95" t="s">
        <v>44</v>
      </c>
      <c r="D494" s="98">
        <v>4251</v>
      </c>
      <c r="E494" s="98">
        <v>4251</v>
      </c>
      <c r="F494" s="98">
        <f t="shared" si="74"/>
        <v>170.04</v>
      </c>
      <c r="G494" s="101">
        <f t="shared" si="83"/>
        <v>297.57000000000005</v>
      </c>
      <c r="H494" s="101">
        <f t="shared" si="75"/>
        <v>340.08</v>
      </c>
      <c r="I494" s="101">
        <f t="shared" si="76"/>
        <v>382.59</v>
      </c>
      <c r="J494" s="101">
        <f t="shared" si="77"/>
        <v>467.61</v>
      </c>
      <c r="K494" s="101">
        <f t="shared" si="78"/>
        <v>510.12</v>
      </c>
      <c r="L494" s="101">
        <f t="shared" si="79"/>
        <v>552.63</v>
      </c>
      <c r="M494" s="98">
        <f t="shared" si="80"/>
        <v>9.0909090909090899</v>
      </c>
      <c r="N494" s="98">
        <f t="shared" si="81"/>
        <v>8.3333333333333339</v>
      </c>
      <c r="O494" s="98">
        <f t="shared" si="82"/>
        <v>7.6923076923076925</v>
      </c>
    </row>
    <row r="495" spans="2:15" ht="15" customHeight="1" x14ac:dyDescent="0.25">
      <c r="B495" s="158"/>
      <c r="C495" s="95" t="s">
        <v>45</v>
      </c>
      <c r="D495" s="98">
        <v>4251</v>
      </c>
      <c r="E495" s="98">
        <v>4251</v>
      </c>
      <c r="F495" s="98">
        <f t="shared" si="74"/>
        <v>170.04</v>
      </c>
      <c r="G495" s="101">
        <f t="shared" si="83"/>
        <v>297.57000000000005</v>
      </c>
      <c r="H495" s="101">
        <f t="shared" si="75"/>
        <v>340.08</v>
      </c>
      <c r="I495" s="101">
        <f t="shared" si="76"/>
        <v>382.59</v>
      </c>
      <c r="J495" s="101">
        <f t="shared" si="77"/>
        <v>467.61</v>
      </c>
      <c r="K495" s="101">
        <f t="shared" si="78"/>
        <v>510.12</v>
      </c>
      <c r="L495" s="101">
        <f t="shared" si="79"/>
        <v>552.63</v>
      </c>
      <c r="M495" s="98">
        <f t="shared" si="80"/>
        <v>9.0909090909090899</v>
      </c>
      <c r="N495" s="98">
        <f t="shared" si="81"/>
        <v>8.3333333333333339</v>
      </c>
      <c r="O495" s="98">
        <f t="shared" si="82"/>
        <v>7.6923076923076925</v>
      </c>
    </row>
    <row r="496" spans="2:15" ht="15" customHeight="1" x14ac:dyDescent="0.25">
      <c r="B496" s="158"/>
      <c r="C496" s="95" t="s">
        <v>46</v>
      </c>
      <c r="D496" s="98">
        <v>4251</v>
      </c>
      <c r="E496" s="98">
        <v>4251</v>
      </c>
      <c r="F496" s="98">
        <f t="shared" si="74"/>
        <v>170.04</v>
      </c>
      <c r="G496" s="101">
        <f t="shared" si="83"/>
        <v>297.57000000000005</v>
      </c>
      <c r="H496" s="101">
        <f t="shared" si="75"/>
        <v>340.08</v>
      </c>
      <c r="I496" s="101">
        <f t="shared" si="76"/>
        <v>382.59</v>
      </c>
      <c r="J496" s="101">
        <f t="shared" si="77"/>
        <v>467.61</v>
      </c>
      <c r="K496" s="101">
        <f t="shared" si="78"/>
        <v>510.12</v>
      </c>
      <c r="L496" s="101">
        <f t="shared" si="79"/>
        <v>552.63</v>
      </c>
      <c r="M496" s="98">
        <f t="shared" si="80"/>
        <v>9.0909090909090899</v>
      </c>
      <c r="N496" s="98">
        <f t="shared" si="81"/>
        <v>8.3333333333333339</v>
      </c>
      <c r="O496" s="98">
        <f t="shared" si="82"/>
        <v>7.6923076923076925</v>
      </c>
    </row>
    <row r="497" spans="2:15" ht="15" customHeight="1" x14ac:dyDescent="0.25">
      <c r="B497" s="158"/>
      <c r="C497" s="95" t="s">
        <v>47</v>
      </c>
      <c r="D497" s="98">
        <v>4251</v>
      </c>
      <c r="E497" s="98">
        <v>4251</v>
      </c>
      <c r="F497" s="98">
        <f t="shared" si="74"/>
        <v>170.04</v>
      </c>
      <c r="G497" s="101">
        <f t="shared" si="83"/>
        <v>297.57000000000005</v>
      </c>
      <c r="H497" s="101">
        <f t="shared" si="75"/>
        <v>340.08</v>
      </c>
      <c r="I497" s="101">
        <f t="shared" si="76"/>
        <v>382.59</v>
      </c>
      <c r="J497" s="101">
        <f t="shared" si="77"/>
        <v>467.61</v>
      </c>
      <c r="K497" s="101">
        <f t="shared" si="78"/>
        <v>510.12</v>
      </c>
      <c r="L497" s="101">
        <f t="shared" si="79"/>
        <v>552.63</v>
      </c>
      <c r="M497" s="98">
        <f t="shared" si="80"/>
        <v>9.0909090909090899</v>
      </c>
      <c r="N497" s="98">
        <f t="shared" si="81"/>
        <v>8.3333333333333339</v>
      </c>
      <c r="O497" s="98">
        <f t="shared" si="82"/>
        <v>7.6923076923076925</v>
      </c>
    </row>
    <row r="498" spans="2:15" ht="15" customHeight="1" x14ac:dyDescent="0.25">
      <c r="B498" s="159"/>
      <c r="C498" s="96" t="s">
        <v>48</v>
      </c>
      <c r="D498" s="99">
        <v>4889.1099999999997</v>
      </c>
      <c r="E498" s="99">
        <v>4889.1099999999997</v>
      </c>
      <c r="F498" s="99">
        <f t="shared" si="74"/>
        <v>195.56439999999998</v>
      </c>
      <c r="G498" s="102">
        <f t="shared" si="83"/>
        <v>342.23770000000002</v>
      </c>
      <c r="H498" s="102">
        <f t="shared" si="75"/>
        <v>391.12879999999996</v>
      </c>
      <c r="I498" s="102">
        <f t="shared" si="76"/>
        <v>440.01989999999995</v>
      </c>
      <c r="J498" s="102">
        <f t="shared" si="77"/>
        <v>537.8021</v>
      </c>
      <c r="K498" s="102">
        <f t="shared" si="78"/>
        <v>586.69319999999993</v>
      </c>
      <c r="L498" s="102">
        <f t="shared" si="79"/>
        <v>635.58429999999998</v>
      </c>
      <c r="M498" s="99">
        <f t="shared" si="80"/>
        <v>9.0909090909090899</v>
      </c>
      <c r="N498" s="99">
        <f t="shared" si="81"/>
        <v>8.3333333333333339</v>
      </c>
      <c r="O498" s="99">
        <f t="shared" si="82"/>
        <v>7.6923076923076916</v>
      </c>
    </row>
    <row r="499" spans="2:15" ht="15" customHeight="1" x14ac:dyDescent="0.25">
      <c r="B499" s="157">
        <v>2015</v>
      </c>
      <c r="C499" s="94" t="s">
        <v>36</v>
      </c>
      <c r="D499" s="97">
        <v>4889.1099999999997</v>
      </c>
      <c r="E499" s="97">
        <v>4889.1099999999997</v>
      </c>
      <c r="F499" s="97">
        <f t="shared" si="74"/>
        <v>195.56439999999998</v>
      </c>
      <c r="G499" s="100">
        <f t="shared" si="83"/>
        <v>342.23770000000002</v>
      </c>
      <c r="H499" s="100">
        <f t="shared" si="75"/>
        <v>391.12879999999996</v>
      </c>
      <c r="I499" s="100">
        <f t="shared" si="76"/>
        <v>440.01989999999995</v>
      </c>
      <c r="J499" s="100">
        <f t="shared" si="77"/>
        <v>537.8021</v>
      </c>
      <c r="K499" s="100">
        <f t="shared" si="78"/>
        <v>586.69319999999993</v>
      </c>
      <c r="L499" s="100">
        <f t="shared" si="79"/>
        <v>635.58429999999998</v>
      </c>
      <c r="M499" s="97">
        <f t="shared" si="80"/>
        <v>9.0909090909090899</v>
      </c>
      <c r="N499" s="97">
        <f t="shared" si="81"/>
        <v>8.3333333333333339</v>
      </c>
      <c r="O499" s="97">
        <f t="shared" si="82"/>
        <v>7.6923076923076916</v>
      </c>
    </row>
    <row r="500" spans="2:15" ht="15" customHeight="1" x14ac:dyDescent="0.25">
      <c r="B500" s="158"/>
      <c r="C500" s="95" t="s">
        <v>38</v>
      </c>
      <c r="D500" s="98">
        <v>5622.48</v>
      </c>
      <c r="E500" s="98">
        <v>5622.48</v>
      </c>
      <c r="F500" s="98">
        <f t="shared" si="74"/>
        <v>224.89919999999998</v>
      </c>
      <c r="G500" s="101">
        <f t="shared" si="83"/>
        <v>393.5736</v>
      </c>
      <c r="H500" s="101">
        <f t="shared" si="75"/>
        <v>449.79839999999996</v>
      </c>
      <c r="I500" s="101">
        <f t="shared" si="76"/>
        <v>506.02319999999992</v>
      </c>
      <c r="J500" s="101">
        <f t="shared" si="77"/>
        <v>618.47280000000001</v>
      </c>
      <c r="K500" s="101">
        <f t="shared" si="78"/>
        <v>674.69759999999997</v>
      </c>
      <c r="L500" s="101">
        <f t="shared" si="79"/>
        <v>730.92239999999993</v>
      </c>
      <c r="M500" s="98">
        <f t="shared" si="80"/>
        <v>9.0909090909090899</v>
      </c>
      <c r="N500" s="98">
        <f t="shared" si="81"/>
        <v>8.3333333333333339</v>
      </c>
      <c r="O500" s="98">
        <f t="shared" si="82"/>
        <v>7.6923076923076925</v>
      </c>
    </row>
    <row r="501" spans="2:15" ht="15" customHeight="1" x14ac:dyDescent="0.25">
      <c r="B501" s="158"/>
      <c r="C501" s="95" t="s">
        <v>39</v>
      </c>
      <c r="D501" s="98">
        <v>5622.48</v>
      </c>
      <c r="E501" s="98">
        <v>5622.48</v>
      </c>
      <c r="F501" s="98">
        <f t="shared" si="74"/>
        <v>224.89919999999998</v>
      </c>
      <c r="G501" s="101">
        <f t="shared" si="83"/>
        <v>393.5736</v>
      </c>
      <c r="H501" s="101">
        <f t="shared" si="75"/>
        <v>449.79839999999996</v>
      </c>
      <c r="I501" s="101">
        <f t="shared" si="76"/>
        <v>506.02319999999992</v>
      </c>
      <c r="J501" s="101">
        <f t="shared" si="77"/>
        <v>618.47280000000001</v>
      </c>
      <c r="K501" s="101">
        <f t="shared" si="78"/>
        <v>674.69759999999997</v>
      </c>
      <c r="L501" s="101">
        <f t="shared" si="79"/>
        <v>730.92239999999993</v>
      </c>
      <c r="M501" s="98">
        <f t="shared" si="80"/>
        <v>9.0909090909090899</v>
      </c>
      <c r="N501" s="98">
        <f t="shared" si="81"/>
        <v>8.3333333333333339</v>
      </c>
      <c r="O501" s="98">
        <f t="shared" si="82"/>
        <v>7.6923076923076925</v>
      </c>
    </row>
    <row r="502" spans="2:15" ht="15" customHeight="1" x14ac:dyDescent="0.25">
      <c r="B502" s="158"/>
      <c r="C502" s="95" t="s">
        <v>40</v>
      </c>
      <c r="D502" s="98">
        <v>5622.48</v>
      </c>
      <c r="E502" s="98">
        <v>5622.48</v>
      </c>
      <c r="F502" s="98">
        <f t="shared" si="74"/>
        <v>224.89919999999998</v>
      </c>
      <c r="G502" s="101">
        <f t="shared" si="83"/>
        <v>393.5736</v>
      </c>
      <c r="H502" s="101">
        <f t="shared" si="75"/>
        <v>449.79839999999996</v>
      </c>
      <c r="I502" s="101">
        <f t="shared" si="76"/>
        <v>506.02319999999992</v>
      </c>
      <c r="J502" s="101">
        <f t="shared" si="77"/>
        <v>618.47280000000001</v>
      </c>
      <c r="K502" s="101">
        <f t="shared" si="78"/>
        <v>674.69759999999997</v>
      </c>
      <c r="L502" s="101">
        <f t="shared" si="79"/>
        <v>730.92239999999993</v>
      </c>
      <c r="M502" s="98">
        <f t="shared" si="80"/>
        <v>9.0909090909090899</v>
      </c>
      <c r="N502" s="98">
        <f t="shared" si="81"/>
        <v>8.3333333333333339</v>
      </c>
      <c r="O502" s="98">
        <f t="shared" si="82"/>
        <v>7.6923076923076925</v>
      </c>
    </row>
    <row r="503" spans="2:15" ht="15" customHeight="1" x14ac:dyDescent="0.25">
      <c r="B503" s="158"/>
      <c r="C503" s="95" t="s">
        <v>41</v>
      </c>
      <c r="D503" s="98">
        <v>6746.98</v>
      </c>
      <c r="E503" s="98">
        <v>6746.98</v>
      </c>
      <c r="F503" s="98">
        <f t="shared" si="74"/>
        <v>269.87919999999997</v>
      </c>
      <c r="G503" s="101">
        <f t="shared" si="83"/>
        <v>472.28860000000003</v>
      </c>
      <c r="H503" s="101">
        <f t="shared" si="75"/>
        <v>539.75839999999994</v>
      </c>
      <c r="I503" s="101">
        <f t="shared" si="76"/>
        <v>607.2281999999999</v>
      </c>
      <c r="J503" s="101">
        <f t="shared" si="77"/>
        <v>742.16779999999994</v>
      </c>
      <c r="K503" s="101">
        <f t="shared" si="78"/>
        <v>809.63759999999991</v>
      </c>
      <c r="L503" s="101">
        <f t="shared" si="79"/>
        <v>877.10739999999987</v>
      </c>
      <c r="M503" s="98">
        <f t="shared" si="80"/>
        <v>9.0909090909090917</v>
      </c>
      <c r="N503" s="98">
        <f t="shared" si="81"/>
        <v>8.3333333333333339</v>
      </c>
      <c r="O503" s="98">
        <f t="shared" si="82"/>
        <v>7.6923076923076925</v>
      </c>
    </row>
    <row r="504" spans="2:15" ht="15" customHeight="1" x14ac:dyDescent="0.25">
      <c r="B504" s="158"/>
      <c r="C504" s="95" t="s">
        <v>42</v>
      </c>
      <c r="D504" s="98">
        <v>6746.98</v>
      </c>
      <c r="E504" s="98">
        <v>6746.98</v>
      </c>
      <c r="F504" s="98">
        <f t="shared" si="74"/>
        <v>269.87919999999997</v>
      </c>
      <c r="G504" s="101">
        <f t="shared" si="83"/>
        <v>472.28860000000003</v>
      </c>
      <c r="H504" s="101">
        <f t="shared" si="75"/>
        <v>539.75839999999994</v>
      </c>
      <c r="I504" s="101">
        <f t="shared" si="76"/>
        <v>607.2281999999999</v>
      </c>
      <c r="J504" s="101">
        <f t="shared" si="77"/>
        <v>742.16779999999994</v>
      </c>
      <c r="K504" s="101">
        <f t="shared" si="78"/>
        <v>809.63759999999991</v>
      </c>
      <c r="L504" s="101">
        <f t="shared" si="79"/>
        <v>877.10739999999987</v>
      </c>
      <c r="M504" s="98">
        <f t="shared" si="80"/>
        <v>9.0909090909090917</v>
      </c>
      <c r="N504" s="98">
        <f t="shared" si="81"/>
        <v>8.3333333333333339</v>
      </c>
      <c r="O504" s="98">
        <f t="shared" si="82"/>
        <v>7.6923076923076925</v>
      </c>
    </row>
    <row r="505" spans="2:15" ht="15" customHeight="1" x14ac:dyDescent="0.25">
      <c r="B505" s="158"/>
      <c r="C505" s="95" t="s">
        <v>43</v>
      </c>
      <c r="D505" s="98">
        <v>7421.68</v>
      </c>
      <c r="E505" s="98">
        <v>7421.68</v>
      </c>
      <c r="F505" s="98">
        <f t="shared" si="74"/>
        <v>296.86720000000003</v>
      </c>
      <c r="G505" s="101">
        <f t="shared" si="83"/>
        <v>519.51760000000002</v>
      </c>
      <c r="H505" s="101">
        <f t="shared" si="75"/>
        <v>593.73440000000005</v>
      </c>
      <c r="I505" s="101">
        <f t="shared" si="76"/>
        <v>667.95119999999997</v>
      </c>
      <c r="J505" s="101">
        <f t="shared" si="77"/>
        <v>816.38480000000004</v>
      </c>
      <c r="K505" s="101">
        <f t="shared" si="78"/>
        <v>890.60160000000008</v>
      </c>
      <c r="L505" s="101">
        <f t="shared" si="79"/>
        <v>964.8184</v>
      </c>
      <c r="M505" s="98">
        <f t="shared" si="80"/>
        <v>9.0909090909090899</v>
      </c>
      <c r="N505" s="98">
        <f t="shared" si="81"/>
        <v>8.3333333333333321</v>
      </c>
      <c r="O505" s="98">
        <f t="shared" si="82"/>
        <v>7.6923076923076925</v>
      </c>
    </row>
    <row r="506" spans="2:15" ht="15" customHeight="1" x14ac:dyDescent="0.25">
      <c r="B506" s="158"/>
      <c r="C506" s="95" t="s">
        <v>44</v>
      </c>
      <c r="D506" s="98">
        <v>7421.68</v>
      </c>
      <c r="E506" s="98">
        <v>7421.68</v>
      </c>
      <c r="F506" s="98">
        <f t="shared" si="74"/>
        <v>296.86720000000003</v>
      </c>
      <c r="G506" s="101">
        <f t="shared" si="83"/>
        <v>519.51760000000002</v>
      </c>
      <c r="H506" s="101">
        <f t="shared" si="75"/>
        <v>593.73440000000005</v>
      </c>
      <c r="I506" s="101">
        <f t="shared" si="76"/>
        <v>667.95119999999997</v>
      </c>
      <c r="J506" s="101">
        <f t="shared" si="77"/>
        <v>816.38480000000004</v>
      </c>
      <c r="K506" s="101">
        <f t="shared" si="78"/>
        <v>890.60160000000008</v>
      </c>
      <c r="L506" s="101">
        <f t="shared" si="79"/>
        <v>964.8184</v>
      </c>
      <c r="M506" s="98">
        <f t="shared" si="80"/>
        <v>9.0909090909090899</v>
      </c>
      <c r="N506" s="98">
        <f t="shared" si="81"/>
        <v>8.3333333333333321</v>
      </c>
      <c r="O506" s="98">
        <f t="shared" si="82"/>
        <v>7.6923076923076925</v>
      </c>
    </row>
    <row r="507" spans="2:15" ht="15" customHeight="1" x14ac:dyDescent="0.25">
      <c r="B507" s="158"/>
      <c r="C507" s="95" t="s">
        <v>45</v>
      </c>
      <c r="D507" s="98">
        <v>7421.68</v>
      </c>
      <c r="E507" s="98">
        <v>7421.68</v>
      </c>
      <c r="F507" s="98">
        <f t="shared" si="74"/>
        <v>296.86720000000003</v>
      </c>
      <c r="G507" s="101">
        <f t="shared" si="83"/>
        <v>519.51760000000002</v>
      </c>
      <c r="H507" s="101">
        <f t="shared" si="75"/>
        <v>593.73440000000005</v>
      </c>
      <c r="I507" s="101">
        <f t="shared" si="76"/>
        <v>667.95119999999997</v>
      </c>
      <c r="J507" s="101">
        <f t="shared" si="77"/>
        <v>816.38480000000004</v>
      </c>
      <c r="K507" s="101">
        <f t="shared" si="78"/>
        <v>890.60160000000008</v>
      </c>
      <c r="L507" s="101">
        <f t="shared" si="79"/>
        <v>964.8184</v>
      </c>
      <c r="M507" s="98">
        <f t="shared" si="80"/>
        <v>9.0909090909090899</v>
      </c>
      <c r="N507" s="98">
        <f t="shared" si="81"/>
        <v>8.3333333333333321</v>
      </c>
      <c r="O507" s="98">
        <f t="shared" si="82"/>
        <v>7.6923076923076925</v>
      </c>
    </row>
    <row r="508" spans="2:15" ht="15" customHeight="1" x14ac:dyDescent="0.25">
      <c r="B508" s="158"/>
      <c r="C508" s="95" t="s">
        <v>46</v>
      </c>
      <c r="D508" s="98">
        <v>7421.68</v>
      </c>
      <c r="E508" s="98">
        <v>7421.68</v>
      </c>
      <c r="F508" s="98">
        <f t="shared" si="74"/>
        <v>296.86720000000003</v>
      </c>
      <c r="G508" s="101">
        <f t="shared" si="83"/>
        <v>519.51760000000002</v>
      </c>
      <c r="H508" s="101">
        <f t="shared" si="75"/>
        <v>593.73440000000005</v>
      </c>
      <c r="I508" s="101">
        <f t="shared" si="76"/>
        <v>667.95119999999997</v>
      </c>
      <c r="J508" s="101">
        <f t="shared" si="77"/>
        <v>816.38480000000004</v>
      </c>
      <c r="K508" s="101">
        <f t="shared" si="78"/>
        <v>890.60160000000008</v>
      </c>
      <c r="L508" s="101">
        <f t="shared" si="79"/>
        <v>964.8184</v>
      </c>
      <c r="M508" s="98">
        <f t="shared" si="80"/>
        <v>9.0909090909090899</v>
      </c>
      <c r="N508" s="98">
        <f t="shared" si="81"/>
        <v>8.3333333333333321</v>
      </c>
      <c r="O508" s="98">
        <f t="shared" si="82"/>
        <v>7.6923076923076925</v>
      </c>
    </row>
    <row r="509" spans="2:15" ht="15" customHeight="1" x14ac:dyDescent="0.25">
      <c r="B509" s="158"/>
      <c r="C509" s="95" t="s">
        <v>47</v>
      </c>
      <c r="D509" s="98">
        <v>9648.18</v>
      </c>
      <c r="E509" s="98">
        <v>9648.18</v>
      </c>
      <c r="F509" s="98">
        <f t="shared" si="74"/>
        <v>385.92720000000003</v>
      </c>
      <c r="G509" s="101">
        <f t="shared" si="83"/>
        <v>675.37260000000003</v>
      </c>
      <c r="H509" s="101">
        <f t="shared" si="75"/>
        <v>771.85440000000006</v>
      </c>
      <c r="I509" s="101">
        <f t="shared" si="76"/>
        <v>868.33619999999996</v>
      </c>
      <c r="J509" s="101">
        <f t="shared" si="77"/>
        <v>1061.2998</v>
      </c>
      <c r="K509" s="101">
        <f t="shared" si="78"/>
        <v>1157.7816</v>
      </c>
      <c r="L509" s="101">
        <f t="shared" si="79"/>
        <v>1254.2634</v>
      </c>
      <c r="M509" s="98">
        <f t="shared" si="80"/>
        <v>9.0909090909090917</v>
      </c>
      <c r="N509" s="98">
        <f t="shared" si="81"/>
        <v>8.3333333333333339</v>
      </c>
      <c r="O509" s="98">
        <f t="shared" si="82"/>
        <v>7.6923076923076925</v>
      </c>
    </row>
    <row r="510" spans="2:15" ht="15" customHeight="1" x14ac:dyDescent="0.25">
      <c r="B510" s="159"/>
      <c r="C510" s="96" t="s">
        <v>48</v>
      </c>
      <c r="D510" s="99">
        <v>9648.18</v>
      </c>
      <c r="E510" s="99">
        <v>9648.18</v>
      </c>
      <c r="F510" s="99">
        <f t="shared" si="74"/>
        <v>385.92720000000003</v>
      </c>
      <c r="G510" s="102">
        <f t="shared" si="83"/>
        <v>675.37260000000003</v>
      </c>
      <c r="H510" s="102">
        <f t="shared" si="75"/>
        <v>771.85440000000006</v>
      </c>
      <c r="I510" s="102">
        <f t="shared" si="76"/>
        <v>868.33619999999996</v>
      </c>
      <c r="J510" s="102">
        <f t="shared" si="77"/>
        <v>1061.2998</v>
      </c>
      <c r="K510" s="102">
        <f t="shared" si="78"/>
        <v>1157.7816</v>
      </c>
      <c r="L510" s="102">
        <f t="shared" si="79"/>
        <v>1254.2634</v>
      </c>
      <c r="M510" s="99">
        <f t="shared" si="80"/>
        <v>9.0909090909090917</v>
      </c>
      <c r="N510" s="99">
        <f t="shared" si="81"/>
        <v>8.3333333333333339</v>
      </c>
      <c r="O510" s="99">
        <f t="shared" si="82"/>
        <v>7.6923076923076925</v>
      </c>
    </row>
    <row r="511" spans="2:15" ht="15" customHeight="1" x14ac:dyDescent="0.25">
      <c r="B511" s="157">
        <v>2016</v>
      </c>
      <c r="C511" s="94" t="s">
        <v>36</v>
      </c>
      <c r="D511" s="97">
        <v>9648.18</v>
      </c>
      <c r="E511" s="97">
        <v>9648.18</v>
      </c>
      <c r="F511" s="97">
        <f t="shared" si="74"/>
        <v>385.92720000000003</v>
      </c>
      <c r="G511" s="100">
        <f t="shared" si="83"/>
        <v>675.37260000000003</v>
      </c>
      <c r="H511" s="100">
        <f t="shared" si="75"/>
        <v>771.85440000000006</v>
      </c>
      <c r="I511" s="100">
        <f t="shared" si="76"/>
        <v>868.33619999999996</v>
      </c>
      <c r="J511" s="100">
        <f t="shared" si="77"/>
        <v>1061.2998</v>
      </c>
      <c r="K511" s="100">
        <f t="shared" si="78"/>
        <v>1157.7816</v>
      </c>
      <c r="L511" s="100">
        <f t="shared" si="79"/>
        <v>1254.2634</v>
      </c>
      <c r="M511" s="97">
        <f t="shared" si="80"/>
        <v>9.0909090909090917</v>
      </c>
      <c r="N511" s="97">
        <f t="shared" si="81"/>
        <v>8.3333333333333339</v>
      </c>
      <c r="O511" s="97">
        <f t="shared" si="82"/>
        <v>7.6923076923076925</v>
      </c>
    </row>
    <row r="512" spans="2:15" ht="15" customHeight="1" x14ac:dyDescent="0.25">
      <c r="B512" s="158"/>
      <c r="C512" s="95" t="s">
        <v>38</v>
      </c>
      <c r="D512" s="98">
        <v>9648.18</v>
      </c>
      <c r="E512" s="98">
        <v>9648.18</v>
      </c>
      <c r="F512" s="98">
        <f t="shared" si="74"/>
        <v>385.92720000000003</v>
      </c>
      <c r="G512" s="101">
        <f t="shared" si="83"/>
        <v>675.37260000000003</v>
      </c>
      <c r="H512" s="101">
        <f t="shared" si="75"/>
        <v>771.85440000000006</v>
      </c>
      <c r="I512" s="101">
        <f t="shared" si="76"/>
        <v>868.33619999999996</v>
      </c>
      <c r="J512" s="101">
        <f t="shared" si="77"/>
        <v>1061.2998</v>
      </c>
      <c r="K512" s="101">
        <f t="shared" si="78"/>
        <v>1157.7816</v>
      </c>
      <c r="L512" s="101">
        <f t="shared" si="79"/>
        <v>1254.2634</v>
      </c>
      <c r="M512" s="98">
        <f t="shared" si="80"/>
        <v>9.0909090909090917</v>
      </c>
      <c r="N512" s="98">
        <f t="shared" si="81"/>
        <v>8.3333333333333339</v>
      </c>
      <c r="O512" s="98">
        <f t="shared" si="82"/>
        <v>7.6923076923076925</v>
      </c>
    </row>
    <row r="513" spans="2:15" ht="15" customHeight="1" x14ac:dyDescent="0.25">
      <c r="B513" s="158"/>
      <c r="C513" s="95" t="s">
        <v>39</v>
      </c>
      <c r="D513" s="98">
        <v>11578</v>
      </c>
      <c r="E513" s="98">
        <v>11578</v>
      </c>
      <c r="F513" s="98">
        <f t="shared" si="74"/>
        <v>463.12</v>
      </c>
      <c r="G513" s="101">
        <f t="shared" si="83"/>
        <v>810.46</v>
      </c>
      <c r="H513" s="101">
        <f t="shared" si="75"/>
        <v>926.24</v>
      </c>
      <c r="I513" s="101">
        <f t="shared" si="76"/>
        <v>1042.02</v>
      </c>
      <c r="J513" s="101">
        <f t="shared" si="77"/>
        <v>1273.58</v>
      </c>
      <c r="K513" s="101">
        <f t="shared" si="78"/>
        <v>1389.3600000000001</v>
      </c>
      <c r="L513" s="101">
        <f t="shared" si="79"/>
        <v>1505.1399999999999</v>
      </c>
      <c r="M513" s="98">
        <f t="shared" si="80"/>
        <v>9.0909090909090917</v>
      </c>
      <c r="N513" s="98">
        <f t="shared" si="81"/>
        <v>8.3333333333333321</v>
      </c>
      <c r="O513" s="98">
        <f t="shared" si="82"/>
        <v>7.6923076923076934</v>
      </c>
    </row>
    <row r="514" spans="2:15" ht="15" customHeight="1" x14ac:dyDescent="0.25">
      <c r="B514" s="158"/>
      <c r="C514" s="95" t="s">
        <v>40</v>
      </c>
      <c r="D514" s="98">
        <v>11578</v>
      </c>
      <c r="E514" s="98">
        <v>11578</v>
      </c>
      <c r="F514" s="98">
        <f t="shared" si="74"/>
        <v>463.12</v>
      </c>
      <c r="G514" s="101">
        <f t="shared" si="83"/>
        <v>810.46</v>
      </c>
      <c r="H514" s="101">
        <f t="shared" si="75"/>
        <v>926.24</v>
      </c>
      <c r="I514" s="101">
        <f t="shared" si="76"/>
        <v>1042.02</v>
      </c>
      <c r="J514" s="101">
        <f t="shared" si="77"/>
        <v>1273.58</v>
      </c>
      <c r="K514" s="101">
        <f t="shared" si="78"/>
        <v>1389.3600000000001</v>
      </c>
      <c r="L514" s="101">
        <f t="shared" si="79"/>
        <v>1505.1399999999999</v>
      </c>
      <c r="M514" s="98">
        <f t="shared" si="80"/>
        <v>9.0909090909090917</v>
      </c>
      <c r="N514" s="98">
        <f t="shared" si="81"/>
        <v>8.3333333333333321</v>
      </c>
      <c r="O514" s="98">
        <f t="shared" si="82"/>
        <v>7.6923076923076934</v>
      </c>
    </row>
    <row r="515" spans="2:15" ht="15" customHeight="1" x14ac:dyDescent="0.25">
      <c r="B515" s="158"/>
      <c r="C515" s="95" t="s">
        <v>41</v>
      </c>
      <c r="D515" s="98">
        <v>15051.15</v>
      </c>
      <c r="E515" s="98">
        <v>15051.15</v>
      </c>
      <c r="F515" s="98">
        <f t="shared" si="74"/>
        <v>602.04600000000005</v>
      </c>
      <c r="G515" s="101">
        <f t="shared" si="83"/>
        <v>1053.5805</v>
      </c>
      <c r="H515" s="101">
        <f t="shared" si="75"/>
        <v>1204.0920000000001</v>
      </c>
      <c r="I515" s="101">
        <f t="shared" si="76"/>
        <v>1354.6034999999999</v>
      </c>
      <c r="J515" s="101">
        <f t="shared" si="77"/>
        <v>1655.6265000000001</v>
      </c>
      <c r="K515" s="101">
        <f t="shared" si="78"/>
        <v>1806.1380000000001</v>
      </c>
      <c r="L515" s="101">
        <f t="shared" si="79"/>
        <v>1956.6495</v>
      </c>
      <c r="M515" s="98">
        <f t="shared" si="80"/>
        <v>9.0909090909090899</v>
      </c>
      <c r="N515" s="98">
        <f t="shared" si="81"/>
        <v>8.3333333333333321</v>
      </c>
      <c r="O515" s="98">
        <f t="shared" si="82"/>
        <v>7.6923076923076925</v>
      </c>
    </row>
    <row r="516" spans="2:15" ht="15" customHeight="1" x14ac:dyDescent="0.25">
      <c r="B516" s="158"/>
      <c r="C516" s="95" t="s">
        <v>42</v>
      </c>
      <c r="D516" s="98">
        <v>15051.15</v>
      </c>
      <c r="E516" s="98">
        <v>15051.15</v>
      </c>
      <c r="F516" s="98">
        <f t="shared" si="74"/>
        <v>602.04600000000005</v>
      </c>
      <c r="G516" s="101">
        <f t="shared" si="83"/>
        <v>1053.5805</v>
      </c>
      <c r="H516" s="101">
        <f t="shared" si="75"/>
        <v>1204.0920000000001</v>
      </c>
      <c r="I516" s="101">
        <f t="shared" si="76"/>
        <v>1354.6034999999999</v>
      </c>
      <c r="J516" s="101">
        <f t="shared" si="77"/>
        <v>1655.6265000000001</v>
      </c>
      <c r="K516" s="101">
        <f t="shared" si="78"/>
        <v>1806.1380000000001</v>
      </c>
      <c r="L516" s="101">
        <f t="shared" si="79"/>
        <v>1956.6495</v>
      </c>
      <c r="M516" s="98">
        <f t="shared" si="80"/>
        <v>9.0909090909090899</v>
      </c>
      <c r="N516" s="98">
        <f t="shared" si="81"/>
        <v>8.3333333333333321</v>
      </c>
      <c r="O516" s="98">
        <f t="shared" si="82"/>
        <v>7.6923076923076925</v>
      </c>
    </row>
    <row r="517" spans="2:15" ht="15" customHeight="1" x14ac:dyDescent="0.25">
      <c r="B517" s="158"/>
      <c r="C517" s="95" t="s">
        <v>43</v>
      </c>
      <c r="D517" s="98">
        <v>15051.15</v>
      </c>
      <c r="E517" s="98">
        <v>15051.15</v>
      </c>
      <c r="F517" s="98">
        <f t="shared" si="74"/>
        <v>602.04600000000005</v>
      </c>
      <c r="G517" s="101">
        <f t="shared" si="83"/>
        <v>1053.5805</v>
      </c>
      <c r="H517" s="101">
        <f t="shared" si="75"/>
        <v>1204.0920000000001</v>
      </c>
      <c r="I517" s="101">
        <f t="shared" si="76"/>
        <v>1354.6034999999999</v>
      </c>
      <c r="J517" s="101">
        <f t="shared" si="77"/>
        <v>1655.6265000000001</v>
      </c>
      <c r="K517" s="101">
        <f t="shared" si="78"/>
        <v>1806.1380000000001</v>
      </c>
      <c r="L517" s="101">
        <f t="shared" si="79"/>
        <v>1956.6495</v>
      </c>
      <c r="M517" s="98">
        <f t="shared" si="80"/>
        <v>9.0909090909090899</v>
      </c>
      <c r="N517" s="98">
        <f t="shared" si="81"/>
        <v>8.3333333333333321</v>
      </c>
      <c r="O517" s="98">
        <f t="shared" si="82"/>
        <v>7.6923076923076925</v>
      </c>
    </row>
    <row r="518" spans="2:15" ht="15" customHeight="1" x14ac:dyDescent="0.25">
      <c r="B518" s="158"/>
      <c r="C518" s="95" t="s">
        <v>44</v>
      </c>
      <c r="D518" s="98">
        <v>15051.15</v>
      </c>
      <c r="E518" s="98">
        <v>15051.15</v>
      </c>
      <c r="F518" s="98">
        <f t="shared" si="74"/>
        <v>602.04600000000005</v>
      </c>
      <c r="G518" s="101">
        <f t="shared" si="83"/>
        <v>1053.5805</v>
      </c>
      <c r="H518" s="101">
        <f t="shared" si="75"/>
        <v>1204.0920000000001</v>
      </c>
      <c r="I518" s="101">
        <f t="shared" si="76"/>
        <v>1354.6034999999999</v>
      </c>
      <c r="J518" s="101">
        <f t="shared" si="77"/>
        <v>1655.6265000000001</v>
      </c>
      <c r="K518" s="101">
        <f t="shared" si="78"/>
        <v>1806.1380000000001</v>
      </c>
      <c r="L518" s="101">
        <f t="shared" si="79"/>
        <v>1956.6495</v>
      </c>
      <c r="M518" s="98">
        <f t="shared" si="80"/>
        <v>9.0909090909090899</v>
      </c>
      <c r="N518" s="98">
        <f t="shared" si="81"/>
        <v>8.3333333333333321</v>
      </c>
      <c r="O518" s="98">
        <f t="shared" si="82"/>
        <v>7.6923076923076925</v>
      </c>
    </row>
    <row r="519" spans="2:15" ht="15" customHeight="1" x14ac:dyDescent="0.25">
      <c r="B519" s="158"/>
      <c r="C519" s="95" t="s">
        <v>45</v>
      </c>
      <c r="D519" s="98">
        <v>22576</v>
      </c>
      <c r="E519" s="98">
        <v>22576</v>
      </c>
      <c r="F519" s="98">
        <f t="shared" si="74"/>
        <v>903.04</v>
      </c>
      <c r="G519" s="101">
        <f t="shared" si="83"/>
        <v>1580.3200000000002</v>
      </c>
      <c r="H519" s="101">
        <f t="shared" si="75"/>
        <v>1806.08</v>
      </c>
      <c r="I519" s="101">
        <f t="shared" si="76"/>
        <v>2031.84</v>
      </c>
      <c r="J519" s="101">
        <f t="shared" si="77"/>
        <v>2483.36</v>
      </c>
      <c r="K519" s="101">
        <f t="shared" si="78"/>
        <v>2709.12</v>
      </c>
      <c r="L519" s="101">
        <f t="shared" si="79"/>
        <v>2934.88</v>
      </c>
      <c r="M519" s="98">
        <f t="shared" si="80"/>
        <v>9.0909090909090899</v>
      </c>
      <c r="N519" s="98">
        <f t="shared" si="81"/>
        <v>8.3333333333333339</v>
      </c>
      <c r="O519" s="98">
        <f t="shared" si="82"/>
        <v>7.6923076923076916</v>
      </c>
    </row>
    <row r="520" spans="2:15" ht="15" customHeight="1" x14ac:dyDescent="0.25">
      <c r="B520" s="158"/>
      <c r="C520" s="95" t="s">
        <v>46</v>
      </c>
      <c r="D520" s="98">
        <v>22576</v>
      </c>
      <c r="E520" s="98">
        <v>22576</v>
      </c>
      <c r="F520" s="98">
        <f t="shared" si="74"/>
        <v>903.04</v>
      </c>
      <c r="G520" s="101">
        <f t="shared" si="83"/>
        <v>1580.3200000000002</v>
      </c>
      <c r="H520" s="101">
        <f t="shared" si="75"/>
        <v>1806.08</v>
      </c>
      <c r="I520" s="101">
        <f t="shared" si="76"/>
        <v>2031.84</v>
      </c>
      <c r="J520" s="101">
        <f t="shared" si="77"/>
        <v>2483.36</v>
      </c>
      <c r="K520" s="101">
        <f t="shared" si="78"/>
        <v>2709.12</v>
      </c>
      <c r="L520" s="101">
        <f t="shared" si="79"/>
        <v>2934.88</v>
      </c>
      <c r="M520" s="98">
        <f t="shared" si="80"/>
        <v>9.0909090909090899</v>
      </c>
      <c r="N520" s="98">
        <f t="shared" si="81"/>
        <v>8.3333333333333339</v>
      </c>
      <c r="O520" s="98">
        <f t="shared" si="82"/>
        <v>7.6923076923076916</v>
      </c>
    </row>
    <row r="521" spans="2:15" ht="15" customHeight="1" x14ac:dyDescent="0.25">
      <c r="B521" s="158"/>
      <c r="C521" s="95" t="s">
        <v>47</v>
      </c>
      <c r="D521" s="98">
        <v>27092.1</v>
      </c>
      <c r="E521" s="98">
        <v>27092.1</v>
      </c>
      <c r="F521" s="98">
        <f t="shared" si="74"/>
        <v>1083.684</v>
      </c>
      <c r="G521" s="101">
        <f t="shared" si="83"/>
        <v>1896.4470000000001</v>
      </c>
      <c r="H521" s="101">
        <f t="shared" si="75"/>
        <v>2167.3679999999999</v>
      </c>
      <c r="I521" s="101">
        <f t="shared" si="76"/>
        <v>2438.2889999999998</v>
      </c>
      <c r="J521" s="101">
        <f t="shared" si="77"/>
        <v>2980.1310000000003</v>
      </c>
      <c r="K521" s="101">
        <f t="shared" si="78"/>
        <v>3251.0519999999997</v>
      </c>
      <c r="L521" s="101">
        <f t="shared" si="79"/>
        <v>3521.973</v>
      </c>
      <c r="M521" s="98">
        <f t="shared" si="80"/>
        <v>9.0909090909090899</v>
      </c>
      <c r="N521" s="98">
        <f t="shared" si="81"/>
        <v>8.3333333333333339</v>
      </c>
      <c r="O521" s="98">
        <f t="shared" si="82"/>
        <v>7.6923076923076916</v>
      </c>
    </row>
    <row r="522" spans="2:15" ht="15" customHeight="1" x14ac:dyDescent="0.25">
      <c r="B522" s="159"/>
      <c r="C522" s="96" t="s">
        <v>48</v>
      </c>
      <c r="D522" s="99">
        <v>27092.1</v>
      </c>
      <c r="E522" s="99">
        <v>27092.1</v>
      </c>
      <c r="F522" s="99">
        <f t="shared" si="74"/>
        <v>1083.684</v>
      </c>
      <c r="G522" s="102">
        <f t="shared" si="83"/>
        <v>1896.4470000000001</v>
      </c>
      <c r="H522" s="102">
        <f t="shared" si="75"/>
        <v>2167.3679999999999</v>
      </c>
      <c r="I522" s="102">
        <f t="shared" si="76"/>
        <v>2438.2889999999998</v>
      </c>
      <c r="J522" s="102">
        <f t="shared" si="77"/>
        <v>2980.1310000000003</v>
      </c>
      <c r="K522" s="102">
        <f t="shared" si="78"/>
        <v>3251.0519999999997</v>
      </c>
      <c r="L522" s="102">
        <f t="shared" si="79"/>
        <v>3521.973</v>
      </c>
      <c r="M522" s="99">
        <f t="shared" si="80"/>
        <v>9.0909090909090899</v>
      </c>
      <c r="N522" s="99">
        <f t="shared" si="81"/>
        <v>8.3333333333333339</v>
      </c>
      <c r="O522" s="99">
        <f t="shared" si="82"/>
        <v>7.6923076923076916</v>
      </c>
    </row>
    <row r="523" spans="2:15" ht="15" customHeight="1" x14ac:dyDescent="0.25">
      <c r="B523" s="157">
        <v>2017</v>
      </c>
      <c r="C523" s="94" t="s">
        <v>36</v>
      </c>
      <c r="D523" s="97">
        <v>40638.15</v>
      </c>
      <c r="E523" s="97">
        <v>40638.15</v>
      </c>
      <c r="F523" s="97">
        <f t="shared" si="74"/>
        <v>1625.5260000000001</v>
      </c>
      <c r="G523" s="100">
        <f t="shared" si="83"/>
        <v>2844.6705000000002</v>
      </c>
      <c r="H523" s="100">
        <f t="shared" si="75"/>
        <v>3251.0520000000001</v>
      </c>
      <c r="I523" s="100">
        <f t="shared" si="76"/>
        <v>3657.4335000000001</v>
      </c>
      <c r="J523" s="100">
        <f t="shared" si="77"/>
        <v>4470.1965</v>
      </c>
      <c r="K523" s="100">
        <f t="shared" si="78"/>
        <v>4876.5780000000004</v>
      </c>
      <c r="L523" s="100">
        <f t="shared" si="79"/>
        <v>5282.9594999999999</v>
      </c>
      <c r="M523" s="97">
        <f t="shared" si="80"/>
        <v>9.0909090909090917</v>
      </c>
      <c r="N523" s="97">
        <f t="shared" si="81"/>
        <v>8.3333333333333321</v>
      </c>
      <c r="O523" s="97">
        <f t="shared" si="82"/>
        <v>7.6923076923076925</v>
      </c>
    </row>
    <row r="524" spans="2:15" ht="15" customHeight="1" x14ac:dyDescent="0.25">
      <c r="B524" s="158"/>
      <c r="C524" s="95" t="s">
        <v>38</v>
      </c>
      <c r="D524" s="98">
        <v>40638.15</v>
      </c>
      <c r="E524" s="98">
        <v>40638.15</v>
      </c>
      <c r="F524" s="98">
        <f t="shared" si="74"/>
        <v>1625.5260000000001</v>
      </c>
      <c r="G524" s="101">
        <f t="shared" si="83"/>
        <v>2844.6705000000002</v>
      </c>
      <c r="H524" s="101">
        <f t="shared" si="75"/>
        <v>3251.0520000000001</v>
      </c>
      <c r="I524" s="101">
        <f t="shared" si="76"/>
        <v>3657.4335000000001</v>
      </c>
      <c r="J524" s="101">
        <f t="shared" si="77"/>
        <v>4470.1965</v>
      </c>
      <c r="K524" s="101">
        <f t="shared" si="78"/>
        <v>4876.5780000000004</v>
      </c>
      <c r="L524" s="101">
        <f t="shared" si="79"/>
        <v>5282.9594999999999</v>
      </c>
      <c r="M524" s="98">
        <f t="shared" si="80"/>
        <v>9.0909090909090917</v>
      </c>
      <c r="N524" s="98">
        <f t="shared" si="81"/>
        <v>8.3333333333333321</v>
      </c>
      <c r="O524" s="98">
        <f t="shared" si="82"/>
        <v>7.6923076923076925</v>
      </c>
    </row>
    <row r="525" spans="2:15" ht="15" customHeight="1" x14ac:dyDescent="0.25">
      <c r="B525" s="158"/>
      <c r="C525" s="95" t="s">
        <v>39</v>
      </c>
      <c r="D525" s="98">
        <v>40638.15</v>
      </c>
      <c r="E525" s="98">
        <v>40638.15</v>
      </c>
      <c r="F525" s="98">
        <f t="shared" ref="F525:F540" si="84">+D525*4%</f>
        <v>1625.5260000000001</v>
      </c>
      <c r="G525" s="101">
        <f t="shared" si="83"/>
        <v>2844.6705000000002</v>
      </c>
      <c r="H525" s="101">
        <f t="shared" ref="H525:H540" si="85">+D525*8%</f>
        <v>3251.0520000000001</v>
      </c>
      <c r="I525" s="101">
        <f t="shared" ref="I525:I540" si="86">+D525*9%</f>
        <v>3657.4335000000001</v>
      </c>
      <c r="J525" s="101">
        <f t="shared" ref="J525:J540" si="87">+F525+G525</f>
        <v>4470.1965</v>
      </c>
      <c r="K525" s="101">
        <f t="shared" ref="K525:K540" si="88">+F525+H525</f>
        <v>4876.5780000000004</v>
      </c>
      <c r="L525" s="101">
        <f t="shared" ref="L525:L540" si="89">+F525+I525</f>
        <v>5282.9594999999999</v>
      </c>
      <c r="M525" s="98">
        <f t="shared" ref="M525:M540" si="90">+E525/J525</f>
        <v>9.0909090909090917</v>
      </c>
      <c r="N525" s="98">
        <f t="shared" ref="N525:N540" si="91">+E525/K525</f>
        <v>8.3333333333333321</v>
      </c>
      <c r="O525" s="98">
        <f t="shared" ref="O525:O540" si="92">+E525/L525</f>
        <v>7.6923076923076925</v>
      </c>
    </row>
    <row r="526" spans="2:15" ht="15" customHeight="1" x14ac:dyDescent="0.25">
      <c r="B526" s="158"/>
      <c r="C526" s="95" t="s">
        <v>40</v>
      </c>
      <c r="D526" s="98">
        <v>40638.15</v>
      </c>
      <c r="E526" s="98">
        <v>40638.15</v>
      </c>
      <c r="F526" s="98">
        <f t="shared" si="84"/>
        <v>1625.5260000000001</v>
      </c>
      <c r="G526" s="101">
        <f t="shared" ref="G526:G540" si="93">+D526*7%</f>
        <v>2844.6705000000002</v>
      </c>
      <c r="H526" s="101">
        <f t="shared" si="85"/>
        <v>3251.0520000000001</v>
      </c>
      <c r="I526" s="101">
        <f t="shared" si="86"/>
        <v>3657.4335000000001</v>
      </c>
      <c r="J526" s="101">
        <f t="shared" si="87"/>
        <v>4470.1965</v>
      </c>
      <c r="K526" s="101">
        <f t="shared" si="88"/>
        <v>4876.5780000000004</v>
      </c>
      <c r="L526" s="101">
        <f t="shared" si="89"/>
        <v>5282.9594999999999</v>
      </c>
      <c r="M526" s="98">
        <f t="shared" si="90"/>
        <v>9.0909090909090917</v>
      </c>
      <c r="N526" s="98">
        <f t="shared" si="91"/>
        <v>8.3333333333333321</v>
      </c>
      <c r="O526" s="98">
        <f t="shared" si="92"/>
        <v>7.6923076923076925</v>
      </c>
    </row>
    <row r="527" spans="2:15" ht="15" customHeight="1" x14ac:dyDescent="0.25">
      <c r="B527" s="158"/>
      <c r="C527" s="95" t="s">
        <v>41</v>
      </c>
      <c r="D527" s="98">
        <v>65021</v>
      </c>
      <c r="E527" s="98">
        <v>65021</v>
      </c>
      <c r="F527" s="98">
        <f t="shared" si="84"/>
        <v>2600.84</v>
      </c>
      <c r="G527" s="101">
        <f t="shared" si="93"/>
        <v>4551.47</v>
      </c>
      <c r="H527" s="101">
        <f t="shared" si="85"/>
        <v>5201.68</v>
      </c>
      <c r="I527" s="101">
        <f t="shared" si="86"/>
        <v>5851.8899999999994</v>
      </c>
      <c r="J527" s="101">
        <f t="shared" si="87"/>
        <v>7152.31</v>
      </c>
      <c r="K527" s="101">
        <f t="shared" si="88"/>
        <v>7802.52</v>
      </c>
      <c r="L527" s="101">
        <f t="shared" si="89"/>
        <v>8452.73</v>
      </c>
      <c r="M527" s="98">
        <f t="shared" si="90"/>
        <v>9.0909090909090899</v>
      </c>
      <c r="N527" s="98">
        <f t="shared" si="91"/>
        <v>8.3333333333333321</v>
      </c>
      <c r="O527" s="98">
        <f t="shared" si="92"/>
        <v>7.6923076923076925</v>
      </c>
    </row>
    <row r="528" spans="2:15" ht="15" customHeight="1" x14ac:dyDescent="0.25">
      <c r="B528" s="158"/>
      <c r="C528" s="95" t="s">
        <v>42</v>
      </c>
      <c r="D528" s="98">
        <v>65021</v>
      </c>
      <c r="E528" s="98">
        <v>65021</v>
      </c>
      <c r="F528" s="98">
        <f t="shared" si="84"/>
        <v>2600.84</v>
      </c>
      <c r="G528" s="101">
        <f t="shared" si="93"/>
        <v>4551.47</v>
      </c>
      <c r="H528" s="101">
        <f t="shared" si="85"/>
        <v>5201.68</v>
      </c>
      <c r="I528" s="101">
        <f t="shared" si="86"/>
        <v>5851.8899999999994</v>
      </c>
      <c r="J528" s="101">
        <f t="shared" si="87"/>
        <v>7152.31</v>
      </c>
      <c r="K528" s="101">
        <f t="shared" si="88"/>
        <v>7802.52</v>
      </c>
      <c r="L528" s="101">
        <f t="shared" si="89"/>
        <v>8452.73</v>
      </c>
      <c r="M528" s="98">
        <f t="shared" si="90"/>
        <v>9.0909090909090899</v>
      </c>
      <c r="N528" s="98">
        <f t="shared" si="91"/>
        <v>8.3333333333333321</v>
      </c>
      <c r="O528" s="98">
        <f t="shared" si="92"/>
        <v>7.6923076923076925</v>
      </c>
    </row>
    <row r="529" spans="2:15" ht="15" customHeight="1" x14ac:dyDescent="0.25">
      <c r="B529" s="158"/>
      <c r="C529" s="95" t="s">
        <v>43</v>
      </c>
      <c r="D529" s="98">
        <v>97531</v>
      </c>
      <c r="E529" s="98">
        <v>97531</v>
      </c>
      <c r="F529" s="98">
        <f t="shared" si="84"/>
        <v>3901.2400000000002</v>
      </c>
      <c r="G529" s="101">
        <f t="shared" si="93"/>
        <v>6827.170000000001</v>
      </c>
      <c r="H529" s="101">
        <f t="shared" si="85"/>
        <v>7802.4800000000005</v>
      </c>
      <c r="I529" s="101">
        <f t="shared" si="86"/>
        <v>8777.7899999999991</v>
      </c>
      <c r="J529" s="101">
        <f t="shared" si="87"/>
        <v>10728.410000000002</v>
      </c>
      <c r="K529" s="101">
        <f t="shared" si="88"/>
        <v>11703.720000000001</v>
      </c>
      <c r="L529" s="101">
        <f t="shared" si="89"/>
        <v>12679.029999999999</v>
      </c>
      <c r="M529" s="98">
        <f t="shared" si="90"/>
        <v>9.0909090909090899</v>
      </c>
      <c r="N529" s="98">
        <f t="shared" si="91"/>
        <v>8.3333333333333321</v>
      </c>
      <c r="O529" s="98">
        <f t="shared" si="92"/>
        <v>7.6923076923076934</v>
      </c>
    </row>
    <row r="530" spans="2:15" ht="15" customHeight="1" x14ac:dyDescent="0.25">
      <c r="B530" s="158"/>
      <c r="C530" s="95" t="s">
        <v>44</v>
      </c>
      <c r="D530" s="98">
        <v>97531</v>
      </c>
      <c r="E530" s="98">
        <v>97531</v>
      </c>
      <c r="F530" s="98">
        <f t="shared" si="84"/>
        <v>3901.2400000000002</v>
      </c>
      <c r="G530" s="101">
        <f t="shared" si="93"/>
        <v>6827.170000000001</v>
      </c>
      <c r="H530" s="101">
        <f t="shared" si="85"/>
        <v>7802.4800000000005</v>
      </c>
      <c r="I530" s="101">
        <f t="shared" si="86"/>
        <v>8777.7899999999991</v>
      </c>
      <c r="J530" s="101">
        <f t="shared" si="87"/>
        <v>10728.410000000002</v>
      </c>
      <c r="K530" s="101">
        <f t="shared" si="88"/>
        <v>11703.720000000001</v>
      </c>
      <c r="L530" s="101">
        <f t="shared" si="89"/>
        <v>12679.029999999999</v>
      </c>
      <c r="M530" s="98">
        <f t="shared" si="90"/>
        <v>9.0909090909090899</v>
      </c>
      <c r="N530" s="98">
        <f t="shared" si="91"/>
        <v>8.3333333333333321</v>
      </c>
      <c r="O530" s="98">
        <f t="shared" si="92"/>
        <v>7.6923076923076934</v>
      </c>
    </row>
    <row r="531" spans="2:15" ht="15" customHeight="1" x14ac:dyDescent="0.25">
      <c r="B531" s="158"/>
      <c r="C531" s="95" t="s">
        <v>45</v>
      </c>
      <c r="D531" s="98">
        <v>136544.18</v>
      </c>
      <c r="E531" s="98">
        <v>136544.18</v>
      </c>
      <c r="F531" s="98">
        <f t="shared" si="84"/>
        <v>5461.7672000000002</v>
      </c>
      <c r="G531" s="101">
        <f t="shared" si="93"/>
        <v>9558.0925999999999</v>
      </c>
      <c r="H531" s="101">
        <f t="shared" si="85"/>
        <v>10923.5344</v>
      </c>
      <c r="I531" s="101">
        <f t="shared" si="86"/>
        <v>12288.976199999999</v>
      </c>
      <c r="J531" s="101">
        <f t="shared" si="87"/>
        <v>15019.8598</v>
      </c>
      <c r="K531" s="101">
        <f t="shared" si="88"/>
        <v>16385.301599999999</v>
      </c>
      <c r="L531" s="101">
        <f t="shared" si="89"/>
        <v>17750.743399999999</v>
      </c>
      <c r="M531" s="98">
        <f t="shared" si="90"/>
        <v>9.0909090909090899</v>
      </c>
      <c r="N531" s="98">
        <f t="shared" si="91"/>
        <v>8.3333333333333339</v>
      </c>
      <c r="O531" s="98">
        <f t="shared" si="92"/>
        <v>7.6923076923076925</v>
      </c>
    </row>
    <row r="532" spans="2:15" ht="15" customHeight="1" x14ac:dyDescent="0.25">
      <c r="B532" s="158"/>
      <c r="C532" s="95" t="s">
        <v>46</v>
      </c>
      <c r="D532" s="98">
        <v>136544.18</v>
      </c>
      <c r="E532" s="98">
        <v>136544.18</v>
      </c>
      <c r="F532" s="98">
        <f t="shared" si="84"/>
        <v>5461.7672000000002</v>
      </c>
      <c r="G532" s="101">
        <f t="shared" si="93"/>
        <v>9558.0925999999999</v>
      </c>
      <c r="H532" s="101">
        <f t="shared" si="85"/>
        <v>10923.5344</v>
      </c>
      <c r="I532" s="101">
        <f t="shared" si="86"/>
        <v>12288.976199999999</v>
      </c>
      <c r="J532" s="101">
        <f t="shared" si="87"/>
        <v>15019.8598</v>
      </c>
      <c r="K532" s="101">
        <f t="shared" si="88"/>
        <v>16385.301599999999</v>
      </c>
      <c r="L532" s="101">
        <f t="shared" si="89"/>
        <v>17750.743399999999</v>
      </c>
      <c r="M532" s="98">
        <f t="shared" si="90"/>
        <v>9.0909090909090899</v>
      </c>
      <c r="N532" s="98">
        <f t="shared" si="91"/>
        <v>8.3333333333333339</v>
      </c>
      <c r="O532" s="98">
        <f t="shared" si="92"/>
        <v>7.6923076923076925</v>
      </c>
    </row>
    <row r="533" spans="2:15" ht="15" customHeight="1" x14ac:dyDescent="0.25">
      <c r="B533" s="158"/>
      <c r="C533" s="95" t="s">
        <v>47</v>
      </c>
      <c r="D533" s="98">
        <v>177507.44</v>
      </c>
      <c r="E533" s="98">
        <v>177507.44</v>
      </c>
      <c r="F533" s="98">
        <f t="shared" si="84"/>
        <v>7100.2975999999999</v>
      </c>
      <c r="G533" s="101">
        <f t="shared" si="93"/>
        <v>12425.520800000002</v>
      </c>
      <c r="H533" s="101">
        <f t="shared" si="85"/>
        <v>14200.5952</v>
      </c>
      <c r="I533" s="101">
        <f t="shared" si="86"/>
        <v>15975.669599999999</v>
      </c>
      <c r="J533" s="101">
        <f t="shared" si="87"/>
        <v>19525.818400000004</v>
      </c>
      <c r="K533" s="101">
        <f t="shared" si="88"/>
        <v>21300.892800000001</v>
      </c>
      <c r="L533" s="101">
        <f t="shared" si="89"/>
        <v>23075.967199999999</v>
      </c>
      <c r="M533" s="98">
        <f t="shared" si="90"/>
        <v>9.0909090909090899</v>
      </c>
      <c r="N533" s="98">
        <f t="shared" si="91"/>
        <v>8.3333333333333321</v>
      </c>
      <c r="O533" s="98">
        <f t="shared" si="92"/>
        <v>7.6923076923076925</v>
      </c>
    </row>
    <row r="534" spans="2:15" ht="15" customHeight="1" x14ac:dyDescent="0.25">
      <c r="B534" s="159"/>
      <c r="C534" s="96" t="s">
        <v>48</v>
      </c>
      <c r="D534" s="99">
        <v>177507.44</v>
      </c>
      <c r="E534" s="99">
        <v>177507.44</v>
      </c>
      <c r="F534" s="99">
        <f t="shared" si="84"/>
        <v>7100.2975999999999</v>
      </c>
      <c r="G534" s="102">
        <f t="shared" si="93"/>
        <v>12425.520800000002</v>
      </c>
      <c r="H534" s="102">
        <f t="shared" si="85"/>
        <v>14200.5952</v>
      </c>
      <c r="I534" s="102">
        <f t="shared" si="86"/>
        <v>15975.669599999999</v>
      </c>
      <c r="J534" s="102">
        <f t="shared" si="87"/>
        <v>19525.818400000004</v>
      </c>
      <c r="K534" s="102">
        <f t="shared" si="88"/>
        <v>21300.892800000001</v>
      </c>
      <c r="L534" s="102">
        <f t="shared" si="89"/>
        <v>23075.967199999999</v>
      </c>
      <c r="M534" s="99">
        <f t="shared" si="90"/>
        <v>9.0909090909090899</v>
      </c>
      <c r="N534" s="99">
        <f t="shared" si="91"/>
        <v>8.3333333333333321</v>
      </c>
      <c r="O534" s="99">
        <f t="shared" si="92"/>
        <v>7.6923076923076925</v>
      </c>
    </row>
    <row r="535" spans="2:15" ht="15" customHeight="1" x14ac:dyDescent="0.25">
      <c r="B535" s="157">
        <v>2018</v>
      </c>
      <c r="C535" s="94" t="s">
        <v>36</v>
      </c>
      <c r="D535" s="97">
        <v>248510.41</v>
      </c>
      <c r="E535" s="97">
        <v>248510.41</v>
      </c>
      <c r="F535" s="97">
        <f t="shared" si="84"/>
        <v>9940.4164000000001</v>
      </c>
      <c r="G535" s="100">
        <f t="shared" si="93"/>
        <v>17395.728700000003</v>
      </c>
      <c r="H535" s="100">
        <f t="shared" si="85"/>
        <v>19880.8328</v>
      </c>
      <c r="I535" s="100">
        <f t="shared" si="86"/>
        <v>22365.936900000001</v>
      </c>
      <c r="J535" s="100">
        <f t="shared" si="87"/>
        <v>27336.145100000002</v>
      </c>
      <c r="K535" s="100">
        <f t="shared" si="88"/>
        <v>29821.249199999998</v>
      </c>
      <c r="L535" s="100">
        <f t="shared" si="89"/>
        <v>32306.353300000002</v>
      </c>
      <c r="M535" s="97">
        <f t="shared" si="90"/>
        <v>9.0909090909090899</v>
      </c>
      <c r="N535" s="97">
        <f t="shared" si="91"/>
        <v>8.3333333333333339</v>
      </c>
      <c r="O535" s="97">
        <f t="shared" si="92"/>
        <v>7.6923076923076916</v>
      </c>
    </row>
    <row r="536" spans="2:15" ht="15" customHeight="1" x14ac:dyDescent="0.25">
      <c r="B536" s="158"/>
      <c r="C536" s="95" t="s">
        <v>38</v>
      </c>
      <c r="D536" s="98">
        <v>392646.46</v>
      </c>
      <c r="E536" s="98">
        <v>392646.46</v>
      </c>
      <c r="F536" s="98">
        <f t="shared" si="84"/>
        <v>15705.858400000001</v>
      </c>
      <c r="G536" s="101">
        <f t="shared" si="93"/>
        <v>27485.252200000003</v>
      </c>
      <c r="H536" s="101">
        <f t="shared" si="85"/>
        <v>31411.716800000002</v>
      </c>
      <c r="I536" s="101">
        <f t="shared" si="86"/>
        <v>35338.181400000001</v>
      </c>
      <c r="J536" s="101">
        <f t="shared" si="87"/>
        <v>43191.1106</v>
      </c>
      <c r="K536" s="101">
        <f t="shared" si="88"/>
        <v>47117.575200000007</v>
      </c>
      <c r="L536" s="101">
        <f t="shared" si="89"/>
        <v>51044.039799999999</v>
      </c>
      <c r="M536" s="98">
        <f t="shared" si="90"/>
        <v>9.0909090909090917</v>
      </c>
      <c r="N536" s="98">
        <f t="shared" si="91"/>
        <v>8.3333333333333321</v>
      </c>
      <c r="O536" s="98">
        <f t="shared" si="92"/>
        <v>7.6923076923076925</v>
      </c>
    </row>
    <row r="537" spans="2:15" ht="15" customHeight="1" x14ac:dyDescent="0.25">
      <c r="B537" s="158"/>
      <c r="C537" s="95" t="s">
        <v>39</v>
      </c>
      <c r="D537" s="98">
        <v>392646.46</v>
      </c>
      <c r="E537" s="98">
        <v>392646.46</v>
      </c>
      <c r="F537" s="98">
        <f t="shared" si="84"/>
        <v>15705.858400000001</v>
      </c>
      <c r="G537" s="101">
        <f t="shared" si="93"/>
        <v>27485.252200000003</v>
      </c>
      <c r="H537" s="101">
        <f t="shared" si="85"/>
        <v>31411.716800000002</v>
      </c>
      <c r="I537" s="101">
        <f t="shared" si="86"/>
        <v>35338.181400000001</v>
      </c>
      <c r="J537" s="101">
        <f t="shared" si="87"/>
        <v>43191.1106</v>
      </c>
      <c r="K537" s="101">
        <f t="shared" si="88"/>
        <v>47117.575200000007</v>
      </c>
      <c r="L537" s="101">
        <f t="shared" si="89"/>
        <v>51044.039799999999</v>
      </c>
      <c r="M537" s="98">
        <f t="shared" si="90"/>
        <v>9.0909090909090917</v>
      </c>
      <c r="N537" s="98">
        <f t="shared" si="91"/>
        <v>8.3333333333333321</v>
      </c>
      <c r="O537" s="98">
        <f t="shared" si="92"/>
        <v>7.6923076923076925</v>
      </c>
    </row>
    <row r="538" spans="2:15" ht="15" customHeight="1" x14ac:dyDescent="0.25">
      <c r="B538" s="158"/>
      <c r="C538" s="95" t="s">
        <v>40</v>
      </c>
      <c r="D538" s="98">
        <v>1000000</v>
      </c>
      <c r="E538" s="98">
        <v>1000000</v>
      </c>
      <c r="F538" s="98">
        <f t="shared" si="84"/>
        <v>40000</v>
      </c>
      <c r="G538" s="101">
        <f t="shared" si="93"/>
        <v>70000</v>
      </c>
      <c r="H538" s="101">
        <f t="shared" si="85"/>
        <v>80000</v>
      </c>
      <c r="I538" s="101">
        <f t="shared" si="86"/>
        <v>90000</v>
      </c>
      <c r="J538" s="101">
        <f t="shared" si="87"/>
        <v>110000</v>
      </c>
      <c r="K538" s="101">
        <f t="shared" si="88"/>
        <v>120000</v>
      </c>
      <c r="L538" s="101">
        <f t="shared" si="89"/>
        <v>130000</v>
      </c>
      <c r="M538" s="98">
        <f>+E538/J538</f>
        <v>9.0909090909090917</v>
      </c>
      <c r="N538" s="98">
        <f t="shared" si="91"/>
        <v>8.3333333333333339</v>
      </c>
      <c r="O538" s="98">
        <f t="shared" si="92"/>
        <v>7.6923076923076925</v>
      </c>
    </row>
    <row r="539" spans="2:15" ht="15" customHeight="1" x14ac:dyDescent="0.25">
      <c r="B539" s="158"/>
      <c r="C539" s="95" t="s">
        <v>41</v>
      </c>
      <c r="D539" s="98">
        <v>1000000</v>
      </c>
      <c r="E539" s="98">
        <v>1000000</v>
      </c>
      <c r="F539" s="98">
        <f t="shared" si="84"/>
        <v>40000</v>
      </c>
      <c r="G539" s="101">
        <f t="shared" si="93"/>
        <v>70000</v>
      </c>
      <c r="H539" s="101">
        <f t="shared" si="85"/>
        <v>80000</v>
      </c>
      <c r="I539" s="101">
        <f t="shared" si="86"/>
        <v>90000</v>
      </c>
      <c r="J539" s="101">
        <f t="shared" si="87"/>
        <v>110000</v>
      </c>
      <c r="K539" s="101">
        <f t="shared" si="88"/>
        <v>120000</v>
      </c>
      <c r="L539" s="101">
        <f t="shared" si="89"/>
        <v>130000</v>
      </c>
      <c r="M539" s="98">
        <f t="shared" si="90"/>
        <v>9.0909090909090917</v>
      </c>
      <c r="N539" s="98">
        <f t="shared" si="91"/>
        <v>8.3333333333333339</v>
      </c>
      <c r="O539" s="98">
        <f t="shared" si="92"/>
        <v>7.6923076923076925</v>
      </c>
    </row>
    <row r="540" spans="2:15" ht="15" customHeight="1" x14ac:dyDescent="0.25">
      <c r="B540" s="158"/>
      <c r="C540" s="95" t="s">
        <v>42</v>
      </c>
      <c r="D540" s="98">
        <v>1000000</v>
      </c>
      <c r="E540" s="98">
        <v>1000000</v>
      </c>
      <c r="F540" s="98">
        <f t="shared" si="84"/>
        <v>40000</v>
      </c>
      <c r="G540" s="101">
        <f t="shared" si="93"/>
        <v>70000</v>
      </c>
      <c r="H540" s="101">
        <f t="shared" si="85"/>
        <v>80000</v>
      </c>
      <c r="I540" s="101">
        <f t="shared" si="86"/>
        <v>90000</v>
      </c>
      <c r="J540" s="101">
        <f t="shared" si="87"/>
        <v>110000</v>
      </c>
      <c r="K540" s="101">
        <f t="shared" si="88"/>
        <v>120000</v>
      </c>
      <c r="L540" s="101">
        <f t="shared" si="89"/>
        <v>130000</v>
      </c>
      <c r="M540" s="98">
        <f t="shared" si="90"/>
        <v>9.0909090909090917</v>
      </c>
      <c r="N540" s="98">
        <f t="shared" si="91"/>
        <v>8.3333333333333339</v>
      </c>
      <c r="O540" s="98">
        <f t="shared" si="92"/>
        <v>7.6923076923076925</v>
      </c>
    </row>
    <row r="541" spans="2:15" ht="15" customHeight="1" x14ac:dyDescent="0.25">
      <c r="B541" s="158"/>
      <c r="C541" s="95" t="s">
        <v>43</v>
      </c>
      <c r="D541" s="98" t="s">
        <v>37</v>
      </c>
      <c r="E541" s="98" t="s">
        <v>37</v>
      </c>
      <c r="F541" s="98" t="s">
        <v>37</v>
      </c>
      <c r="G541" s="101" t="s">
        <v>37</v>
      </c>
      <c r="H541" s="101" t="s">
        <v>37</v>
      </c>
      <c r="I541" s="101" t="s">
        <v>37</v>
      </c>
      <c r="J541" s="101" t="s">
        <v>37</v>
      </c>
      <c r="K541" s="101" t="s">
        <v>37</v>
      </c>
      <c r="L541" s="101" t="s">
        <v>37</v>
      </c>
      <c r="M541" s="98" t="s">
        <v>37</v>
      </c>
      <c r="N541" s="98" t="s">
        <v>37</v>
      </c>
      <c r="O541" s="98" t="s">
        <v>37</v>
      </c>
    </row>
    <row r="542" spans="2:15" ht="15" customHeight="1" x14ac:dyDescent="0.25">
      <c r="B542" s="158"/>
      <c r="C542" s="95" t="s">
        <v>44</v>
      </c>
      <c r="D542" s="98" t="s">
        <v>37</v>
      </c>
      <c r="E542" s="98" t="s">
        <v>37</v>
      </c>
      <c r="F542" s="98" t="s">
        <v>37</v>
      </c>
      <c r="G542" s="101" t="s">
        <v>37</v>
      </c>
      <c r="H542" s="101" t="s">
        <v>37</v>
      </c>
      <c r="I542" s="101" t="s">
        <v>37</v>
      </c>
      <c r="J542" s="101" t="s">
        <v>37</v>
      </c>
      <c r="K542" s="101" t="s">
        <v>37</v>
      </c>
      <c r="L542" s="101" t="s">
        <v>37</v>
      </c>
      <c r="M542" s="98" t="s">
        <v>37</v>
      </c>
      <c r="N542" s="98" t="s">
        <v>37</v>
      </c>
      <c r="O542" s="98" t="s">
        <v>37</v>
      </c>
    </row>
    <row r="543" spans="2:15" ht="15" customHeight="1" x14ac:dyDescent="0.25">
      <c r="B543" s="158"/>
      <c r="C543" s="95" t="s">
        <v>45</v>
      </c>
      <c r="D543" s="98" t="s">
        <v>37</v>
      </c>
      <c r="E543" s="98" t="s">
        <v>37</v>
      </c>
      <c r="F543" s="98" t="s">
        <v>37</v>
      </c>
      <c r="G543" s="101" t="s">
        <v>37</v>
      </c>
      <c r="H543" s="101" t="s">
        <v>37</v>
      </c>
      <c r="I543" s="101" t="s">
        <v>37</v>
      </c>
      <c r="J543" s="101" t="s">
        <v>37</v>
      </c>
      <c r="K543" s="101" t="s">
        <v>37</v>
      </c>
      <c r="L543" s="101" t="s">
        <v>37</v>
      </c>
      <c r="M543" s="98" t="s">
        <v>37</v>
      </c>
      <c r="N543" s="98" t="s">
        <v>37</v>
      </c>
      <c r="O543" s="98" t="s">
        <v>37</v>
      </c>
    </row>
    <row r="544" spans="2:15" ht="15" customHeight="1" x14ac:dyDescent="0.25">
      <c r="B544" s="158"/>
      <c r="C544" s="95" t="s">
        <v>46</v>
      </c>
      <c r="D544" s="98" t="s">
        <v>37</v>
      </c>
      <c r="E544" s="98" t="s">
        <v>37</v>
      </c>
      <c r="F544" s="98" t="s">
        <v>37</v>
      </c>
      <c r="G544" s="101" t="s">
        <v>37</v>
      </c>
      <c r="H544" s="101" t="s">
        <v>37</v>
      </c>
      <c r="I544" s="101" t="s">
        <v>37</v>
      </c>
      <c r="J544" s="101" t="s">
        <v>37</v>
      </c>
      <c r="K544" s="101" t="s">
        <v>37</v>
      </c>
      <c r="L544" s="101" t="s">
        <v>37</v>
      </c>
      <c r="M544" s="98" t="s">
        <v>37</v>
      </c>
      <c r="N544" s="98" t="s">
        <v>37</v>
      </c>
      <c r="O544" s="98" t="s">
        <v>37</v>
      </c>
    </row>
    <row r="545" spans="2:15" ht="15" customHeight="1" x14ac:dyDescent="0.25">
      <c r="B545" s="158"/>
      <c r="C545" s="95" t="s">
        <v>47</v>
      </c>
      <c r="D545" s="98" t="s">
        <v>37</v>
      </c>
      <c r="E545" s="98" t="s">
        <v>37</v>
      </c>
      <c r="F545" s="98" t="s">
        <v>37</v>
      </c>
      <c r="G545" s="101" t="s">
        <v>37</v>
      </c>
      <c r="H545" s="101" t="s">
        <v>37</v>
      </c>
      <c r="I545" s="101" t="s">
        <v>37</v>
      </c>
      <c r="J545" s="101" t="s">
        <v>37</v>
      </c>
      <c r="K545" s="101" t="s">
        <v>37</v>
      </c>
      <c r="L545" s="101" t="s">
        <v>37</v>
      </c>
      <c r="M545" s="98" t="s">
        <v>37</v>
      </c>
      <c r="N545" s="98" t="s">
        <v>37</v>
      </c>
      <c r="O545" s="98" t="s">
        <v>37</v>
      </c>
    </row>
    <row r="546" spans="2:15" ht="15" customHeight="1" x14ac:dyDescent="0.25">
      <c r="B546" s="159"/>
      <c r="C546" s="96" t="s">
        <v>48</v>
      </c>
      <c r="D546" s="99" t="s">
        <v>37</v>
      </c>
      <c r="E546" s="99" t="s">
        <v>37</v>
      </c>
      <c r="F546" s="99" t="s">
        <v>37</v>
      </c>
      <c r="G546" s="102" t="s">
        <v>37</v>
      </c>
      <c r="H546" s="102" t="s">
        <v>37</v>
      </c>
      <c r="I546" s="102" t="s">
        <v>37</v>
      </c>
      <c r="J546" s="102" t="s">
        <v>37</v>
      </c>
      <c r="K546" s="102" t="s">
        <v>37</v>
      </c>
      <c r="L546" s="102" t="s">
        <v>37</v>
      </c>
      <c r="M546" s="99" t="s">
        <v>37</v>
      </c>
      <c r="N546" s="99" t="s">
        <v>37</v>
      </c>
      <c r="O546" s="99" t="s">
        <v>37</v>
      </c>
    </row>
    <row r="548" spans="2:15" ht="15" customHeight="1" x14ac:dyDescent="0.25">
      <c r="B548" s="84" t="s">
        <v>78</v>
      </c>
    </row>
  </sheetData>
  <mergeCells count="74">
    <mergeCell ref="Q108:V109"/>
    <mergeCell ref="Q57:W58"/>
    <mergeCell ref="B139:B150"/>
    <mergeCell ref="B7:B18"/>
    <mergeCell ref="B19:B30"/>
    <mergeCell ref="B31:B42"/>
    <mergeCell ref="B43:B54"/>
    <mergeCell ref="B55:B66"/>
    <mergeCell ref="B67:B78"/>
    <mergeCell ref="B79:B90"/>
    <mergeCell ref="B91:B102"/>
    <mergeCell ref="B103:B114"/>
    <mergeCell ref="B115:B126"/>
    <mergeCell ref="B127:B138"/>
    <mergeCell ref="B283:B294"/>
    <mergeCell ref="B151:B162"/>
    <mergeCell ref="B163:B174"/>
    <mergeCell ref="B175:B186"/>
    <mergeCell ref="B187:B198"/>
    <mergeCell ref="B199:B210"/>
    <mergeCell ref="B211:B222"/>
    <mergeCell ref="B223:B234"/>
    <mergeCell ref="B235:B246"/>
    <mergeCell ref="B247:B258"/>
    <mergeCell ref="B259:B270"/>
    <mergeCell ref="B271:B282"/>
    <mergeCell ref="B427:B438"/>
    <mergeCell ref="B295:B306"/>
    <mergeCell ref="B307:B318"/>
    <mergeCell ref="B319:B330"/>
    <mergeCell ref="B331:B342"/>
    <mergeCell ref="B343:B354"/>
    <mergeCell ref="B355:B366"/>
    <mergeCell ref="S12:U12"/>
    <mergeCell ref="AC36:AE36"/>
    <mergeCell ref="B511:B522"/>
    <mergeCell ref="B523:B534"/>
    <mergeCell ref="B535:B546"/>
    <mergeCell ref="B439:B450"/>
    <mergeCell ref="B451:B462"/>
    <mergeCell ref="B463:B474"/>
    <mergeCell ref="B475:B486"/>
    <mergeCell ref="B487:B498"/>
    <mergeCell ref="B499:B510"/>
    <mergeCell ref="B367:B378"/>
    <mergeCell ref="B379:B390"/>
    <mergeCell ref="B391:B402"/>
    <mergeCell ref="B403:B414"/>
    <mergeCell ref="B415:B426"/>
    <mergeCell ref="D4:D6"/>
    <mergeCell ref="C4:C6"/>
    <mergeCell ref="B4:B6"/>
    <mergeCell ref="AG37:AG38"/>
    <mergeCell ref="F4:F6"/>
    <mergeCell ref="G4:G6"/>
    <mergeCell ref="H4:H6"/>
    <mergeCell ref="I4:I6"/>
    <mergeCell ref="E4:E6"/>
    <mergeCell ref="AA33:AG34"/>
    <mergeCell ref="AA37:AA38"/>
    <mergeCell ref="AB37:AB38"/>
    <mergeCell ref="AC37:AC38"/>
    <mergeCell ref="AD37:AD38"/>
    <mergeCell ref="AE37:AE38"/>
    <mergeCell ref="AF37:AF38"/>
    <mergeCell ref="F3:I3"/>
    <mergeCell ref="M4:M6"/>
    <mergeCell ref="N4:N6"/>
    <mergeCell ref="O4:O6"/>
    <mergeCell ref="L4:L6"/>
    <mergeCell ref="K4:K6"/>
    <mergeCell ref="J4:J6"/>
    <mergeCell ref="M2:O3"/>
    <mergeCell ref="J3:L3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45"/>
  <sheetViews>
    <sheetView showGridLines="0" zoomScale="70" zoomScaleNormal="70" workbookViewId="0">
      <selection activeCell="C7" sqref="C7:G11"/>
    </sheetView>
  </sheetViews>
  <sheetFormatPr baseColWidth="10" defaultRowHeight="15" x14ac:dyDescent="0.25"/>
  <cols>
    <col min="2" max="3" width="11.42578125" style="22"/>
    <col min="4" max="4" width="11.140625" style="22" bestFit="1" customWidth="1"/>
    <col min="5" max="5" width="17.85546875" style="22" bestFit="1" customWidth="1"/>
    <col min="6" max="6" width="11.7109375" style="22" bestFit="1" customWidth="1"/>
    <col min="7" max="7" width="15.85546875" style="22" bestFit="1" customWidth="1"/>
    <col min="8" max="8" width="31" style="22" bestFit="1" customWidth="1"/>
    <col min="9" max="9" width="28.140625" style="22" bestFit="1" customWidth="1"/>
    <col min="10" max="11" width="11.42578125" style="22"/>
    <col min="13" max="13" width="13.42578125" bestFit="1" customWidth="1"/>
  </cols>
  <sheetData>
    <row r="3" spans="2:16" x14ac:dyDescent="0.25">
      <c r="B3" s="1" t="s">
        <v>68</v>
      </c>
    </row>
    <row r="4" spans="2:16" ht="15" customHeight="1" x14ac:dyDescent="0.25"/>
    <row r="5" spans="2:16" ht="15" customHeight="1" x14ac:dyDescent="0.25"/>
    <row r="6" spans="2:16" ht="15" customHeight="1" x14ac:dyDescent="0.25">
      <c r="B6" s="24" t="s">
        <v>1</v>
      </c>
      <c r="C6" s="24" t="s">
        <v>2</v>
      </c>
      <c r="D6" s="24" t="s">
        <v>73</v>
      </c>
      <c r="E6" s="25" t="s">
        <v>9</v>
      </c>
      <c r="F6" s="24" t="s">
        <v>5</v>
      </c>
      <c r="G6" s="24" t="s">
        <v>10</v>
      </c>
      <c r="H6" s="24" t="s">
        <v>74</v>
      </c>
      <c r="I6" s="24" t="s">
        <v>12</v>
      </c>
      <c r="L6" s="163" t="s">
        <v>69</v>
      </c>
      <c r="M6" s="164"/>
      <c r="N6" s="164"/>
      <c r="O6" s="164"/>
      <c r="P6" s="164"/>
    </row>
    <row r="7" spans="2:16" ht="15" customHeight="1" x14ac:dyDescent="0.25">
      <c r="B7" s="26">
        <v>2013</v>
      </c>
      <c r="C7" s="27">
        <f t="shared" ref="C7:C11" si="0">+D7+E7+F7+G7+H7+I7</f>
        <v>2517401</v>
      </c>
      <c r="D7" s="27">
        <v>1243565</v>
      </c>
      <c r="E7" s="27">
        <v>233511</v>
      </c>
      <c r="F7" s="27">
        <v>204290</v>
      </c>
      <c r="G7" s="27">
        <v>13299</v>
      </c>
      <c r="H7" s="28">
        <v>9442</v>
      </c>
      <c r="I7" s="28">
        <v>813294</v>
      </c>
      <c r="L7" s="165" t="s">
        <v>1</v>
      </c>
      <c r="M7" s="165" t="s">
        <v>2</v>
      </c>
      <c r="N7" s="165" t="s">
        <v>70</v>
      </c>
      <c r="O7" s="165" t="s">
        <v>71</v>
      </c>
      <c r="P7" s="165" t="s">
        <v>72</v>
      </c>
    </row>
    <row r="8" spans="2:16" ht="15" customHeight="1" x14ac:dyDescent="0.25">
      <c r="B8" s="26">
        <v>2014</v>
      </c>
      <c r="C8" s="27">
        <f t="shared" si="0"/>
        <v>2575074</v>
      </c>
      <c r="D8" s="31">
        <v>1314228</v>
      </c>
      <c r="E8" s="31">
        <v>248178</v>
      </c>
      <c r="F8" s="31">
        <v>207237</v>
      </c>
      <c r="G8" s="31">
        <v>12766</v>
      </c>
      <c r="H8" s="32">
        <v>10604</v>
      </c>
      <c r="I8" s="28">
        <v>782061</v>
      </c>
      <c r="L8" s="166">
        <v>2013</v>
      </c>
      <c r="M8" s="167">
        <v>5980683</v>
      </c>
      <c r="N8" s="168">
        <v>5825710</v>
      </c>
      <c r="O8" s="168">
        <v>95747</v>
      </c>
      <c r="P8" s="168">
        <v>59226</v>
      </c>
    </row>
    <row r="9" spans="2:16" ht="15" customHeight="1" x14ac:dyDescent="0.25">
      <c r="B9" s="26">
        <v>2015</v>
      </c>
      <c r="C9" s="27">
        <f t="shared" si="0"/>
        <v>2855731</v>
      </c>
      <c r="D9" s="27">
        <v>1568085</v>
      </c>
      <c r="E9" s="27">
        <v>270455</v>
      </c>
      <c r="F9" s="27">
        <v>214420</v>
      </c>
      <c r="G9" s="27">
        <v>13045</v>
      </c>
      <c r="H9" s="28">
        <v>11446</v>
      </c>
      <c r="I9" s="28">
        <v>778280</v>
      </c>
      <c r="L9" s="166">
        <v>2014</v>
      </c>
      <c r="M9" s="167">
        <v>5626852</v>
      </c>
      <c r="N9" s="168">
        <v>5402778</v>
      </c>
      <c r="O9" s="168">
        <v>146044</v>
      </c>
      <c r="P9" s="168">
        <v>78030</v>
      </c>
    </row>
    <row r="10" spans="2:16" ht="15" customHeight="1" x14ac:dyDescent="0.25">
      <c r="B10" s="26">
        <v>2016</v>
      </c>
      <c r="C10" s="27">
        <f t="shared" si="0"/>
        <v>2967920</v>
      </c>
      <c r="D10" s="27">
        <v>1669952</v>
      </c>
      <c r="E10" s="27">
        <v>287157</v>
      </c>
      <c r="F10" s="27">
        <v>234663</v>
      </c>
      <c r="G10" s="27">
        <v>13521</v>
      </c>
      <c r="H10" s="27">
        <v>11636</v>
      </c>
      <c r="I10" s="28">
        <v>750991</v>
      </c>
      <c r="L10" s="166">
        <v>2015</v>
      </c>
      <c r="M10" s="167">
        <v>5446703</v>
      </c>
      <c r="N10" s="168">
        <v>5125353</v>
      </c>
      <c r="O10" s="168">
        <v>216883</v>
      </c>
      <c r="P10" s="168">
        <v>104467</v>
      </c>
    </row>
    <row r="11" spans="2:16" ht="15" customHeight="1" thickBot="1" x14ac:dyDescent="0.3">
      <c r="B11" s="33">
        <v>2017</v>
      </c>
      <c r="C11" s="34">
        <f t="shared" si="0"/>
        <v>3566281</v>
      </c>
      <c r="D11" s="34">
        <v>2255745</v>
      </c>
      <c r="E11" s="34">
        <v>314929</v>
      </c>
      <c r="F11" s="34">
        <v>262859</v>
      </c>
      <c r="G11" s="34">
        <v>13637</v>
      </c>
      <c r="H11" s="34">
        <v>11859</v>
      </c>
      <c r="I11" s="34">
        <v>707252</v>
      </c>
      <c r="L11" s="166">
        <v>2016</v>
      </c>
      <c r="M11" s="167">
        <v>5307800</v>
      </c>
      <c r="N11" s="168">
        <v>4889915</v>
      </c>
      <c r="O11" s="168">
        <v>287193</v>
      </c>
      <c r="P11" s="168">
        <v>130692</v>
      </c>
    </row>
    <row r="12" spans="2:16" ht="15" customHeight="1" thickTop="1" x14ac:dyDescent="0.25">
      <c r="B12" s="74" t="s">
        <v>75</v>
      </c>
      <c r="H12" s="29"/>
      <c r="L12" s="166">
        <v>2017</v>
      </c>
      <c r="M12" s="167">
        <v>5332361</v>
      </c>
      <c r="N12" s="168">
        <v>4823942</v>
      </c>
      <c r="O12" s="168">
        <v>348404</v>
      </c>
      <c r="P12" s="168">
        <v>160015</v>
      </c>
    </row>
    <row r="13" spans="2:16" ht="15" customHeight="1" x14ac:dyDescent="0.25">
      <c r="L13" s="74" t="s">
        <v>75</v>
      </c>
    </row>
    <row r="14" spans="2:16" ht="15" customHeight="1" x14ac:dyDescent="0.25"/>
    <row r="15" spans="2:16" ht="15" customHeight="1" x14ac:dyDescent="0.25"/>
    <row r="16" spans="2:16" ht="15" customHeight="1" x14ac:dyDescent="0.25"/>
    <row r="17" spans="10:18" ht="15" customHeight="1" x14ac:dyDescent="0.25"/>
    <row r="18" spans="10:18" ht="15" customHeight="1" x14ac:dyDescent="0.25">
      <c r="K18" s="29"/>
      <c r="L18" s="2"/>
      <c r="M18" s="2"/>
      <c r="N18" s="2"/>
      <c r="O18" s="2"/>
      <c r="P18" s="2"/>
    </row>
    <row r="19" spans="10:18" ht="15" customHeight="1" x14ac:dyDescent="0.25">
      <c r="L19" s="14"/>
      <c r="M19" s="160"/>
      <c r="N19" s="161"/>
    </row>
    <row r="20" spans="10:18" ht="15" customHeight="1" x14ac:dyDescent="0.25">
      <c r="L20" s="14"/>
      <c r="M20" s="160"/>
      <c r="N20" s="161"/>
    </row>
    <row r="21" spans="10:18" ht="15" customHeight="1" x14ac:dyDescent="0.25">
      <c r="J21" s="169">
        <f>+M8/C7</f>
        <v>2.3757371193544454</v>
      </c>
      <c r="L21" s="14"/>
      <c r="M21" s="160"/>
      <c r="N21" s="161"/>
    </row>
    <row r="22" spans="10:18" ht="15" customHeight="1" x14ac:dyDescent="0.25">
      <c r="J22" s="169">
        <f t="shared" ref="J22:J26" si="1">+M9/C8</f>
        <v>2.1851224469665724</v>
      </c>
      <c r="L22" s="14"/>
      <c r="M22" s="160"/>
      <c r="N22" s="161"/>
    </row>
    <row r="23" spans="10:18" ht="15" customHeight="1" x14ac:dyDescent="0.25">
      <c r="J23" s="169">
        <f t="shared" si="1"/>
        <v>1.907288536630376</v>
      </c>
      <c r="L23" s="14"/>
      <c r="M23" s="160"/>
      <c r="N23" s="161"/>
      <c r="O23" s="22"/>
      <c r="P23" s="22"/>
      <c r="Q23" s="22"/>
      <c r="R23" s="22"/>
    </row>
    <row r="24" spans="10:18" ht="15" customHeight="1" x14ac:dyDescent="0.25">
      <c r="J24" s="169">
        <f t="shared" si="1"/>
        <v>1.7883905226555972</v>
      </c>
      <c r="L24" s="14"/>
      <c r="M24" s="160"/>
      <c r="N24" s="161"/>
      <c r="O24" s="22"/>
      <c r="P24" s="22"/>
      <c r="Q24" s="22"/>
      <c r="R24" s="22"/>
    </row>
    <row r="25" spans="10:18" ht="15" customHeight="1" x14ac:dyDescent="0.25">
      <c r="J25" s="169">
        <f t="shared" si="1"/>
        <v>1.4952161649628843</v>
      </c>
      <c r="L25" s="14"/>
      <c r="M25" s="160"/>
      <c r="N25" s="161"/>
    </row>
    <row r="26" spans="10:18" ht="15" customHeight="1" x14ac:dyDescent="0.25">
      <c r="L26" s="14"/>
      <c r="M26" s="160"/>
      <c r="N26" s="161"/>
    </row>
    <row r="27" spans="10:18" ht="15" customHeight="1" x14ac:dyDescent="0.25">
      <c r="L27" s="14"/>
      <c r="M27" s="160"/>
      <c r="N27" s="161"/>
    </row>
    <row r="28" spans="10:18" ht="15" customHeight="1" x14ac:dyDescent="0.25">
      <c r="L28" s="14"/>
      <c r="M28" s="160"/>
      <c r="N28" s="161"/>
    </row>
    <row r="29" spans="10:18" ht="15" customHeight="1" x14ac:dyDescent="0.25">
      <c r="L29" s="14"/>
      <c r="M29" s="160"/>
      <c r="N29" s="161"/>
    </row>
    <row r="30" spans="10:18" ht="15" customHeight="1" x14ac:dyDescent="0.25">
      <c r="L30" s="162"/>
      <c r="N30" s="161"/>
    </row>
    <row r="31" spans="10:18" x14ac:dyDescent="0.25">
      <c r="L31" s="22"/>
      <c r="M31" s="22"/>
      <c r="N31" s="22"/>
      <c r="O31" s="22"/>
    </row>
    <row r="32" spans="10:18" x14ac:dyDescent="0.25">
      <c r="L32" s="22"/>
      <c r="M32" s="22"/>
      <c r="N32" s="22"/>
      <c r="O32" s="22"/>
    </row>
    <row r="33" spans="12:15" x14ac:dyDescent="0.25">
      <c r="L33" s="22"/>
      <c r="M33" s="22"/>
      <c r="N33" s="22"/>
      <c r="O33" s="22"/>
    </row>
    <row r="34" spans="12:15" x14ac:dyDescent="0.25">
      <c r="L34" s="22"/>
      <c r="M34" s="22"/>
      <c r="N34" s="22"/>
      <c r="O34" s="22"/>
    </row>
    <row r="35" spans="12:15" x14ac:dyDescent="0.25">
      <c r="L35" s="22"/>
      <c r="M35" s="22"/>
      <c r="N35" s="22"/>
      <c r="O35" s="22"/>
    </row>
    <row r="36" spans="12:15" x14ac:dyDescent="0.25">
      <c r="L36" s="22"/>
      <c r="M36" s="22"/>
      <c r="N36" s="22"/>
      <c r="O36" s="22"/>
    </row>
    <row r="37" spans="12:15" x14ac:dyDescent="0.25">
      <c r="L37" s="22"/>
      <c r="M37" s="22"/>
      <c r="N37" s="22"/>
      <c r="O37" s="22"/>
    </row>
    <row r="38" spans="12:15" x14ac:dyDescent="0.25">
      <c r="L38" s="22"/>
      <c r="M38" s="22"/>
      <c r="N38" s="22"/>
      <c r="O38" s="22"/>
    </row>
    <row r="39" spans="12:15" x14ac:dyDescent="0.25">
      <c r="L39" s="22"/>
      <c r="M39" s="22"/>
      <c r="N39" s="22"/>
      <c r="O39" s="22"/>
    </row>
    <row r="40" spans="12:15" x14ac:dyDescent="0.25">
      <c r="L40" s="22"/>
      <c r="M40" s="22"/>
      <c r="N40" s="22"/>
      <c r="O40" s="22"/>
    </row>
    <row r="41" spans="12:15" x14ac:dyDescent="0.25">
      <c r="L41" s="22"/>
      <c r="M41" s="22"/>
      <c r="N41" s="22"/>
      <c r="O41" s="22"/>
    </row>
    <row r="42" spans="12:15" x14ac:dyDescent="0.25">
      <c r="L42" s="22"/>
      <c r="M42" s="22"/>
      <c r="N42" s="22"/>
      <c r="O42" s="22"/>
    </row>
    <row r="43" spans="12:15" x14ac:dyDescent="0.25">
      <c r="L43" s="22"/>
      <c r="M43" s="22"/>
      <c r="N43" s="22"/>
      <c r="O43" s="22"/>
    </row>
    <row r="44" spans="12:15" x14ac:dyDescent="0.25">
      <c r="L44" s="22"/>
      <c r="M44" s="22"/>
      <c r="N44" s="22"/>
      <c r="O44" s="22"/>
    </row>
    <row r="45" spans="12:15" x14ac:dyDescent="0.25">
      <c r="L45" s="22"/>
      <c r="M45" s="22"/>
      <c r="N45" s="22"/>
      <c r="O45" s="22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Cuadro 1</vt:lpstr>
      <vt:lpstr>Cuadro 7</vt:lpstr>
      <vt:lpstr>Cuadro 8</vt:lpstr>
      <vt:lpstr>Hoja12</vt:lpstr>
      <vt:lpstr>Hoja12 (2)</vt:lpstr>
      <vt:lpstr>Cuadro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</dc:creator>
  <cp:lastModifiedBy>moreno</cp:lastModifiedBy>
  <dcterms:created xsi:type="dcterms:W3CDTF">2018-05-30T13:26:18Z</dcterms:created>
  <dcterms:modified xsi:type="dcterms:W3CDTF">2018-06-05T04:00:01Z</dcterms:modified>
</cp:coreProperties>
</file>